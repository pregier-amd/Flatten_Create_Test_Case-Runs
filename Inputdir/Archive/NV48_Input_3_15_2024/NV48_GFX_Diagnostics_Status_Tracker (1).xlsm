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codeName="ThisWorkbook"/>
  <mc:AlternateContent xmlns:mc="http://schemas.openxmlformats.org/markup-compatibility/2006">
    <mc:Choice Requires="x15">
      <x15ac:absPath xmlns:x15ac="http://schemas.microsoft.com/office/spreadsheetml/2010/11/ac" url="C:\Users\pregier\Documents\qTest\python\flatten\flatten\Inputdir\Archive\NV48_Input_3_15_2024\"/>
    </mc:Choice>
  </mc:AlternateContent>
  <xr:revisionPtr revIDLastSave="0" documentId="13_ncr:1_{A579B043-6826-485B-862D-D5ED18FAE733}" xr6:coauthVersionLast="47" xr6:coauthVersionMax="47" xr10:uidLastSave="{00000000-0000-0000-0000-000000000000}"/>
  <bookViews>
    <workbookView xWindow="-28635" yWindow="615" windowWidth="23265" windowHeight="1360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8"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16" i="53" l="1"/>
  <c r="Z80" i="53"/>
  <c r="P244" i="53"/>
  <c r="P234" i="53"/>
  <c r="P205" i="53"/>
  <c r="P166" i="53"/>
  <c r="P154" i="53"/>
  <c r="P153" i="53"/>
  <c r="P110" i="53"/>
  <c r="P103" i="53"/>
  <c r="P7" i="53"/>
  <c r="P9" i="53"/>
  <c r="P21" i="53"/>
  <c r="P27" i="53"/>
  <c r="P65" i="53"/>
  <c r="P75" i="53"/>
  <c r="P92" i="53"/>
  <c r="P34" i="53"/>
  <c r="P35" i="53"/>
  <c r="P219" i="53"/>
  <c r="S169" i="53"/>
  <c r="S209" i="53"/>
  <c r="S143" i="53"/>
  <c r="S97" i="53"/>
  <c r="S40" i="53"/>
  <c r="S33" i="53"/>
  <c r="S203" i="53"/>
  <c r="S237" i="53"/>
  <c r="P194" i="53"/>
  <c r="P22" i="53"/>
  <c r="C40" i="55"/>
  <c r="G39" i="53" s="1"/>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s="1"/>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4"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s="1"/>
  <c r="M238" i="53"/>
  <c r="P238" i="53"/>
  <c r="S238" i="53"/>
  <c r="Z238" i="53"/>
  <c r="P113" i="53"/>
  <c r="P184" i="53"/>
  <c r="P183" i="53"/>
  <c r="P186" i="53"/>
  <c r="P200" i="53"/>
  <c r="P204" i="53"/>
  <c r="P249" i="53"/>
  <c r="D19" i="53"/>
  <c r="E20" i="55" s="1"/>
  <c r="P38" i="53"/>
  <c r="P37" i="53"/>
  <c r="P36" i="53"/>
  <c r="P33" i="53"/>
  <c r="P40" i="53"/>
  <c r="P97" i="53"/>
  <c r="P98" i="53"/>
  <c r="P133" i="53"/>
  <c r="P134" i="53"/>
  <c r="P135" i="53"/>
  <c r="P149"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6"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5" i="53"/>
  <c r="P156" i="53"/>
  <c r="P157" i="53"/>
  <c r="P158" i="53"/>
  <c r="P159" i="53"/>
  <c r="P160" i="53"/>
  <c r="P161" i="53"/>
  <c r="P162" i="53"/>
  <c r="P163" i="53"/>
  <c r="P164"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6" i="53"/>
  <c r="P207" i="53"/>
  <c r="P208" i="53"/>
  <c r="P209" i="53"/>
  <c r="P210" i="53"/>
  <c r="P211" i="53"/>
  <c r="P212" i="53"/>
  <c r="P213" i="53"/>
  <c r="P214" i="53"/>
  <c r="P215" i="53"/>
  <c r="P216" i="53"/>
  <c r="P217" i="53"/>
  <c r="P218" i="53"/>
  <c r="P220" i="53"/>
  <c r="P221" i="53"/>
  <c r="P222" i="53"/>
  <c r="P223" i="53"/>
  <c r="P224" i="53"/>
  <c r="P225" i="53"/>
  <c r="P226" i="53"/>
  <c r="P227" i="53"/>
  <c r="P228" i="53"/>
  <c r="P229" i="53"/>
  <c r="P230" i="53"/>
  <c r="P231" i="53"/>
  <c r="P232" i="53"/>
  <c r="P233" i="53"/>
  <c r="P235" i="53"/>
  <c r="P236" i="53"/>
  <c r="P237" i="53"/>
  <c r="P239" i="53"/>
  <c r="P240" i="53"/>
  <c r="P242" i="53"/>
  <c r="P243"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s="1"/>
  <c r="D251" i="53"/>
  <c r="E252" i="55" s="1"/>
  <c r="B250" i="53"/>
  <c r="B251" i="53"/>
  <c r="Z242" i="53"/>
  <c r="S242" i="53"/>
  <c r="M242" i="53"/>
  <c r="D242" i="53"/>
  <c r="E243" i="55" s="1"/>
  <c r="B242" i="53"/>
  <c r="B173" i="53"/>
  <c r="D173" i="53"/>
  <c r="E174" i="55" s="1"/>
  <c r="M173" i="53"/>
  <c r="S173" i="53"/>
  <c r="Z173" i="53"/>
  <c r="B237" i="53"/>
  <c r="D237" i="53"/>
  <c r="E238" i="55" s="1"/>
  <c r="M237" i="53"/>
  <c r="Z237" i="53"/>
  <c r="B239" i="53"/>
  <c r="D239" i="53"/>
  <c r="E240" i="55" s="1"/>
  <c r="M239" i="53"/>
  <c r="S239" i="53"/>
  <c r="Z239" i="53"/>
  <c r="B240" i="53"/>
  <c r="D240" i="53"/>
  <c r="E241" i="55" s="1"/>
  <c r="M240" i="53"/>
  <c r="S240" i="53"/>
  <c r="Z240" i="53"/>
  <c r="B241" i="53"/>
  <c r="D241" i="53"/>
  <c r="E242" i="55" s="1"/>
  <c r="M241" i="53"/>
  <c r="S241" i="53"/>
  <c r="Z241" i="53"/>
  <c r="B243" i="53"/>
  <c r="D243" i="53"/>
  <c r="E244" i="55" s="1"/>
  <c r="M243" i="53"/>
  <c r="S243" i="53"/>
  <c r="Z243" i="53"/>
  <c r="B244" i="53"/>
  <c r="D244" i="53"/>
  <c r="E245" i="55" s="1"/>
  <c r="M244" i="53"/>
  <c r="S244" i="53"/>
  <c r="Z244" i="53"/>
  <c r="B245" i="53"/>
  <c r="D245" i="53"/>
  <c r="E246" i="55" s="1"/>
  <c r="M245" i="53"/>
  <c r="S245" i="53"/>
  <c r="Z245" i="53"/>
  <c r="B246" i="53"/>
  <c r="D246" i="53"/>
  <c r="E247" i="55" s="1"/>
  <c r="M246" i="53"/>
  <c r="S246" i="53"/>
  <c r="Z246" i="53"/>
  <c r="B247" i="53"/>
  <c r="D247" i="53"/>
  <c r="E248" i="55" s="1"/>
  <c r="M247" i="53"/>
  <c r="S247" i="53"/>
  <c r="Z247" i="53"/>
  <c r="B248" i="53"/>
  <c r="D248" i="53"/>
  <c r="E249" i="55" s="1"/>
  <c r="M248" i="53"/>
  <c r="S248" i="53"/>
  <c r="Z248" i="53"/>
  <c r="B249" i="53"/>
  <c r="D249" i="53"/>
  <c r="E250" i="55" s="1"/>
  <c r="M249" i="53"/>
  <c r="S249" i="53"/>
  <c r="Z249" i="53"/>
  <c r="B252" i="53"/>
  <c r="D252" i="53"/>
  <c r="E253" i="55" s="1"/>
  <c r="M252" i="53"/>
  <c r="S252" i="53"/>
  <c r="Z252" i="53"/>
  <c r="B253" i="53"/>
  <c r="D253" i="53"/>
  <c r="E254" i="55" s="1"/>
  <c r="M253" i="53"/>
  <c r="S253" i="53"/>
  <c r="Z253" i="53"/>
  <c r="B254" i="53"/>
  <c r="D254" i="53"/>
  <c r="E255" i="55" s="1"/>
  <c r="M254" i="53"/>
  <c r="S254" i="53"/>
  <c r="Z254" i="53"/>
  <c r="B255" i="53"/>
  <c r="D255" i="53"/>
  <c r="E256" i="55" s="1"/>
  <c r="M255" i="53"/>
  <c r="S255" i="53"/>
  <c r="Z255" i="53"/>
  <c r="B256" i="53"/>
  <c r="D256" i="53"/>
  <c r="E257" i="55" s="1"/>
  <c r="M256" i="53"/>
  <c r="S256" i="53"/>
  <c r="Z256" i="53"/>
  <c r="B257" i="53"/>
  <c r="D257" i="53"/>
  <c r="E258" i="55" s="1"/>
  <c r="M257" i="53"/>
  <c r="S257" i="53"/>
  <c r="Z257" i="53"/>
  <c r="B238" i="55"/>
  <c r="C238" i="55"/>
  <c r="G237" i="53"/>
  <c r="D238" i="55" a="1"/>
  <c r="D238" i="55" s="1"/>
  <c r="H238" i="55" s="1"/>
  <c r="F238" i="55"/>
  <c r="I238" i="55"/>
  <c r="J238" i="55"/>
  <c r="R238" i="55" s="1"/>
  <c r="P238" i="55"/>
  <c r="S238" i="55" s="1"/>
  <c r="Q238" i="55"/>
  <c r="B239" i="55"/>
  <c r="C239" i="55"/>
  <c r="G238" i="53" s="1"/>
  <c r="D239" i="55" a="1"/>
  <c r="D239" i="55" s="1"/>
  <c r="H239" i="55" s="1"/>
  <c r="F239" i="55"/>
  <c r="I239" i="55"/>
  <c r="J239" i="55"/>
  <c r="R239" i="55" s="1"/>
  <c r="P239" i="55"/>
  <c r="S239" i="55" s="1"/>
  <c r="Q239" i="55"/>
  <c r="B240" i="55"/>
  <c r="C240" i="55"/>
  <c r="G239" i="53"/>
  <c r="D240" i="55" a="1"/>
  <c r="D240" i="55" s="1"/>
  <c r="G240" i="55" s="1"/>
  <c r="F240" i="55"/>
  <c r="I240" i="55"/>
  <c r="J240" i="55"/>
  <c r="R240" i="55" s="1"/>
  <c r="P240" i="55"/>
  <c r="S240" i="55" s="1"/>
  <c r="Q240" i="55"/>
  <c r="B241" i="55"/>
  <c r="C241" i="55"/>
  <c r="G240" i="53"/>
  <c r="D241" i="55" a="1"/>
  <c r="D241" i="55" s="1"/>
  <c r="F241" i="55"/>
  <c r="I241" i="55"/>
  <c r="J241" i="55"/>
  <c r="R241" i="55" s="1"/>
  <c r="P241" i="55"/>
  <c r="S241" i="55" s="1"/>
  <c r="Q241" i="55"/>
  <c r="B242" i="55"/>
  <c r="C242" i="55"/>
  <c r="G241" i="53" s="1"/>
  <c r="D242" i="55" a="1"/>
  <c r="D242" i="55" s="1"/>
  <c r="G242" i="55" s="1"/>
  <c r="F242" i="55"/>
  <c r="I242" i="55"/>
  <c r="J242" i="55"/>
  <c r="R242" i="55" s="1"/>
  <c r="P242" i="55"/>
  <c r="S242" i="55" s="1"/>
  <c r="Q242" i="55"/>
  <c r="B243" i="55"/>
  <c r="C243" i="55"/>
  <c r="G242" i="53"/>
  <c r="D243" i="55" a="1"/>
  <c r="D243" i="55" s="1"/>
  <c r="F243" i="55"/>
  <c r="I243" i="55"/>
  <c r="J243" i="55"/>
  <c r="R243" i="55" s="1"/>
  <c r="P243" i="55"/>
  <c r="S243" i="55" s="1"/>
  <c r="Q243" i="55"/>
  <c r="B244" i="55"/>
  <c r="C244" i="55"/>
  <c r="G243" i="53"/>
  <c r="D244" i="55" a="1"/>
  <c r="D244" i="55" s="1"/>
  <c r="H244" i="55" s="1"/>
  <c r="F244" i="55"/>
  <c r="I244" i="55"/>
  <c r="J244" i="55"/>
  <c r="R244" i="55" s="1"/>
  <c r="P244" i="55"/>
  <c r="S244" i="55" s="1"/>
  <c r="Q244" i="55"/>
  <c r="B245" i="55"/>
  <c r="C245" i="55"/>
  <c r="G244" i="53" s="1"/>
  <c r="D245" i="55" a="1"/>
  <c r="D245" i="55" s="1"/>
  <c r="H245" i="55" s="1"/>
  <c r="F245" i="55"/>
  <c r="I245" i="55"/>
  <c r="J245" i="55"/>
  <c r="R245" i="55" s="1"/>
  <c r="P245" i="55"/>
  <c r="S245" i="55" s="1"/>
  <c r="Q245" i="55"/>
  <c r="B246" i="55"/>
  <c r="C246" i="55"/>
  <c r="G245" i="53" s="1"/>
  <c r="D246" i="55" a="1"/>
  <c r="D246" i="55" s="1"/>
  <c r="H246" i="55" s="1"/>
  <c r="F246" i="55"/>
  <c r="I246" i="55"/>
  <c r="J246" i="55"/>
  <c r="R246" i="55" s="1"/>
  <c r="P246" i="55"/>
  <c r="S246" i="55" s="1"/>
  <c r="Q246" i="55"/>
  <c r="B247" i="55"/>
  <c r="C247" i="55"/>
  <c r="G246" i="53"/>
  <c r="D247" i="55" a="1"/>
  <c r="D247" i="55" s="1"/>
  <c r="H247" i="55" s="1"/>
  <c r="F247" i="55"/>
  <c r="I247" i="55"/>
  <c r="J247" i="55"/>
  <c r="R247" i="55" s="1"/>
  <c r="P247" i="55"/>
  <c r="S247" i="55" s="1"/>
  <c r="Q247" i="55"/>
  <c r="B248" i="55"/>
  <c r="C248" i="55"/>
  <c r="G247" i="53"/>
  <c r="D248" i="55" a="1"/>
  <c r="D248" i="55" s="1"/>
  <c r="H248" i="55" s="1"/>
  <c r="F248" i="55"/>
  <c r="I248" i="55"/>
  <c r="J248" i="55"/>
  <c r="R248" i="55" s="1"/>
  <c r="P248" i="55"/>
  <c r="S248" i="55" s="1"/>
  <c r="Q248" i="55"/>
  <c r="B249" i="55"/>
  <c r="C249" i="55"/>
  <c r="G248" i="53"/>
  <c r="D249" i="55" a="1"/>
  <c r="D249" i="55" s="1"/>
  <c r="F249" i="55"/>
  <c r="I249" i="55"/>
  <c r="J249" i="55"/>
  <c r="R249" i="55" s="1"/>
  <c r="P249" i="55"/>
  <c r="S249" i="55" s="1"/>
  <c r="Q249" i="55"/>
  <c r="B250" i="55"/>
  <c r="C250" i="55"/>
  <c r="G249" i="53" s="1"/>
  <c r="D250" i="55" a="1"/>
  <c r="D250" i="55" s="1"/>
  <c r="G250" i="55" s="1"/>
  <c r="F250" i="55"/>
  <c r="I250" i="55"/>
  <c r="J250" i="55"/>
  <c r="R250" i="55" s="1"/>
  <c r="P250" i="55"/>
  <c r="S250" i="55" s="1"/>
  <c r="Q250" i="55"/>
  <c r="B251" i="55"/>
  <c r="C251" i="55"/>
  <c r="G250" i="53" s="1"/>
  <c r="D251" i="55" a="1"/>
  <c r="D251" i="55" s="1"/>
  <c r="F251" i="55"/>
  <c r="I251" i="55"/>
  <c r="J251" i="55"/>
  <c r="P251" i="55"/>
  <c r="S251" i="55" s="1"/>
  <c r="Q251" i="55"/>
  <c r="B252" i="55"/>
  <c r="C252" i="55"/>
  <c r="G251" i="53"/>
  <c r="D252" i="55" a="1"/>
  <c r="D252" i="55" s="1"/>
  <c r="G252" i="55" s="1"/>
  <c r="F252" i="55"/>
  <c r="I252" i="55"/>
  <c r="J252" i="55"/>
  <c r="R252" i="55" s="1"/>
  <c r="P252" i="55"/>
  <c r="S252" i="55" s="1"/>
  <c r="Q252" i="55"/>
  <c r="B253" i="55"/>
  <c r="C253" i="55"/>
  <c r="G252" i="53" s="1"/>
  <c r="D253" i="55" a="1"/>
  <c r="D253" i="55" s="1"/>
  <c r="F253" i="55"/>
  <c r="I253" i="55"/>
  <c r="J253" i="55"/>
  <c r="R253" i="55" s="1"/>
  <c r="P253" i="55"/>
  <c r="S253" i="55" s="1"/>
  <c r="Q253" i="55"/>
  <c r="B254" i="55"/>
  <c r="C254" i="55"/>
  <c r="G253" i="53"/>
  <c r="D254" i="55" a="1"/>
  <c r="D254" i="55" s="1"/>
  <c r="G254" i="55" s="1"/>
  <c r="F254" i="55"/>
  <c r="I254" i="55"/>
  <c r="J254" i="55"/>
  <c r="R254" i="55" s="1"/>
  <c r="P254" i="55"/>
  <c r="S254" i="55" s="1"/>
  <c r="Q254" i="55"/>
  <c r="B255" i="55"/>
  <c r="C255" i="55"/>
  <c r="G254" i="53" s="1"/>
  <c r="D255" i="55" a="1"/>
  <c r="D255" i="55" s="1"/>
  <c r="F255" i="55"/>
  <c r="I255" i="55"/>
  <c r="J255" i="55"/>
  <c r="R255" i="55" s="1"/>
  <c r="P255" i="55"/>
  <c r="S255" i="55" s="1"/>
  <c r="Q255" i="55"/>
  <c r="B256" i="55"/>
  <c r="C256" i="55"/>
  <c r="G255" i="53"/>
  <c r="D256" i="55" a="1"/>
  <c r="D256" i="55" s="1"/>
  <c r="G256" i="55" s="1"/>
  <c r="F256" i="55"/>
  <c r="I256" i="55"/>
  <c r="J256" i="55"/>
  <c r="R256" i="55" s="1"/>
  <c r="P256" i="55"/>
  <c r="S256" i="55" s="1"/>
  <c r="Q256" i="55"/>
  <c r="B257" i="55"/>
  <c r="C257" i="55"/>
  <c r="G256" i="53"/>
  <c r="D257" i="55" a="1"/>
  <c r="D257" i="55" s="1"/>
  <c r="F257" i="55"/>
  <c r="I257" i="55"/>
  <c r="J257" i="55"/>
  <c r="R257" i="55" s="1"/>
  <c r="P257" i="55"/>
  <c r="S257" i="55" s="1"/>
  <c r="Q257" i="55"/>
  <c r="B258" i="55"/>
  <c r="C258" i="55"/>
  <c r="G257" i="53" s="1"/>
  <c r="D258" i="55" a="1"/>
  <c r="D258" i="55" s="1"/>
  <c r="G258" i="55" s="1"/>
  <c r="F258" i="55"/>
  <c r="I258" i="55"/>
  <c r="J258" i="55"/>
  <c r="R258" i="55" s="1"/>
  <c r="P258" i="55"/>
  <c r="S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E11" i="55" s="1"/>
  <c r="D11" i="53"/>
  <c r="E12" i="55" s="1"/>
  <c r="D12" i="53"/>
  <c r="E13" i="55" s="1"/>
  <c r="D13" i="53"/>
  <c r="E14" i="55" s="1"/>
  <c r="D14" i="53"/>
  <c r="E15" i="55" s="1"/>
  <c r="D15" i="53"/>
  <c r="E16" i="55" s="1"/>
  <c r="D16" i="53"/>
  <c r="E17" i="55" s="1"/>
  <c r="D17" i="53"/>
  <c r="E18" i="55" s="1"/>
  <c r="D18" i="53"/>
  <c r="D20" i="53"/>
  <c r="E21" i="55" s="1"/>
  <c r="D21" i="53"/>
  <c r="E22" i="55" s="1"/>
  <c r="D22" i="53"/>
  <c r="E23" i="55" s="1"/>
  <c r="D23" i="53"/>
  <c r="E24" i="55" s="1"/>
  <c r="D24" i="53"/>
  <c r="E25" i="55" s="1"/>
  <c r="D25" i="53"/>
  <c r="E26" i="55" s="1"/>
  <c r="D26" i="53"/>
  <c r="E27" i="55" s="1"/>
  <c r="D27" i="53"/>
  <c r="E28" i="55" s="1"/>
  <c r="D28" i="53"/>
  <c r="E29" i="55" s="1"/>
  <c r="D29" i="53"/>
  <c r="E30" i="55" s="1"/>
  <c r="D30" i="53"/>
  <c r="E31" i="55" s="1"/>
  <c r="D31" i="53"/>
  <c r="E32" i="55" s="1"/>
  <c r="D32" i="53"/>
  <c r="E33" i="55" s="1"/>
  <c r="D33" i="53"/>
  <c r="E34" i="55" s="1"/>
  <c r="D34" i="53"/>
  <c r="E35" i="55" s="1"/>
  <c r="D35" i="53"/>
  <c r="E36" i="55" s="1"/>
  <c r="D36" i="53"/>
  <c r="E37" i="55" s="1"/>
  <c r="D37" i="53"/>
  <c r="E38" i="55" s="1"/>
  <c r="D38" i="53"/>
  <c r="E39" i="55" s="1"/>
  <c r="D40" i="53"/>
  <c r="E41" i="55" s="1"/>
  <c r="D42" i="53"/>
  <c r="E43" i="55" s="1"/>
  <c r="D43" i="53"/>
  <c r="E44" i="55" s="1"/>
  <c r="D44" i="53"/>
  <c r="E45" i="55" s="1"/>
  <c r="D45" i="53"/>
  <c r="E46" i="55" s="1"/>
  <c r="D46" i="53"/>
  <c r="E47" i="55" s="1"/>
  <c r="D47" i="53"/>
  <c r="E48" i="55" s="1"/>
  <c r="D48" i="53"/>
  <c r="E49" i="55" s="1"/>
  <c r="D49" i="53"/>
  <c r="E50" i="55" s="1"/>
  <c r="D50" i="53"/>
  <c r="E51" i="55" s="1"/>
  <c r="D51" i="53"/>
  <c r="E52" i="55" s="1"/>
  <c r="D52" i="53"/>
  <c r="E53" i="55" s="1"/>
  <c r="D53" i="53"/>
  <c r="E54" i="55" s="1"/>
  <c r="D54" i="53"/>
  <c r="E55" i="55" s="1"/>
  <c r="D55" i="53"/>
  <c r="E56" i="55" s="1"/>
  <c r="D56" i="53"/>
  <c r="E57" i="55" s="1"/>
  <c r="D57" i="53"/>
  <c r="E58" i="55" s="1"/>
  <c r="D58" i="53"/>
  <c r="E59" i="55" s="1"/>
  <c r="D59" i="53"/>
  <c r="E60" i="55" s="1"/>
  <c r="D60" i="53"/>
  <c r="E61" i="55" s="1"/>
  <c r="D61" i="53"/>
  <c r="E62" i="55" s="1"/>
  <c r="D62" i="53"/>
  <c r="E63" i="55" s="1"/>
  <c r="D63" i="53"/>
  <c r="E64" i="55" s="1"/>
  <c r="D64" i="53"/>
  <c r="E65" i="55" s="1"/>
  <c r="D65" i="53"/>
  <c r="E66" i="55" s="1"/>
  <c r="D66" i="53"/>
  <c r="E67" i="55" s="1"/>
  <c r="D67" i="53"/>
  <c r="E68" i="55" s="1"/>
  <c r="D68" i="53"/>
  <c r="E69" i="55" s="1"/>
  <c r="D69" i="53"/>
  <c r="E70" i="55" s="1"/>
  <c r="D70" i="53"/>
  <c r="E71" i="55" s="1"/>
  <c r="D71" i="53"/>
  <c r="E72" i="55" s="1"/>
  <c r="D72" i="53"/>
  <c r="E73" i="55" s="1"/>
  <c r="D73" i="53"/>
  <c r="E74" i="55" s="1"/>
  <c r="D74" i="53"/>
  <c r="E75" i="55" s="1"/>
  <c r="D75" i="53"/>
  <c r="E76" i="55" s="1"/>
  <c r="D76" i="53"/>
  <c r="E77" i="55" s="1"/>
  <c r="D77" i="53"/>
  <c r="E78" i="55" s="1"/>
  <c r="D78" i="53"/>
  <c r="E79" i="55" s="1"/>
  <c r="D79" i="53"/>
  <c r="E80" i="55" s="1"/>
  <c r="D80" i="53"/>
  <c r="E81" i="55" s="1"/>
  <c r="D81" i="53"/>
  <c r="E82" i="55" s="1"/>
  <c r="D82" i="53"/>
  <c r="E83" i="55" s="1"/>
  <c r="D83" i="53"/>
  <c r="E84" i="55" s="1"/>
  <c r="D84" i="53"/>
  <c r="E85" i="55" s="1"/>
  <c r="D85" i="53"/>
  <c r="E86" i="55" s="1"/>
  <c r="D86" i="53"/>
  <c r="E87" i="55" s="1"/>
  <c r="D87" i="53"/>
  <c r="E88" i="55" s="1"/>
  <c r="D88" i="53"/>
  <c r="E89" i="55" s="1"/>
  <c r="D89" i="53"/>
  <c r="E90" i="55" s="1"/>
  <c r="D90" i="53"/>
  <c r="E91" i="55" s="1"/>
  <c r="D91" i="53"/>
  <c r="E92" i="55" s="1"/>
  <c r="D92" i="53"/>
  <c r="E93" i="55" s="1"/>
  <c r="D93" i="53"/>
  <c r="E94" i="55" s="1"/>
  <c r="D94" i="53"/>
  <c r="E95" i="55" s="1"/>
  <c r="D95" i="53"/>
  <c r="E96" i="55" s="1"/>
  <c r="D96" i="53"/>
  <c r="E97" i="55" s="1"/>
  <c r="D97" i="53"/>
  <c r="E98" i="55" s="1"/>
  <c r="D98" i="53"/>
  <c r="E99" i="55" s="1"/>
  <c r="D99" i="53"/>
  <c r="E100" i="55" s="1"/>
  <c r="D100" i="53"/>
  <c r="E101" i="55" s="1"/>
  <c r="D101" i="53"/>
  <c r="E102" i="55" s="1"/>
  <c r="D102" i="53"/>
  <c r="E103" i="55" s="1"/>
  <c r="D103" i="53"/>
  <c r="E104" i="55" s="1"/>
  <c r="D104" i="53"/>
  <c r="E105" i="55" s="1"/>
  <c r="D105" i="53"/>
  <c r="E106" i="55" s="1"/>
  <c r="D106" i="53"/>
  <c r="E107" i="55" s="1"/>
  <c r="D107" i="53"/>
  <c r="E108" i="55" s="1"/>
  <c r="D108" i="53"/>
  <c r="E109" i="55" s="1"/>
  <c r="D109" i="53"/>
  <c r="E110" i="55" s="1"/>
  <c r="D110" i="53"/>
  <c r="E111" i="55" s="1"/>
  <c r="D111" i="53"/>
  <c r="E112" i="55" s="1"/>
  <c r="D112" i="53"/>
  <c r="E113" i="55" s="1"/>
  <c r="D113" i="53"/>
  <c r="E114" i="55" s="1"/>
  <c r="D114" i="53"/>
  <c r="E115" i="55" s="1"/>
  <c r="D115" i="53"/>
  <c r="E116" i="55" s="1"/>
  <c r="D116" i="53"/>
  <c r="E117" i="55" s="1"/>
  <c r="D117" i="53"/>
  <c r="E118" i="55" s="1"/>
  <c r="D118" i="53"/>
  <c r="E119" i="55" s="1"/>
  <c r="D119" i="53"/>
  <c r="E120" i="55" s="1"/>
  <c r="D120" i="53"/>
  <c r="E121" i="55" s="1"/>
  <c r="D121" i="53"/>
  <c r="E122" i="55" s="1"/>
  <c r="D122" i="53"/>
  <c r="E123" i="55" s="1"/>
  <c r="D123" i="53"/>
  <c r="E124" i="55" s="1"/>
  <c r="D124" i="53"/>
  <c r="E125" i="55" s="1"/>
  <c r="D125" i="53"/>
  <c r="E126" i="55" s="1"/>
  <c r="D126" i="53"/>
  <c r="E127" i="55" s="1"/>
  <c r="D127" i="53"/>
  <c r="E128" i="55" s="1"/>
  <c r="D128" i="53"/>
  <c r="E129" i="55" s="1"/>
  <c r="D129" i="53"/>
  <c r="E130" i="55" s="1"/>
  <c r="D131" i="53"/>
  <c r="E132" i="55" s="1"/>
  <c r="D132" i="53"/>
  <c r="E133" i="55" s="1"/>
  <c r="D133" i="53"/>
  <c r="E134" i="55" s="1"/>
  <c r="D134" i="53"/>
  <c r="E135" i="55" s="1"/>
  <c r="D135" i="53"/>
  <c r="E136" i="55" s="1"/>
  <c r="D136" i="53"/>
  <c r="E137" i="55" s="1"/>
  <c r="D137" i="53"/>
  <c r="E138" i="55" s="1"/>
  <c r="D138" i="53"/>
  <c r="E139" i="55" s="1"/>
  <c r="D139" i="53"/>
  <c r="E140" i="55" s="1"/>
  <c r="D140" i="53"/>
  <c r="E141" i="55" s="1"/>
  <c r="D141" i="53"/>
  <c r="E142" i="55" s="1"/>
  <c r="D142" i="53"/>
  <c r="E143" i="55" s="1"/>
  <c r="D143" i="53"/>
  <c r="E144" i="55" s="1"/>
  <c r="D144" i="53"/>
  <c r="E145" i="55" s="1"/>
  <c r="D145" i="53"/>
  <c r="E146" i="55" s="1"/>
  <c r="D146" i="53"/>
  <c r="E147" i="55" s="1"/>
  <c r="D147" i="53"/>
  <c r="E148" i="55" s="1"/>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s="1"/>
  <c r="D160" i="53"/>
  <c r="E161" i="55" s="1"/>
  <c r="D161" i="53"/>
  <c r="E162" i="55" s="1"/>
  <c r="D162" i="53"/>
  <c r="E163" i="55" s="1"/>
  <c r="D163" i="53"/>
  <c r="E164" i="55" s="1"/>
  <c r="D164" i="53"/>
  <c r="E165" i="55" s="1"/>
  <c r="D165" i="53"/>
  <c r="E166" i="55" s="1"/>
  <c r="D166" i="53"/>
  <c r="E167" i="55" s="1"/>
  <c r="D167" i="53"/>
  <c r="E168" i="55" s="1"/>
  <c r="D168" i="53"/>
  <c r="E169" i="55" s="1"/>
  <c r="D169" i="53"/>
  <c r="E170" i="55" s="1"/>
  <c r="D170" i="53"/>
  <c r="E171" i="55" s="1"/>
  <c r="D171" i="53"/>
  <c r="E172" i="55" s="1"/>
  <c r="D172" i="53"/>
  <c r="E173" i="55" s="1"/>
  <c r="D174" i="53"/>
  <c r="E175" i="55" s="1"/>
  <c r="D175" i="53"/>
  <c r="E176" i="55" s="1"/>
  <c r="D176" i="53"/>
  <c r="E177" i="55" s="1"/>
  <c r="D177" i="53"/>
  <c r="E178" i="55" s="1"/>
  <c r="D178" i="53"/>
  <c r="E179" i="55" s="1"/>
  <c r="D179" i="53"/>
  <c r="E180" i="55" s="1"/>
  <c r="D180" i="53"/>
  <c r="E181" i="55" s="1"/>
  <c r="D181" i="53"/>
  <c r="E182" i="55" s="1"/>
  <c r="D182" i="53"/>
  <c r="E183" i="55" s="1"/>
  <c r="D183" i="53"/>
  <c r="E184" i="55" s="1"/>
  <c r="D184" i="53"/>
  <c r="E185" i="55" s="1"/>
  <c r="D185" i="53"/>
  <c r="E186" i="55" s="1"/>
  <c r="D186" i="53"/>
  <c r="E187" i="55" s="1"/>
  <c r="D187" i="53"/>
  <c r="E188" i="55" s="1"/>
  <c r="D188" i="53"/>
  <c r="E189" i="55" s="1"/>
  <c r="D189" i="53"/>
  <c r="E190" i="55" s="1"/>
  <c r="D190" i="53"/>
  <c r="E191" i="55" s="1"/>
  <c r="D191" i="53"/>
  <c r="E192" i="55" s="1"/>
  <c r="D192" i="53"/>
  <c r="E193" i="55" s="1"/>
  <c r="D193" i="53"/>
  <c r="E194" i="55" s="1"/>
  <c r="D194" i="53"/>
  <c r="E195" i="55" s="1"/>
  <c r="D195" i="53"/>
  <c r="E196" i="55" s="1"/>
  <c r="D196" i="53"/>
  <c r="E197" i="55" s="1"/>
  <c r="D197" i="53"/>
  <c r="E198" i="55" s="1"/>
  <c r="D198" i="53"/>
  <c r="E199" i="55" s="1"/>
  <c r="D199" i="53"/>
  <c r="E200" i="55" s="1"/>
  <c r="D200" i="53"/>
  <c r="E201" i="55" s="1"/>
  <c r="D201" i="53"/>
  <c r="E202" i="55" s="1"/>
  <c r="D202" i="53"/>
  <c r="E203" i="55" s="1"/>
  <c r="D203" i="53"/>
  <c r="E204" i="55" s="1"/>
  <c r="D204" i="53"/>
  <c r="E205" i="55" s="1"/>
  <c r="D205" i="53"/>
  <c r="E206" i="55" s="1"/>
  <c r="D206" i="53"/>
  <c r="E207" i="55" s="1"/>
  <c r="D207" i="53"/>
  <c r="E208" i="55" s="1"/>
  <c r="D208" i="53"/>
  <c r="E209" i="55" s="1"/>
  <c r="D209" i="53"/>
  <c r="E210" i="55" s="1"/>
  <c r="D210" i="53"/>
  <c r="E211" i="55" s="1"/>
  <c r="D211" i="53"/>
  <c r="E212" i="55" s="1"/>
  <c r="D212" i="53"/>
  <c r="E213" i="55" s="1"/>
  <c r="D213" i="53"/>
  <c r="E214" i="55" s="1"/>
  <c r="D214" i="53"/>
  <c r="E215" i="55" s="1"/>
  <c r="D215" i="53"/>
  <c r="E216" i="55" s="1"/>
  <c r="D216" i="53"/>
  <c r="E217" i="55" s="1"/>
  <c r="D217" i="53"/>
  <c r="E218" i="55" s="1"/>
  <c r="D218" i="53"/>
  <c r="E219" i="55" s="1"/>
  <c r="D219" i="53"/>
  <c r="E220" i="55" s="1"/>
  <c r="D220" i="53"/>
  <c r="E221" i="55" s="1"/>
  <c r="D221" i="53"/>
  <c r="E222" i="55" s="1"/>
  <c r="D222" i="53"/>
  <c r="E223" i="55" s="1"/>
  <c r="D223" i="53"/>
  <c r="E224" i="55" s="1"/>
  <c r="D224" i="53"/>
  <c r="E225" i="55" s="1"/>
  <c r="D225" i="53"/>
  <c r="E226" i="55" s="1"/>
  <c r="D226" i="53"/>
  <c r="E227" i="55" s="1"/>
  <c r="D227" i="53"/>
  <c r="E228" i="55" s="1"/>
  <c r="D228" i="53"/>
  <c r="E229" i="55" s="1"/>
  <c r="D229" i="53"/>
  <c r="E230" i="55" s="1"/>
  <c r="D230" i="53"/>
  <c r="E231" i="55" s="1"/>
  <c r="D231" i="53"/>
  <c r="E232" i="55" s="1"/>
  <c r="D232" i="53"/>
  <c r="E233" i="55" s="1"/>
  <c r="D233" i="53"/>
  <c r="E234" i="55" s="1"/>
  <c r="D234" i="53"/>
  <c r="E235" i="55" s="1"/>
  <c r="D235" i="53"/>
  <c r="E236" i="55" s="1"/>
  <c r="D236" i="53"/>
  <c r="E237" i="55" s="1"/>
  <c r="D8" i="53"/>
  <c r="E9" i="55" s="1"/>
  <c r="D9" i="53"/>
  <c r="E10" i="55" s="1"/>
  <c r="D7" i="53"/>
  <c r="E8" i="55" s="1"/>
  <c r="D6" i="53"/>
  <c r="E7" i="55" s="1"/>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69"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s="1"/>
  <c r="J237" i="55"/>
  <c r="R237" i="55" s="1"/>
  <c r="I237" i="55"/>
  <c r="F237" i="55"/>
  <c r="D237" i="55" a="1"/>
  <c r="D237" i="55" s="1"/>
  <c r="H237" i="55" s="1"/>
  <c r="C237" i="55"/>
  <c r="G236" i="53" s="1"/>
  <c r="B237" i="55"/>
  <c r="Q236" i="55"/>
  <c r="P236" i="55"/>
  <c r="S236" i="55" s="1"/>
  <c r="J236" i="55"/>
  <c r="R236" i="55" s="1"/>
  <c r="I236" i="55"/>
  <c r="F236" i="55"/>
  <c r="D236" i="55" a="1"/>
  <c r="D236" i="55" s="1"/>
  <c r="C236" i="55"/>
  <c r="G235" i="53"/>
  <c r="B236" i="55"/>
  <c r="Q235" i="55"/>
  <c r="P235" i="55"/>
  <c r="S235" i="55" s="1"/>
  <c r="J235" i="55"/>
  <c r="R235" i="55" s="1"/>
  <c r="I235" i="55"/>
  <c r="F235" i="55"/>
  <c r="D235" i="55" a="1"/>
  <c r="D235" i="55" s="1"/>
  <c r="H235" i="55" s="1"/>
  <c r="C235" i="55"/>
  <c r="G234" i="53" s="1"/>
  <c r="B235" i="55"/>
  <c r="Q234" i="55"/>
  <c r="P234" i="55"/>
  <c r="S234" i="55" s="1"/>
  <c r="J234" i="55"/>
  <c r="R234" i="55" s="1"/>
  <c r="I234" i="55"/>
  <c r="F234" i="55"/>
  <c r="D234" i="55" a="1"/>
  <c r="D234" i="55" s="1"/>
  <c r="C234" i="55"/>
  <c r="G233" i="53" s="1"/>
  <c r="B234" i="55"/>
  <c r="Q233" i="55"/>
  <c r="P233" i="55"/>
  <c r="S233" i="55" s="1"/>
  <c r="J233" i="55"/>
  <c r="R233" i="55" s="1"/>
  <c r="I233" i="55"/>
  <c r="F233" i="55"/>
  <c r="D233" i="55" a="1"/>
  <c r="D233" i="55" s="1"/>
  <c r="G233" i="55" s="1"/>
  <c r="C233" i="55"/>
  <c r="G232" i="53"/>
  <c r="B233" i="55"/>
  <c r="Q232" i="55"/>
  <c r="P232" i="55"/>
  <c r="S232" i="55" s="1"/>
  <c r="J232" i="55"/>
  <c r="R232" i="55" s="1"/>
  <c r="I232" i="55"/>
  <c r="F232" i="55"/>
  <c r="D232" i="55" a="1"/>
  <c r="D232" i="55" s="1"/>
  <c r="G232" i="55" s="1"/>
  <c r="C232" i="55"/>
  <c r="G231" i="53"/>
  <c r="B232" i="55"/>
  <c r="Q231" i="55"/>
  <c r="P231" i="55"/>
  <c r="S231" i="55" s="1"/>
  <c r="J231" i="55"/>
  <c r="R231" i="55" s="1"/>
  <c r="I231" i="55"/>
  <c r="F231" i="55"/>
  <c r="D231" i="55" a="1"/>
  <c r="D231" i="55" s="1"/>
  <c r="H231" i="55" s="1"/>
  <c r="L393" i="53"/>
  <c r="J277" i="55" s="1"/>
  <c r="C231" i="55"/>
  <c r="G230" i="53"/>
  <c r="B231" i="55"/>
  <c r="Q230" i="55"/>
  <c r="P230" i="55"/>
  <c r="S230" i="55" s="1"/>
  <c r="J230" i="55"/>
  <c r="R230" i="55" s="1"/>
  <c r="I230" i="55"/>
  <c r="F230" i="55"/>
  <c r="D230" i="55" a="1"/>
  <c r="D230" i="55" s="1"/>
  <c r="C230" i="55"/>
  <c r="G229" i="53" s="1"/>
  <c r="B230" i="55"/>
  <c r="Q229" i="55"/>
  <c r="P229" i="55"/>
  <c r="S229" i="55" s="1"/>
  <c r="J229" i="55"/>
  <c r="R229" i="55" s="1"/>
  <c r="I229" i="55"/>
  <c r="F229" i="55"/>
  <c r="D229" i="55" a="1"/>
  <c r="D229" i="55" s="1"/>
  <c r="C229" i="55"/>
  <c r="G228" i="53"/>
  <c r="B229" i="55"/>
  <c r="Q228" i="55"/>
  <c r="P228" i="55"/>
  <c r="S228" i="55" s="1"/>
  <c r="J228" i="55"/>
  <c r="R228" i="55" s="1"/>
  <c r="I228" i="55"/>
  <c r="F228" i="55"/>
  <c r="D228" i="55" a="1"/>
  <c r="D228" i="55" s="1"/>
  <c r="G228" i="55" s="1"/>
  <c r="C228" i="55"/>
  <c r="G227" i="53" s="1"/>
  <c r="B228" i="55"/>
  <c r="Q227" i="55"/>
  <c r="P227" i="55"/>
  <c r="S227" i="55" s="1"/>
  <c r="J227" i="55"/>
  <c r="I227" i="55"/>
  <c r="F227" i="55"/>
  <c r="D227" i="55" a="1"/>
  <c r="D227" i="55" s="1"/>
  <c r="C227" i="55"/>
  <c r="G226" i="53"/>
  <c r="B227" i="55"/>
  <c r="Q226" i="55"/>
  <c r="P226" i="55"/>
  <c r="S226" i="55" s="1"/>
  <c r="J226" i="55"/>
  <c r="R226" i="55" s="1"/>
  <c r="I226" i="55"/>
  <c r="F226" i="55"/>
  <c r="D226" i="55" a="1"/>
  <c r="D226" i="55" s="1"/>
  <c r="G226" i="55" s="1"/>
  <c r="C226" i="55"/>
  <c r="G225" i="53" s="1"/>
  <c r="B226" i="55"/>
  <c r="Q225" i="55"/>
  <c r="P225" i="55"/>
  <c r="S225" i="55" s="1"/>
  <c r="T225" i="55" s="1"/>
  <c r="J225" i="55"/>
  <c r="R225" i="55" s="1"/>
  <c r="I225" i="55"/>
  <c r="F225" i="55"/>
  <c r="D225" i="55" a="1"/>
  <c r="D225" i="55" s="1"/>
  <c r="G225" i="55" s="1"/>
  <c r="C225" i="55"/>
  <c r="G224" i="53" s="1"/>
  <c r="B225" i="55"/>
  <c r="Q224" i="55"/>
  <c r="P224" i="55"/>
  <c r="S224" i="55" s="1"/>
  <c r="J224" i="55"/>
  <c r="R224" i="55" s="1"/>
  <c r="I224" i="55"/>
  <c r="F224" i="55"/>
  <c r="D224" i="55" a="1"/>
  <c r="D224" i="55" s="1"/>
  <c r="G224" i="55" s="1"/>
  <c r="C224" i="55"/>
  <c r="G223" i="53" s="1"/>
  <c r="B224" i="55"/>
  <c r="Q223" i="55"/>
  <c r="P223" i="55"/>
  <c r="S223" i="55" s="1"/>
  <c r="J223" i="55"/>
  <c r="R223" i="55" s="1"/>
  <c r="I223" i="55"/>
  <c r="F223" i="55"/>
  <c r="D223" i="55" a="1"/>
  <c r="D223" i="55" s="1"/>
  <c r="H223" i="55" s="1"/>
  <c r="C223" i="55"/>
  <c r="G222" i="53" s="1"/>
  <c r="B223" i="55"/>
  <c r="Q222" i="55"/>
  <c r="P222" i="55"/>
  <c r="S222" i="55" s="1"/>
  <c r="J222" i="55"/>
  <c r="R222" i="55" s="1"/>
  <c r="I222" i="55"/>
  <c r="F222" i="55"/>
  <c r="D222" i="55" a="1"/>
  <c r="D222" i="55" s="1"/>
  <c r="C222" i="55"/>
  <c r="G221" i="53"/>
  <c r="B222" i="55"/>
  <c r="Q221" i="55"/>
  <c r="P221" i="55"/>
  <c r="S221" i="55" s="1"/>
  <c r="J221" i="55"/>
  <c r="R221" i="55" s="1"/>
  <c r="I221" i="55"/>
  <c r="F221" i="55"/>
  <c r="D221" i="55" a="1"/>
  <c r="D221" i="55" s="1"/>
  <c r="G221" i="55" s="1"/>
  <c r="C221" i="55"/>
  <c r="G220" i="53"/>
  <c r="B221" i="55"/>
  <c r="Q220" i="55"/>
  <c r="P220" i="55"/>
  <c r="S220" i="55" s="1"/>
  <c r="J220" i="55"/>
  <c r="R220" i="55" s="1"/>
  <c r="I220" i="55"/>
  <c r="F220" i="55"/>
  <c r="D220" i="55" a="1"/>
  <c r="D220" i="55" s="1"/>
  <c r="H220" i="55" s="1"/>
  <c r="C220" i="55"/>
  <c r="G219" i="53" s="1"/>
  <c r="B220" i="55"/>
  <c r="Q219" i="55"/>
  <c r="P219" i="55"/>
  <c r="S219" i="55" s="1"/>
  <c r="J219" i="55"/>
  <c r="R219" i="55" s="1"/>
  <c r="I219" i="55"/>
  <c r="F219" i="55"/>
  <c r="D219" i="55" a="1"/>
  <c r="D219" i="55" s="1"/>
  <c r="H219" i="55" s="1"/>
  <c r="C219" i="55"/>
  <c r="G218" i="53"/>
  <c r="B219" i="55"/>
  <c r="Q218" i="55"/>
  <c r="P218" i="55"/>
  <c r="S218" i="55" s="1"/>
  <c r="J218" i="55"/>
  <c r="R218" i="55" s="1"/>
  <c r="I218" i="55"/>
  <c r="F218" i="55"/>
  <c r="D218" i="55" a="1"/>
  <c r="D218" i="55" s="1"/>
  <c r="C218" i="55"/>
  <c r="G217" i="53" s="1"/>
  <c r="B218" i="55"/>
  <c r="Q217" i="55"/>
  <c r="P217" i="55"/>
  <c r="S217" i="55" s="1"/>
  <c r="J217" i="55"/>
  <c r="R217" i="55" s="1"/>
  <c r="I217" i="55"/>
  <c r="F217" i="55"/>
  <c r="D217" i="55" a="1"/>
  <c r="D217" i="55" s="1"/>
  <c r="C217" i="55"/>
  <c r="G216" i="53" s="1"/>
  <c r="B217" i="55"/>
  <c r="Q216" i="55"/>
  <c r="P216" i="55"/>
  <c r="S216" i="55" s="1"/>
  <c r="J216" i="55"/>
  <c r="R216" i="55" s="1"/>
  <c r="I216" i="55"/>
  <c r="F216" i="55"/>
  <c r="D216" i="55" a="1"/>
  <c r="D216" i="55" s="1"/>
  <c r="H216" i="55" s="1"/>
  <c r="C216" i="55"/>
  <c r="G215" i="53"/>
  <c r="B216" i="55"/>
  <c r="Q215" i="55"/>
  <c r="P215" i="55"/>
  <c r="S215" i="55" s="1"/>
  <c r="J215" i="55"/>
  <c r="R215" i="55" s="1"/>
  <c r="I215" i="55"/>
  <c r="F215" i="55"/>
  <c r="D215" i="55" a="1"/>
  <c r="D215" i="55" s="1"/>
  <c r="G215" i="55" s="1"/>
  <c r="C215" i="55"/>
  <c r="G214" i="53" s="1"/>
  <c r="B215" i="55"/>
  <c r="Q214" i="55"/>
  <c r="P214" i="55"/>
  <c r="S214" i="55" s="1"/>
  <c r="J214" i="55"/>
  <c r="R214" i="55" s="1"/>
  <c r="I214" i="55"/>
  <c r="F214" i="55"/>
  <c r="D214" i="55" a="1"/>
  <c r="D214" i="55" s="1"/>
  <c r="C214" i="55"/>
  <c r="G213" i="53"/>
  <c r="B214" i="55"/>
  <c r="Q213" i="55"/>
  <c r="P213" i="55"/>
  <c r="S213" i="55" s="1"/>
  <c r="J213" i="55"/>
  <c r="R213" i="55" s="1"/>
  <c r="I213" i="55"/>
  <c r="F213" i="55"/>
  <c r="D213" i="55" a="1"/>
  <c r="D213" i="55" s="1"/>
  <c r="G213" i="55" s="1"/>
  <c r="C213" i="55"/>
  <c r="G212" i="53"/>
  <c r="B213" i="55"/>
  <c r="Q212" i="55"/>
  <c r="P212" i="55"/>
  <c r="S212" i="55" s="1"/>
  <c r="J212" i="55"/>
  <c r="R212" i="55" s="1"/>
  <c r="I212" i="55"/>
  <c r="F212" i="55"/>
  <c r="D212" i="55" a="1"/>
  <c r="D212" i="55" s="1"/>
  <c r="C212" i="55"/>
  <c r="G211" i="53" s="1"/>
  <c r="B212" i="55"/>
  <c r="Q211" i="55"/>
  <c r="P211" i="55"/>
  <c r="S211" i="55" s="1"/>
  <c r="J211" i="55"/>
  <c r="R211" i="55" s="1"/>
  <c r="I211" i="55"/>
  <c r="F211" i="55"/>
  <c r="D211" i="55" a="1"/>
  <c r="D211" i="55" s="1"/>
  <c r="C211" i="55"/>
  <c r="G210" i="53"/>
  <c r="B211" i="55"/>
  <c r="Q210" i="55"/>
  <c r="P210" i="55"/>
  <c r="S210" i="55" s="1"/>
  <c r="J210" i="55"/>
  <c r="R210" i="55" s="1"/>
  <c r="I210" i="55"/>
  <c r="F210" i="55"/>
  <c r="D210" i="55" a="1"/>
  <c r="D210" i="55" s="1"/>
  <c r="C210" i="55"/>
  <c r="G209" i="53"/>
  <c r="B210" i="55"/>
  <c r="Q209" i="55"/>
  <c r="P209" i="55"/>
  <c r="S209" i="55" s="1"/>
  <c r="J209" i="55"/>
  <c r="R209" i="55" s="1"/>
  <c r="I209" i="55"/>
  <c r="F209" i="55"/>
  <c r="D209" i="55" a="1"/>
  <c r="D209" i="55" s="1"/>
  <c r="C209" i="55"/>
  <c r="G208" i="53" s="1"/>
  <c r="B209" i="55"/>
  <c r="Q208" i="55"/>
  <c r="P208" i="55"/>
  <c r="S208" i="55" s="1"/>
  <c r="J208" i="55"/>
  <c r="R208" i="55" s="1"/>
  <c r="I208" i="55"/>
  <c r="F208" i="55"/>
  <c r="D208" i="55" a="1"/>
  <c r="D208" i="55" s="1"/>
  <c r="G208" i="55" s="1"/>
  <c r="C208" i="55"/>
  <c r="G207" i="53"/>
  <c r="B208" i="55"/>
  <c r="Q207" i="55"/>
  <c r="P207" i="55"/>
  <c r="S207" i="55" s="1"/>
  <c r="J207" i="55"/>
  <c r="R207" i="55" s="1"/>
  <c r="I207" i="55"/>
  <c r="F207" i="55"/>
  <c r="D207" i="55" a="1"/>
  <c r="D207" i="55" s="1"/>
  <c r="H207" i="55" s="1"/>
  <c r="C207" i="55"/>
  <c r="G206" i="53"/>
  <c r="B207" i="55"/>
  <c r="Q206" i="55"/>
  <c r="P206" i="55"/>
  <c r="S206" i="55" s="1"/>
  <c r="J206" i="55"/>
  <c r="R206" i="55" s="1"/>
  <c r="I206" i="55"/>
  <c r="F206" i="55"/>
  <c r="D206" i="55" a="1"/>
  <c r="D206" i="55" s="1"/>
  <c r="C206" i="55"/>
  <c r="G205" i="53"/>
  <c r="B206" i="55"/>
  <c r="Q205" i="55"/>
  <c r="P205" i="55"/>
  <c r="S205" i="55" s="1"/>
  <c r="J205" i="55"/>
  <c r="R205" i="55" s="1"/>
  <c r="I205" i="55"/>
  <c r="F205" i="55"/>
  <c r="D205" i="55" a="1"/>
  <c r="D205" i="55" s="1"/>
  <c r="H205" i="55" s="1"/>
  <c r="C205" i="55"/>
  <c r="G204" i="53"/>
  <c r="B205" i="55"/>
  <c r="Q204" i="55"/>
  <c r="P204" i="55"/>
  <c r="S204" i="55" s="1"/>
  <c r="J204" i="55"/>
  <c r="R204" i="55" s="1"/>
  <c r="I204" i="55"/>
  <c r="F204" i="55"/>
  <c r="D204" i="55" a="1"/>
  <c r="D204" i="55" s="1"/>
  <c r="G204" i="55" s="1"/>
  <c r="C204" i="55"/>
  <c r="G203" i="53" s="1"/>
  <c r="B204" i="55"/>
  <c r="Q203" i="55"/>
  <c r="P203" i="55"/>
  <c r="S203" i="55" s="1"/>
  <c r="J203" i="55"/>
  <c r="R203" i="55" s="1"/>
  <c r="I203" i="55"/>
  <c r="F203" i="55"/>
  <c r="D203" i="55" a="1"/>
  <c r="D203" i="55" s="1"/>
  <c r="C203" i="55"/>
  <c r="G202" i="53" s="1"/>
  <c r="B203" i="55"/>
  <c r="Q202" i="55"/>
  <c r="P202" i="55"/>
  <c r="S202" i="55" s="1"/>
  <c r="J202" i="55"/>
  <c r="R202" i="55" s="1"/>
  <c r="I202" i="55"/>
  <c r="F202" i="55"/>
  <c r="D202" i="55" a="1"/>
  <c r="D202" i="55" s="1"/>
  <c r="H202" i="55" s="1"/>
  <c r="C202" i="55"/>
  <c r="G201" i="53" s="1"/>
  <c r="B202" i="55"/>
  <c r="Q201" i="55"/>
  <c r="P201" i="55"/>
  <c r="S201" i="55" s="1"/>
  <c r="J201" i="55"/>
  <c r="R201" i="55" s="1"/>
  <c r="I201" i="55"/>
  <c r="F201" i="55"/>
  <c r="D201" i="55" a="1"/>
  <c r="D201" i="55" s="1"/>
  <c r="C201" i="55"/>
  <c r="G200" i="53" s="1"/>
  <c r="B201" i="55"/>
  <c r="Q200" i="55"/>
  <c r="P200" i="55"/>
  <c r="S200" i="55" s="1"/>
  <c r="J200" i="55"/>
  <c r="R200" i="55" s="1"/>
  <c r="I200" i="55"/>
  <c r="F200" i="55"/>
  <c r="D200" i="55" a="1"/>
  <c r="D200" i="55" s="1"/>
  <c r="G200" i="55" s="1"/>
  <c r="C200" i="55"/>
  <c r="G199" i="53"/>
  <c r="B200" i="55"/>
  <c r="Q199" i="55"/>
  <c r="P199" i="55"/>
  <c r="S199" i="55" s="1"/>
  <c r="J199" i="55"/>
  <c r="R199" i="55" s="1"/>
  <c r="I199" i="55"/>
  <c r="F199" i="55"/>
  <c r="D199" i="55" a="1"/>
  <c r="D199" i="55" s="1"/>
  <c r="G199" i="55" s="1"/>
  <c r="C199" i="55"/>
  <c r="G198" i="53" s="1"/>
  <c r="B199" i="55"/>
  <c r="Q198" i="55"/>
  <c r="P198" i="55"/>
  <c r="S198" i="55" s="1"/>
  <c r="J198" i="55"/>
  <c r="R198" i="55" s="1"/>
  <c r="I198" i="55"/>
  <c r="F198" i="55"/>
  <c r="D198" i="55" a="1"/>
  <c r="D198" i="55" s="1"/>
  <c r="C198" i="55"/>
  <c r="G197" i="53" s="1"/>
  <c r="B198" i="55"/>
  <c r="Q197" i="55"/>
  <c r="P197" i="55"/>
  <c r="S197" i="55" s="1"/>
  <c r="J197" i="55"/>
  <c r="I197" i="55"/>
  <c r="F197" i="55"/>
  <c r="D197" i="55" a="1"/>
  <c r="D197" i="55" s="1"/>
  <c r="H197" i="55" s="1"/>
  <c r="C197" i="55"/>
  <c r="G196" i="53" s="1"/>
  <c r="B197" i="55"/>
  <c r="Q196" i="55"/>
  <c r="P196" i="55"/>
  <c r="S196" i="55" s="1"/>
  <c r="J196" i="55"/>
  <c r="R196" i="55" s="1"/>
  <c r="I196" i="55"/>
  <c r="F196" i="55"/>
  <c r="D196" i="55" a="1"/>
  <c r="D196" i="55" s="1"/>
  <c r="C196" i="55"/>
  <c r="G195" i="53"/>
  <c r="B196" i="55"/>
  <c r="Q195" i="55"/>
  <c r="P195" i="55"/>
  <c r="S195" i="55" s="1"/>
  <c r="J195" i="55"/>
  <c r="R195" i="55" s="1"/>
  <c r="I195" i="55"/>
  <c r="F195" i="55"/>
  <c r="D195" i="55" a="1"/>
  <c r="D195" i="55" s="1"/>
  <c r="G195" i="55" s="1"/>
  <c r="C195" i="55"/>
  <c r="G194" i="53" s="1"/>
  <c r="B195" i="55"/>
  <c r="Q194" i="55"/>
  <c r="P194" i="55"/>
  <c r="S194" i="55" s="1"/>
  <c r="J194" i="55"/>
  <c r="R194" i="55" s="1"/>
  <c r="I194" i="55"/>
  <c r="F194" i="55"/>
  <c r="D194" i="55" a="1"/>
  <c r="D194" i="55" s="1"/>
  <c r="H194" i="55" s="1"/>
  <c r="C194" i="55"/>
  <c r="G193" i="53"/>
  <c r="B194" i="55"/>
  <c r="Q193" i="55"/>
  <c r="P193" i="55"/>
  <c r="S193" i="55" s="1"/>
  <c r="J193" i="55"/>
  <c r="R193" i="55" s="1"/>
  <c r="I193" i="55"/>
  <c r="F193" i="55"/>
  <c r="D193" i="55" a="1"/>
  <c r="D193" i="55" s="1"/>
  <c r="G193" i="55" s="1"/>
  <c r="C193" i="55"/>
  <c r="G192" i="53" s="1"/>
  <c r="B193" i="55"/>
  <c r="Q192" i="55"/>
  <c r="P192" i="55"/>
  <c r="S192" i="55" s="1"/>
  <c r="J192" i="55"/>
  <c r="R192" i="55" s="1"/>
  <c r="I192" i="55"/>
  <c r="F192" i="55"/>
  <c r="D192" i="55" a="1"/>
  <c r="D192" i="55" s="1"/>
  <c r="G192" i="55" s="1"/>
  <c r="C192" i="55"/>
  <c r="G191" i="53" s="1"/>
  <c r="B192" i="55"/>
  <c r="Q191" i="55"/>
  <c r="P191" i="55"/>
  <c r="S191" i="55" s="1"/>
  <c r="J191" i="55"/>
  <c r="R191" i="55" s="1"/>
  <c r="I191" i="55"/>
  <c r="F191" i="55"/>
  <c r="D191" i="55" a="1"/>
  <c r="D191" i="55" s="1"/>
  <c r="C191" i="55"/>
  <c r="G190" i="53"/>
  <c r="B191" i="55"/>
  <c r="Q190" i="55"/>
  <c r="P190" i="55"/>
  <c r="S190" i="55" s="1"/>
  <c r="J190" i="55"/>
  <c r="R190" i="55" s="1"/>
  <c r="I190" i="55"/>
  <c r="F190" i="55"/>
  <c r="D190" i="55" a="1"/>
  <c r="D190" i="55" s="1"/>
  <c r="H190" i="55" s="1"/>
  <c r="C190" i="55"/>
  <c r="G189" i="53"/>
  <c r="B190" i="55"/>
  <c r="Q189" i="55"/>
  <c r="P189" i="55"/>
  <c r="S189" i="55" s="1"/>
  <c r="J189" i="55"/>
  <c r="R189" i="55" s="1"/>
  <c r="I189" i="55"/>
  <c r="F189" i="55"/>
  <c r="D189" i="55" a="1"/>
  <c r="D189" i="55" s="1"/>
  <c r="G189" i="55" s="1"/>
  <c r="C189" i="55"/>
  <c r="G188" i="53" s="1"/>
  <c r="B189" i="55"/>
  <c r="Q188" i="55"/>
  <c r="P188" i="55"/>
  <c r="S188" i="55" s="1"/>
  <c r="J188" i="55"/>
  <c r="R188" i="55" s="1"/>
  <c r="I188" i="55"/>
  <c r="F188" i="55"/>
  <c r="D188" i="55" a="1"/>
  <c r="D188" i="55" s="1"/>
  <c r="H188" i="55" s="1"/>
  <c r="C188" i="55"/>
  <c r="G187" i="53" s="1"/>
  <c r="B188" i="55"/>
  <c r="Q187" i="55"/>
  <c r="P187" i="55"/>
  <c r="S187" i="55" s="1"/>
  <c r="J187" i="55"/>
  <c r="R187" i="55" s="1"/>
  <c r="I187" i="55"/>
  <c r="F187" i="55"/>
  <c r="D187" i="55" a="1"/>
  <c r="D187" i="55" s="1"/>
  <c r="H187" i="55" s="1"/>
  <c r="C187" i="55"/>
  <c r="G186" i="53" s="1"/>
  <c r="B187" i="55"/>
  <c r="Q186" i="55"/>
  <c r="P186" i="55"/>
  <c r="S186" i="55" s="1"/>
  <c r="J186" i="55"/>
  <c r="R186" i="55" s="1"/>
  <c r="I186" i="55"/>
  <c r="F186" i="55"/>
  <c r="D186" i="55" a="1"/>
  <c r="D186" i="55" s="1"/>
  <c r="C186" i="55"/>
  <c r="G185" i="53"/>
  <c r="B186" i="55"/>
  <c r="Q185" i="55"/>
  <c r="P185" i="55"/>
  <c r="S185" i="55" s="1"/>
  <c r="J185" i="55"/>
  <c r="R185" i="55" s="1"/>
  <c r="I185" i="55"/>
  <c r="F185" i="55"/>
  <c r="D185" i="55" a="1"/>
  <c r="D185" i="55" s="1"/>
  <c r="G185" i="55" s="1"/>
  <c r="C185" i="55"/>
  <c r="G184" i="53"/>
  <c r="B185" i="55"/>
  <c r="Q184" i="55"/>
  <c r="P184" i="55"/>
  <c r="S184" i="55" s="1"/>
  <c r="J184" i="55"/>
  <c r="R184" i="55" s="1"/>
  <c r="I184" i="55"/>
  <c r="F184" i="55"/>
  <c r="D184" i="55" a="1"/>
  <c r="D184" i="55" s="1"/>
  <c r="C184" i="55"/>
  <c r="G183" i="53" s="1"/>
  <c r="B184" i="55"/>
  <c r="Q183" i="55"/>
  <c r="P183" i="55"/>
  <c r="S183" i="55" s="1"/>
  <c r="J183" i="55"/>
  <c r="R183" i="55" s="1"/>
  <c r="I183" i="55"/>
  <c r="F183" i="55"/>
  <c r="D183" i="55" a="1"/>
  <c r="D183" i="55" s="1"/>
  <c r="G183" i="55" s="1"/>
  <c r="C183" i="55"/>
  <c r="G182" i="53" s="1"/>
  <c r="B183" i="55"/>
  <c r="Q182" i="55"/>
  <c r="P182" i="55"/>
  <c r="S182" i="55" s="1"/>
  <c r="J182" i="55"/>
  <c r="R182" i="55" s="1"/>
  <c r="I182" i="55"/>
  <c r="F182" i="55"/>
  <c r="D182" i="55" a="1"/>
  <c r="D182" i="55" s="1"/>
  <c r="G182" i="55" s="1"/>
  <c r="C182" i="55"/>
  <c r="G181" i="53"/>
  <c r="B182" i="55"/>
  <c r="Q181" i="55"/>
  <c r="P181" i="55"/>
  <c r="S181" i="55" s="1"/>
  <c r="J181" i="55"/>
  <c r="R181" i="55" s="1"/>
  <c r="I181" i="55"/>
  <c r="F181" i="55"/>
  <c r="D181" i="55" a="1"/>
  <c r="D181" i="55" s="1"/>
  <c r="G181" i="55" s="1"/>
  <c r="C181" i="55"/>
  <c r="G180" i="53" s="1"/>
  <c r="B181" i="55"/>
  <c r="Q180" i="55"/>
  <c r="P180" i="55"/>
  <c r="S180" i="55" s="1"/>
  <c r="J180" i="55"/>
  <c r="R180" i="55" s="1"/>
  <c r="I180" i="55"/>
  <c r="F180" i="55"/>
  <c r="D180" i="55" a="1"/>
  <c r="D180" i="55" s="1"/>
  <c r="G180" i="55" s="1"/>
  <c r="C180" i="55"/>
  <c r="G179" i="53"/>
  <c r="B180" i="55"/>
  <c r="Q179" i="55"/>
  <c r="P179" i="55"/>
  <c r="S179" i="55" s="1"/>
  <c r="J179" i="55"/>
  <c r="R179" i="55" s="1"/>
  <c r="I179" i="55"/>
  <c r="F179" i="55"/>
  <c r="D179" i="55" a="1"/>
  <c r="D179" i="55" s="1"/>
  <c r="G179" i="55" s="1"/>
  <c r="C179" i="55"/>
  <c r="G178" i="53" s="1"/>
  <c r="B179" i="55"/>
  <c r="Q178" i="55"/>
  <c r="P178" i="55"/>
  <c r="S178" i="55" s="1"/>
  <c r="J178" i="55"/>
  <c r="R178" i="55" s="1"/>
  <c r="I178" i="55"/>
  <c r="F178" i="55"/>
  <c r="D178" i="55" a="1"/>
  <c r="D178" i="55" s="1"/>
  <c r="C178" i="55"/>
  <c r="G177" i="53" s="1"/>
  <c r="B178" i="55"/>
  <c r="Q177" i="55"/>
  <c r="P177" i="55"/>
  <c r="S177" i="55" s="1"/>
  <c r="J177" i="55"/>
  <c r="R177" i="55" s="1"/>
  <c r="I177" i="55"/>
  <c r="F177" i="55"/>
  <c r="D177" i="55" a="1"/>
  <c r="D177" i="55" s="1"/>
  <c r="C177" i="55"/>
  <c r="G176" i="53"/>
  <c r="B177" i="55"/>
  <c r="Q176" i="55"/>
  <c r="P176" i="55"/>
  <c r="S176" i="55" s="1"/>
  <c r="J176" i="55"/>
  <c r="R176" i="55" s="1"/>
  <c r="I176" i="55"/>
  <c r="F176" i="55"/>
  <c r="D176" i="55" a="1"/>
  <c r="D176" i="55" s="1"/>
  <c r="C176" i="55"/>
  <c r="G175" i="53" s="1"/>
  <c r="B176" i="55"/>
  <c r="Q175" i="55"/>
  <c r="P175" i="55"/>
  <c r="S175" i="55" s="1"/>
  <c r="J175" i="55"/>
  <c r="R175" i="55" s="1"/>
  <c r="I175" i="55"/>
  <c r="F175" i="55"/>
  <c r="D175" i="55" a="1"/>
  <c r="D175" i="55" s="1"/>
  <c r="H175" i="55" s="1"/>
  <c r="C175" i="55"/>
  <c r="G174" i="53" s="1"/>
  <c r="B175" i="55"/>
  <c r="Q174" i="55"/>
  <c r="P174" i="55"/>
  <c r="S174" i="55" s="1"/>
  <c r="J174" i="55"/>
  <c r="R174" i="55" s="1"/>
  <c r="I174" i="55"/>
  <c r="F174" i="55"/>
  <c r="D174" i="55" a="1"/>
  <c r="D174" i="55" s="1"/>
  <c r="B174" i="55"/>
  <c r="Q173" i="55"/>
  <c r="P173" i="55"/>
  <c r="S173" i="55" s="1"/>
  <c r="J173" i="55"/>
  <c r="R173" i="55" s="1"/>
  <c r="I173" i="55"/>
  <c r="F173" i="55"/>
  <c r="D173" i="55" a="1"/>
  <c r="D173" i="55" s="1"/>
  <c r="H173" i="55" s="1"/>
  <c r="C173" i="55"/>
  <c r="G172" i="53" s="1"/>
  <c r="B173" i="55"/>
  <c r="Q172" i="55"/>
  <c r="P172" i="55"/>
  <c r="S172" i="55" s="1"/>
  <c r="J172" i="55"/>
  <c r="R172" i="55" s="1"/>
  <c r="I172" i="55"/>
  <c r="F172" i="55"/>
  <c r="D172" i="55" a="1"/>
  <c r="D172" i="55" s="1"/>
  <c r="C172" i="55"/>
  <c r="G171" i="53"/>
  <c r="B172" i="55"/>
  <c r="Q171" i="55"/>
  <c r="P171" i="55"/>
  <c r="S171" i="55" s="1"/>
  <c r="J171" i="55"/>
  <c r="R171" i="55" s="1"/>
  <c r="I171" i="55"/>
  <c r="F171" i="55"/>
  <c r="D171" i="55" a="1"/>
  <c r="D171" i="55" s="1"/>
  <c r="C171" i="55"/>
  <c r="G170" i="53" s="1"/>
  <c r="B171" i="55"/>
  <c r="Q170" i="55"/>
  <c r="P170" i="55"/>
  <c r="S170" i="55" s="1"/>
  <c r="J170" i="55"/>
  <c r="R170" i="55" s="1"/>
  <c r="I170" i="55"/>
  <c r="F170" i="55"/>
  <c r="D170" i="55" a="1"/>
  <c r="D170" i="55" s="1"/>
  <c r="G170" i="55" s="1"/>
  <c r="C170" i="55"/>
  <c r="G169" i="53" s="1"/>
  <c r="B170" i="55"/>
  <c r="Q169" i="55"/>
  <c r="P169" i="55"/>
  <c r="S169" i="55" s="1"/>
  <c r="J169" i="55"/>
  <c r="R169" i="55" s="1"/>
  <c r="I169" i="55"/>
  <c r="F169" i="55"/>
  <c r="D169" i="55" a="1"/>
  <c r="D169" i="55" s="1"/>
  <c r="H169" i="55" s="1"/>
  <c r="C169" i="55"/>
  <c r="G168" i="53" s="1"/>
  <c r="B169" i="55"/>
  <c r="Q168" i="55"/>
  <c r="P168" i="55"/>
  <c r="S168" i="55" s="1"/>
  <c r="J168" i="55"/>
  <c r="R168" i="55" s="1"/>
  <c r="I168" i="55"/>
  <c r="F168" i="55"/>
  <c r="D168" i="55" a="1"/>
  <c r="D168" i="55" s="1"/>
  <c r="C168" i="55"/>
  <c r="G167" i="53"/>
  <c r="B168" i="55"/>
  <c r="Q167" i="55"/>
  <c r="P167" i="55"/>
  <c r="S167" i="55" s="1"/>
  <c r="J167" i="55"/>
  <c r="R167" i="55" s="1"/>
  <c r="I167" i="55"/>
  <c r="F167" i="55"/>
  <c r="D167" i="55" a="1"/>
  <c r="D167" i="55" s="1"/>
  <c r="C167" i="55"/>
  <c r="G166" i="53" s="1"/>
  <c r="B167" i="55"/>
  <c r="Q166" i="55"/>
  <c r="P166" i="55"/>
  <c r="S166" i="55" s="1"/>
  <c r="J166" i="55"/>
  <c r="R166" i="55" s="1"/>
  <c r="I166" i="55"/>
  <c r="F166" i="55"/>
  <c r="D166" i="55" a="1"/>
  <c r="D166" i="55" s="1"/>
  <c r="H166" i="55" s="1"/>
  <c r="C166" i="55"/>
  <c r="G165" i="53" s="1"/>
  <c r="B166" i="55"/>
  <c r="Q165" i="55"/>
  <c r="P165" i="55"/>
  <c r="S165" i="55" s="1"/>
  <c r="J165" i="55"/>
  <c r="R165" i="55" s="1"/>
  <c r="I165" i="55"/>
  <c r="F165" i="55"/>
  <c r="D165" i="55" a="1"/>
  <c r="D165" i="55" s="1"/>
  <c r="C165" i="55"/>
  <c r="G164" i="53" s="1"/>
  <c r="B165" i="55"/>
  <c r="Q164" i="55"/>
  <c r="P164" i="55"/>
  <c r="S164" i="55" s="1"/>
  <c r="J164" i="55"/>
  <c r="R164" i="55" s="1"/>
  <c r="I164" i="55"/>
  <c r="F164" i="55"/>
  <c r="D164" i="55" a="1"/>
  <c r="D164" i="55" s="1"/>
  <c r="C164" i="55"/>
  <c r="G163" i="53"/>
  <c r="B164" i="55"/>
  <c r="Q163" i="55"/>
  <c r="P163" i="55"/>
  <c r="S163" i="55" s="1"/>
  <c r="J163" i="55"/>
  <c r="R163" i="55" s="1"/>
  <c r="I163" i="55"/>
  <c r="F163" i="55"/>
  <c r="D163" i="55" a="1"/>
  <c r="D163" i="55" s="1"/>
  <c r="G163" i="55" s="1"/>
  <c r="C163" i="55"/>
  <c r="G162" i="53"/>
  <c r="B163" i="55"/>
  <c r="Q162" i="55"/>
  <c r="P162" i="55"/>
  <c r="S162" i="55" s="1"/>
  <c r="J162" i="55"/>
  <c r="R162" i="55" s="1"/>
  <c r="I162" i="55"/>
  <c r="F162" i="55"/>
  <c r="D162" i="55" a="1"/>
  <c r="D162" i="55" s="1"/>
  <c r="H162" i="55" s="1"/>
  <c r="C162" i="55"/>
  <c r="G161" i="53"/>
  <c r="B162" i="55"/>
  <c r="Q161" i="55"/>
  <c r="P161" i="55"/>
  <c r="S161" i="55" s="1"/>
  <c r="J161" i="55"/>
  <c r="R161" i="55" s="1"/>
  <c r="I161" i="55"/>
  <c r="F161" i="55"/>
  <c r="D161" i="55" a="1"/>
  <c r="D161" i="55" s="1"/>
  <c r="H161" i="55" s="1"/>
  <c r="C161" i="55"/>
  <c r="G160" i="53" s="1"/>
  <c r="B161" i="55"/>
  <c r="Q160" i="55"/>
  <c r="P160" i="55"/>
  <c r="S160" i="55" s="1"/>
  <c r="J160" i="55"/>
  <c r="R160" i="55" s="1"/>
  <c r="I160" i="55"/>
  <c r="F160" i="55"/>
  <c r="D160" i="55" a="1"/>
  <c r="D160" i="55" s="1"/>
  <c r="C160" i="55"/>
  <c r="G159" i="53"/>
  <c r="B160" i="55"/>
  <c r="Q159" i="55"/>
  <c r="P159" i="55"/>
  <c r="S159" i="55" s="1"/>
  <c r="J159" i="55"/>
  <c r="R159" i="55" s="1"/>
  <c r="I159" i="55"/>
  <c r="F159" i="55"/>
  <c r="D159" i="55" a="1"/>
  <c r="D159" i="55" s="1"/>
  <c r="G159" i="55" s="1"/>
  <c r="C159" i="55"/>
  <c r="G158" i="53"/>
  <c r="B159" i="55"/>
  <c r="Q158" i="55"/>
  <c r="P158" i="55"/>
  <c r="S158" i="55" s="1"/>
  <c r="J158" i="55"/>
  <c r="R158" i="55" s="1"/>
  <c r="I158" i="55"/>
  <c r="F158" i="55"/>
  <c r="D158" i="55" a="1"/>
  <c r="D158" i="55" s="1"/>
  <c r="G158" i="55" s="1"/>
  <c r="C158" i="55"/>
  <c r="G157" i="53"/>
  <c r="B158" i="55"/>
  <c r="Q157" i="55"/>
  <c r="P157" i="55"/>
  <c r="S157" i="55" s="1"/>
  <c r="J157" i="55"/>
  <c r="R157" i="55" s="1"/>
  <c r="I157" i="55"/>
  <c r="F157" i="55"/>
  <c r="D157" i="55" a="1"/>
  <c r="D157" i="55" s="1"/>
  <c r="C157" i="55"/>
  <c r="G156" i="53" s="1"/>
  <c r="B157" i="55"/>
  <c r="Q156" i="55"/>
  <c r="P156" i="55"/>
  <c r="S156" i="55" s="1"/>
  <c r="J156" i="55"/>
  <c r="R156" i="55" s="1"/>
  <c r="I156" i="55"/>
  <c r="F156" i="55"/>
  <c r="D156" i="55" a="1"/>
  <c r="D156" i="55" s="1"/>
  <c r="C156" i="55"/>
  <c r="G155" i="53"/>
  <c r="B156" i="55"/>
  <c r="Q155" i="55"/>
  <c r="P155" i="55"/>
  <c r="S155" i="55" s="1"/>
  <c r="J155" i="55"/>
  <c r="R155" i="55" s="1"/>
  <c r="I155" i="55"/>
  <c r="F155" i="55"/>
  <c r="D155" i="55" a="1"/>
  <c r="D155" i="55" s="1"/>
  <c r="H155" i="55" s="1"/>
  <c r="C155" i="55"/>
  <c r="G154" i="53" s="1"/>
  <c r="B155" i="55"/>
  <c r="Q154" i="55"/>
  <c r="P154" i="55"/>
  <c r="S154" i="55" s="1"/>
  <c r="J154" i="55"/>
  <c r="R154" i="55" s="1"/>
  <c r="I154" i="55"/>
  <c r="F154" i="55"/>
  <c r="D154" i="55" a="1"/>
  <c r="D154" i="55" s="1"/>
  <c r="C154" i="55"/>
  <c r="G153" i="53" s="1"/>
  <c r="B154" i="55"/>
  <c r="Q153" i="55"/>
  <c r="P153" i="55"/>
  <c r="S153" i="55" s="1"/>
  <c r="J153" i="55"/>
  <c r="R153" i="55" s="1"/>
  <c r="I153" i="55"/>
  <c r="F153" i="55"/>
  <c r="D153" i="55" a="1"/>
  <c r="D153" i="55" s="1"/>
  <c r="H153" i="55" s="1"/>
  <c r="C153" i="55"/>
  <c r="G152" i="53"/>
  <c r="B153" i="55"/>
  <c r="Q152" i="55"/>
  <c r="P152" i="55"/>
  <c r="S152" i="55" s="1"/>
  <c r="J152" i="55"/>
  <c r="R152" i="55" s="1"/>
  <c r="I152" i="55"/>
  <c r="F152" i="55"/>
  <c r="D152" i="55" a="1"/>
  <c r="D152" i="55" s="1"/>
  <c r="C152" i="55"/>
  <c r="G151" i="53" s="1"/>
  <c r="B152" i="55"/>
  <c r="Q151" i="55"/>
  <c r="P151" i="55"/>
  <c r="S151" i="55" s="1"/>
  <c r="J151" i="55"/>
  <c r="R151" i="55" s="1"/>
  <c r="I151" i="55"/>
  <c r="F151" i="55"/>
  <c r="D151" i="55" a="1"/>
  <c r="D151" i="55" s="1"/>
  <c r="H151" i="55" s="1"/>
  <c r="C151" i="55"/>
  <c r="G150" i="53"/>
  <c r="B151" i="55"/>
  <c r="Q150" i="55"/>
  <c r="P150" i="55"/>
  <c r="S150" i="55" s="1"/>
  <c r="J150" i="55"/>
  <c r="R150" i="55" s="1"/>
  <c r="I150" i="55"/>
  <c r="F150" i="55"/>
  <c r="D150" i="55" a="1"/>
  <c r="D150" i="55" s="1"/>
  <c r="H150" i="55" s="1"/>
  <c r="C150" i="55"/>
  <c r="G149" i="53" s="1"/>
  <c r="B150" i="55"/>
  <c r="Q149" i="55"/>
  <c r="P149" i="55"/>
  <c r="S149" i="55" s="1"/>
  <c r="J149" i="55"/>
  <c r="R149" i="55" s="1"/>
  <c r="I149" i="55"/>
  <c r="F149" i="55"/>
  <c r="D149" i="55" a="1"/>
  <c r="D149" i="55" s="1"/>
  <c r="C149" i="55"/>
  <c r="G148" i="53"/>
  <c r="B149" i="55"/>
  <c r="Q148" i="55"/>
  <c r="P148" i="55"/>
  <c r="S148" i="55" s="1"/>
  <c r="J148" i="55"/>
  <c r="R148" i="55" s="1"/>
  <c r="I148" i="55"/>
  <c r="F148" i="55"/>
  <c r="D148" i="55" a="1"/>
  <c r="D148" i="55" s="1"/>
  <c r="G148" i="55" s="1"/>
  <c r="C148" i="55"/>
  <c r="G147" i="53"/>
  <c r="B148" i="55"/>
  <c r="Q147" i="55"/>
  <c r="P147" i="55"/>
  <c r="S147" i="55" s="1"/>
  <c r="J147" i="55"/>
  <c r="R147" i="55" s="1"/>
  <c r="I147" i="55"/>
  <c r="F147" i="55"/>
  <c r="D147" i="55" a="1"/>
  <c r="D147" i="55" s="1"/>
  <c r="C147" i="55"/>
  <c r="G146" i="53" s="1"/>
  <c r="B147" i="55"/>
  <c r="Q146" i="55"/>
  <c r="P146" i="55"/>
  <c r="S146" i="55" s="1"/>
  <c r="J146" i="55"/>
  <c r="R146" i="55" s="1"/>
  <c r="I146" i="55"/>
  <c r="F146" i="55"/>
  <c r="D146" i="55" a="1"/>
  <c r="D146" i="55" s="1"/>
  <c r="G146" i="55" s="1"/>
  <c r="C146" i="55"/>
  <c r="G145" i="53"/>
  <c r="B146" i="55"/>
  <c r="Q145" i="55"/>
  <c r="P145" i="55"/>
  <c r="S145" i="55" s="1"/>
  <c r="J145" i="55"/>
  <c r="R145" i="55" s="1"/>
  <c r="I145" i="55"/>
  <c r="F145" i="55"/>
  <c r="D145" i="55" a="1"/>
  <c r="D145" i="55" s="1"/>
  <c r="H145" i="55" s="1"/>
  <c r="C145" i="55"/>
  <c r="G144" i="53" s="1"/>
  <c r="B145" i="55"/>
  <c r="Q144" i="55"/>
  <c r="P144" i="55"/>
  <c r="S144" i="55" s="1"/>
  <c r="J144" i="55"/>
  <c r="R144" i="55" s="1"/>
  <c r="I144" i="55"/>
  <c r="F144" i="55"/>
  <c r="D144" i="55" a="1"/>
  <c r="D144" i="55" s="1"/>
  <c r="G144" i="55" s="1"/>
  <c r="C144" i="55"/>
  <c r="G143" i="53" s="1"/>
  <c r="B144" i="55"/>
  <c r="Q143" i="55"/>
  <c r="P143" i="55"/>
  <c r="S143" i="55" s="1"/>
  <c r="J143" i="55"/>
  <c r="R143" i="55" s="1"/>
  <c r="I143" i="55"/>
  <c r="F143" i="55"/>
  <c r="D143" i="55" a="1"/>
  <c r="D143" i="55" s="1"/>
  <c r="G143" i="55" s="1"/>
  <c r="C143" i="55"/>
  <c r="G142" i="53" s="1"/>
  <c r="B143" i="55"/>
  <c r="Q142" i="55"/>
  <c r="P142" i="55"/>
  <c r="S142" i="55" s="1"/>
  <c r="J142" i="55"/>
  <c r="R142" i="55" s="1"/>
  <c r="I142" i="55"/>
  <c r="F142" i="55"/>
  <c r="D142" i="55" a="1"/>
  <c r="D142" i="55" s="1"/>
  <c r="H142" i="55" s="1"/>
  <c r="C142" i="55"/>
  <c r="G141" i="53" s="1"/>
  <c r="B142" i="55"/>
  <c r="Q141" i="55"/>
  <c r="P141" i="55"/>
  <c r="S141" i="55" s="1"/>
  <c r="J141" i="55"/>
  <c r="R141" i="55" s="1"/>
  <c r="I141" i="55"/>
  <c r="F141" i="55"/>
  <c r="D141" i="55" a="1"/>
  <c r="D141" i="55" s="1"/>
  <c r="H141" i="55" s="1"/>
  <c r="C141" i="55"/>
  <c r="G140" i="53" s="1"/>
  <c r="B141" i="55"/>
  <c r="Q140" i="55"/>
  <c r="P140" i="55"/>
  <c r="S140" i="55" s="1"/>
  <c r="J140" i="55"/>
  <c r="R140" i="55" s="1"/>
  <c r="I140" i="55"/>
  <c r="F140" i="55"/>
  <c r="D140" i="55" a="1"/>
  <c r="D140" i="55" s="1"/>
  <c r="H140" i="55" s="1"/>
  <c r="C140" i="55"/>
  <c r="G139" i="53"/>
  <c r="B140" i="55"/>
  <c r="Q139" i="55"/>
  <c r="P139" i="55"/>
  <c r="S139" i="55" s="1"/>
  <c r="J139" i="55"/>
  <c r="R139" i="55" s="1"/>
  <c r="I139" i="55"/>
  <c r="F139" i="55"/>
  <c r="D139" i="55" a="1"/>
  <c r="D139" i="55" s="1"/>
  <c r="C139" i="55"/>
  <c r="G138" i="53" s="1"/>
  <c r="B139" i="55"/>
  <c r="Q138" i="55"/>
  <c r="P138" i="55"/>
  <c r="S138" i="55" s="1"/>
  <c r="J138" i="55"/>
  <c r="R138" i="55" s="1"/>
  <c r="I138" i="55"/>
  <c r="F138" i="55"/>
  <c r="D138" i="55" a="1"/>
  <c r="D138" i="55" s="1"/>
  <c r="C138" i="55"/>
  <c r="G137" i="53" s="1"/>
  <c r="B138" i="55"/>
  <c r="Q137" i="55"/>
  <c r="P137" i="55"/>
  <c r="S137" i="55" s="1"/>
  <c r="J137" i="55"/>
  <c r="R137" i="55" s="1"/>
  <c r="I137" i="55"/>
  <c r="F137" i="55"/>
  <c r="D137" i="55" a="1"/>
  <c r="D137" i="55" s="1"/>
  <c r="G137" i="55" s="1"/>
  <c r="C137" i="55"/>
  <c r="G136" i="53"/>
  <c r="B137" i="55"/>
  <c r="Q136" i="55"/>
  <c r="P136" i="55"/>
  <c r="S136" i="55" s="1"/>
  <c r="J136" i="55"/>
  <c r="R136" i="55" s="1"/>
  <c r="I136" i="55"/>
  <c r="F136" i="55"/>
  <c r="D136" i="55" a="1"/>
  <c r="D136" i="55" s="1"/>
  <c r="G136" i="55" s="1"/>
  <c r="C136" i="55"/>
  <c r="G135" i="53" s="1"/>
  <c r="B136" i="55"/>
  <c r="Q135" i="55"/>
  <c r="P135" i="55"/>
  <c r="S135" i="55" s="1"/>
  <c r="J135" i="55"/>
  <c r="R135" i="55" s="1"/>
  <c r="I135" i="55"/>
  <c r="F135" i="55"/>
  <c r="D135" i="55" a="1"/>
  <c r="D135" i="55" s="1"/>
  <c r="H135" i="55" s="1"/>
  <c r="C135" i="55"/>
  <c r="G134" i="53"/>
  <c r="B135" i="55"/>
  <c r="Q134" i="55"/>
  <c r="P134" i="55"/>
  <c r="S134" i="55" s="1"/>
  <c r="J134" i="55"/>
  <c r="R134" i="55" s="1"/>
  <c r="I134" i="55"/>
  <c r="F134" i="55"/>
  <c r="D134" i="55" a="1"/>
  <c r="D134" i="55" s="1"/>
  <c r="G134" i="55" s="1"/>
  <c r="C134" i="55"/>
  <c r="G133" i="53"/>
  <c r="B134" i="55"/>
  <c r="Q133" i="55"/>
  <c r="P133" i="55"/>
  <c r="S133" i="55" s="1"/>
  <c r="J133" i="55"/>
  <c r="R133" i="55" s="1"/>
  <c r="I133" i="55"/>
  <c r="F133" i="55"/>
  <c r="D133" i="55" a="1"/>
  <c r="D133" i="55" s="1"/>
  <c r="C133" i="55"/>
  <c r="G132" i="53" s="1"/>
  <c r="B133" i="55"/>
  <c r="Q132" i="55"/>
  <c r="P132" i="55"/>
  <c r="S132" i="55" s="1"/>
  <c r="J132" i="55"/>
  <c r="R132" i="55" s="1"/>
  <c r="I132" i="55"/>
  <c r="F132" i="55"/>
  <c r="D132" i="55" a="1"/>
  <c r="D132" i="55" s="1"/>
  <c r="G132" i="55" s="1"/>
  <c r="C132" i="55"/>
  <c r="G131" i="53"/>
  <c r="B132" i="55"/>
  <c r="Q131" i="55"/>
  <c r="P131" i="55"/>
  <c r="S131" i="55" s="1"/>
  <c r="J131" i="55"/>
  <c r="R131" i="55" s="1"/>
  <c r="I131" i="55"/>
  <c r="F131" i="55"/>
  <c r="D131" i="55" a="1"/>
  <c r="D131" i="55" s="1"/>
  <c r="H131" i="55" s="1"/>
  <c r="C131" i="55"/>
  <c r="G130" i="53" s="1"/>
  <c r="B131" i="55"/>
  <c r="Q130" i="55"/>
  <c r="P130" i="55"/>
  <c r="S130" i="55" s="1"/>
  <c r="J130" i="55"/>
  <c r="R130" i="55" s="1"/>
  <c r="I130" i="55"/>
  <c r="F130" i="55"/>
  <c r="D130" i="55" a="1"/>
  <c r="D130" i="55" s="1"/>
  <c r="C130" i="55"/>
  <c r="G129" i="53"/>
  <c r="B130" i="55"/>
  <c r="Q129" i="55"/>
  <c r="P129" i="55"/>
  <c r="S129" i="55" s="1"/>
  <c r="J129" i="55"/>
  <c r="R129" i="55" s="1"/>
  <c r="I129" i="55"/>
  <c r="F129" i="55"/>
  <c r="D129" i="55" a="1"/>
  <c r="D129" i="55" s="1"/>
  <c r="H129" i="55" s="1"/>
  <c r="C129" i="55"/>
  <c r="G128" i="53"/>
  <c r="B129" i="55"/>
  <c r="Q128" i="55"/>
  <c r="P128" i="55"/>
  <c r="S128" i="55" s="1"/>
  <c r="J128" i="55"/>
  <c r="R128" i="55" s="1"/>
  <c r="I128" i="55"/>
  <c r="F128" i="55"/>
  <c r="D128" i="55" a="1"/>
  <c r="D128" i="55" s="1"/>
  <c r="G128" i="55" s="1"/>
  <c r="C128" i="55"/>
  <c r="G127" i="53" s="1"/>
  <c r="B128" i="55"/>
  <c r="Q127" i="55"/>
  <c r="P127" i="55"/>
  <c r="S127" i="55" s="1"/>
  <c r="J127" i="55"/>
  <c r="R127" i="55" s="1"/>
  <c r="I127" i="55"/>
  <c r="F127" i="55"/>
  <c r="D127" i="55" a="1"/>
  <c r="D127" i="55" s="1"/>
  <c r="H127" i="55" s="1"/>
  <c r="C127" i="55"/>
  <c r="G126" i="53" s="1"/>
  <c r="B127" i="55"/>
  <c r="Q126" i="55"/>
  <c r="P126" i="55"/>
  <c r="S126" i="55" s="1"/>
  <c r="J126" i="55"/>
  <c r="R126" i="55" s="1"/>
  <c r="I126" i="55"/>
  <c r="F126" i="55"/>
  <c r="D126" i="55" a="1"/>
  <c r="D126" i="55" s="1"/>
  <c r="C126" i="55"/>
  <c r="G125" i="53"/>
  <c r="B126" i="55"/>
  <c r="Q125" i="55"/>
  <c r="P125" i="55"/>
  <c r="S125" i="55" s="1"/>
  <c r="J125" i="55"/>
  <c r="R125" i="55" s="1"/>
  <c r="I125" i="55"/>
  <c r="F125" i="55"/>
  <c r="D125" i="55" a="1"/>
  <c r="D125" i="55" s="1"/>
  <c r="C125" i="55"/>
  <c r="G124" i="53" s="1"/>
  <c r="B125" i="55"/>
  <c r="Q124" i="55"/>
  <c r="P124" i="55"/>
  <c r="S124" i="55" s="1"/>
  <c r="J124" i="55"/>
  <c r="R124" i="55" s="1"/>
  <c r="I124" i="55"/>
  <c r="F124" i="55"/>
  <c r="D124" i="55" a="1"/>
  <c r="D124" i="55" s="1"/>
  <c r="G124" i="55" s="1"/>
  <c r="C124" i="55"/>
  <c r="G123" i="53"/>
  <c r="B124" i="55"/>
  <c r="Q123" i="55"/>
  <c r="P123" i="55"/>
  <c r="S123" i="55" s="1"/>
  <c r="J123" i="55"/>
  <c r="R123" i="55" s="1"/>
  <c r="I123" i="55"/>
  <c r="F123" i="55"/>
  <c r="D123" i="55" a="1"/>
  <c r="D123" i="55" s="1"/>
  <c r="G123" i="55" s="1"/>
  <c r="C123" i="55"/>
  <c r="G122" i="53" s="1"/>
  <c r="B123" i="55"/>
  <c r="Q122" i="55"/>
  <c r="P122" i="55"/>
  <c r="S122" i="55" s="1"/>
  <c r="J122" i="55"/>
  <c r="R122" i="55" s="1"/>
  <c r="I122" i="55"/>
  <c r="F122" i="55"/>
  <c r="D122" i="55" a="1"/>
  <c r="D122" i="55" s="1"/>
  <c r="C122" i="55"/>
  <c r="G121" i="53" s="1"/>
  <c r="B122" i="55"/>
  <c r="Q121" i="55"/>
  <c r="P121" i="55"/>
  <c r="S121" i="55" s="1"/>
  <c r="J121" i="55"/>
  <c r="R121" i="55" s="1"/>
  <c r="I121" i="55"/>
  <c r="F121" i="55"/>
  <c r="D121" i="55" a="1"/>
  <c r="D121" i="55" s="1"/>
  <c r="G121" i="55" s="1"/>
  <c r="C121" i="55"/>
  <c r="G120" i="53"/>
  <c r="B121" i="55"/>
  <c r="Q120" i="55"/>
  <c r="P120" i="55"/>
  <c r="S120" i="55" s="1"/>
  <c r="J120" i="55"/>
  <c r="R120" i="55" s="1"/>
  <c r="I120" i="55"/>
  <c r="F120" i="55"/>
  <c r="D120" i="55" a="1"/>
  <c r="D120" i="55" s="1"/>
  <c r="G120" i="55" s="1"/>
  <c r="C120" i="55"/>
  <c r="G119" i="53" s="1"/>
  <c r="B120" i="55"/>
  <c r="Q119" i="55"/>
  <c r="P119" i="55"/>
  <c r="S119" i="55" s="1"/>
  <c r="J119" i="55"/>
  <c r="R119" i="55" s="1"/>
  <c r="I119" i="55"/>
  <c r="F119" i="55"/>
  <c r="D119" i="55" a="1"/>
  <c r="D119" i="55" s="1"/>
  <c r="H119" i="55" s="1"/>
  <c r="C119" i="55"/>
  <c r="G118" i="53"/>
  <c r="B119" i="55"/>
  <c r="Q118" i="55"/>
  <c r="P118" i="55"/>
  <c r="S118" i="55" s="1"/>
  <c r="J118" i="55"/>
  <c r="R118" i="55" s="1"/>
  <c r="I118" i="55"/>
  <c r="F118" i="55"/>
  <c r="D118" i="55" a="1"/>
  <c r="D118" i="55" s="1"/>
  <c r="H118" i="55" s="1"/>
  <c r="C118" i="55"/>
  <c r="G117" i="53"/>
  <c r="B118" i="55"/>
  <c r="Q117" i="55"/>
  <c r="P117" i="55"/>
  <c r="S117" i="55" s="1"/>
  <c r="J117" i="55"/>
  <c r="R117" i="55" s="1"/>
  <c r="I117" i="55"/>
  <c r="F117" i="55"/>
  <c r="D117" i="55" a="1"/>
  <c r="D117" i="55" s="1"/>
  <c r="C117" i="55"/>
  <c r="G116" i="53" s="1"/>
  <c r="B117" i="55"/>
  <c r="Q116" i="55"/>
  <c r="P116" i="55"/>
  <c r="S116" i="55" s="1"/>
  <c r="J116" i="55"/>
  <c r="R116" i="55" s="1"/>
  <c r="I116" i="55"/>
  <c r="F116" i="55"/>
  <c r="D116" i="55" a="1"/>
  <c r="D116" i="55" s="1"/>
  <c r="C116" i="55"/>
  <c r="G115" i="53"/>
  <c r="B116" i="55"/>
  <c r="Q115" i="55"/>
  <c r="P115" i="55"/>
  <c r="S115" i="55" s="1"/>
  <c r="J115" i="55"/>
  <c r="R115" i="55" s="1"/>
  <c r="I115" i="55"/>
  <c r="F115" i="55"/>
  <c r="D115" i="55" a="1"/>
  <c r="D115" i="55" s="1"/>
  <c r="H115" i="55" s="1"/>
  <c r="C115" i="55"/>
  <c r="G114" i="53" s="1"/>
  <c r="B115" i="55"/>
  <c r="Q114" i="55"/>
  <c r="P114" i="55"/>
  <c r="S114" i="55" s="1"/>
  <c r="J114" i="55"/>
  <c r="R114" i="55" s="1"/>
  <c r="I114" i="55"/>
  <c r="F114" i="55"/>
  <c r="D114" i="55" a="1"/>
  <c r="D114" i="55" s="1"/>
  <c r="G114" i="55" s="1"/>
  <c r="C114" i="55"/>
  <c r="G113" i="53"/>
  <c r="B114" i="55"/>
  <c r="Q113" i="55"/>
  <c r="P113" i="55"/>
  <c r="S113" i="55" s="1"/>
  <c r="J113" i="55"/>
  <c r="R113" i="55" s="1"/>
  <c r="I113" i="55"/>
  <c r="F113" i="55"/>
  <c r="D113" i="55" a="1"/>
  <c r="D113" i="55" s="1"/>
  <c r="H113" i="55" s="1"/>
  <c r="C113" i="55"/>
  <c r="G112" i="53" s="1"/>
  <c r="B113" i="55"/>
  <c r="Q112" i="55"/>
  <c r="P112" i="55"/>
  <c r="S112" i="55" s="1"/>
  <c r="J112" i="55"/>
  <c r="R112" i="55" s="1"/>
  <c r="I112" i="55"/>
  <c r="F112" i="55"/>
  <c r="D112" i="55" a="1"/>
  <c r="D112" i="55" s="1"/>
  <c r="H112" i="55" s="1"/>
  <c r="C112" i="55"/>
  <c r="G111" i="53"/>
  <c r="B112" i="55"/>
  <c r="Q111" i="55"/>
  <c r="P111" i="55"/>
  <c r="S111" i="55" s="1"/>
  <c r="J111" i="55"/>
  <c r="R111" i="55" s="1"/>
  <c r="I111" i="55"/>
  <c r="F111" i="55"/>
  <c r="D111" i="55" a="1"/>
  <c r="D111" i="55" s="1"/>
  <c r="H111" i="55" s="1"/>
  <c r="C111" i="55"/>
  <c r="G110" i="53"/>
  <c r="B111" i="55"/>
  <c r="Q110" i="55"/>
  <c r="P110" i="55"/>
  <c r="S110" i="55" s="1"/>
  <c r="J110" i="55"/>
  <c r="R110" i="55" s="1"/>
  <c r="I110" i="55"/>
  <c r="F110" i="55"/>
  <c r="D110" i="55" a="1"/>
  <c r="D110" i="55" s="1"/>
  <c r="C110" i="55"/>
  <c r="G109" i="53" s="1"/>
  <c r="B110" i="55"/>
  <c r="Q109" i="55"/>
  <c r="P109" i="55"/>
  <c r="S109" i="55" s="1"/>
  <c r="J109" i="55"/>
  <c r="R109" i="55" s="1"/>
  <c r="I109" i="55"/>
  <c r="F109" i="55"/>
  <c r="D109" i="55" a="1"/>
  <c r="D109" i="55" s="1"/>
  <c r="H109" i="55" s="1"/>
  <c r="C109" i="55"/>
  <c r="G108" i="53"/>
  <c r="B109" i="55"/>
  <c r="Q108" i="55"/>
  <c r="P108" i="55"/>
  <c r="S108" i="55" s="1"/>
  <c r="J108" i="55"/>
  <c r="R108" i="55" s="1"/>
  <c r="I108" i="55"/>
  <c r="F108" i="55"/>
  <c r="D108" i="55" a="1"/>
  <c r="D108" i="55" s="1"/>
  <c r="G108" i="55" s="1"/>
  <c r="C108" i="55"/>
  <c r="G107" i="53" s="1"/>
  <c r="B108" i="55"/>
  <c r="Q107" i="55"/>
  <c r="P107" i="55"/>
  <c r="S107" i="55" s="1"/>
  <c r="J107" i="55"/>
  <c r="R107" i="55" s="1"/>
  <c r="I107" i="55"/>
  <c r="F107" i="55"/>
  <c r="D107" i="55" a="1"/>
  <c r="D107" i="55" s="1"/>
  <c r="G107" i="55" s="1"/>
  <c r="C107" i="55"/>
  <c r="G106" i="53" s="1"/>
  <c r="B107" i="55"/>
  <c r="Q106" i="55"/>
  <c r="P106" i="55"/>
  <c r="S106" i="55" s="1"/>
  <c r="J106" i="55"/>
  <c r="R106" i="55" s="1"/>
  <c r="I106" i="55"/>
  <c r="F106" i="55"/>
  <c r="D106" i="55" a="1"/>
  <c r="D106" i="55" s="1"/>
  <c r="G106" i="55" s="1"/>
  <c r="C106" i="55"/>
  <c r="G105" i="53" s="1"/>
  <c r="B106" i="55"/>
  <c r="D86" i="55" a="1"/>
  <c r="D86" i="55" s="1"/>
  <c r="G86" i="55" s="1"/>
  <c r="J86" i="55"/>
  <c r="R86" i="55" s="1"/>
  <c r="B7" i="55"/>
  <c r="T2" i="53"/>
  <c r="R393" i="53"/>
  <c r="M203" i="55" s="1" a="1"/>
  <c r="M203" i="55" s="1"/>
  <c r="O393" i="53"/>
  <c r="K2" i="53"/>
  <c r="S6" i="53"/>
  <c r="I7" i="55"/>
  <c r="I8" i="55"/>
  <c r="AD2" i="53"/>
  <c r="AC2" i="53"/>
  <c r="AB2" i="53"/>
  <c r="AA2" i="53"/>
  <c r="W2" i="53"/>
  <c r="V2" i="53"/>
  <c r="U2" i="53"/>
  <c r="R2" i="53"/>
  <c r="O2" i="53"/>
  <c r="L2" i="53"/>
  <c r="I46" i="55"/>
  <c r="I98" i="55"/>
  <c r="J16" i="55"/>
  <c r="R16" i="55" s="1"/>
  <c r="J17" i="55"/>
  <c r="R17" i="55" s="1"/>
  <c r="D16" i="55" a="1"/>
  <c r="D16" i="55" s="1"/>
  <c r="D17" i="55" a="1"/>
  <c r="D17" i="55" s="1"/>
  <c r="H17" i="55" s="1"/>
  <c r="D9" i="55" a="1"/>
  <c r="D9" i="55" s="1"/>
  <c r="D10" i="55" a="1"/>
  <c r="D10" i="55" s="1"/>
  <c r="H10" i="55" s="1"/>
  <c r="D11" i="55" a="1"/>
  <c r="D11" i="55" s="1"/>
  <c r="D12" i="55" a="1"/>
  <c r="D12" i="55" s="1"/>
  <c r="D13" i="55" a="1"/>
  <c r="D13" i="55" s="1"/>
  <c r="H13" i="55" s="1"/>
  <c r="D14" i="55" a="1"/>
  <c r="D14" i="55" s="1"/>
  <c r="D15" i="55" a="1"/>
  <c r="D15" i="55" s="1"/>
  <c r="H15" i="55" s="1"/>
  <c r="D18" i="55" a="1"/>
  <c r="D18" i="55" s="1"/>
  <c r="D19" i="55" a="1"/>
  <c r="D19" i="55" s="1"/>
  <c r="G19" i="55" s="1"/>
  <c r="D20" i="55" a="1"/>
  <c r="D20" i="55" s="1"/>
  <c r="H20" i="55" s="1"/>
  <c r="D21" i="55" a="1"/>
  <c r="D21" i="55" s="1"/>
  <c r="G21" i="55" s="1"/>
  <c r="D22" i="55" a="1"/>
  <c r="D22" i="55" s="1"/>
  <c r="G22" i="55" s="1"/>
  <c r="D23" i="55" a="1"/>
  <c r="D23" i="55" s="1"/>
  <c r="D24" i="55" a="1"/>
  <c r="D24" i="55" s="1"/>
  <c r="H24" i="55" s="1"/>
  <c r="D25" i="55" a="1"/>
  <c r="D25" i="55" s="1"/>
  <c r="D26" i="55" a="1"/>
  <c r="D26" i="55" s="1"/>
  <c r="D27" i="55" a="1"/>
  <c r="D27" i="55" s="1"/>
  <c r="J27" i="55"/>
  <c r="R27" i="55" s="1"/>
  <c r="D28" i="55" a="1"/>
  <c r="D28" i="55" s="1"/>
  <c r="D29" i="55" a="1"/>
  <c r="D29" i="55" s="1"/>
  <c r="G29" i="55" s="1"/>
  <c r="D30" i="55" a="1"/>
  <c r="D30" i="55" s="1"/>
  <c r="D31" i="55" a="1"/>
  <c r="D31" i="55" s="1"/>
  <c r="D32" i="55" a="1"/>
  <c r="D32" i="55" s="1"/>
  <c r="H32" i="55" s="1"/>
  <c r="D33" i="55" a="1"/>
  <c r="D33" i="55" s="1"/>
  <c r="G33" i="55" s="1"/>
  <c r="D34" i="55" a="1"/>
  <c r="D34" i="55" s="1"/>
  <c r="G34" i="55" s="1"/>
  <c r="D35" i="55" a="1"/>
  <c r="D35" i="55" s="1"/>
  <c r="G35" i="55" s="1"/>
  <c r="D36" i="55" a="1"/>
  <c r="D36" i="55" s="1"/>
  <c r="G36" i="55" s="1"/>
  <c r="D37" i="55" a="1"/>
  <c r="D37" i="55" s="1"/>
  <c r="G37" i="55" s="1"/>
  <c r="D38" i="55" a="1"/>
  <c r="D38" i="55" s="1"/>
  <c r="G38" i="55" s="1"/>
  <c r="J38" i="55"/>
  <c r="R38" i="55" s="1"/>
  <c r="D39" i="55" a="1"/>
  <c r="D39" i="55" s="1"/>
  <c r="H39" i="55" s="1"/>
  <c r="D40" i="55" a="1"/>
  <c r="D40" i="55" s="1"/>
  <c r="H40" i="55" s="1"/>
  <c r="D41" i="55" a="1"/>
  <c r="D41" i="55" s="1"/>
  <c r="H41" i="55" s="1"/>
  <c r="J41" i="55"/>
  <c r="R41" i="55" s="1"/>
  <c r="P41" i="55"/>
  <c r="S41" i="55" s="1"/>
  <c r="D42" i="55" a="1"/>
  <c r="D42" i="55" s="1"/>
  <c r="D43" i="55" a="1"/>
  <c r="D43" i="55" s="1"/>
  <c r="H43" i="55" s="1"/>
  <c r="D44" i="55" a="1"/>
  <c r="D44" i="55" s="1"/>
  <c r="H44" i="55" s="1"/>
  <c r="D45" i="55" a="1"/>
  <c r="D45" i="55" s="1"/>
  <c r="J45" i="55"/>
  <c r="R45" i="55" s="1"/>
  <c r="D46" i="55" a="1"/>
  <c r="D46" i="55" s="1"/>
  <c r="D47" i="55" a="1"/>
  <c r="D47" i="55" s="1"/>
  <c r="H47" i="55" s="1"/>
  <c r="J47" i="55"/>
  <c r="R47" i="55" s="1"/>
  <c r="D48" i="55" a="1"/>
  <c r="D48" i="55" s="1"/>
  <c r="G48" i="55" s="1"/>
  <c r="J48" i="55"/>
  <c r="R48" i="55" s="1"/>
  <c r="D49" i="55" a="1"/>
  <c r="D49" i="55" s="1"/>
  <c r="G49" i="55" s="1"/>
  <c r="D50" i="55" a="1"/>
  <c r="D50" i="55" s="1"/>
  <c r="H50" i="55" s="1"/>
  <c r="J50" i="55"/>
  <c r="R50" i="55" s="1"/>
  <c r="D51" i="55" a="1"/>
  <c r="D51" i="55" s="1"/>
  <c r="H51" i="55" s="1"/>
  <c r="D52" i="55" a="1"/>
  <c r="D52" i="55" s="1"/>
  <c r="J52" i="55"/>
  <c r="R52" i="55" s="1"/>
  <c r="D53" i="55" a="1"/>
  <c r="D53" i="55" s="1"/>
  <c r="J53" i="55"/>
  <c r="D54" i="55" a="1"/>
  <c r="D54" i="55" s="1"/>
  <c r="H54" i="55" s="1"/>
  <c r="J54" i="55"/>
  <c r="R54" i="55" s="1"/>
  <c r="D55" i="55" a="1"/>
  <c r="D55" i="55" s="1"/>
  <c r="H55" i="55" s="1"/>
  <c r="J55" i="55"/>
  <c r="R55" i="55" s="1"/>
  <c r="D56" i="55" a="1"/>
  <c r="D56" i="55" s="1"/>
  <c r="H56" i="55" s="1"/>
  <c r="D57" i="55" a="1"/>
  <c r="D57" i="55" s="1"/>
  <c r="J57" i="55"/>
  <c r="R57" i="55" s="1"/>
  <c r="D58" i="55" a="1"/>
  <c r="D58" i="55" s="1"/>
  <c r="H58" i="55" s="1"/>
  <c r="D59" i="55" a="1"/>
  <c r="D59" i="55" s="1"/>
  <c r="G59" i="55" s="1"/>
  <c r="D60" i="55" a="1"/>
  <c r="D60" i="55" s="1"/>
  <c r="D61" i="55" a="1"/>
  <c r="D61" i="55" s="1"/>
  <c r="D62" i="55" a="1"/>
  <c r="D62" i="55" s="1"/>
  <c r="G62" i="55" s="1"/>
  <c r="D63" i="55" a="1"/>
  <c r="D63" i="55" s="1"/>
  <c r="G63" i="55" s="1"/>
  <c r="J63" i="55"/>
  <c r="R63" i="55" s="1"/>
  <c r="D64" i="55" a="1"/>
  <c r="D64" i="55" s="1"/>
  <c r="G64" i="55" s="1"/>
  <c r="D65" i="55" a="1"/>
  <c r="D65" i="55" s="1"/>
  <c r="H65" i="55" s="1"/>
  <c r="D66" i="55" a="1"/>
  <c r="D66" i="55" s="1"/>
  <c r="D67" i="55" a="1"/>
  <c r="D67" i="55" s="1"/>
  <c r="H67" i="55" s="1"/>
  <c r="D68" i="55" a="1"/>
  <c r="D68" i="55" s="1"/>
  <c r="D69" i="55" a="1"/>
  <c r="D69" i="55" s="1"/>
  <c r="H69" i="55" s="1"/>
  <c r="D70" i="55" a="1"/>
  <c r="D70" i="55" s="1"/>
  <c r="J70" i="55"/>
  <c r="R70" i="55" s="1"/>
  <c r="D71" i="55" a="1"/>
  <c r="D71" i="55" s="1"/>
  <c r="D72" i="55" a="1"/>
  <c r="D72" i="55" s="1"/>
  <c r="H72" i="55" s="1"/>
  <c r="D73" i="55" a="1"/>
  <c r="D73" i="55" s="1"/>
  <c r="D74" i="55" a="1"/>
  <c r="D74" i="55" s="1"/>
  <c r="D75" i="55" a="1"/>
  <c r="D75" i="55" s="1"/>
  <c r="G75" i="55" s="1"/>
  <c r="D76" i="55" a="1"/>
  <c r="D76" i="55" s="1"/>
  <c r="H76" i="55" s="1"/>
  <c r="D77" i="55" a="1"/>
  <c r="D77" i="55" s="1"/>
  <c r="J77" i="55"/>
  <c r="R77" i="55" s="1"/>
  <c r="D78" i="55" a="1"/>
  <c r="D78" i="55" s="1"/>
  <c r="D79" i="55" a="1"/>
  <c r="D79" i="55" s="1"/>
  <c r="D80" i="55" a="1"/>
  <c r="D80" i="55" s="1"/>
  <c r="G80" i="55" s="1"/>
  <c r="D81" i="55" a="1"/>
  <c r="D81" i="55" s="1"/>
  <c r="G81" i="55" s="1"/>
  <c r="D82" i="55" a="1"/>
  <c r="D82" i="55" s="1"/>
  <c r="D83" i="55" a="1"/>
  <c r="D83" i="55" s="1"/>
  <c r="G83" i="55" s="1"/>
  <c r="D84" i="55" a="1"/>
  <c r="D84" i="55" s="1"/>
  <c r="H84" i="55" s="1"/>
  <c r="D85" i="55" a="1"/>
  <c r="D85" i="55" s="1"/>
  <c r="G85" i="55" s="1"/>
  <c r="D87" i="55" a="1"/>
  <c r="D87" i="55" s="1"/>
  <c r="H87" i="55" s="1"/>
  <c r="D88" i="55" a="1"/>
  <c r="D88" i="55" s="1"/>
  <c r="G88" i="55" s="1"/>
  <c r="D89" i="55" a="1"/>
  <c r="D89" i="55" s="1"/>
  <c r="G89" i="55" s="1"/>
  <c r="D90" i="55" a="1"/>
  <c r="D90" i="55" s="1"/>
  <c r="G90" i="55" s="1"/>
  <c r="D91" i="55" a="1"/>
  <c r="D91" i="55" s="1"/>
  <c r="H91" i="55" s="1"/>
  <c r="D92" i="55" a="1"/>
  <c r="D92" i="55" s="1"/>
  <c r="D93" i="55" a="1"/>
  <c r="D93" i="55" s="1"/>
  <c r="G93" i="55" s="1"/>
  <c r="D94" i="55" a="1"/>
  <c r="D94" i="55" s="1"/>
  <c r="G94" i="55" s="1"/>
  <c r="D95" i="55" a="1"/>
  <c r="D95" i="55" s="1"/>
  <c r="D96" i="55" a="1"/>
  <c r="D96" i="55" s="1"/>
  <c r="H96" i="55" s="1"/>
  <c r="D97" i="55" a="1"/>
  <c r="D97" i="55" s="1"/>
  <c r="H97" i="55" s="1"/>
  <c r="D98" i="55" a="1"/>
  <c r="D98" i="55" s="1"/>
  <c r="H98" i="55" s="1"/>
  <c r="D99" i="55" a="1"/>
  <c r="D99" i="55" s="1"/>
  <c r="D100" i="55" a="1"/>
  <c r="D100" i="55" s="1"/>
  <c r="D101" i="55" a="1"/>
  <c r="D101" i="55" s="1"/>
  <c r="H101" i="55" s="1"/>
  <c r="D102" i="55" a="1"/>
  <c r="D102" i="55" s="1"/>
  <c r="J102" i="55"/>
  <c r="R102" i="55" s="1"/>
  <c r="D103" i="55" a="1"/>
  <c r="D103" i="55" s="1"/>
  <c r="H103" i="55" s="1"/>
  <c r="D104" i="55" a="1"/>
  <c r="D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R51" i="55" s="1"/>
  <c r="P55" i="55"/>
  <c r="S55" i="55" s="1"/>
  <c r="P60" i="55"/>
  <c r="S60" i="55" s="1"/>
  <c r="P64" i="55"/>
  <c r="S64" i="55" s="1"/>
  <c r="J64" i="55"/>
  <c r="R64" i="55" s="1"/>
  <c r="P80" i="55"/>
  <c r="S80" i="55" s="1"/>
  <c r="J9" i="55"/>
  <c r="R9" i="55" s="1"/>
  <c r="J10" i="55"/>
  <c r="R10" i="55" s="1"/>
  <c r="J11" i="55"/>
  <c r="R11" i="55" s="1"/>
  <c r="P11" i="55"/>
  <c r="S11" i="55" s="1"/>
  <c r="J12" i="55"/>
  <c r="R12" i="55" s="1"/>
  <c r="J14" i="55"/>
  <c r="R14" i="55" s="1"/>
  <c r="J15" i="55"/>
  <c r="R15" i="55" s="1"/>
  <c r="J18" i="55"/>
  <c r="R18" i="55" s="1"/>
  <c r="J22" i="55"/>
  <c r="R22" i="55" s="1"/>
  <c r="J23" i="55"/>
  <c r="R23" i="55" s="1"/>
  <c r="J24" i="55"/>
  <c r="R24" i="55" s="1"/>
  <c r="J25" i="55"/>
  <c r="R25" i="55" s="1"/>
  <c r="J26" i="55"/>
  <c r="R26" i="55" s="1"/>
  <c r="P26" i="55"/>
  <c r="S26" i="55" s="1"/>
  <c r="J28" i="55"/>
  <c r="R28" i="55" s="1"/>
  <c r="J29" i="55"/>
  <c r="R29" i="55" s="1"/>
  <c r="J30" i="55"/>
  <c r="R30" i="55" s="1"/>
  <c r="J31" i="55"/>
  <c r="R31" i="55" s="1"/>
  <c r="J32" i="55"/>
  <c r="R32" i="55" s="1"/>
  <c r="J33" i="55"/>
  <c r="R33" i="55" s="1"/>
  <c r="P33" i="55"/>
  <c r="S33" i="55" s="1"/>
  <c r="J34" i="55"/>
  <c r="R34" i="55" s="1"/>
  <c r="J35" i="55"/>
  <c r="R35" i="55" s="1"/>
  <c r="J36" i="55"/>
  <c r="R36" i="55" s="1"/>
  <c r="J37" i="55"/>
  <c r="R37" i="55" s="1"/>
  <c r="J39" i="55"/>
  <c r="R39" i="55" s="1"/>
  <c r="J40" i="55"/>
  <c r="R40" i="55" s="1"/>
  <c r="J42" i="55"/>
  <c r="R42" i="55" s="1"/>
  <c r="J43" i="55"/>
  <c r="R43" i="55" s="1"/>
  <c r="J44" i="55"/>
  <c r="R44" i="55" s="1"/>
  <c r="J46" i="55"/>
  <c r="R46" i="55" s="1"/>
  <c r="J49" i="55"/>
  <c r="R49" i="55" s="1"/>
  <c r="P52" i="55"/>
  <c r="S52" i="55" s="1"/>
  <c r="P53" i="55"/>
  <c r="S53" i="55" s="1"/>
  <c r="J56" i="55"/>
  <c r="R56" i="55" s="1"/>
  <c r="P57" i="55"/>
  <c r="S57" i="55" s="1"/>
  <c r="T57"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R72" i="55" s="1"/>
  <c r="J73" i="55"/>
  <c r="R73" i="55" s="1"/>
  <c r="J74" i="55"/>
  <c r="R74" i="55" s="1"/>
  <c r="J75" i="55"/>
  <c r="R75" i="55" s="1"/>
  <c r="J76" i="55"/>
  <c r="R76" i="55" s="1"/>
  <c r="J78" i="55"/>
  <c r="R78" i="55" s="1"/>
  <c r="J79" i="55"/>
  <c r="R79" i="55" s="1"/>
  <c r="J80" i="55"/>
  <c r="R80" i="55" s="1"/>
  <c r="J81" i="55"/>
  <c r="R81" i="55" s="1"/>
  <c r="J82" i="55"/>
  <c r="R82" i="55" s="1"/>
  <c r="J83" i="55"/>
  <c r="R83" i="55" s="1"/>
  <c r="P83" i="55"/>
  <c r="S83" i="55" s="1"/>
  <c r="J84" i="55"/>
  <c r="R84" i="55" s="1"/>
  <c r="J85" i="55"/>
  <c r="R85" i="55" s="1"/>
  <c r="J87" i="55"/>
  <c r="R87" i="55" s="1"/>
  <c r="J88" i="55"/>
  <c r="R88" i="55" s="1"/>
  <c r="J89" i="55"/>
  <c r="R89" i="55" s="1"/>
  <c r="J90" i="55"/>
  <c r="R90" i="55" s="1"/>
  <c r="P90" i="55"/>
  <c r="S90" i="55" s="1"/>
  <c r="J91" i="55"/>
  <c r="R91" i="55" s="1"/>
  <c r="J92" i="55"/>
  <c r="R92" i="55" s="1"/>
  <c r="P92" i="55"/>
  <c r="S92" i="55" s="1"/>
  <c r="J93" i="55"/>
  <c r="R93" i="55" s="1"/>
  <c r="P93" i="55"/>
  <c r="S93" i="55" s="1"/>
  <c r="J94" i="55"/>
  <c r="R94" i="55" s="1"/>
  <c r="J95" i="55"/>
  <c r="R95" i="55" s="1"/>
  <c r="J96" i="55"/>
  <c r="R96" i="55" s="1"/>
  <c r="J97" i="55"/>
  <c r="R97" i="55" s="1"/>
  <c r="J98" i="55"/>
  <c r="R98" i="55" s="1"/>
  <c r="J99" i="55"/>
  <c r="R99" i="55" s="1"/>
  <c r="J100" i="55"/>
  <c r="R100" i="55" s="1"/>
  <c r="P100" i="55"/>
  <c r="S100" i="55" s="1"/>
  <c r="J101" i="55"/>
  <c r="R101" i="55" s="1"/>
  <c r="J103" i="55"/>
  <c r="R103" i="55" s="1"/>
  <c r="J105" i="55"/>
  <c r="R105" i="55" s="1"/>
  <c r="J8" i="55"/>
  <c r="R8" i="55" s="1"/>
  <c r="P8" i="55"/>
  <c r="S8" i="55" s="1"/>
  <c r="J7" i="55"/>
  <c r="R7" i="55" s="1"/>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K393" i="53"/>
  <c r="N393" i="53" s="1"/>
  <c r="F105" i="55"/>
  <c r="C105" i="55"/>
  <c r="G104" i="53" s="1"/>
  <c r="F104" i="55"/>
  <c r="C104" i="55"/>
  <c r="G103" i="53" s="1"/>
  <c r="C7" i="55"/>
  <c r="G6" i="53"/>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s="1"/>
  <c r="C16" i="55"/>
  <c r="G15" i="53"/>
  <c r="C17" i="55"/>
  <c r="G16" i="53"/>
  <c r="C18" i="55"/>
  <c r="G17" i="53" s="1"/>
  <c r="C19" i="55"/>
  <c r="G18" i="53" s="1"/>
  <c r="C20" i="55"/>
  <c r="G19" i="53"/>
  <c r="C21" i="55"/>
  <c r="G20" i="53" s="1"/>
  <c r="C22" i="55"/>
  <c r="G21" i="53" s="1"/>
  <c r="C23" i="55"/>
  <c r="G22" i="53" s="1"/>
  <c r="C24" i="55"/>
  <c r="G23" i="53"/>
  <c r="C25" i="55"/>
  <c r="G24" i="53"/>
  <c r="C26" i="55"/>
  <c r="G25" i="53"/>
  <c r="C27" i="55"/>
  <c r="G26" i="53" s="1"/>
  <c r="C28" i="55"/>
  <c r="G27" i="53"/>
  <c r="C29" i="55"/>
  <c r="G28" i="53" s="1"/>
  <c r="C30" i="55"/>
  <c r="G29" i="53" s="1"/>
  <c r="C31" i="55"/>
  <c r="G30" i="53" s="1"/>
  <c r="C32" i="55"/>
  <c r="G31" i="53"/>
  <c r="C33" i="55"/>
  <c r="G32" i="53"/>
  <c r="C34" i="55"/>
  <c r="G33" i="53" s="1"/>
  <c r="C35" i="55"/>
  <c r="G34" i="53" s="1"/>
  <c r="C36" i="55"/>
  <c r="G35" i="53"/>
  <c r="C37" i="55"/>
  <c r="G36" i="53" s="1"/>
  <c r="C38" i="55"/>
  <c r="G37" i="53" s="1"/>
  <c r="C39" i="55"/>
  <c r="G38" i="53" s="1"/>
  <c r="C41" i="55"/>
  <c r="G40" i="53"/>
  <c r="C42" i="55"/>
  <c r="G41" i="53"/>
  <c r="C43" i="55"/>
  <c r="G42" i="53" s="1"/>
  <c r="C44" i="55"/>
  <c r="G43" i="53" s="1"/>
  <c r="C45" i="55"/>
  <c r="G44" i="53"/>
  <c r="C46" i="55"/>
  <c r="G45" i="53" s="1"/>
  <c r="C47" i="55"/>
  <c r="G46" i="53" s="1"/>
  <c r="C48" i="55"/>
  <c r="G47" i="53" s="1"/>
  <c r="C49" i="55"/>
  <c r="G48" i="53"/>
  <c r="C50" i="55"/>
  <c r="G49" i="53"/>
  <c r="C51" i="55"/>
  <c r="G50" i="53" s="1"/>
  <c r="C52" i="55"/>
  <c r="G51" i="53" s="1"/>
  <c r="C53" i="55"/>
  <c r="G52" i="53"/>
  <c r="C54" i="55"/>
  <c r="G53" i="53" s="1"/>
  <c r="C55" i="55"/>
  <c r="G54" i="53" s="1"/>
  <c r="C56" i="55"/>
  <c r="G55" i="53" s="1"/>
  <c r="C57" i="55"/>
  <c r="G56" i="53"/>
  <c r="C58" i="55"/>
  <c r="G57" i="53"/>
  <c r="C59" i="55"/>
  <c r="G58" i="53"/>
  <c r="C60" i="55"/>
  <c r="G59" i="53" s="1"/>
  <c r="C61" i="55"/>
  <c r="G60" i="53"/>
  <c r="C62" i="55"/>
  <c r="G61" i="53" s="1"/>
  <c r="C63" i="55"/>
  <c r="G62" i="53" s="1"/>
  <c r="C64" i="55"/>
  <c r="G63" i="53" s="1"/>
  <c r="C65" i="55"/>
  <c r="G64" i="53"/>
  <c r="C66" i="55"/>
  <c r="G65" i="53"/>
  <c r="C67" i="55"/>
  <c r="G66" i="53" s="1"/>
  <c r="C68" i="55"/>
  <c r="G67" i="53" s="1"/>
  <c r="C69" i="55"/>
  <c r="G68" i="53"/>
  <c r="C70" i="55"/>
  <c r="G69" i="53" s="1"/>
  <c r="C71" i="55"/>
  <c r="G70" i="53" s="1"/>
  <c r="C72" i="55"/>
  <c r="G71" i="53" s="1"/>
  <c r="C73" i="55"/>
  <c r="G72" i="53"/>
  <c r="C74" i="55"/>
  <c r="G73" i="53"/>
  <c r="C75" i="55"/>
  <c r="G74" i="53" s="1"/>
  <c r="C76" i="55"/>
  <c r="G75" i="53" s="1"/>
  <c r="C77" i="55"/>
  <c r="G76" i="53"/>
  <c r="C78" i="55"/>
  <c r="G77" i="53" s="1"/>
  <c r="C79" i="55"/>
  <c r="G78" i="53" s="1"/>
  <c r="C80" i="55"/>
  <c r="G79" i="53" s="1"/>
  <c r="C81" i="55"/>
  <c r="G80" i="53"/>
  <c r="C82" i="55"/>
  <c r="G81" i="53"/>
  <c r="C83" i="55"/>
  <c r="G82" i="53" s="1"/>
  <c r="C84" i="55"/>
  <c r="G83" i="53" s="1"/>
  <c r="C85" i="55"/>
  <c r="G84" i="53"/>
  <c r="C86" i="55"/>
  <c r="G85" i="53" s="1"/>
  <c r="C87" i="55"/>
  <c r="G86" i="53" s="1"/>
  <c r="C88" i="55"/>
  <c r="G87" i="53" s="1"/>
  <c r="C89" i="55"/>
  <c r="G88" i="53"/>
  <c r="C90" i="55"/>
  <c r="G89" i="53"/>
  <c r="C91" i="55"/>
  <c r="G90" i="53"/>
  <c r="C92" i="55"/>
  <c r="G91" i="53" s="1"/>
  <c r="C93" i="55"/>
  <c r="G92" i="53"/>
  <c r="C94" i="55"/>
  <c r="G93" i="53" s="1"/>
  <c r="C95" i="55"/>
  <c r="G94" i="53" s="1"/>
  <c r="C96" i="55"/>
  <c r="G95" i="53" s="1"/>
  <c r="C97" i="55"/>
  <c r="G96" i="53"/>
  <c r="C98" i="55"/>
  <c r="G97" i="53"/>
  <c r="C99" i="55"/>
  <c r="G98" i="53" s="1"/>
  <c r="C100" i="55"/>
  <c r="G99" i="53" s="1"/>
  <c r="C101" i="55"/>
  <c r="G100" i="53"/>
  <c r="C102" i="55"/>
  <c r="G101" i="53" s="1"/>
  <c r="C103" i="55"/>
  <c r="G102" i="53" s="1"/>
  <c r="C9" i="55"/>
  <c r="G8" i="53" s="1"/>
  <c r="C10" i="55"/>
  <c r="G9" i="53"/>
  <c r="C11" i="55"/>
  <c r="G10" i="53"/>
  <c r="C12" i="55"/>
  <c r="G11" i="53" s="1"/>
  <c r="C13" i="55"/>
  <c r="G12" i="53" s="1"/>
  <c r="C14" i="55"/>
  <c r="G13" i="53"/>
  <c r="C8" i="55"/>
  <c r="G7" i="53" s="1"/>
  <c r="M13" i="52"/>
  <c r="M12" i="52"/>
  <c r="M11" i="52"/>
  <c r="M10" i="52"/>
  <c r="M9" i="52"/>
  <c r="M8" i="52"/>
  <c r="M7" i="52"/>
  <c r="M6" i="52"/>
  <c r="M5" i="52"/>
  <c r="M4" i="52"/>
  <c r="Z8" i="53"/>
  <c r="S8" i="53"/>
  <c r="AD393" i="53"/>
  <c r="AC393" i="53"/>
  <c r="AB393" i="53"/>
  <c r="AA393" i="53"/>
  <c r="W393" i="53"/>
  <c r="V393" i="53"/>
  <c r="U39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8" i="53"/>
  <c r="S207" i="53"/>
  <c r="S206" i="53"/>
  <c r="S205" i="53"/>
  <c r="S204" i="53"/>
  <c r="S202" i="53"/>
  <c r="S201" i="53"/>
  <c r="S200" i="53"/>
  <c r="S199" i="53"/>
  <c r="S198" i="53"/>
  <c r="S197" i="53"/>
  <c r="S196" i="53"/>
  <c r="S195" i="53"/>
  <c r="S194" i="53"/>
  <c r="S192" i="53"/>
  <c r="S191" i="53"/>
  <c r="S190" i="53"/>
  <c r="S189" i="53"/>
  <c r="S188" i="53"/>
  <c r="S187" i="53"/>
  <c r="S186" i="53"/>
  <c r="S185" i="53"/>
  <c r="S184" i="53"/>
  <c r="S183" i="53"/>
  <c r="S182" i="53"/>
  <c r="S181" i="53"/>
  <c r="S180" i="53"/>
  <c r="S179" i="53"/>
  <c r="S178" i="53"/>
  <c r="S177" i="53"/>
  <c r="S176" i="53"/>
  <c r="S175" i="53"/>
  <c r="S174" i="53"/>
  <c r="S172" i="53"/>
  <c r="S171" i="53"/>
  <c r="S170"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2" i="53"/>
  <c r="S141" i="53"/>
  <c r="S140" i="53"/>
  <c r="S139" i="53"/>
  <c r="S138" i="53"/>
  <c r="S137" i="53"/>
  <c r="S136" i="53"/>
  <c r="S135" i="53"/>
  <c r="S134" i="53"/>
  <c r="S133" i="53"/>
  <c r="S132" i="53"/>
  <c r="S131" i="53"/>
  <c r="S129" i="53"/>
  <c r="S128" i="53"/>
  <c r="S127" i="53"/>
  <c r="S126" i="53"/>
  <c r="S125" i="53"/>
  <c r="S124" i="53"/>
  <c r="S123" i="53"/>
  <c r="S122" i="53"/>
  <c r="S121" i="53"/>
  <c r="S120" i="53"/>
  <c r="S119" i="53"/>
  <c r="S118" i="53"/>
  <c r="S117" i="53"/>
  <c r="S116" i="53"/>
  <c r="S115" i="53"/>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S74"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S36" i="53"/>
  <c r="S35" i="53"/>
  <c r="S34" i="53"/>
  <c r="S32" i="53"/>
  <c r="S31" i="53"/>
  <c r="S30" i="53"/>
  <c r="S29" i="53"/>
  <c r="S28" i="53"/>
  <c r="S27" i="53"/>
  <c r="S25" i="53"/>
  <c r="S23" i="53"/>
  <c r="S22" i="53"/>
  <c r="S21" i="53"/>
  <c r="S20" i="53"/>
  <c r="S19" i="53"/>
  <c r="S18" i="53"/>
  <c r="S17" i="53"/>
  <c r="S15" i="53"/>
  <c r="S14" i="53"/>
  <c r="S13" i="53"/>
  <c r="S12" i="53"/>
  <c r="S10" i="53"/>
  <c r="S9" i="53"/>
  <c r="S7" i="53"/>
  <c r="P94" i="55"/>
  <c r="S94" i="55" s="1"/>
  <c r="P56" i="55"/>
  <c r="S56" i="55" s="1"/>
  <c r="P54" i="55"/>
  <c r="S54" i="55" s="1"/>
  <c r="P38" i="55"/>
  <c r="S38" i="55" s="1"/>
  <c r="P31" i="55"/>
  <c r="S31" i="55" s="1"/>
  <c r="P99" i="55"/>
  <c r="S99" i="55" s="1"/>
  <c r="P58" i="55"/>
  <c r="S58" i="55" s="1"/>
  <c r="Z236" i="53"/>
  <c r="Z235" i="53"/>
  <c r="Z234" i="53"/>
  <c r="Z233" i="53"/>
  <c r="Z232" i="53"/>
  <c r="Z231" i="53"/>
  <c r="Z230" i="53"/>
  <c r="Z229" i="53"/>
  <c r="Z228" i="53"/>
  <c r="Z227" i="53"/>
  <c r="Z226" i="53"/>
  <c r="Z225" i="53"/>
  <c r="Z224" i="53"/>
  <c r="Z223" i="53"/>
  <c r="Z222" i="53"/>
  <c r="Z221" i="53"/>
  <c r="Z220" i="53"/>
  <c r="Z219" i="53"/>
  <c r="Z218" i="53"/>
  <c r="Z217" i="53"/>
  <c r="Z216" i="53"/>
  <c r="Z215" i="53"/>
  <c r="Z214" i="53"/>
  <c r="Z213" i="53"/>
  <c r="Z212" i="53"/>
  <c r="Z211" i="53"/>
  <c r="Z210" i="53"/>
  <c r="Z209" i="53"/>
  <c r="Z208" i="53"/>
  <c r="Z207" i="53"/>
  <c r="Z206" i="53"/>
  <c r="Z205" i="53"/>
  <c r="Z204" i="53"/>
  <c r="Z203" i="53"/>
  <c r="P9" i="55"/>
  <c r="S9" i="55" s="1"/>
  <c r="Z202" i="53"/>
  <c r="Z201" i="53"/>
  <c r="Z200" i="53"/>
  <c r="Z199" i="53"/>
  <c r="Z198" i="53"/>
  <c r="Z197" i="53"/>
  <c r="Z196" i="53"/>
  <c r="Z195" i="53"/>
  <c r="Z194" i="53"/>
  <c r="Z193" i="53"/>
  <c r="Z192" i="53"/>
  <c r="Z191" i="53"/>
  <c r="Z190" i="53"/>
  <c r="Z189" i="53"/>
  <c r="P95" i="55"/>
  <c r="S95" i="55" s="1"/>
  <c r="Z188" i="53"/>
  <c r="Z187" i="53"/>
  <c r="Z186" i="53"/>
  <c r="Z185" i="53"/>
  <c r="Z184" i="53"/>
  <c r="Z183" i="53"/>
  <c r="Z182" i="53"/>
  <c r="Z181" i="53"/>
  <c r="Z180" i="53"/>
  <c r="Z179" i="53"/>
  <c r="Z178" i="53"/>
  <c r="Z177" i="53"/>
  <c r="Z176" i="53"/>
  <c r="Z175" i="53"/>
  <c r="Z174" i="53"/>
  <c r="Z172" i="53"/>
  <c r="Z171" i="53"/>
  <c r="Z170" i="53"/>
  <c r="Z169" i="53"/>
  <c r="Z168" i="53"/>
  <c r="Z167" i="53"/>
  <c r="Z166" i="53"/>
  <c r="Z165" i="53"/>
  <c r="Z164" i="53"/>
  <c r="P70" i="55"/>
  <c r="S70" i="55" s="1"/>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s="1"/>
  <c r="Z119" i="53"/>
  <c r="Z118" i="53"/>
  <c r="Z117" i="53"/>
  <c r="Z116" i="53"/>
  <c r="Z115" i="53"/>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79" i="53"/>
  <c r="Z78" i="53"/>
  <c r="P82" i="55"/>
  <c r="S82" i="55" s="1"/>
  <c r="Z77" i="53"/>
  <c r="P81" i="55"/>
  <c r="S81" i="55" s="1"/>
  <c r="Z76" i="53"/>
  <c r="Z75" i="53"/>
  <c r="Z74" i="53"/>
  <c r="Z73" i="53"/>
  <c r="Z72" i="53"/>
  <c r="Z71" i="53"/>
  <c r="Z70" i="53"/>
  <c r="Z69" i="53"/>
  <c r="Z68" i="53"/>
  <c r="Z67" i="53"/>
  <c r="Z66" i="53"/>
  <c r="Z65" i="53"/>
  <c r="Z64" i="53"/>
  <c r="Z63" i="53"/>
  <c r="Z62" i="53"/>
  <c r="Z61" i="53"/>
  <c r="Z60" i="53"/>
  <c r="Z59" i="53"/>
  <c r="Z58" i="53"/>
  <c r="Z57" i="53"/>
  <c r="Z56" i="53"/>
  <c r="Z55" i="53"/>
  <c r="Z54" i="53"/>
  <c r="Z53" i="53"/>
  <c r="Z52" i="53"/>
  <c r="Z51" i="53"/>
  <c r="Z50" i="53"/>
  <c r="Z49" i="53"/>
  <c r="Z48" i="53"/>
  <c r="Z47" i="53"/>
  <c r="Z46" i="53"/>
  <c r="Z45" i="53"/>
  <c r="P46" i="55"/>
  <c r="S46" i="55" s="1"/>
  <c r="Z44" i="53"/>
  <c r="Z43" i="53"/>
  <c r="Z42" i="53"/>
  <c r="Z40" i="53"/>
  <c r="Z38" i="53"/>
  <c r="Z37" i="53"/>
  <c r="Z36" i="53"/>
  <c r="Z35" i="53"/>
  <c r="Z34" i="53"/>
  <c r="Z33" i="53"/>
  <c r="Z32" i="53"/>
  <c r="Z31" i="53"/>
  <c r="Z30" i="53"/>
  <c r="Z29" i="53"/>
  <c r="Z28" i="53"/>
  <c r="Z27" i="53"/>
  <c r="Z26" i="53"/>
  <c r="Z25" i="53"/>
  <c r="Z24" i="53"/>
  <c r="Z23" i="53"/>
  <c r="Z22" i="53"/>
  <c r="Z21" i="53"/>
  <c r="Z20" i="53"/>
  <c r="Z19" i="53"/>
  <c r="Z18" i="53"/>
  <c r="Z17" i="53"/>
  <c r="Z16" i="53"/>
  <c r="Z15" i="53"/>
  <c r="Z14" i="53"/>
  <c r="Z13" i="53"/>
  <c r="P14" i="55"/>
  <c r="S14" i="55" s="1"/>
  <c r="Z12" i="53"/>
  <c r="Z11" i="53"/>
  <c r="Z10" i="53"/>
  <c r="Z9" i="53"/>
  <c r="Z7" i="53"/>
  <c r="Z6" i="53"/>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4" i="26" s="1"/>
  <c r="F7" i="55"/>
  <c r="P88" i="55"/>
  <c r="S88" i="55" s="1"/>
  <c r="P73" i="55"/>
  <c r="S73" i="55" s="1"/>
  <c r="P34" i="55"/>
  <c r="S34" i="55" s="1"/>
  <c r="P102" i="55"/>
  <c r="S102" i="55" s="1"/>
  <c r="P105" i="55"/>
  <c r="S105" i="55" s="1"/>
  <c r="P63" i="55"/>
  <c r="S63" i="55" s="1"/>
  <c r="P67" i="55"/>
  <c r="S67" i="55" s="1"/>
  <c r="P79" i="55"/>
  <c r="S79" i="55" s="1"/>
  <c r="P37" i="55"/>
  <c r="S37" i="55" s="1"/>
  <c r="P71" i="55"/>
  <c r="S71" i="55" s="1"/>
  <c r="P69" i="55"/>
  <c r="S69" i="55" s="1"/>
  <c r="P40" i="55"/>
  <c r="S40" i="55" s="1"/>
  <c r="P49" i="55"/>
  <c r="S49" i="55" s="1"/>
  <c r="P65" i="55"/>
  <c r="S65" i="55" s="1"/>
  <c r="P50" i="55"/>
  <c r="S50" i="55" s="1"/>
  <c r="P15" i="55"/>
  <c r="S15" i="55" s="1"/>
  <c r="P87" i="55"/>
  <c r="S87" i="55" s="1"/>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T7" i="55" s="1"/>
  <c r="P103" i="55"/>
  <c r="S103" i="55" s="1"/>
  <c r="P77" i="55"/>
  <c r="S77" i="55" s="1"/>
  <c r="P96" i="55"/>
  <c r="S96" i="55" s="1"/>
  <c r="P30" i="55"/>
  <c r="S30" i="55" s="1"/>
  <c r="P89" i="55"/>
  <c r="S89" i="55" s="1"/>
  <c r="P45" i="55"/>
  <c r="S45" i="55" s="1"/>
  <c r="P68" i="55"/>
  <c r="S68" i="55" s="1"/>
  <c r="P86" i="55"/>
  <c r="S86" i="55" s="1"/>
  <c r="P36" i="55"/>
  <c r="S36" i="55" s="1"/>
  <c r="P47" i="55"/>
  <c r="S47" i="55" s="1"/>
  <c r="P25" i="55"/>
  <c r="S25" i="55" s="1"/>
  <c r="P91" i="55"/>
  <c r="S91" i="55" s="1"/>
  <c r="P17" i="55"/>
  <c r="S17" i="55" s="1"/>
  <c r="P16" i="55"/>
  <c r="S16" i="55" s="1"/>
  <c r="P29" i="55"/>
  <c r="S29" i="55" s="1"/>
  <c r="P76" i="55"/>
  <c r="S76" i="55" s="1"/>
  <c r="P72" i="55"/>
  <c r="S72" i="55" s="1"/>
  <c r="P101" i="55"/>
  <c r="S101" i="55" s="1"/>
  <c r="P98" i="55"/>
  <c r="S98" i="55" s="1"/>
  <c r="P43" i="55"/>
  <c r="S43" i="55" s="1"/>
  <c r="P85" i="55"/>
  <c r="S85" i="55" s="1"/>
  <c r="P84" i="55"/>
  <c r="S84" i="55" s="1"/>
  <c r="P75" i="55"/>
  <c r="S75" i="55" s="1"/>
  <c r="P12" i="55"/>
  <c r="S12" i="55" s="1"/>
  <c r="AK14" i="26"/>
  <c r="M30" i="55" a="1"/>
  <c r="M30" i="55" s="1"/>
  <c r="O30" i="55" s="1"/>
  <c r="M32" i="55" a="1"/>
  <c r="M32" i="55" s="1"/>
  <c r="M215" i="55" a="1"/>
  <c r="M215" i="55" s="1"/>
  <c r="M27" i="55" a="1"/>
  <c r="M27" i="55" s="1"/>
  <c r="E19" i="55"/>
  <c r="J2" i="55"/>
  <c r="M191" i="55" a="1"/>
  <c r="M191" i="55" s="1"/>
  <c r="O191" i="55" s="1"/>
  <c r="M218" i="55" a="1"/>
  <c r="M218" i="55" s="1"/>
  <c r="O218" i="55" s="1"/>
  <c r="M53" i="55" a="1"/>
  <c r="M53" i="55" s="1"/>
  <c r="M124" i="55" a="1"/>
  <c r="M124" i="55" s="1"/>
  <c r="O124" i="55" s="1"/>
  <c r="M10" i="55" a="1"/>
  <c r="M10" i="55" s="1"/>
  <c r="M62" i="55" a="1"/>
  <c r="M62" i="55" s="1"/>
  <c r="O62" i="55" s="1"/>
  <c r="M48" i="55" a="1"/>
  <c r="M48" i="55" s="1"/>
  <c r="M199" i="55" a="1"/>
  <c r="M199" i="55" s="1"/>
  <c r="G206" i="55"/>
  <c r="H206" i="55"/>
  <c r="G255" i="55"/>
  <c r="H255" i="55"/>
  <c r="S14" i="26"/>
  <c r="J14" i="26"/>
  <c r="AI12" i="26"/>
  <c r="AG14" i="26"/>
  <c r="Y12" i="26"/>
  <c r="O14" i="26"/>
  <c r="W14" i="26"/>
  <c r="B12" i="26"/>
  <c r="S12" i="26"/>
  <c r="AE14" i="26"/>
  <c r="V14" i="26"/>
  <c r="X12" i="26"/>
  <c r="H170" i="55"/>
  <c r="H210" i="55"/>
  <c r="G186" i="55"/>
  <c r="H186" i="55"/>
  <c r="G223" i="55"/>
  <c r="H225" i="55"/>
  <c r="M67" i="55" a="1"/>
  <c r="M67" i="55" s="1"/>
  <c r="O67" i="55" s="1"/>
  <c r="M141" i="55" a="1"/>
  <c r="M141" i="55" s="1"/>
  <c r="O141" i="55" s="1"/>
  <c r="M128" i="55" a="1"/>
  <c r="M128" i="55" s="1"/>
  <c r="O128" i="55" s="1"/>
  <c r="M193" i="55" a="1"/>
  <c r="M193" i="55" s="1"/>
  <c r="O193" i="55" s="1"/>
  <c r="M160" i="55" a="1"/>
  <c r="M160" i="55" s="1"/>
  <c r="O160" i="55" s="1"/>
  <c r="M46" i="55" a="1"/>
  <c r="M46" i="55" s="1"/>
  <c r="M233" i="55" a="1"/>
  <c r="M233" i="55" s="1"/>
  <c r="O233" i="55" s="1"/>
  <c r="M184" i="55" a="1"/>
  <c r="M184" i="55" s="1"/>
  <c r="O184" i="55" s="1"/>
  <c r="M228" i="55" a="1"/>
  <c r="M228" i="55" s="1"/>
  <c r="O228" i="55" s="1"/>
  <c r="M243" i="55" a="1"/>
  <c r="M243" i="55" s="1"/>
  <c r="M142" i="55" a="1"/>
  <c r="M142" i="55" s="1"/>
  <c r="O142" i="55" s="1"/>
  <c r="M175" i="55" a="1"/>
  <c r="M175" i="55" s="1"/>
  <c r="M162" i="55" a="1"/>
  <c r="M162" i="55" s="1"/>
  <c r="M95" i="55" a="1"/>
  <c r="M95" i="55" s="1"/>
  <c r="O95" i="55" s="1"/>
  <c r="M159" i="55" a="1"/>
  <c r="M159" i="55" s="1"/>
  <c r="O159" i="55" s="1"/>
  <c r="M157" i="55" a="1"/>
  <c r="M157" i="55" s="1"/>
  <c r="O157" i="55" s="1"/>
  <c r="H256" i="55"/>
  <c r="M137" i="55" a="1"/>
  <c r="M137" i="55" s="1"/>
  <c r="M140" i="55" a="1"/>
  <c r="M140" i="55" s="1"/>
  <c r="O140" i="55" s="1"/>
  <c r="M177" i="55" a="1"/>
  <c r="M177" i="55" s="1"/>
  <c r="O177" i="55" s="1"/>
  <c r="M64" i="55" a="1"/>
  <c r="M64" i="55" s="1"/>
  <c r="O64" i="55" s="1"/>
  <c r="G211" i="55"/>
  <c r="M8" i="55" a="1"/>
  <c r="M8" i="55" s="1"/>
  <c r="M115" i="55" a="1"/>
  <c r="M115" i="55" s="1"/>
  <c r="O115" i="55" s="1"/>
  <c r="M135" i="55" a="1"/>
  <c r="M135" i="55" s="1"/>
  <c r="R251" i="55"/>
  <c r="M226" i="55" a="1"/>
  <c r="M226" i="55" s="1"/>
  <c r="M81" i="55" a="1"/>
  <c r="M81" i="55" s="1"/>
  <c r="M86" i="55" a="1"/>
  <c r="M86" i="55" s="1"/>
  <c r="O86" i="55" s="1"/>
  <c r="M7" i="55" a="1"/>
  <c r="M7" i="55" s="1"/>
  <c r="M241" i="55" a="1"/>
  <c r="M241" i="55" s="1"/>
  <c r="O241" i="55" s="1"/>
  <c r="M112" i="55" a="1"/>
  <c r="M112" i="55" s="1"/>
  <c r="O112" i="55" s="1"/>
  <c r="M214" i="55" a="1"/>
  <c r="M214" i="55" s="1"/>
  <c r="M106" i="55" a="1"/>
  <c r="M106" i="55" s="1"/>
  <c r="M192" i="55" a="1"/>
  <c r="M192" i="55" s="1"/>
  <c r="M107" i="55" a="1"/>
  <c r="M107" i="55" s="1"/>
  <c r="H199" i="55"/>
  <c r="H195" i="55"/>
  <c r="G243" i="55"/>
  <c r="H243" i="55"/>
  <c r="G151" i="55"/>
  <c r="M52" i="55" a="1"/>
  <c r="M52" i="55" s="1"/>
  <c r="M98" i="55" a="1"/>
  <c r="M98" i="55" s="1"/>
  <c r="M164" i="55" a="1"/>
  <c r="M164" i="55" s="1"/>
  <c r="M36" i="55" a="1"/>
  <c r="M36" i="55" s="1"/>
  <c r="M207" i="55" a="1"/>
  <c r="M207" i="55" s="1"/>
  <c r="M253" i="55" a="1"/>
  <c r="M253" i="55" s="1"/>
  <c r="O253" i="55" s="1"/>
  <c r="M158" i="55" a="1"/>
  <c r="M158" i="55" s="1"/>
  <c r="O158" i="55" s="1"/>
  <c r="M11" i="55" a="1"/>
  <c r="M11" i="55" s="1"/>
  <c r="M96" i="55" a="1"/>
  <c r="M96" i="55" s="1"/>
  <c r="O96" i="55" s="1"/>
  <c r="M33" i="55" a="1"/>
  <c r="M33" i="55" s="1"/>
  <c r="M150" i="55" a="1"/>
  <c r="M150" i="55" s="1"/>
  <c r="M153" i="55" a="1"/>
  <c r="M153" i="55" s="1"/>
  <c r="O153" i="55" s="1"/>
  <c r="M223" i="55" a="1"/>
  <c r="M223" i="55" s="1"/>
  <c r="O223" i="55" s="1"/>
  <c r="M180" i="55" a="1"/>
  <c r="M180" i="55" s="1"/>
  <c r="O180" i="55" s="1"/>
  <c r="M51" i="55" a="1"/>
  <c r="M51" i="55" s="1"/>
  <c r="M251" i="55" a="1"/>
  <c r="M251" i="55" s="1"/>
  <c r="M246" i="55" a="1"/>
  <c r="M246" i="55" s="1"/>
  <c r="O246" i="55" s="1"/>
  <c r="M75" i="55" a="1"/>
  <c r="M75" i="55" s="1"/>
  <c r="M58" i="55" a="1"/>
  <c r="M58" i="55" s="1"/>
  <c r="O58" i="55" s="1"/>
  <c r="M244" i="55" a="1"/>
  <c r="M244" i="55" s="1"/>
  <c r="O244" i="55" s="1"/>
  <c r="M54" i="55" a="1"/>
  <c r="M54" i="55" s="1"/>
  <c r="O54" i="55" s="1"/>
  <c r="M66" i="55" a="1"/>
  <c r="M66" i="55" s="1"/>
  <c r="M82" i="55" a="1"/>
  <c r="M82" i="55" s="1"/>
  <c r="O82" i="55" s="1"/>
  <c r="M229" i="55" a="1"/>
  <c r="M229" i="55" s="1"/>
  <c r="O229" i="55" s="1"/>
  <c r="M72" i="55" a="1"/>
  <c r="M72" i="55" s="1"/>
  <c r="M89" i="55" a="1"/>
  <c r="M89" i="55" s="1"/>
  <c r="M79" i="55" a="1"/>
  <c r="M79" i="55" s="1"/>
  <c r="AH12" i="26"/>
  <c r="T221" i="55"/>
  <c r="M94" i="55" a="1"/>
  <c r="M94" i="55" s="1"/>
  <c r="M174" i="55" a="1"/>
  <c r="M174" i="55" s="1"/>
  <c r="O174" i="55" s="1"/>
  <c r="M134" i="55" a="1"/>
  <c r="M134" i="55" s="1"/>
  <c r="M143" i="55" a="1"/>
  <c r="M143" i="55" s="1"/>
  <c r="M216" i="55" a="1"/>
  <c r="M216" i="55" s="1"/>
  <c r="M56" i="55" a="1"/>
  <c r="M56" i="55" s="1"/>
  <c r="O56" i="55" s="1"/>
  <c r="M122" i="55" a="1"/>
  <c r="M122" i="55" s="1"/>
  <c r="O122" i="55" s="1"/>
  <c r="M181" i="55" a="1"/>
  <c r="M181" i="55" s="1"/>
  <c r="O181" i="55" s="1"/>
  <c r="H258" i="55"/>
  <c r="M105" i="55" a="1"/>
  <c r="M105" i="55" s="1"/>
  <c r="M161" i="55" a="1"/>
  <c r="M161" i="55" s="1"/>
  <c r="M245" i="55" a="1"/>
  <c r="M245" i="55" s="1"/>
  <c r="M169" i="55" a="1"/>
  <c r="M169" i="55" s="1"/>
  <c r="M224" i="55" a="1"/>
  <c r="M224" i="55" s="1"/>
  <c r="O224" i="55" s="1"/>
  <c r="M189" i="55" a="1"/>
  <c r="M189" i="55" s="1"/>
  <c r="O189" i="55" s="1"/>
  <c r="M210" i="55" a="1"/>
  <c r="M210" i="55" s="1"/>
  <c r="M12" i="55" a="1"/>
  <c r="M12" i="55" s="1"/>
  <c r="M88" i="55" a="1"/>
  <c r="M88" i="55" s="1"/>
  <c r="M119" i="55" a="1"/>
  <c r="M119" i="55" s="1"/>
  <c r="M57" i="55" a="1"/>
  <c r="M57" i="55" s="1"/>
  <c r="M196" i="55" a="1"/>
  <c r="M196" i="55" s="1"/>
  <c r="O196" i="55" s="1"/>
  <c r="M242" i="55" a="1"/>
  <c r="M242" i="55" s="1"/>
  <c r="M237" i="55" a="1"/>
  <c r="M237" i="55" s="1"/>
  <c r="M34" i="55" a="1"/>
  <c r="M34" i="55" s="1"/>
  <c r="M144" i="55" a="1"/>
  <c r="M144" i="55" s="1"/>
  <c r="M31" i="55" a="1"/>
  <c r="M31" i="55" s="1"/>
  <c r="M166" i="55" a="1"/>
  <c r="M166" i="55" s="1"/>
  <c r="M50" i="55" a="1"/>
  <c r="M50" i="55" s="1"/>
  <c r="M20" i="55" a="1"/>
  <c r="M20" i="55" s="1"/>
  <c r="G178" i="55"/>
  <c r="H178" i="55"/>
  <c r="H251" i="55"/>
  <c r="M47" i="55" a="1"/>
  <c r="M47" i="55" s="1"/>
  <c r="M231" i="55" a="1"/>
  <c r="M231" i="55" s="1"/>
  <c r="M188" i="55" a="1"/>
  <c r="M188" i="55" s="1"/>
  <c r="O188" i="55" s="1"/>
  <c r="M225" i="55" a="1"/>
  <c r="M225" i="55" s="1"/>
  <c r="M178" i="55" a="1"/>
  <c r="M178" i="55" s="1"/>
  <c r="O178" i="55" s="1"/>
  <c r="M156" i="55" a="1"/>
  <c r="M156" i="55" s="1"/>
  <c r="O156" i="55" s="1"/>
  <c r="M236" i="55" a="1"/>
  <c r="M236" i="55" s="1"/>
  <c r="M217" i="55" a="1"/>
  <c r="M217" i="55" s="1"/>
  <c r="M221" i="55" a="1"/>
  <c r="M221" i="55" s="1"/>
  <c r="M172" i="55" a="1"/>
  <c r="M172" i="55" s="1"/>
  <c r="M118" i="55" a="1"/>
  <c r="M118" i="55" s="1"/>
  <c r="O118" i="55" s="1"/>
  <c r="M73" i="55" a="1"/>
  <c r="M73" i="55" s="1"/>
  <c r="M65" i="55" a="1"/>
  <c r="M65" i="55" s="1"/>
  <c r="O65" i="55" s="1"/>
  <c r="M17" i="55" a="1"/>
  <c r="M17" i="55" s="1"/>
  <c r="AJ14" i="26"/>
  <c r="R12" i="26"/>
  <c r="G2" i="26"/>
  <c r="Z12" i="26"/>
  <c r="T12" i="26"/>
  <c r="AF12" i="26"/>
  <c r="G12" i="26"/>
  <c r="F14" i="26"/>
  <c r="J12" i="26"/>
  <c r="C6" i="26"/>
  <c r="P12" i="26"/>
  <c r="K12" i="26"/>
  <c r="M12" i="26"/>
  <c r="I12" i="26"/>
  <c r="M234" i="55" a="1"/>
  <c r="M234" i="55" s="1"/>
  <c r="M179" i="55" a="1"/>
  <c r="M179" i="55" s="1"/>
  <c r="O179" i="55" s="1"/>
  <c r="G127" i="55"/>
  <c r="H159" i="55"/>
  <c r="H148" i="55"/>
  <c r="H193" i="55"/>
  <c r="H180" i="55"/>
  <c r="G216" i="55"/>
  <c r="G153" i="55"/>
  <c r="G190" i="55"/>
  <c r="G169" i="55"/>
  <c r="H240" i="55"/>
  <c r="G212" i="55"/>
  <c r="M15" i="55" a="1"/>
  <c r="M15" i="55" s="1"/>
  <c r="M84" i="55" a="1"/>
  <c r="M84" i="55" s="1"/>
  <c r="H185" i="55"/>
  <c r="G194" i="55"/>
  <c r="G142" i="55"/>
  <c r="G140" i="55"/>
  <c r="T207" i="55"/>
  <c r="H226" i="55"/>
  <c r="G166" i="55"/>
  <c r="G175" i="55"/>
  <c r="H132" i="55"/>
  <c r="H146" i="55"/>
  <c r="G222" i="55"/>
  <c r="H128" i="55"/>
  <c r="G247" i="55"/>
  <c r="H126" i="55"/>
  <c r="G126" i="55"/>
  <c r="G115" i="55"/>
  <c r="H171" i="55"/>
  <c r="G171" i="55"/>
  <c r="G209" i="55"/>
  <c r="H209" i="55"/>
  <c r="H182" i="55"/>
  <c r="H164" i="55"/>
  <c r="G164" i="55"/>
  <c r="H257" i="55"/>
  <c r="G257" i="55"/>
  <c r="T213" i="55"/>
  <c r="H241" i="55"/>
  <c r="G241" i="55"/>
  <c r="G149" i="55"/>
  <c r="H149" i="55"/>
  <c r="G207" i="55"/>
  <c r="H254" i="55"/>
  <c r="R197" i="55"/>
  <c r="G218" i="55"/>
  <c r="H218" i="55"/>
  <c r="E7" i="26"/>
  <c r="D6" i="26"/>
  <c r="L14" i="26"/>
  <c r="H12" i="26"/>
  <c r="E12" i="26"/>
  <c r="AA12" i="26"/>
  <c r="AH14" i="26"/>
  <c r="C12" i="26"/>
  <c r="U12" i="26"/>
  <c r="K14" i="26"/>
  <c r="AB12" i="26"/>
  <c r="F12" i="26"/>
  <c r="H14" i="26"/>
  <c r="AA14" i="26"/>
  <c r="T14" i="26"/>
  <c r="AD12" i="26"/>
  <c r="G14" i="26"/>
  <c r="Q14" i="26"/>
  <c r="N14" i="26"/>
  <c r="AG12" i="26"/>
  <c r="H229" i="55"/>
  <c r="F7" i="26"/>
  <c r="G7" i="26" s="1"/>
  <c r="E6" i="26"/>
  <c r="F6" i="26"/>
  <c r="D11" i="57"/>
  <c r="D10" i="57"/>
  <c r="D5" i="57"/>
  <c r="D8" i="57"/>
  <c r="D9" i="57"/>
  <c r="D6" i="57"/>
  <c r="D7" i="57"/>
  <c r="D12" i="57"/>
  <c r="P12" i="59" l="1"/>
  <c r="S19" i="59"/>
  <c r="H189" i="55"/>
  <c r="G238" i="55"/>
  <c r="H221" i="55"/>
  <c r="G248" i="55"/>
  <c r="H5" i="59"/>
  <c r="H32" i="59"/>
  <c r="J4" i="59"/>
  <c r="G244" i="55"/>
  <c r="S32" i="59"/>
  <c r="C34" i="59"/>
  <c r="N34" i="59" s="1"/>
  <c r="E39" i="59"/>
  <c r="P7" i="59"/>
  <c r="P32" i="59"/>
  <c r="O35" i="59"/>
  <c r="U35" i="59" s="1"/>
  <c r="B18" i="59"/>
  <c r="B22" i="59"/>
  <c r="G246" i="55"/>
  <c r="R25" i="59"/>
  <c r="G231" i="55"/>
  <c r="P41" i="59"/>
  <c r="R12" i="59"/>
  <c r="H204" i="55"/>
  <c r="D21" i="59"/>
  <c r="H108" i="55"/>
  <c r="D27" i="59"/>
  <c r="R10" i="59"/>
  <c r="H4" i="59"/>
  <c r="G245" i="55"/>
  <c r="G187" i="55"/>
  <c r="G162" i="55"/>
  <c r="K26" i="59"/>
  <c r="R41" i="59"/>
  <c r="H228" i="55"/>
  <c r="P25" i="59"/>
  <c r="D13" i="59"/>
  <c r="E34" i="59"/>
  <c r="D25" i="59"/>
  <c r="D22" i="59"/>
  <c r="D8" i="59"/>
  <c r="H40" i="59"/>
  <c r="P35" i="59"/>
  <c r="Q9" i="59"/>
  <c r="Q39" i="59"/>
  <c r="Q32" i="59"/>
  <c r="I25" i="59"/>
  <c r="I11" i="59"/>
  <c r="B38" i="59"/>
  <c r="T38" i="59" s="1"/>
  <c r="K32" i="59"/>
  <c r="P38" i="59"/>
  <c r="I34" i="59"/>
  <c r="O34" i="59"/>
  <c r="U34" i="59" s="1"/>
  <c r="I40" i="59"/>
  <c r="T233" i="55"/>
  <c r="T235" i="55"/>
  <c r="I6" i="59"/>
  <c r="I21" i="59"/>
  <c r="B11" i="59"/>
  <c r="Q12" i="59"/>
  <c r="R26" i="59"/>
  <c r="E4" i="59"/>
  <c r="C9" i="59"/>
  <c r="N9" i="59" s="1"/>
  <c r="Q7" i="59"/>
  <c r="P39" i="59"/>
  <c r="I26" i="59"/>
  <c r="R21" i="59"/>
  <c r="K12" i="59"/>
  <c r="K41" i="59"/>
  <c r="K10" i="59"/>
  <c r="E32" i="59"/>
  <c r="K22" i="59"/>
  <c r="J12" i="59"/>
  <c r="G40" i="59"/>
  <c r="M40" i="59" s="1"/>
  <c r="K40" i="59"/>
  <c r="I12" i="59"/>
  <c r="J22" i="59"/>
  <c r="O36" i="59"/>
  <c r="U36" i="59" s="1"/>
  <c r="E23" i="59"/>
  <c r="P11" i="59"/>
  <c r="K37" i="59"/>
  <c r="C10" i="59"/>
  <c r="P18" i="59"/>
  <c r="J35" i="59"/>
  <c r="C37" i="59"/>
  <c r="N37" i="59" s="1"/>
  <c r="Q4" i="59"/>
  <c r="B8" i="59"/>
  <c r="G33" i="59"/>
  <c r="M33" i="59" s="1"/>
  <c r="K39" i="59"/>
  <c r="S9" i="59"/>
  <c r="C40" i="59"/>
  <c r="L40" i="59" s="1"/>
  <c r="E13" i="59"/>
  <c r="B37" i="59"/>
  <c r="V37" i="59" s="1"/>
  <c r="D19" i="59"/>
  <c r="H20" i="59"/>
  <c r="E20" i="59"/>
  <c r="G37" i="59"/>
  <c r="M37" i="59" s="1"/>
  <c r="O37" i="59"/>
  <c r="U37" i="59" s="1"/>
  <c r="R27" i="59"/>
  <c r="J23" i="59"/>
  <c r="E25" i="59"/>
  <c r="B36" i="59"/>
  <c r="V36" i="59" s="1"/>
  <c r="E10" i="59"/>
  <c r="I27" i="59"/>
  <c r="S41" i="59"/>
  <c r="S34" i="59"/>
  <c r="Q21" i="59"/>
  <c r="V21" i="59" s="1"/>
  <c r="H39" i="59"/>
  <c r="G36" i="59"/>
  <c r="M36" i="59" s="1"/>
  <c r="C23" i="59"/>
  <c r="S27" i="59"/>
  <c r="Q13" i="59"/>
  <c r="E41" i="59"/>
  <c r="Q36" i="59"/>
  <c r="Q11" i="59"/>
  <c r="R6" i="59"/>
  <c r="C7" i="59"/>
  <c r="K18" i="59"/>
  <c r="J32" i="59"/>
  <c r="B26" i="59"/>
  <c r="E36" i="59"/>
  <c r="J6" i="59"/>
  <c r="H23" i="59"/>
  <c r="I18" i="59"/>
  <c r="K21" i="59"/>
  <c r="O40" i="59"/>
  <c r="U40" i="59" s="1"/>
  <c r="Q34" i="59"/>
  <c r="I19" i="59"/>
  <c r="S5" i="59"/>
  <c r="B6" i="59"/>
  <c r="O41" i="59"/>
  <c r="U41" i="59" s="1"/>
  <c r="K7" i="59"/>
  <c r="I22" i="59"/>
  <c r="H21" i="59"/>
  <c r="H19" i="59"/>
  <c r="Q37" i="59"/>
  <c r="E37" i="59"/>
  <c r="B27" i="59"/>
  <c r="F27" i="59" s="1"/>
  <c r="Q23" i="59"/>
  <c r="C20" i="59"/>
  <c r="J38" i="59"/>
  <c r="D34" i="59"/>
  <c r="I37" i="59"/>
  <c r="R24" i="59"/>
  <c r="J36" i="59"/>
  <c r="I20" i="59"/>
  <c r="D39" i="59"/>
  <c r="E6" i="59"/>
  <c r="B41" i="59"/>
  <c r="T41" i="59" s="1"/>
  <c r="P10" i="59"/>
  <c r="H13" i="59"/>
  <c r="H24" i="59"/>
  <c r="J13" i="59"/>
  <c r="O33" i="59"/>
  <c r="U33" i="59" s="1"/>
  <c r="Q5" i="59"/>
  <c r="R5" i="59"/>
  <c r="R19" i="59"/>
  <c r="S10" i="59"/>
  <c r="K5" i="59"/>
  <c r="P20" i="59"/>
  <c r="I8" i="59"/>
  <c r="D9" i="59"/>
  <c r="E19" i="59"/>
  <c r="B32" i="59"/>
  <c r="V32" i="59" s="1"/>
  <c r="I24" i="59"/>
  <c r="J9" i="59"/>
  <c r="H10" i="59"/>
  <c r="D36" i="59"/>
  <c r="K4" i="59"/>
  <c r="S33" i="59"/>
  <c r="S22" i="59"/>
  <c r="J37" i="59"/>
  <c r="C19" i="59"/>
  <c r="R36" i="59"/>
  <c r="P6" i="59"/>
  <c r="V6" i="59" s="1"/>
  <c r="R39" i="59"/>
  <c r="H18" i="59"/>
  <c r="B9" i="59"/>
  <c r="C22" i="59"/>
  <c r="R13" i="59"/>
  <c r="S39" i="59"/>
  <c r="B24" i="59"/>
  <c r="R9" i="59"/>
  <c r="J21" i="59"/>
  <c r="P33" i="59"/>
  <c r="S24" i="59"/>
  <c r="E35" i="59"/>
  <c r="Q18" i="59"/>
  <c r="R35" i="59"/>
  <c r="B35" i="59"/>
  <c r="F35" i="59" s="1"/>
  <c r="K20" i="59"/>
  <c r="D23" i="59"/>
  <c r="C25" i="59"/>
  <c r="K38" i="59"/>
  <c r="Q38" i="59"/>
  <c r="E11" i="59"/>
  <c r="R7" i="59"/>
  <c r="H35" i="59"/>
  <c r="J41" i="59"/>
  <c r="O38" i="59"/>
  <c r="U38" i="59" s="1"/>
  <c r="G35" i="59"/>
  <c r="M35" i="59" s="1"/>
  <c r="D5" i="59"/>
  <c r="C12" i="59"/>
  <c r="N12" i="59" s="1"/>
  <c r="J25" i="59"/>
  <c r="D40" i="59"/>
  <c r="S23" i="59"/>
  <c r="B5" i="59"/>
  <c r="P13" i="59"/>
  <c r="B23" i="59"/>
  <c r="D18" i="59"/>
  <c r="I10" i="59"/>
  <c r="Q10" i="59"/>
  <c r="D10" i="59"/>
  <c r="G41" i="59"/>
  <c r="M41" i="59" s="1"/>
  <c r="B13" i="59"/>
  <c r="F13" i="59" s="1"/>
  <c r="K6" i="59"/>
  <c r="H12" i="59"/>
  <c r="J26" i="59"/>
  <c r="H36" i="59"/>
  <c r="K34" i="59"/>
  <c r="H38" i="59"/>
  <c r="C6" i="59"/>
  <c r="D33" i="59"/>
  <c r="J40" i="59"/>
  <c r="S38" i="59"/>
  <c r="I36" i="59"/>
  <c r="S12" i="59"/>
  <c r="G38" i="59"/>
  <c r="M38" i="59" s="1"/>
  <c r="I39" i="59"/>
  <c r="I4" i="59"/>
  <c r="I13" i="59"/>
  <c r="E18" i="59"/>
  <c r="S7" i="59"/>
  <c r="E24" i="59"/>
  <c r="C26" i="59"/>
  <c r="S6" i="59"/>
  <c r="D4" i="59"/>
  <c r="R23" i="59"/>
  <c r="C18" i="59"/>
  <c r="J39" i="59"/>
  <c r="H11" i="59"/>
  <c r="D38" i="59"/>
  <c r="H34" i="59"/>
  <c r="S13" i="59"/>
  <c r="E7" i="59"/>
  <c r="P34" i="59"/>
  <c r="H6" i="59"/>
  <c r="H7" i="59"/>
  <c r="I5" i="59"/>
  <c r="P9" i="59"/>
  <c r="B33" i="59"/>
  <c r="F33" i="59" s="1"/>
  <c r="H41" i="59"/>
  <c r="C27" i="59"/>
  <c r="N27" i="59" s="1"/>
  <c r="R33" i="59"/>
  <c r="C39" i="59"/>
  <c r="L39" i="59" s="1"/>
  <c r="Q33" i="59"/>
  <c r="D32" i="59"/>
  <c r="S4" i="59"/>
  <c r="R18" i="59"/>
  <c r="B10" i="59"/>
  <c r="V10" i="59" s="1"/>
  <c r="E22" i="59"/>
  <c r="Q20" i="59"/>
  <c r="C35" i="59"/>
  <c r="L35" i="59" s="1"/>
  <c r="B40" i="59"/>
  <c r="T40" i="59" s="1"/>
  <c r="J34" i="59"/>
  <c r="J10" i="59"/>
  <c r="C13" i="59"/>
  <c r="L13" i="59" s="1"/>
  <c r="B7" i="59"/>
  <c r="E27" i="59"/>
  <c r="R37" i="59"/>
  <c r="Q25" i="59"/>
  <c r="R4" i="59"/>
  <c r="H26" i="59"/>
  <c r="C33" i="59"/>
  <c r="N33" i="59" s="1"/>
  <c r="E33" i="59"/>
  <c r="C11" i="59"/>
  <c r="O32" i="59"/>
  <c r="U32" i="59" s="1"/>
  <c r="K11" i="59"/>
  <c r="S26" i="59"/>
  <c r="K13" i="59"/>
  <c r="R40" i="59"/>
  <c r="I38" i="59"/>
  <c r="D35" i="59"/>
  <c r="I9" i="59"/>
  <c r="J8" i="59"/>
  <c r="H9" i="59"/>
  <c r="B12" i="59"/>
  <c r="F12" i="59" s="1"/>
  <c r="D26" i="59"/>
  <c r="C5" i="59"/>
  <c r="Q22" i="59"/>
  <c r="R11" i="59"/>
  <c r="O39" i="59"/>
  <c r="U39" i="59" s="1"/>
  <c r="Q8" i="59"/>
  <c r="D24" i="59"/>
  <c r="D37" i="59"/>
  <c r="K24" i="59"/>
  <c r="K9" i="59"/>
  <c r="H8" i="59"/>
  <c r="C38" i="59"/>
  <c r="L38" i="59" s="1"/>
  <c r="E9" i="59"/>
  <c r="I23" i="59"/>
  <c r="B20" i="59"/>
  <c r="V20" i="59" s="1"/>
  <c r="P27" i="59"/>
  <c r="D11" i="59"/>
  <c r="D6" i="59"/>
  <c r="J20" i="59"/>
  <c r="P22" i="59"/>
  <c r="J27" i="59"/>
  <c r="Q19" i="59"/>
  <c r="P21" i="59"/>
  <c r="Q6" i="59"/>
  <c r="Q35" i="59"/>
  <c r="K23" i="59"/>
  <c r="K35" i="59"/>
  <c r="C41" i="59"/>
  <c r="N41" i="59" s="1"/>
  <c r="B21" i="59"/>
  <c r="K36" i="59"/>
  <c r="I33" i="59"/>
  <c r="Q40" i="59"/>
  <c r="K19" i="59"/>
  <c r="E40" i="59"/>
  <c r="Q41" i="59"/>
  <c r="G39" i="59"/>
  <c r="M39" i="59" s="1"/>
  <c r="C24" i="59"/>
  <c r="Q27" i="59"/>
  <c r="C21" i="59"/>
  <c r="Q26" i="59"/>
  <c r="R20" i="59"/>
  <c r="C32" i="59"/>
  <c r="L32" i="59" s="1"/>
  <c r="E26" i="59"/>
  <c r="E12" i="59"/>
  <c r="J7" i="59"/>
  <c r="S18" i="59"/>
  <c r="T214" i="55"/>
  <c r="G119" i="55"/>
  <c r="H136" i="55"/>
  <c r="G118" i="55"/>
  <c r="K169" i="55" a="1"/>
  <c r="K169" i="55" s="1"/>
  <c r="H34" i="55"/>
  <c r="H252" i="55"/>
  <c r="G239" i="55"/>
  <c r="H200" i="55"/>
  <c r="H215" i="55"/>
  <c r="H19" i="55"/>
  <c r="G202" i="55"/>
  <c r="G113" i="55"/>
  <c r="G173" i="55"/>
  <c r="G135" i="55"/>
  <c r="T231" i="55"/>
  <c r="T162" i="55"/>
  <c r="T172" i="55"/>
  <c r="T197" i="55"/>
  <c r="T185" i="55"/>
  <c r="T181" i="55"/>
  <c r="T223" i="55"/>
  <c r="T250" i="55"/>
  <c r="T183" i="55"/>
  <c r="T232" i="55"/>
  <c r="T146" i="55"/>
  <c r="T186" i="55"/>
  <c r="N61" i="55" a="1"/>
  <c r="N61" i="55" s="1"/>
  <c r="H183" i="55"/>
  <c r="G141" i="55"/>
  <c r="H232" i="55"/>
  <c r="H250" i="55"/>
  <c r="G41" i="55"/>
  <c r="H143" i="55"/>
  <c r="G40" i="55"/>
  <c r="H22" i="55"/>
  <c r="H137" i="55"/>
  <c r="G65" i="55"/>
  <c r="N247" i="55" a="1"/>
  <c r="N247" i="55" s="1"/>
  <c r="K159" i="55" a="1"/>
  <c r="K159" i="55" s="1"/>
  <c r="H94" i="55"/>
  <c r="T35" i="55"/>
  <c r="T246" i="55"/>
  <c r="T179" i="55"/>
  <c r="G111" i="55"/>
  <c r="G20" i="55"/>
  <c r="H48" i="55"/>
  <c r="G13" i="59"/>
  <c r="M13" i="59" s="1"/>
  <c r="T253" i="55"/>
  <c r="K128" i="55" a="1"/>
  <c r="K128" i="55" s="1"/>
  <c r="O27" i="59"/>
  <c r="U27" i="59" s="1"/>
  <c r="T199" i="55"/>
  <c r="G55" i="55"/>
  <c r="K98" i="55" a="1"/>
  <c r="K98" i="55" s="1"/>
  <c r="K244" i="55" a="1"/>
  <c r="K244" i="55" s="1"/>
  <c r="K238" i="55" a="1"/>
  <c r="K238" i="55" s="1"/>
  <c r="H49" i="55"/>
  <c r="G235" i="55"/>
  <c r="H59" i="55"/>
  <c r="K199" i="55" a="1"/>
  <c r="K199" i="55" s="1"/>
  <c r="K142" i="55" a="1"/>
  <c r="K142" i="55" s="1"/>
  <c r="K197" i="55" a="1"/>
  <c r="K197" i="55" s="1"/>
  <c r="H80" i="55"/>
  <c r="N109" i="55" a="1"/>
  <c r="N109" i="55" s="1"/>
  <c r="H114" i="55"/>
  <c r="K254" i="55" a="1"/>
  <c r="K254" i="55" s="1"/>
  <c r="K235" i="55" a="1"/>
  <c r="K235" i="55" s="1"/>
  <c r="G188" i="55"/>
  <c r="K202" i="55" a="1"/>
  <c r="K202" i="55" s="1"/>
  <c r="H33" i="55"/>
  <c r="H163" i="55"/>
  <c r="G220" i="55"/>
  <c r="K215" i="55" a="1"/>
  <c r="K215" i="55" s="1"/>
  <c r="N200" i="55" a="1"/>
  <c r="N200" i="55" s="1"/>
  <c r="G27" i="59"/>
  <c r="M27" i="59" s="1"/>
  <c r="K209" i="55" a="1"/>
  <c r="K209" i="55" s="1"/>
  <c r="N220" i="55" a="1"/>
  <c r="N220" i="55" s="1"/>
  <c r="K17" i="55" a="1"/>
  <c r="K17" i="55" s="1"/>
  <c r="K146" i="55" a="1"/>
  <c r="K146" i="55" s="1"/>
  <c r="N114" i="55" a="1"/>
  <c r="N114" i="55" s="1"/>
  <c r="K34" i="55" a="1"/>
  <c r="K34" i="55" s="1"/>
  <c r="K216" i="55" a="1"/>
  <c r="K216" i="55" s="1"/>
  <c r="K237" i="55" a="1"/>
  <c r="K237" i="55" s="1"/>
  <c r="K115" i="55" a="1"/>
  <c r="K115" i="55" s="1"/>
  <c r="K173" i="55" a="1"/>
  <c r="K173" i="55" s="1"/>
  <c r="K89" i="55" a="1"/>
  <c r="K89" i="55" s="1"/>
  <c r="K109" i="55" a="1"/>
  <c r="K109" i="55" s="1"/>
  <c r="K245" i="55" a="1"/>
  <c r="K245" i="55" s="1"/>
  <c r="K193" i="55" a="1"/>
  <c r="K193" i="55" s="1"/>
  <c r="K126" i="55" a="1"/>
  <c r="K126" i="55" s="1"/>
  <c r="K242" i="55" a="1"/>
  <c r="K242" i="55" s="1"/>
  <c r="T171" i="55"/>
  <c r="T228" i="55"/>
  <c r="K228" i="55" a="1"/>
  <c r="K228" i="55" s="1"/>
  <c r="K164" i="55" a="1"/>
  <c r="K164" i="55" s="1"/>
  <c r="K41" i="55" a="1"/>
  <c r="K41" i="55" s="1"/>
  <c r="K166" i="55" a="1"/>
  <c r="K166" i="55" s="1"/>
  <c r="G43" i="55"/>
  <c r="K21" i="55" a="1"/>
  <c r="K21" i="55" s="1"/>
  <c r="K182" i="55" a="1"/>
  <c r="K182" i="55" s="1"/>
  <c r="N145" i="55" a="1"/>
  <c r="N145" i="55" s="1"/>
  <c r="N139" i="55" a="1"/>
  <c r="N139" i="55" s="1"/>
  <c r="K111" i="55" a="1"/>
  <c r="K111" i="55" s="1"/>
  <c r="K40" i="55" a="1"/>
  <c r="K40" i="55" s="1"/>
  <c r="K86" i="55" a="1"/>
  <c r="K86" i="55" s="1"/>
  <c r="K221" i="55" a="1"/>
  <c r="K221" i="55" s="1"/>
  <c r="K64" i="55" a="1"/>
  <c r="K64" i="55" s="1"/>
  <c r="K175" i="55" a="1"/>
  <c r="K175" i="55" s="1"/>
  <c r="K167" i="55" a="1"/>
  <c r="K167" i="55" s="1"/>
  <c r="K35" i="55" a="1"/>
  <c r="K35" i="55" s="1"/>
  <c r="K230" i="55" a="1"/>
  <c r="K230" i="55" s="1"/>
  <c r="K247" i="55" a="1"/>
  <c r="K247" i="55" s="1"/>
  <c r="K240" i="55" a="1"/>
  <c r="K240" i="55" s="1"/>
  <c r="K85" i="55" a="1"/>
  <c r="K85" i="55" s="1"/>
  <c r="G96" i="55"/>
  <c r="K144" i="55" a="1"/>
  <c r="K144" i="55" s="1"/>
  <c r="K171" i="55" a="1"/>
  <c r="K171" i="55" s="1"/>
  <c r="K140" i="55" a="1"/>
  <c r="K140" i="55" s="1"/>
  <c r="K153" i="55" a="1"/>
  <c r="K153" i="55" s="1"/>
  <c r="K225" i="55" a="1"/>
  <c r="K225" i="55" s="1"/>
  <c r="K33" i="55" a="1"/>
  <c r="K33" i="55" s="1"/>
  <c r="K137" i="55" a="1"/>
  <c r="K137" i="55" s="1"/>
  <c r="K198" i="55" a="1"/>
  <c r="K198" i="55" s="1"/>
  <c r="K151" i="55" a="1"/>
  <c r="K151" i="55" s="1"/>
  <c r="K207" i="55" a="1"/>
  <c r="K207" i="55" s="1"/>
  <c r="T66" i="55"/>
  <c r="T52" i="55"/>
  <c r="N223" i="55" a="1"/>
  <c r="N223" i="55" s="1"/>
  <c r="N96" i="55" a="1"/>
  <c r="N96" i="55" s="1"/>
  <c r="N75" i="55" a="1"/>
  <c r="N75" i="55" s="1"/>
  <c r="O75" i="55" s="1"/>
  <c r="N254" i="55" a="1"/>
  <c r="N254" i="55" s="1"/>
  <c r="N78" i="55" a="1"/>
  <c r="N78" i="55" s="1"/>
  <c r="N224" i="55" a="1"/>
  <c r="N224" i="55" s="1"/>
  <c r="N175" i="55" a="1"/>
  <c r="N175" i="55" s="1"/>
  <c r="O175" i="55" s="1"/>
  <c r="N215" i="55" a="1"/>
  <c r="N215" i="55" s="1"/>
  <c r="O215" i="55" s="1"/>
  <c r="T243" i="55"/>
  <c r="N236" i="55" a="1"/>
  <c r="N236" i="55" s="1"/>
  <c r="N173" i="55" a="1"/>
  <c r="N173" i="55" s="1"/>
  <c r="T71" i="55"/>
  <c r="N37" i="55" a="1"/>
  <c r="N37" i="55" s="1"/>
  <c r="N32" i="55" a="1"/>
  <c r="N32" i="55" s="1"/>
  <c r="O32" i="55" s="1"/>
  <c r="M59" i="55" a="1"/>
  <c r="M59" i="55" s="1"/>
  <c r="M186" i="55" a="1"/>
  <c r="M186" i="55" s="1"/>
  <c r="O186" i="55" s="1"/>
  <c r="M2" i="55"/>
  <c r="M103" i="55" a="1"/>
  <c r="M103" i="55" s="1"/>
  <c r="O103" i="55" s="1"/>
  <c r="M127" i="55" a="1"/>
  <c r="M127" i="55" s="1"/>
  <c r="O127" i="55" s="1"/>
  <c r="F9" i="59"/>
  <c r="N14" i="55" a="1"/>
  <c r="N14" i="55" s="1"/>
  <c r="N256" i="55" a="1"/>
  <c r="N256" i="55" s="1"/>
  <c r="N30" i="55" a="1"/>
  <c r="N30" i="55" s="1"/>
  <c r="N111" i="55" a="1"/>
  <c r="N111" i="55" s="1"/>
  <c r="N198" i="55" a="1"/>
  <c r="N198" i="55" s="1"/>
  <c r="O20" i="59"/>
  <c r="U20" i="59" s="1"/>
  <c r="N106" i="55" a="1"/>
  <c r="N106" i="55" s="1"/>
  <c r="N104" i="55" a="1"/>
  <c r="N104" i="55" s="1"/>
  <c r="T76" i="55"/>
  <c r="G11" i="59"/>
  <c r="N81" i="55" a="1"/>
  <c r="N81" i="55" s="1"/>
  <c r="O81" i="55" s="1"/>
  <c r="N113" i="55" a="1"/>
  <c r="N113" i="55" s="1"/>
  <c r="T74" i="55"/>
  <c r="K180" i="55" a="1"/>
  <c r="K180" i="55" s="1"/>
  <c r="K47" i="55" a="1"/>
  <c r="K47" i="55" s="1"/>
  <c r="K121" i="55" a="1"/>
  <c r="K121" i="55" s="1"/>
  <c r="K246" i="55" a="1"/>
  <c r="K246" i="55" s="1"/>
  <c r="N74" i="55" a="1"/>
  <c r="N74" i="55" s="1"/>
  <c r="G97" i="55"/>
  <c r="N17" i="55" a="1"/>
  <c r="N17" i="55" s="1"/>
  <c r="O17" i="55" s="1"/>
  <c r="M173" i="55" a="1"/>
  <c r="M173" i="55" s="1"/>
  <c r="M63" i="55" a="1"/>
  <c r="M63" i="55" s="1"/>
  <c r="O63" i="55" s="1"/>
  <c r="M200" i="55" a="1"/>
  <c r="M200" i="55" s="1"/>
  <c r="O200" i="55" s="1"/>
  <c r="N144" i="55" a="1"/>
  <c r="N144" i="55" s="1"/>
  <c r="T147" i="55"/>
  <c r="K60" i="55" a="1"/>
  <c r="K60" i="55" s="1"/>
  <c r="N189" i="55" a="1"/>
  <c r="N189" i="55" s="1"/>
  <c r="K127" i="55" a="1"/>
  <c r="K127" i="55" s="1"/>
  <c r="K13" i="55" a="1"/>
  <c r="K13" i="55" s="1"/>
  <c r="N240" i="55" a="1"/>
  <c r="N240" i="55" s="1"/>
  <c r="N73" i="55" a="1"/>
  <c r="N73" i="55" s="1"/>
  <c r="O73" i="55" s="1"/>
  <c r="M110" i="55" a="1"/>
  <c r="M110" i="55" s="1"/>
  <c r="M42" i="55" a="1"/>
  <c r="M42" i="55" s="1"/>
  <c r="O42" i="55" s="1"/>
  <c r="M209" i="55" a="1"/>
  <c r="M209" i="55" s="1"/>
  <c r="O209" i="55" s="1"/>
  <c r="M277" i="55"/>
  <c r="M22" i="55" a="1"/>
  <c r="M22" i="55" s="1"/>
  <c r="G5" i="59"/>
  <c r="M5" i="59" s="1"/>
  <c r="K114" i="55" a="1"/>
  <c r="K114" i="55" s="1"/>
  <c r="N128" i="55" a="1"/>
  <c r="N128" i="55" s="1"/>
  <c r="T219" i="55"/>
  <c r="K22" i="55" a="1"/>
  <c r="K22" i="55" s="1"/>
  <c r="T164" i="55"/>
  <c r="G21" i="59"/>
  <c r="L21" i="59" s="1"/>
  <c r="T21" i="55"/>
  <c r="G9" i="59"/>
  <c r="N27" i="55" a="1"/>
  <c r="N27" i="55" s="1"/>
  <c r="O27" i="55" s="1"/>
  <c r="T237" i="55"/>
  <c r="K119" i="55" a="1"/>
  <c r="K119" i="55" s="1"/>
  <c r="K65" i="55" a="1"/>
  <c r="K65" i="55" s="1"/>
  <c r="K49" i="55" a="1"/>
  <c r="K49" i="55" s="1"/>
  <c r="H7" i="55"/>
  <c r="G51" i="55"/>
  <c r="H93" i="55"/>
  <c r="K83" i="55" a="1"/>
  <c r="K83" i="55" s="1"/>
  <c r="H123" i="55"/>
  <c r="G13" i="55"/>
  <c r="K123" i="55" a="1"/>
  <c r="K123" i="55" s="1"/>
  <c r="K124" i="55" a="1"/>
  <c r="K124" i="55" s="1"/>
  <c r="H121" i="55"/>
  <c r="K84" i="55" a="1"/>
  <c r="K84" i="55" s="1"/>
  <c r="K76" i="55" a="1"/>
  <c r="K76" i="55" s="1"/>
  <c r="H21" i="55"/>
  <c r="K62" i="55" a="1"/>
  <c r="K62" i="55" s="1"/>
  <c r="G72" i="55"/>
  <c r="H89" i="55"/>
  <c r="K101" i="55" a="1"/>
  <c r="K101" i="55" s="1"/>
  <c r="H29" i="55"/>
  <c r="K108" i="55" a="1"/>
  <c r="K108" i="55" s="1"/>
  <c r="H106" i="55"/>
  <c r="K93" i="55" a="1"/>
  <c r="K93" i="55" s="1"/>
  <c r="K59" i="55" a="1"/>
  <c r="K59" i="55" s="1"/>
  <c r="T208" i="55"/>
  <c r="T110" i="55"/>
  <c r="T138" i="55"/>
  <c r="T174" i="55"/>
  <c r="K91" i="55" a="1"/>
  <c r="K91" i="55" s="1"/>
  <c r="M19" i="55" a="1"/>
  <c r="M19" i="55" s="1"/>
  <c r="K58" i="55" a="1"/>
  <c r="K58" i="55" s="1"/>
  <c r="M213" i="55" a="1"/>
  <c r="M213" i="55" s="1"/>
  <c r="O213" i="55" s="1"/>
  <c r="M29" i="55" a="1"/>
  <c r="M29" i="55" s="1"/>
  <c r="M257" i="55" a="1"/>
  <c r="M257" i="55" s="1"/>
  <c r="M138" i="55" a="1"/>
  <c r="M138" i="55" s="1"/>
  <c r="O138" i="55" s="1"/>
  <c r="M249" i="55" a="1"/>
  <c r="M249" i="55" s="1"/>
  <c r="M147" i="55" a="1"/>
  <c r="M147" i="55" s="1"/>
  <c r="M197" i="55" a="1"/>
  <c r="M197" i="55" s="1"/>
  <c r="O197" i="55" s="1"/>
  <c r="G23" i="59"/>
  <c r="K88" i="55" a="1"/>
  <c r="K88" i="55" s="1"/>
  <c r="H88" i="55"/>
  <c r="F36" i="59"/>
  <c r="T36" i="59"/>
  <c r="T55" i="55"/>
  <c r="T156" i="55"/>
  <c r="M39" i="55" a="1"/>
  <c r="M39" i="55" s="1"/>
  <c r="K36" i="55" a="1"/>
  <c r="K36" i="55" s="1"/>
  <c r="T188" i="55"/>
  <c r="T83" i="55"/>
  <c r="G152" i="55"/>
  <c r="H152" i="55"/>
  <c r="K152" i="55" a="1"/>
  <c r="K152" i="55" s="1"/>
  <c r="G66" i="55"/>
  <c r="H66" i="55"/>
  <c r="K66" i="55" a="1"/>
  <c r="K66" i="55" s="1"/>
  <c r="T25" i="55"/>
  <c r="O22" i="59"/>
  <c r="U22" i="59" s="1"/>
  <c r="T38" i="55"/>
  <c r="K162" i="55" a="1"/>
  <c r="K162" i="55" s="1"/>
  <c r="N13" i="55" a="1"/>
  <c r="N13" i="55" s="1"/>
  <c r="N51" i="55" a="1"/>
  <c r="N51" i="55" s="1"/>
  <c r="O51" i="55" s="1"/>
  <c r="T67" i="55"/>
  <c r="T130" i="55"/>
  <c r="L33" i="59"/>
  <c r="G84" i="55"/>
  <c r="K188" i="55" a="1"/>
  <c r="K188" i="55" s="1"/>
  <c r="N56" i="55" a="1"/>
  <c r="N56" i="55" s="1"/>
  <c r="N227" i="55" a="1"/>
  <c r="N227" i="55" s="1"/>
  <c r="K194" i="55" a="1"/>
  <c r="K194" i="55" s="1"/>
  <c r="N160" i="55" a="1"/>
  <c r="N160" i="55" s="1"/>
  <c r="K243" i="55" a="1"/>
  <c r="K243" i="55" s="1"/>
  <c r="N35" i="59"/>
  <c r="T27" i="59"/>
  <c r="K20" i="55" a="1"/>
  <c r="K20" i="55" s="1"/>
  <c r="N103" i="55" a="1"/>
  <c r="N103" i="55" s="1"/>
  <c r="N22" i="55" a="1"/>
  <c r="N22" i="55" s="1"/>
  <c r="K132" i="55" a="1"/>
  <c r="K132" i="55" s="1"/>
  <c r="F24" i="59"/>
  <c r="H85" i="55"/>
  <c r="K248" i="55" a="1"/>
  <c r="K248" i="55" s="1"/>
  <c r="K200" i="55" a="1"/>
  <c r="K200" i="55" s="1"/>
  <c r="K80" i="55" a="1"/>
  <c r="K80" i="55" s="1"/>
  <c r="K208" i="55" a="1"/>
  <c r="K208" i="55" s="1"/>
  <c r="N233" i="55" a="1"/>
  <c r="N233" i="55" s="1"/>
  <c r="N50" i="55" a="1"/>
  <c r="N50" i="55" s="1"/>
  <c r="O50" i="55" s="1"/>
  <c r="K55" i="55" a="1"/>
  <c r="K55" i="55" s="1"/>
  <c r="N250" i="55" a="1"/>
  <c r="N250" i="55" s="1"/>
  <c r="T98" i="55"/>
  <c r="T96" i="55"/>
  <c r="N18" i="55" a="1"/>
  <c r="N18" i="55" s="1"/>
  <c r="T64" i="55"/>
  <c r="V27" i="59"/>
  <c r="N127" i="55" a="1"/>
  <c r="N127" i="55" s="1"/>
  <c r="K106" i="55" a="1"/>
  <c r="K106" i="55" s="1"/>
  <c r="P2" i="53"/>
  <c r="N185" i="55" a="1"/>
  <c r="N185" i="55" s="1"/>
  <c r="T148" i="55"/>
  <c r="T82" i="55"/>
  <c r="L27" i="59"/>
  <c r="G44" i="55"/>
  <c r="N148" i="55" a="1"/>
  <c r="N148" i="55" s="1"/>
  <c r="K149" i="55" a="1"/>
  <c r="K149" i="55" s="1"/>
  <c r="K204" i="55" a="1"/>
  <c r="K204" i="55" s="1"/>
  <c r="K118" i="55" a="1"/>
  <c r="K118" i="55" s="1"/>
  <c r="N11" i="55" a="1"/>
  <c r="N11" i="55" s="1"/>
  <c r="O11" i="55" s="1"/>
  <c r="N165" i="55" a="1"/>
  <c r="N165" i="55" s="1"/>
  <c r="T99" i="55"/>
  <c r="P393" i="53"/>
  <c r="L68" i="55" s="1" a="1"/>
  <c r="L68" i="55" s="1"/>
  <c r="K223" i="55" a="1"/>
  <c r="K223" i="55" s="1"/>
  <c r="N221" i="55" a="1"/>
  <c r="N221" i="55" s="1"/>
  <c r="O221" i="55" s="1"/>
  <c r="O4" i="59"/>
  <c r="O19" i="59"/>
  <c r="T72" i="55"/>
  <c r="T33" i="55"/>
  <c r="T200" i="55"/>
  <c r="T202" i="55"/>
  <c r="T32" i="55"/>
  <c r="T75" i="55"/>
  <c r="T127" i="55"/>
  <c r="T114" i="55"/>
  <c r="T210" i="55"/>
  <c r="T81" i="55"/>
  <c r="T51" i="55"/>
  <c r="T120" i="55"/>
  <c r="T126" i="55"/>
  <c r="T128" i="55"/>
  <c r="T248" i="55"/>
  <c r="G99" i="55"/>
  <c r="H57" i="55"/>
  <c r="G57" i="55"/>
  <c r="G227" i="55"/>
  <c r="H227" i="55"/>
  <c r="H45" i="55"/>
  <c r="K45" i="55" a="1"/>
  <c r="K45" i="55" s="1"/>
  <c r="K77" i="55" a="1"/>
  <c r="K77" i="55" s="1"/>
  <c r="G77" i="55"/>
  <c r="H77" i="55"/>
  <c r="G104" i="55"/>
  <c r="H28" i="55"/>
  <c r="O24" i="59"/>
  <c r="T24" i="59" s="1"/>
  <c r="V13" i="59"/>
  <c r="T13" i="59"/>
  <c r="N10" i="59"/>
  <c r="T69" i="55"/>
  <c r="O12" i="59"/>
  <c r="U12" i="59" s="1"/>
  <c r="O18" i="59"/>
  <c r="T18" i="59" s="1"/>
  <c r="O8" i="59"/>
  <c r="U8" i="59" s="1"/>
  <c r="T41" i="55"/>
  <c r="O7" i="59"/>
  <c r="T7" i="59" s="1"/>
  <c r="T168" i="55"/>
  <c r="T135" i="55"/>
  <c r="V18" i="59"/>
  <c r="G98" i="55"/>
  <c r="T27" i="55"/>
  <c r="T90" i="55"/>
  <c r="T152" i="55"/>
  <c r="V9" i="59"/>
  <c r="T70" i="55"/>
  <c r="T143" i="55"/>
  <c r="T18" i="55"/>
  <c r="T212" i="55"/>
  <c r="T236" i="55"/>
  <c r="T256" i="55"/>
  <c r="T254" i="55"/>
  <c r="T89" i="55"/>
  <c r="T39" i="55"/>
  <c r="T167" i="55"/>
  <c r="T203" i="55"/>
  <c r="T48" i="55"/>
  <c r="T158" i="55"/>
  <c r="T173" i="55"/>
  <c r="T101" i="55"/>
  <c r="S393" i="53"/>
  <c r="G26" i="59"/>
  <c r="G6" i="59"/>
  <c r="L6" i="59" s="1"/>
  <c r="T31" i="55"/>
  <c r="T22" i="55"/>
  <c r="T125" i="55"/>
  <c r="T68" i="55"/>
  <c r="T153" i="55"/>
  <c r="T160" i="55"/>
  <c r="V22" i="59"/>
  <c r="G19" i="59"/>
  <c r="AE393" i="53"/>
  <c r="T140" i="55"/>
  <c r="T257" i="55"/>
  <c r="T84" i="55"/>
  <c r="T87" i="55"/>
  <c r="T13" i="55"/>
  <c r="AE2" i="53"/>
  <c r="T108" i="55"/>
  <c r="T242" i="55"/>
  <c r="T240" i="55"/>
  <c r="T88" i="55"/>
  <c r="T15" i="55"/>
  <c r="T154" i="55"/>
  <c r="T182" i="55"/>
  <c r="T184" i="55"/>
  <c r="T249" i="55"/>
  <c r="Q2" i="55"/>
  <c r="T56" i="55"/>
  <c r="T12" i="55"/>
  <c r="T201" i="55"/>
  <c r="T234" i="55"/>
  <c r="T91" i="55"/>
  <c r="T85" i="55"/>
  <c r="T116" i="55"/>
  <c r="T63" i="55"/>
  <c r="T136" i="55"/>
  <c r="O10" i="59"/>
  <c r="T10" i="55"/>
  <c r="T169" i="55"/>
  <c r="T175" i="55"/>
  <c r="T229" i="55"/>
  <c r="T28" i="55"/>
  <c r="T109" i="55"/>
  <c r="T8" i="55"/>
  <c r="T93" i="55"/>
  <c r="T44" i="55"/>
  <c r="T78" i="55"/>
  <c r="T105" i="55"/>
  <c r="T65" i="55"/>
  <c r="T26" i="55"/>
  <c r="T122" i="55"/>
  <c r="T144" i="55"/>
  <c r="T239" i="55"/>
  <c r="T103" i="55"/>
  <c r="T92" i="55"/>
  <c r="T60" i="55"/>
  <c r="T19" i="55"/>
  <c r="T150" i="55"/>
  <c r="T211" i="55"/>
  <c r="T255" i="55"/>
  <c r="T244" i="55"/>
  <c r="H68" i="55"/>
  <c r="K68" i="55" a="1"/>
  <c r="K68" i="55" s="1"/>
  <c r="G68" i="55"/>
  <c r="H156" i="55"/>
  <c r="K156" i="55" a="1"/>
  <c r="K156" i="55" s="1"/>
  <c r="G156" i="55"/>
  <c r="G125" i="55"/>
  <c r="K125" i="55" a="1"/>
  <c r="K125" i="55" s="1"/>
  <c r="H125" i="55"/>
  <c r="K46" i="55" a="1"/>
  <c r="K46" i="55" s="1"/>
  <c r="G46" i="55"/>
  <c r="H46" i="55"/>
  <c r="H74" i="55"/>
  <c r="G74" i="55"/>
  <c r="G30" i="55"/>
  <c r="K30" i="55" a="1"/>
  <c r="K30" i="55" s="1"/>
  <c r="H30" i="55"/>
  <c r="H11" i="55"/>
  <c r="G11" i="55"/>
  <c r="H82" i="55"/>
  <c r="G27" i="55"/>
  <c r="H9" i="55"/>
  <c r="K9" i="55" a="1"/>
  <c r="K9" i="55" s="1"/>
  <c r="G9" i="55"/>
  <c r="N181" i="55" a="1"/>
  <c r="N181" i="55" s="1"/>
  <c r="S2" i="53"/>
  <c r="N34" i="55" a="1"/>
  <c r="N34" i="55" s="1"/>
  <c r="O34" i="55" s="1"/>
  <c r="N20" i="55" a="1"/>
  <c r="N20" i="55" s="1"/>
  <c r="O20" i="55" s="1"/>
  <c r="N44" i="55" a="1"/>
  <c r="N44" i="55" s="1"/>
  <c r="N225" i="55" a="1"/>
  <c r="N225" i="55" s="1"/>
  <c r="O225" i="55" s="1"/>
  <c r="N205" i="55" a="1"/>
  <c r="N205" i="55" s="1"/>
  <c r="N88" i="55" a="1"/>
  <c r="N88" i="55" s="1"/>
  <c r="O88" i="55" s="1"/>
  <c r="N211" i="55" a="1"/>
  <c r="N211" i="55" s="1"/>
  <c r="N196" i="55" a="1"/>
  <c r="N196" i="55" s="1"/>
  <c r="N85" i="55" a="1"/>
  <c r="N85" i="55" s="1"/>
  <c r="N159" i="55" a="1"/>
  <c r="N159" i="55" s="1"/>
  <c r="N242" i="55" a="1"/>
  <c r="N242" i="55" s="1"/>
  <c r="N209" i="55" a="1"/>
  <c r="N209" i="55" s="1"/>
  <c r="N141" i="55" a="1"/>
  <c r="N141" i="55" s="1"/>
  <c r="K250" i="55" a="1"/>
  <c r="K250" i="55" s="1"/>
  <c r="O9" i="59"/>
  <c r="O23" i="59"/>
  <c r="O26" i="59"/>
  <c r="U26" i="59" s="1"/>
  <c r="G12" i="59"/>
  <c r="G25" i="59"/>
  <c r="T62" i="55"/>
  <c r="T43" i="55"/>
  <c r="T119" i="55"/>
  <c r="T142" i="55"/>
  <c r="T151" i="55"/>
  <c r="T194" i="55"/>
  <c r="N219" i="55" a="1"/>
  <c r="N219" i="55" s="1"/>
  <c r="N72" i="55" a="1"/>
  <c r="N72" i="55" s="1"/>
  <c r="O72" i="55" s="1"/>
  <c r="N161" i="55" a="1"/>
  <c r="N161" i="55" s="1"/>
  <c r="O161" i="55" s="1"/>
  <c r="N232" i="55" a="1"/>
  <c r="N232" i="55" s="1"/>
  <c r="N68" i="55" a="1"/>
  <c r="N68" i="55" s="1"/>
  <c r="N177" i="55" a="1"/>
  <c r="N177" i="55" s="1"/>
  <c r="H104" i="55"/>
  <c r="G54" i="55"/>
  <c r="N84" i="55" a="1"/>
  <c r="N84" i="55" s="1"/>
  <c r="O84" i="55" s="1"/>
  <c r="N82" i="55" a="1"/>
  <c r="N82" i="55" s="1"/>
  <c r="N166" i="55" a="1"/>
  <c r="N166" i="55" s="1"/>
  <c r="O166" i="55" s="1"/>
  <c r="N170" i="55" a="1"/>
  <c r="N170" i="55" s="1"/>
  <c r="N186" i="55" a="1"/>
  <c r="N186" i="55" s="1"/>
  <c r="N239" i="55" a="1"/>
  <c r="N239" i="55" s="1"/>
  <c r="N12" i="55" a="1"/>
  <c r="N12" i="55" s="1"/>
  <c r="O12" i="55" s="1"/>
  <c r="N180" i="55" a="1"/>
  <c r="N180" i="55" s="1"/>
  <c r="N69" i="55" a="1"/>
  <c r="N69" i="55" s="1"/>
  <c r="N210" i="55" a="1"/>
  <c r="N210" i="55" s="1"/>
  <c r="O210" i="55" s="1"/>
  <c r="N178" i="55" a="1"/>
  <c r="N178" i="55" s="1"/>
  <c r="N179" i="55" a="1"/>
  <c r="N179" i="55" s="1"/>
  <c r="T133" i="55"/>
  <c r="T196" i="55"/>
  <c r="T198" i="55"/>
  <c r="T209" i="55"/>
  <c r="T216" i="55"/>
  <c r="T258" i="55"/>
  <c r="K87" i="55" a="1"/>
  <c r="K87" i="55" s="1"/>
  <c r="N182" i="55" a="1"/>
  <c r="N182" i="55" s="1"/>
  <c r="N246" i="55" a="1"/>
  <c r="N246" i="55" s="1"/>
  <c r="N238" i="55" a="1"/>
  <c r="N238" i="55" s="1"/>
  <c r="N203" i="55" a="1"/>
  <c r="N203" i="55" s="1"/>
  <c r="O203" i="55" s="1"/>
  <c r="N230" i="55" a="1"/>
  <c r="N230" i="55" s="1"/>
  <c r="N231" i="55" a="1"/>
  <c r="N231" i="55" s="1"/>
  <c r="O231" i="55" s="1"/>
  <c r="N33" i="55" a="1"/>
  <c r="N33" i="55" s="1"/>
  <c r="O33" i="55" s="1"/>
  <c r="N97" i="55" a="1"/>
  <c r="N97" i="55" s="1"/>
  <c r="Q277" i="55"/>
  <c r="N28" i="55" a="1"/>
  <c r="N28" i="55" s="1"/>
  <c r="N47" i="55" a="1"/>
  <c r="N47" i="55" s="1"/>
  <c r="O47" i="55" s="1"/>
  <c r="N192" i="55" a="1"/>
  <c r="N192" i="55" s="1"/>
  <c r="O192" i="55" s="1"/>
  <c r="N48" i="55" a="1"/>
  <c r="N48" i="55" s="1"/>
  <c r="O48" i="55" s="1"/>
  <c r="N188" i="55" a="1"/>
  <c r="N188" i="55" s="1"/>
  <c r="N237" i="55" a="1"/>
  <c r="N237" i="55" s="1"/>
  <c r="O237" i="55" s="1"/>
  <c r="I2" i="55"/>
  <c r="T163" i="55"/>
  <c r="T165" i="55"/>
  <c r="T176" i="55"/>
  <c r="T187" i="55"/>
  <c r="T189" i="55"/>
  <c r="T204" i="55"/>
  <c r="T238" i="55"/>
  <c r="N80" i="55" a="1"/>
  <c r="N80" i="55" s="1"/>
  <c r="N163" i="55" a="1"/>
  <c r="N163" i="55" s="1"/>
  <c r="N206" i="55" a="1"/>
  <c r="N206" i="55" s="1"/>
  <c r="N64" i="55" a="1"/>
  <c r="N64" i="55" s="1"/>
  <c r="N191" i="55" a="1"/>
  <c r="N191" i="55" s="1"/>
  <c r="N8" i="55" a="1"/>
  <c r="N8" i="55" s="1"/>
  <c r="O8" i="55" s="1"/>
  <c r="N244" i="55" a="1"/>
  <c r="N244" i="55" s="1"/>
  <c r="N190" i="55" a="1"/>
  <c r="N190" i="55" s="1"/>
  <c r="T59" i="55"/>
  <c r="G87" i="55"/>
  <c r="H37" i="55"/>
  <c r="T218" i="55"/>
  <c r="K251" i="55" a="1"/>
  <c r="K251" i="55" s="1"/>
  <c r="K249" i="55" a="1"/>
  <c r="K249" i="55" s="1"/>
  <c r="K141" i="55" a="1"/>
  <c r="K141" i="55" s="1"/>
  <c r="T155" i="55"/>
  <c r="T180" i="55"/>
  <c r="T191" i="55"/>
  <c r="T206" i="55"/>
  <c r="T220" i="55"/>
  <c r="K222" i="55" a="1"/>
  <c r="K222" i="55" s="1"/>
  <c r="T247" i="55"/>
  <c r="N147" i="55" a="1"/>
  <c r="N147" i="55" s="1"/>
  <c r="N152" i="55" a="1"/>
  <c r="N152" i="55" s="1"/>
  <c r="N143" i="55" a="1"/>
  <c r="N143" i="55" s="1"/>
  <c r="O143" i="55" s="1"/>
  <c r="X2" i="53"/>
  <c r="N93" i="55" a="1"/>
  <c r="N93" i="55" s="1"/>
  <c r="N208" i="55" a="1"/>
  <c r="N208" i="55" s="1"/>
  <c r="N26" i="55" a="1"/>
  <c r="N26" i="55" s="1"/>
  <c r="G45" i="55"/>
  <c r="N41" i="55" a="1"/>
  <c r="N41" i="55" s="1"/>
  <c r="N118" i="55" a="1"/>
  <c r="N118" i="55" s="1"/>
  <c r="N187" i="55" a="1"/>
  <c r="N187" i="55" s="1"/>
  <c r="N92" i="55" a="1"/>
  <c r="N92" i="55" s="1"/>
  <c r="N154" i="55" a="1"/>
  <c r="N154" i="55" s="1"/>
  <c r="N229" i="55" a="1"/>
  <c r="N229" i="55" s="1"/>
  <c r="N120" i="55" a="1"/>
  <c r="N120" i="55" s="1"/>
  <c r="N53" i="55" a="1"/>
  <c r="N53" i="55" s="1"/>
  <c r="O53" i="55" s="1"/>
  <c r="N10" i="55" a="1"/>
  <c r="N10" i="55" s="1"/>
  <c r="O10" i="55" s="1"/>
  <c r="N2" i="53"/>
  <c r="T30" i="55"/>
  <c r="Z393" i="53"/>
  <c r="P2" i="55" s="1"/>
  <c r="T36" i="55"/>
  <c r="T24" i="55"/>
  <c r="T193" i="55"/>
  <c r="K203" i="55" a="1"/>
  <c r="K203" i="55" s="1"/>
  <c r="O236" i="55"/>
  <c r="T35" i="59"/>
  <c r="V7" i="59"/>
  <c r="N86" i="55" a="1"/>
  <c r="N86" i="55" s="1"/>
  <c r="N168" i="55" a="1"/>
  <c r="N168" i="55" s="1"/>
  <c r="N136" i="55" a="1"/>
  <c r="N136" i="55" s="1"/>
  <c r="N95" i="55" a="1"/>
  <c r="N95" i="55" s="1"/>
  <c r="N245" i="55" a="1"/>
  <c r="N245" i="55" s="1"/>
  <c r="O245" i="55" s="1"/>
  <c r="N16" i="55" a="1"/>
  <c r="N16" i="55" s="1"/>
  <c r="N105" i="55" a="1"/>
  <c r="N105" i="55" s="1"/>
  <c r="O105" i="55" s="1"/>
  <c r="N140" i="55" a="1"/>
  <c r="N140" i="55" s="1"/>
  <c r="N24" i="55" a="1"/>
  <c r="N24" i="55" s="1"/>
  <c r="N58" i="55" a="1"/>
  <c r="N58" i="55" s="1"/>
  <c r="N124" i="55" a="1"/>
  <c r="N124" i="55" s="1"/>
  <c r="N212" i="55" a="1"/>
  <c r="N212" i="55" s="1"/>
  <c r="N235" i="55" a="1"/>
  <c r="N235" i="55" s="1"/>
  <c r="N36" i="55" a="1"/>
  <c r="N36" i="55" s="1"/>
  <c r="O36" i="55" s="1"/>
  <c r="N123" i="55" a="1"/>
  <c r="N123" i="55" s="1"/>
  <c r="N60" i="55" a="1"/>
  <c r="N60" i="55" s="1"/>
  <c r="N258" i="55" a="1"/>
  <c r="N258" i="55" s="1"/>
  <c r="N122" i="55" a="1"/>
  <c r="N122" i="55" s="1"/>
  <c r="T111" i="55"/>
  <c r="T132" i="55"/>
  <c r="T137" i="55"/>
  <c r="T139" i="55"/>
  <c r="T141" i="55"/>
  <c r="T195" i="55"/>
  <c r="T215" i="55"/>
  <c r="T224" i="55"/>
  <c r="T226" i="55"/>
  <c r="T241" i="55"/>
  <c r="N70" i="55" a="1"/>
  <c r="N70" i="55" s="1"/>
  <c r="N216" i="55" a="1"/>
  <c r="N216" i="55" s="1"/>
  <c r="O216" i="55" s="1"/>
  <c r="N119" i="55" a="1"/>
  <c r="N119" i="55" s="1"/>
  <c r="O119" i="55" s="1"/>
  <c r="N174" i="55" a="1"/>
  <c r="N174" i="55" s="1"/>
  <c r="N66" i="55" a="1"/>
  <c r="N66" i="55" s="1"/>
  <c r="O66" i="55" s="1"/>
  <c r="N134" i="55" a="1"/>
  <c r="N134" i="55" s="1"/>
  <c r="O134" i="55" s="1"/>
  <c r="G91" i="55"/>
  <c r="N172" i="55" a="1"/>
  <c r="N172" i="55" s="1"/>
  <c r="O172" i="55" s="1"/>
  <c r="N207" i="55" a="1"/>
  <c r="N207" i="55" s="1"/>
  <c r="O207" i="55" s="1"/>
  <c r="N129" i="55" a="1"/>
  <c r="N129" i="55" s="1"/>
  <c r="N194" i="55" a="1"/>
  <c r="N194" i="55" s="1"/>
  <c r="N130" i="55" a="1"/>
  <c r="N130" i="55" s="1"/>
  <c r="N248" i="55" a="1"/>
  <c r="N248" i="55" s="1"/>
  <c r="N228" i="55" a="1"/>
  <c r="N228" i="55" s="1"/>
  <c r="N251" i="55" a="1"/>
  <c r="N251" i="55" s="1"/>
  <c r="O251" i="55" s="1"/>
  <c r="N201" i="55" a="1"/>
  <c r="N201" i="55" s="1"/>
  <c r="N255" i="55" a="1"/>
  <c r="N255" i="55" s="1"/>
  <c r="N54" i="55" a="1"/>
  <c r="N54" i="55" s="1"/>
  <c r="G10" i="55"/>
  <c r="T118" i="55"/>
  <c r="K147" i="55" a="1"/>
  <c r="K147" i="55" s="1"/>
  <c r="T157" i="55"/>
  <c r="V35" i="59"/>
  <c r="N77" i="55" a="1"/>
  <c r="N77" i="55" s="1"/>
  <c r="N184" i="55" a="1"/>
  <c r="N184" i="55" s="1"/>
  <c r="N101" i="55" a="1"/>
  <c r="N101" i="55" s="1"/>
  <c r="N243" i="55" a="1"/>
  <c r="N243" i="55" s="1"/>
  <c r="O243" i="55" s="1"/>
  <c r="N76" i="55" a="1"/>
  <c r="N76" i="55" s="1"/>
  <c r="N110" i="55" a="1"/>
  <c r="N110" i="55" s="1"/>
  <c r="N29" i="55" a="1"/>
  <c r="N29" i="55" s="1"/>
  <c r="K19" i="55" a="1"/>
  <c r="K19" i="55" s="1"/>
  <c r="N241" i="55" a="1"/>
  <c r="N241" i="55" s="1"/>
  <c r="N31" i="55" a="1"/>
  <c r="N31" i="55" s="1"/>
  <c r="O31" i="55" s="1"/>
  <c r="N98" i="55" a="1"/>
  <c r="N98" i="55" s="1"/>
  <c r="O98" i="55" s="1"/>
  <c r="N142" i="55" a="1"/>
  <c r="N142" i="55" s="1"/>
  <c r="N2" i="55"/>
  <c r="N162" i="55" a="1"/>
  <c r="N162" i="55" s="1"/>
  <c r="O162" i="55" s="1"/>
  <c r="N150" i="55" a="1"/>
  <c r="N150" i="55" s="1"/>
  <c r="O150" i="55" s="1"/>
  <c r="N156" i="55" a="1"/>
  <c r="N156" i="55" s="1"/>
  <c r="N65" i="55" a="1"/>
  <c r="N65" i="55" s="1"/>
  <c r="T17" i="55"/>
  <c r="T106" i="55"/>
  <c r="T113" i="55"/>
  <c r="T134" i="55"/>
  <c r="K96" i="55" a="1"/>
  <c r="K96" i="55" s="1"/>
  <c r="N112" i="55" a="1"/>
  <c r="N112" i="55" s="1"/>
  <c r="N117" i="55" a="1"/>
  <c r="N117" i="55" s="1"/>
  <c r="N131" i="55" a="1"/>
  <c r="N131" i="55" s="1"/>
  <c r="N135" i="55" a="1"/>
  <c r="N135" i="55" s="1"/>
  <c r="O135" i="55" s="1"/>
  <c r="N89" i="55" a="1"/>
  <c r="N89" i="55" s="1"/>
  <c r="O89" i="55" s="1"/>
  <c r="N149" i="55" a="1"/>
  <c r="N149" i="55" s="1"/>
  <c r="N253" i="55" a="1"/>
  <c r="N253" i="55" s="1"/>
  <c r="N146" i="55" a="1"/>
  <c r="N146" i="55" s="1"/>
  <c r="K72" i="55" a="1"/>
  <c r="K72" i="55" s="1"/>
  <c r="N164" i="55" a="1"/>
  <c r="N164" i="55" s="1"/>
  <c r="O164" i="55" s="1"/>
  <c r="N40" i="55" a="1"/>
  <c r="N40" i="55" s="1"/>
  <c r="N15" i="55" a="1"/>
  <c r="N15" i="55" s="1"/>
  <c r="O15" i="55" s="1"/>
  <c r="N39" i="55" a="1"/>
  <c r="N39" i="55" s="1"/>
  <c r="O39" i="55" s="1"/>
  <c r="N55" i="55" a="1"/>
  <c r="N55" i="55" s="1"/>
  <c r="N195" i="55" a="1"/>
  <c r="N195" i="55" s="1"/>
  <c r="T50" i="55"/>
  <c r="T115" i="55"/>
  <c r="T145" i="55"/>
  <c r="T177" i="55"/>
  <c r="K181" i="55" a="1"/>
  <c r="K181" i="55" s="1"/>
  <c r="L34" i="59"/>
  <c r="N91" i="55" a="1"/>
  <c r="N91" i="55" s="1"/>
  <c r="N125" i="55" a="1"/>
  <c r="N125" i="55" s="1"/>
  <c r="N71" i="55" a="1"/>
  <c r="N71" i="55" s="1"/>
  <c r="N169" i="55" a="1"/>
  <c r="N169" i="55" s="1"/>
  <c r="O169" i="55" s="1"/>
  <c r="N99" i="55" a="1"/>
  <c r="N99" i="55" s="1"/>
  <c r="N9" i="55" a="1"/>
  <c r="N9" i="55" s="1"/>
  <c r="N21" i="55" a="1"/>
  <c r="N21" i="55" s="1"/>
  <c r="N42" i="55" a="1"/>
  <c r="N42" i="55" s="1"/>
  <c r="N249" i="55" a="1"/>
  <c r="N249" i="55" s="1"/>
  <c r="N204" i="55" a="1"/>
  <c r="N204" i="55" s="1"/>
  <c r="N46" i="55" a="1"/>
  <c r="N46" i="55" s="1"/>
  <c r="O46" i="55" s="1"/>
  <c r="N176" i="55" a="1"/>
  <c r="N176" i="55" s="1"/>
  <c r="N23" i="55" a="1"/>
  <c r="N23" i="55" s="1"/>
  <c r="N171" i="55" a="1"/>
  <c r="N171" i="55" s="1"/>
  <c r="N234" i="55" a="1"/>
  <c r="N234" i="55" s="1"/>
  <c r="O234" i="55" s="1"/>
  <c r="N158" i="55" a="1"/>
  <c r="N158" i="55" s="1"/>
  <c r="I277" i="55"/>
  <c r="N100" i="55" a="1"/>
  <c r="N100" i="55" s="1"/>
  <c r="K50" i="55" a="1"/>
  <c r="K50" i="55" s="1"/>
  <c r="K241" i="55" a="1"/>
  <c r="K241" i="55" s="1"/>
  <c r="L41" i="59"/>
  <c r="N222" i="55" a="1"/>
  <c r="N222" i="55" s="1"/>
  <c r="N132" i="55" a="1"/>
  <c r="N132" i="55" s="1"/>
  <c r="N115" i="55" a="1"/>
  <c r="N115" i="55" s="1"/>
  <c r="N116" i="55" a="1"/>
  <c r="N116" i="55" s="1"/>
  <c r="N7" i="55" a="1"/>
  <c r="N7" i="55" s="1"/>
  <c r="O7" i="55" s="1"/>
  <c r="N107" i="55" a="1"/>
  <c r="N107" i="55" s="1"/>
  <c r="O107" i="55" s="1"/>
  <c r="N83" i="55" a="1"/>
  <c r="N83" i="55" s="1"/>
  <c r="K99" i="55" a="1"/>
  <c r="K99" i="55" s="1"/>
  <c r="H99" i="55"/>
  <c r="N218" i="55" a="1"/>
  <c r="N218" i="55" s="1"/>
  <c r="N155" i="55" a="1"/>
  <c r="N155" i="55" s="1"/>
  <c r="N45" i="55" a="1"/>
  <c r="N45" i="55" s="1"/>
  <c r="N108" i="55" a="1"/>
  <c r="N108" i="55" s="1"/>
  <c r="N38" i="55" a="1"/>
  <c r="N38" i="55" s="1"/>
  <c r="N49" i="55" a="1"/>
  <c r="N49" i="55" s="1"/>
  <c r="N213" i="55" a="1"/>
  <c r="N213" i="55" s="1"/>
  <c r="N79" i="55" a="1"/>
  <c r="N79" i="55" s="1"/>
  <c r="O79" i="55" s="1"/>
  <c r="N202" i="55" a="1"/>
  <c r="N202" i="55" s="1"/>
  <c r="T54" i="55"/>
  <c r="K174" i="55" a="1"/>
  <c r="K174" i="55" s="1"/>
  <c r="T190" i="55"/>
  <c r="N32" i="59"/>
  <c r="N138" i="55" a="1"/>
  <c r="N138" i="55" s="1"/>
  <c r="N87" i="55" a="1"/>
  <c r="N87" i="55" s="1"/>
  <c r="N277" i="55"/>
  <c r="N25" i="55" a="1"/>
  <c r="N25" i="55" s="1"/>
  <c r="N157" i="55" a="1"/>
  <c r="N157" i="55" s="1"/>
  <c r="N197" i="55" a="1"/>
  <c r="N197" i="55" s="1"/>
  <c r="N43" i="55" a="1"/>
  <c r="N43" i="55" s="1"/>
  <c r="N67" i="55" a="1"/>
  <c r="N67" i="55" s="1"/>
  <c r="N94" i="55" a="1"/>
  <c r="N94" i="55" s="1"/>
  <c r="O94" i="55" s="1"/>
  <c r="N226" i="55" a="1"/>
  <c r="N226" i="55" s="1"/>
  <c r="O226" i="55" s="1"/>
  <c r="N133" i="55" a="1"/>
  <c r="N133" i="55" s="1"/>
  <c r="N252" i="55" a="1"/>
  <c r="N252" i="55" s="1"/>
  <c r="N217" i="55" a="1"/>
  <c r="N217" i="55" s="1"/>
  <c r="O217" i="55" s="1"/>
  <c r="N102" i="55" a="1"/>
  <c r="N102" i="55" s="1"/>
  <c r="N62" i="55" a="1"/>
  <c r="N62" i="55" s="1"/>
  <c r="T97" i="55"/>
  <c r="K18" i="55" a="1"/>
  <c r="K18" i="55" s="1"/>
  <c r="T131" i="55"/>
  <c r="K239" i="55" a="1"/>
  <c r="K239" i="55" s="1"/>
  <c r="K44" i="55" a="1"/>
  <c r="K44" i="55" s="1"/>
  <c r="N121" i="55" a="1"/>
  <c r="N121" i="55" s="1"/>
  <c r="N52" i="55" a="1"/>
  <c r="N52" i="55" s="1"/>
  <c r="O52" i="55" s="1"/>
  <c r="N57" i="55" a="1"/>
  <c r="N57" i="55" s="1"/>
  <c r="O57" i="55" s="1"/>
  <c r="N63" i="55" a="1"/>
  <c r="N63" i="55" s="1"/>
  <c r="N153" i="55" a="1"/>
  <c r="N153" i="55" s="1"/>
  <c r="N199" i="55" a="1"/>
  <c r="N199" i="55" s="1"/>
  <c r="O199" i="55" s="1"/>
  <c r="N151" i="55" a="1"/>
  <c r="N151" i="55" s="1"/>
  <c r="N126" i="55" a="1"/>
  <c r="N126" i="55" s="1"/>
  <c r="N35" i="55" a="1"/>
  <c r="N35" i="55" s="1"/>
  <c r="N193" i="55" a="1"/>
  <c r="N193" i="55" s="1"/>
  <c r="N183" i="55" a="1"/>
  <c r="N183" i="55" s="1"/>
  <c r="N90" i="55" a="1"/>
  <c r="N90" i="55" s="1"/>
  <c r="N214" i="55" a="1"/>
  <c r="N214" i="55" s="1"/>
  <c r="O214" i="55" s="1"/>
  <c r="N137" i="55" a="1"/>
  <c r="N137" i="55" s="1"/>
  <c r="O137" i="55" s="1"/>
  <c r="T80" i="55"/>
  <c r="T46" i="55"/>
  <c r="T29" i="55"/>
  <c r="T11" i="55"/>
  <c r="T104" i="55"/>
  <c r="T124" i="55"/>
  <c r="T159" i="55"/>
  <c r="T192" i="55"/>
  <c r="T94" i="55"/>
  <c r="G22" i="59"/>
  <c r="L22" i="59" s="1"/>
  <c r="G18" i="59"/>
  <c r="M18" i="59" s="1"/>
  <c r="T79" i="55"/>
  <c r="T251" i="55"/>
  <c r="T16" i="55"/>
  <c r="T252" i="55"/>
  <c r="T86" i="55"/>
  <c r="T100" i="55"/>
  <c r="T9" i="55"/>
  <c r="T47" i="55"/>
  <c r="T222" i="55"/>
  <c r="T14" i="55"/>
  <c r="T107" i="55"/>
  <c r="T112" i="55"/>
  <c r="T149" i="55"/>
  <c r="T129" i="55"/>
  <c r="O21" i="59"/>
  <c r="U21" i="59" s="1"/>
  <c r="T45" i="55"/>
  <c r="T20" i="55"/>
  <c r="T102" i="55"/>
  <c r="T217" i="55"/>
  <c r="T73" i="55"/>
  <c r="T37" i="55"/>
  <c r="T205" i="55"/>
  <c r="T230" i="55"/>
  <c r="T95" i="55"/>
  <c r="T61" i="55"/>
  <c r="T23" i="55"/>
  <c r="T245" i="55"/>
  <c r="T123" i="55"/>
  <c r="T170" i="55"/>
  <c r="T77" i="55"/>
  <c r="H70" i="55"/>
  <c r="G70" i="55"/>
  <c r="K70" i="55" a="1"/>
  <c r="K70" i="55" s="1"/>
  <c r="K31" i="55" a="1"/>
  <c r="K31" i="55" s="1"/>
  <c r="G31" i="55"/>
  <c r="H31" i="55"/>
  <c r="G160" i="55"/>
  <c r="K160" i="55" a="1"/>
  <c r="K160" i="55" s="1"/>
  <c r="H160" i="55"/>
  <c r="H157" i="55"/>
  <c r="G157" i="55"/>
  <c r="H122" i="55"/>
  <c r="G122" i="55"/>
  <c r="K122" i="55" a="1"/>
  <c r="K122" i="55" s="1"/>
  <c r="K138" i="55" a="1"/>
  <c r="K138" i="55" s="1"/>
  <c r="H138" i="55"/>
  <c r="G138" i="55"/>
  <c r="G92" i="55"/>
  <c r="K92" i="55" a="1"/>
  <c r="K92" i="55" s="1"/>
  <c r="H92" i="55"/>
  <c r="H154" i="55"/>
  <c r="G154" i="55"/>
  <c r="K154" i="55" a="1"/>
  <c r="K154" i="55" s="1"/>
  <c r="H177" i="55"/>
  <c r="K177" i="55" a="1"/>
  <c r="K177" i="55" s="1"/>
  <c r="G177" i="55"/>
  <c r="K95" i="55" a="1"/>
  <c r="K95" i="55" s="1"/>
  <c r="H95" i="55"/>
  <c r="G95" i="55"/>
  <c r="G12" i="55"/>
  <c r="H12" i="55"/>
  <c r="K12" i="55" a="1"/>
  <c r="K12" i="55" s="1"/>
  <c r="G168" i="55"/>
  <c r="K168" i="55" a="1"/>
  <c r="K168" i="55" s="1"/>
  <c r="H168" i="55"/>
  <c r="H26" i="55"/>
  <c r="G26" i="55"/>
  <c r="K26" i="55" a="1"/>
  <c r="K26" i="55" s="1"/>
  <c r="H214" i="55"/>
  <c r="G214" i="55"/>
  <c r="H79" i="55"/>
  <c r="G79" i="55"/>
  <c r="G100" i="55"/>
  <c r="K100" i="55" a="1"/>
  <c r="K100" i="55" s="1"/>
  <c r="H100" i="55"/>
  <c r="H73" i="55"/>
  <c r="G73" i="55"/>
  <c r="K73" i="55" a="1"/>
  <c r="K73" i="55" s="1"/>
  <c r="G139" i="55"/>
  <c r="H139" i="55"/>
  <c r="K139" i="55" a="1"/>
  <c r="K139" i="55" s="1"/>
  <c r="G176" i="55"/>
  <c r="K176" i="55" a="1"/>
  <c r="K176" i="55" s="1"/>
  <c r="H176" i="55"/>
  <c r="G53" i="55"/>
  <c r="H53" i="55"/>
  <c r="G52" i="55"/>
  <c r="H52" i="55"/>
  <c r="K52" i="55" a="1"/>
  <c r="K52" i="55" s="1"/>
  <c r="H191" i="55"/>
  <c r="G155" i="55"/>
  <c r="K94" i="55" a="1"/>
  <c r="K94" i="55" s="1"/>
  <c r="K82" i="55" a="1"/>
  <c r="K82" i="55" s="1"/>
  <c r="G8" i="55"/>
  <c r="H181" i="55"/>
  <c r="H63" i="55"/>
  <c r="K63" i="55" a="1"/>
  <c r="K63" i="55" s="1"/>
  <c r="H64" i="55"/>
  <c r="K67" i="55" a="1"/>
  <c r="K67" i="55" s="1"/>
  <c r="G50" i="55"/>
  <c r="H233" i="55"/>
  <c r="K170" i="55" a="1"/>
  <c r="K170" i="55" s="1"/>
  <c r="H158" i="55"/>
  <c r="K71" i="55" a="1"/>
  <c r="K71" i="55" s="1"/>
  <c r="H90" i="55"/>
  <c r="K103" i="55" a="1"/>
  <c r="K103" i="55" s="1"/>
  <c r="K233" i="55" a="1"/>
  <c r="K233" i="55" s="1"/>
  <c r="G101" i="55"/>
  <c r="G105" i="55"/>
  <c r="K28" i="55" a="1"/>
  <c r="K28" i="55" s="1"/>
  <c r="H144" i="55"/>
  <c r="G150" i="55"/>
  <c r="G210" i="55"/>
  <c r="H86" i="55"/>
  <c r="G28" i="55"/>
  <c r="K105" i="55" a="1"/>
  <c r="K105" i="55" s="1"/>
  <c r="H81" i="55"/>
  <c r="K48" i="55" a="1"/>
  <c r="K48" i="55" s="1"/>
  <c r="H75" i="55"/>
  <c r="K155" i="55" a="1"/>
  <c r="K155" i="55" s="1"/>
  <c r="H249" i="55"/>
  <c r="K54" i="55" a="1"/>
  <c r="K54" i="55" s="1"/>
  <c r="G47" i="55"/>
  <c r="K104" i="55" a="1"/>
  <c r="K104" i="55" s="1"/>
  <c r="G109" i="55"/>
  <c r="G17" i="55"/>
  <c r="G161" i="55"/>
  <c r="G249" i="55"/>
  <c r="K107" i="55" a="1"/>
  <c r="K107" i="55" s="1"/>
  <c r="K90" i="55" a="1"/>
  <c r="K90" i="55" s="1"/>
  <c r="H242" i="55"/>
  <c r="H83" i="55"/>
  <c r="H222" i="55"/>
  <c r="G197" i="55"/>
  <c r="K81" i="55" a="1"/>
  <c r="K81" i="55" s="1"/>
  <c r="H134" i="55"/>
  <c r="G67" i="55"/>
  <c r="K75" i="55" a="1"/>
  <c r="K75" i="55" s="1"/>
  <c r="G251" i="55"/>
  <c r="K129" i="55" a="1"/>
  <c r="K129" i="55" s="1"/>
  <c r="G58" i="55"/>
  <c r="H38" i="55"/>
  <c r="K38" i="55" a="1"/>
  <c r="K38" i="55" s="1"/>
  <c r="G129" i="55"/>
  <c r="K134" i="55" a="1"/>
  <c r="K134" i="55" s="1"/>
  <c r="G76" i="55"/>
  <c r="H62" i="55"/>
  <c r="H124" i="55"/>
  <c r="H36" i="55"/>
  <c r="G39" i="55"/>
  <c r="H224" i="55"/>
  <c r="H179" i="55"/>
  <c r="H208" i="55"/>
  <c r="G133" i="55"/>
  <c r="G82" i="55"/>
  <c r="H107" i="55"/>
  <c r="H35" i="55"/>
  <c r="K113" i="55" a="1"/>
  <c r="K113" i="55" s="1"/>
  <c r="H213" i="55"/>
  <c r="G131" i="55"/>
  <c r="H18" i="55"/>
  <c r="G18" i="55"/>
  <c r="T49" i="55"/>
  <c r="H117" i="55"/>
  <c r="G117" i="55"/>
  <c r="K117" i="55" a="1"/>
  <c r="K117" i="55" s="1"/>
  <c r="H201" i="55"/>
  <c r="G201" i="55"/>
  <c r="K201" i="55" a="1"/>
  <c r="K201" i="55" s="1"/>
  <c r="R53" i="55"/>
  <c r="T53" i="55" s="1"/>
  <c r="K53" i="55" a="1"/>
  <c r="K53" i="55" s="1"/>
  <c r="G10" i="59"/>
  <c r="M10" i="59" s="1"/>
  <c r="G24" i="59"/>
  <c r="G172" i="55"/>
  <c r="K172" i="55" a="1"/>
  <c r="K172" i="55" s="1"/>
  <c r="H172" i="55"/>
  <c r="G174" i="55"/>
  <c r="H174" i="55"/>
  <c r="F23" i="59"/>
  <c r="T37" i="59"/>
  <c r="K61" i="55" a="1"/>
  <c r="K61" i="55" s="1"/>
  <c r="H61" i="55"/>
  <c r="G61" i="55"/>
  <c r="H165" i="55"/>
  <c r="G165" i="55"/>
  <c r="K165" i="55" a="1"/>
  <c r="K165" i="55" s="1"/>
  <c r="G217" i="55"/>
  <c r="H217" i="55"/>
  <c r="K217" i="55" a="1"/>
  <c r="K217" i="55" s="1"/>
  <c r="F37" i="59"/>
  <c r="K78" i="55" a="1"/>
  <c r="K78" i="55" s="1"/>
  <c r="G78" i="55"/>
  <c r="H78" i="55"/>
  <c r="G60" i="55"/>
  <c r="H60" i="55"/>
  <c r="H102" i="55"/>
  <c r="K102" i="55" a="1"/>
  <c r="K102" i="55" s="1"/>
  <c r="G102" i="55"/>
  <c r="H25" i="55"/>
  <c r="K25" i="55" a="1"/>
  <c r="K25" i="55" s="1"/>
  <c r="G25" i="55"/>
  <c r="G116" i="55"/>
  <c r="H116" i="55"/>
  <c r="K116" i="55" a="1"/>
  <c r="K116" i="55" s="1"/>
  <c r="K24" i="55" a="1"/>
  <c r="K24" i="55" s="1"/>
  <c r="G24" i="55"/>
  <c r="G32" i="55"/>
  <c r="K32" i="55" a="1"/>
  <c r="K32" i="55" s="1"/>
  <c r="H14" i="59"/>
  <c r="H8" i="55"/>
  <c r="K8" i="55" a="1"/>
  <c r="K8" i="55" s="1"/>
  <c r="G42" i="55"/>
  <c r="K42" i="55" a="1"/>
  <c r="K42" i="55" s="1"/>
  <c r="H42" i="55"/>
  <c r="F20" i="59"/>
  <c r="G130" i="55"/>
  <c r="K130" i="55" a="1"/>
  <c r="K130" i="55" s="1"/>
  <c r="H130" i="55"/>
  <c r="N6" i="59"/>
  <c r="G56" i="55"/>
  <c r="K56" i="55" a="1"/>
  <c r="K56" i="55" s="1"/>
  <c r="K120" i="55" a="1"/>
  <c r="K120" i="55" s="1"/>
  <c r="H120" i="55"/>
  <c r="K229" i="55" a="1"/>
  <c r="K229" i="55" s="1"/>
  <c r="G229" i="55"/>
  <c r="G236" i="55"/>
  <c r="K236" i="55" a="1"/>
  <c r="K236" i="55" s="1"/>
  <c r="H236" i="55"/>
  <c r="F41" i="59"/>
  <c r="G110" i="55"/>
  <c r="H110" i="55"/>
  <c r="K110" i="55" a="1"/>
  <c r="K110" i="55" s="1"/>
  <c r="R227" i="55"/>
  <c r="T227" i="55" s="1"/>
  <c r="K227" i="55" a="1"/>
  <c r="K227" i="55" s="1"/>
  <c r="S37" i="59"/>
  <c r="O13" i="59"/>
  <c r="U13" i="59" s="1"/>
  <c r="S40" i="59"/>
  <c r="S25" i="59"/>
  <c r="P37" i="59"/>
  <c r="P40" i="59"/>
  <c r="D41" i="59"/>
  <c r="G32" i="59"/>
  <c r="E21" i="59"/>
  <c r="B4" i="59"/>
  <c r="B25" i="59"/>
  <c r="H33" i="59"/>
  <c r="K33" i="59"/>
  <c r="D20" i="59"/>
  <c r="D28" i="59" s="1"/>
  <c r="S8" i="59"/>
  <c r="P19" i="59"/>
  <c r="H22" i="59"/>
  <c r="S11" i="59"/>
  <c r="H27" i="59"/>
  <c r="P24" i="59"/>
  <c r="G8" i="59"/>
  <c r="I7" i="59"/>
  <c r="N7" i="59" s="1"/>
  <c r="S35" i="59"/>
  <c r="G34" i="59"/>
  <c r="M34" i="59" s="1"/>
  <c r="O25" i="59"/>
  <c r="K226" i="55" a="1"/>
  <c r="K226" i="55" s="1"/>
  <c r="K206" i="55" a="1"/>
  <c r="K206" i="55" s="1"/>
  <c r="K195" i="55" a="1"/>
  <c r="K195" i="55" s="1"/>
  <c r="T121" i="55"/>
  <c r="G253" i="55"/>
  <c r="H253" i="55"/>
  <c r="K253" i="55" a="1"/>
  <c r="K253" i="55" s="1"/>
  <c r="K219" i="55" a="1"/>
  <c r="K219" i="55" s="1"/>
  <c r="G219" i="55"/>
  <c r="H196" i="55"/>
  <c r="G196" i="55"/>
  <c r="K196" i="55" a="1"/>
  <c r="K196" i="55" s="1"/>
  <c r="G198" i="55"/>
  <c r="H198" i="55"/>
  <c r="P8" i="59"/>
  <c r="J33" i="59"/>
  <c r="J42" i="59" s="1"/>
  <c r="K224" i="55" a="1"/>
  <c r="K224" i="55" s="1"/>
  <c r="G69" i="55"/>
  <c r="K69" i="55" a="1"/>
  <c r="K69" i="55" s="1"/>
  <c r="T178" i="55"/>
  <c r="G230" i="55"/>
  <c r="H230" i="55"/>
  <c r="J19" i="59"/>
  <c r="Z2" i="53"/>
  <c r="S36" i="59"/>
  <c r="D7" i="59"/>
  <c r="K27" i="59"/>
  <c r="R34" i="59"/>
  <c r="R32" i="59"/>
  <c r="H25" i="59"/>
  <c r="C4" i="59"/>
  <c r="J5" i="59"/>
  <c r="C36" i="59"/>
  <c r="K8" i="59"/>
  <c r="K14" i="59" s="1"/>
  <c r="P36" i="59"/>
  <c r="P26" i="59"/>
  <c r="V26" i="59" s="1"/>
  <c r="S20" i="59"/>
  <c r="P4" i="59"/>
  <c r="P23" i="59"/>
  <c r="B34" i="59"/>
  <c r="I41" i="59"/>
  <c r="J11" i="59"/>
  <c r="C8" i="59"/>
  <c r="N8" i="59" s="1"/>
  <c r="R8" i="59"/>
  <c r="R14" i="59" s="1"/>
  <c r="I35" i="59"/>
  <c r="E38" i="59"/>
  <c r="E8" i="59"/>
  <c r="F8" i="59" s="1"/>
  <c r="O6" i="59"/>
  <c r="K43" i="55" a="1"/>
  <c r="K43" i="55" s="1"/>
  <c r="G15" i="55"/>
  <c r="K15" i="55" a="1"/>
  <c r="K15" i="55" s="1"/>
  <c r="G184" i="55"/>
  <c r="K184" i="55" a="1"/>
  <c r="K184" i="55" s="1"/>
  <c r="H184" i="55"/>
  <c r="G191" i="55"/>
  <c r="K191" i="55" a="1"/>
  <c r="K191" i="55" s="1"/>
  <c r="H27" i="55"/>
  <c r="K27" i="55" a="1"/>
  <c r="K27" i="55" s="1"/>
  <c r="G14" i="55"/>
  <c r="H14" i="55"/>
  <c r="K14" i="55" a="1"/>
  <c r="K14" i="55" s="1"/>
  <c r="K136" i="55" a="1"/>
  <c r="K136" i="55" s="1"/>
  <c r="H211" i="55"/>
  <c r="K211" i="55" a="1"/>
  <c r="K211" i="55" s="1"/>
  <c r="G237" i="55"/>
  <c r="O11" i="59"/>
  <c r="I32" i="59"/>
  <c r="B19" i="59"/>
  <c r="P5" i="59"/>
  <c r="V5" i="59" s="1"/>
  <c r="Q24" i="59"/>
  <c r="J24" i="59"/>
  <c r="J18" i="59"/>
  <c r="H37" i="59"/>
  <c r="R22" i="59"/>
  <c r="E5" i="59"/>
  <c r="K25" i="59"/>
  <c r="D12" i="59"/>
  <c r="B39" i="59"/>
  <c r="O5" i="59"/>
  <c r="S21" i="59"/>
  <c r="G20" i="59"/>
  <c r="L20" i="59" s="1"/>
  <c r="T117" i="55"/>
  <c r="T166" i="55"/>
  <c r="G4" i="59"/>
  <c r="K179" i="55" a="1"/>
  <c r="K179" i="55" s="1"/>
  <c r="H234" i="55"/>
  <c r="K234" i="55" a="1"/>
  <c r="K234" i="55" s="1"/>
  <c r="G234" i="55"/>
  <c r="R38" i="59"/>
  <c r="G7" i="59"/>
  <c r="T161" i="55"/>
  <c r="H147" i="55"/>
  <c r="G147" i="55"/>
  <c r="G203" i="55"/>
  <c r="H203" i="55"/>
  <c r="K133" i="55" a="1"/>
  <c r="K133" i="55" s="1"/>
  <c r="H133" i="55"/>
  <c r="G167" i="55"/>
  <c r="H167" i="55"/>
  <c r="K185" i="55" a="1"/>
  <c r="K185" i="55" s="1"/>
  <c r="K157" i="55" a="1"/>
  <c r="K157" i="55" s="1"/>
  <c r="K205" i="55" a="1"/>
  <c r="K205" i="55" s="1"/>
  <c r="K23" i="55" a="1"/>
  <c r="K23" i="55" s="1"/>
  <c r="K220" i="55" a="1"/>
  <c r="K220" i="55" s="1"/>
  <c r="K187" i="55" a="1"/>
  <c r="K187" i="55" s="1"/>
  <c r="K145" i="55" a="1"/>
  <c r="K145" i="55" s="1"/>
  <c r="K37" i="55" a="1"/>
  <c r="K37" i="55" s="1"/>
  <c r="K158" i="55" a="1"/>
  <c r="K158" i="55" s="1"/>
  <c r="K214" i="55" a="1"/>
  <c r="K214" i="55" s="1"/>
  <c r="K189" i="55" a="1"/>
  <c r="K189" i="55" s="1"/>
  <c r="K256" i="55" a="1"/>
  <c r="K256" i="55" s="1"/>
  <c r="K213" i="55" a="1"/>
  <c r="K213" i="55" s="1"/>
  <c r="K11" i="55" a="1"/>
  <c r="K11" i="55" s="1"/>
  <c r="K178" i="55" a="1"/>
  <c r="K178" i="55" s="1"/>
  <c r="K29" i="55" a="1"/>
  <c r="K29" i="55" s="1"/>
  <c r="K51" i="55" a="1"/>
  <c r="K51" i="55" s="1"/>
  <c r="K7" i="55" a="1"/>
  <c r="K7" i="55" s="1"/>
  <c r="K57" i="55" a="1"/>
  <c r="K57" i="55" s="1"/>
  <c r="K257" i="55" a="1"/>
  <c r="K257" i="55" s="1"/>
  <c r="K131" i="55" a="1"/>
  <c r="K131" i="55" s="1"/>
  <c r="K148" i="55" a="1"/>
  <c r="K148" i="55" s="1"/>
  <c r="K150" i="55" a="1"/>
  <c r="K150" i="55" s="1"/>
  <c r="K252" i="55" a="1"/>
  <c r="K252" i="55" s="1"/>
  <c r="K258" i="55" a="1"/>
  <c r="K258" i="55" s="1"/>
  <c r="K39" i="55" a="1"/>
  <c r="K39" i="55" s="1"/>
  <c r="K232" i="55" a="1"/>
  <c r="K232" i="55" s="1"/>
  <c r="K163" i="55" a="1"/>
  <c r="K163" i="55" s="1"/>
  <c r="K218" i="55" a="1"/>
  <c r="K218" i="55" s="1"/>
  <c r="K255" i="55" a="1"/>
  <c r="K255" i="55" s="1"/>
  <c r="K135" i="55" a="1"/>
  <c r="K135" i="55" s="1"/>
  <c r="K143" i="55" a="1"/>
  <c r="K143" i="55" s="1"/>
  <c r="K210" i="55" a="1"/>
  <c r="K210" i="55" s="1"/>
  <c r="K183" i="55" a="1"/>
  <c r="K183" i="55" s="1"/>
  <c r="K190" i="55" a="1"/>
  <c r="K190" i="55" s="1"/>
  <c r="K161" i="55" a="1"/>
  <c r="K161" i="55" s="1"/>
  <c r="K74" i="55" a="1"/>
  <c r="K74" i="55" s="1"/>
  <c r="K10" i="55" a="1"/>
  <c r="K10" i="55" s="1"/>
  <c r="K79" i="55" a="1"/>
  <c r="K79" i="55" s="1"/>
  <c r="K97" i="55" a="1"/>
  <c r="K97" i="55" s="1"/>
  <c r="K186" i="55" a="1"/>
  <c r="K186" i="55" s="1"/>
  <c r="K231" i="55" a="1"/>
  <c r="K231" i="55" s="1"/>
  <c r="N21" i="59"/>
  <c r="H71" i="55"/>
  <c r="G71" i="55"/>
  <c r="H192" i="55"/>
  <c r="K192" i="55" a="1"/>
  <c r="K192" i="55" s="1"/>
  <c r="K277" i="55"/>
  <c r="K2" i="55"/>
  <c r="G16" i="55"/>
  <c r="H16" i="55"/>
  <c r="K16" i="55" a="1"/>
  <c r="K16" i="55" s="1"/>
  <c r="H212" i="55"/>
  <c r="K212" i="55" a="1"/>
  <c r="K212" i="55" s="1"/>
  <c r="G103" i="55"/>
  <c r="T42" i="55"/>
  <c r="T40" i="55"/>
  <c r="O106" i="55"/>
  <c r="X393" i="53"/>
  <c r="O242" i="55"/>
  <c r="T58" i="55"/>
  <c r="D13" i="57"/>
  <c r="E5" i="57"/>
  <c r="E6" i="57" s="1"/>
  <c r="E7" i="57" s="1"/>
  <c r="E8" i="57" s="1"/>
  <c r="E9" i="57" s="1"/>
  <c r="E10" i="57" s="1"/>
  <c r="E11" i="57" s="1"/>
  <c r="E12" i="57" s="1"/>
  <c r="G6" i="26"/>
  <c r="H7" i="26"/>
  <c r="M21" i="59"/>
  <c r="C28" i="59"/>
  <c r="O144" i="55"/>
  <c r="K112" i="55" a="1"/>
  <c r="K112" i="55" s="1"/>
  <c r="G112" i="55"/>
  <c r="N167" i="55" a="1"/>
  <c r="N167" i="55" s="1"/>
  <c r="N257" i="55" a="1"/>
  <c r="N257" i="55" s="1"/>
  <c r="O257" i="55" s="1"/>
  <c r="N19" i="55" a="1"/>
  <c r="N19" i="55" s="1"/>
  <c r="O19" i="55" s="1"/>
  <c r="N59" i="55" a="1"/>
  <c r="N59" i="55" s="1"/>
  <c r="O59" i="55" s="1"/>
  <c r="H23" i="55"/>
  <c r="G23" i="55"/>
  <c r="T34" i="55"/>
  <c r="M37" i="55" a="1"/>
  <c r="M37" i="55" s="1"/>
  <c r="M55" i="55" a="1"/>
  <c r="M55" i="55" s="1"/>
  <c r="M70" i="55" a="1"/>
  <c r="M70" i="55" s="1"/>
  <c r="M170" i="55" a="1"/>
  <c r="M170" i="55" s="1"/>
  <c r="M44" i="55" a="1"/>
  <c r="M44" i="55" s="1"/>
  <c r="M123" i="55" a="1"/>
  <c r="M123" i="55" s="1"/>
  <c r="O123" i="55" s="1"/>
  <c r="O12" i="26"/>
  <c r="D12" i="26"/>
  <c r="M60" i="55" a="1"/>
  <c r="M60" i="55" s="1"/>
  <c r="O60" i="55" s="1"/>
  <c r="M35" i="55" a="1"/>
  <c r="M35" i="55" s="1"/>
  <c r="M167" i="55" a="1"/>
  <c r="M167" i="55" s="1"/>
  <c r="M18" i="55" a="1"/>
  <c r="M18" i="55" s="1"/>
  <c r="O18" i="55" s="1"/>
  <c r="M24" i="55" a="1"/>
  <c r="M24" i="55" s="1"/>
  <c r="M195" i="55" a="1"/>
  <c r="M195" i="55" s="1"/>
  <c r="M111" i="55" a="1"/>
  <c r="M111" i="55" s="1"/>
  <c r="O111" i="55" s="1"/>
  <c r="M92" i="55" a="1"/>
  <c r="M92" i="55" s="1"/>
  <c r="M102" i="55" a="1"/>
  <c r="M102" i="55" s="1"/>
  <c r="M121" i="55" a="1"/>
  <c r="M121" i="55" s="1"/>
  <c r="M239" i="55" a="1"/>
  <c r="M239" i="55" s="1"/>
  <c r="O239" i="55" s="1"/>
  <c r="M132" i="55" a="1"/>
  <c r="M132" i="55" s="1"/>
  <c r="M16" i="55" a="1"/>
  <c r="M16" i="55" s="1"/>
  <c r="O16" i="55" s="1"/>
  <c r="W12" i="26"/>
  <c r="AE12" i="26"/>
  <c r="M148" i="55" a="1"/>
  <c r="M148" i="55" s="1"/>
  <c r="O148" i="55" s="1"/>
  <c r="M133" i="55" a="1"/>
  <c r="M133" i="55" s="1"/>
  <c r="M198" i="55" a="1"/>
  <c r="M198" i="55" s="1"/>
  <c r="O198" i="55" s="1"/>
  <c r="M49" i="55" a="1"/>
  <c r="M49" i="55" s="1"/>
  <c r="M26" i="55" a="1"/>
  <c r="M26" i="55" s="1"/>
  <c r="M43" i="55" a="1"/>
  <c r="M43" i="55" s="1"/>
  <c r="M136" i="55" a="1"/>
  <c r="M136" i="55" s="1"/>
  <c r="G145" i="55"/>
  <c r="M232" i="55" a="1"/>
  <c r="M232" i="55" s="1"/>
  <c r="M212" i="55" a="1"/>
  <c r="M212" i="55" s="1"/>
  <c r="O212" i="55" s="1"/>
  <c r="M130" i="55" a="1"/>
  <c r="M130" i="55" s="1"/>
  <c r="M85" i="55" a="1"/>
  <c r="M85" i="55" s="1"/>
  <c r="O85" i="55" s="1"/>
  <c r="M208" i="55" a="1"/>
  <c r="M208" i="55" s="1"/>
  <c r="O208" i="55" s="1"/>
  <c r="M183" i="55" a="1"/>
  <c r="M183" i="55" s="1"/>
  <c r="O183" i="55" s="1"/>
  <c r="M194" i="55" a="1"/>
  <c r="M194" i="55" s="1"/>
  <c r="O194" i="55" s="1"/>
  <c r="M68" i="55" a="1"/>
  <c r="M68" i="55" s="1"/>
  <c r="O68" i="55" s="1"/>
  <c r="M97" i="55" a="1"/>
  <c r="M97" i="55" s="1"/>
  <c r="M211" i="55" a="1"/>
  <c r="M211" i="55" s="1"/>
  <c r="M125" i="55" a="1"/>
  <c r="M125" i="55" s="1"/>
  <c r="O125" i="55" s="1"/>
  <c r="I14" i="26"/>
  <c r="R14" i="26"/>
  <c r="M101" i="55" a="1"/>
  <c r="M101" i="55" s="1"/>
  <c r="M116" i="55" a="1"/>
  <c r="M116" i="55" s="1"/>
  <c r="G205" i="55"/>
  <c r="AJ12" i="26"/>
  <c r="M248" i="55" a="1"/>
  <c r="M248" i="55" s="1"/>
  <c r="O248" i="55" s="1"/>
  <c r="M120" i="55" a="1"/>
  <c r="M120" i="55" s="1"/>
  <c r="O120" i="55" s="1"/>
  <c r="M185" i="55" a="1"/>
  <c r="M185" i="55" s="1"/>
  <c r="O185" i="55" s="1"/>
  <c r="M187" i="55" a="1"/>
  <c r="M187" i="55" s="1"/>
  <c r="M41" i="55" a="1"/>
  <c r="M41" i="55" s="1"/>
  <c r="M220" i="55" a="1"/>
  <c r="M220" i="55" s="1"/>
  <c r="O220" i="55" s="1"/>
  <c r="M152" i="55" a="1"/>
  <c r="M152" i="55" s="1"/>
  <c r="O152" i="55" s="1"/>
  <c r="M145" i="55" a="1"/>
  <c r="M145" i="55" s="1"/>
  <c r="O145" i="55" s="1"/>
  <c r="N12" i="26"/>
  <c r="Y14" i="26"/>
  <c r="M71" i="55" a="1"/>
  <c r="M71" i="55" s="1"/>
  <c r="O71" i="55" s="1"/>
  <c r="M254" i="55" a="1"/>
  <c r="M254" i="55" s="1"/>
  <c r="O254" i="55" s="1"/>
  <c r="M126" i="55" a="1"/>
  <c r="M126" i="55" s="1"/>
  <c r="M222" i="55" a="1"/>
  <c r="M222" i="55" s="1"/>
  <c r="O222" i="55" s="1"/>
  <c r="M129" i="55" a="1"/>
  <c r="M129" i="55" s="1"/>
  <c r="O129" i="55" s="1"/>
  <c r="M13" i="55" a="1"/>
  <c r="M13" i="55" s="1"/>
  <c r="M201" i="55" a="1"/>
  <c r="M201" i="55" s="1"/>
  <c r="O201" i="55" s="1"/>
  <c r="M219" i="55" a="1"/>
  <c r="M219" i="55" s="1"/>
  <c r="O219" i="55" s="1"/>
  <c r="M117" i="55" a="1"/>
  <c r="M117" i="55" s="1"/>
  <c r="M83" i="55" a="1"/>
  <c r="M83" i="55" s="1"/>
  <c r="M104" i="55" a="1"/>
  <c r="M104" i="55" s="1"/>
  <c r="O104" i="55" s="1"/>
  <c r="M255" i="55" a="1"/>
  <c r="M255" i="55" s="1"/>
  <c r="O255" i="55" s="1"/>
  <c r="M38" i="55" a="1"/>
  <c r="M38" i="55" s="1"/>
  <c r="M252" i="55" a="1"/>
  <c r="M252" i="55" s="1"/>
  <c r="O252" i="55" s="1"/>
  <c r="M78" i="55" a="1"/>
  <c r="M78" i="55" s="1"/>
  <c r="O78" i="55" s="1"/>
  <c r="AK12" i="26"/>
  <c r="AC14" i="26"/>
  <c r="Q12" i="26"/>
  <c r="M151" i="55" a="1"/>
  <c r="M151" i="55" s="1"/>
  <c r="M23" i="55" a="1"/>
  <c r="M23" i="55" s="1"/>
  <c r="O23" i="55" s="1"/>
  <c r="M256" i="55" a="1"/>
  <c r="M256" i="55" s="1"/>
  <c r="O256" i="55" s="1"/>
  <c r="M108" i="55" a="1"/>
  <c r="M108" i="55" s="1"/>
  <c r="O108" i="55" s="1"/>
  <c r="M258" i="55" a="1"/>
  <c r="M258" i="55" s="1"/>
  <c r="O258" i="55" s="1"/>
  <c r="AC12" i="26"/>
  <c r="AF14" i="26"/>
  <c r="AL14" i="26"/>
  <c r="M14" i="55" a="1"/>
  <c r="M14" i="55" s="1"/>
  <c r="O14" i="55" s="1"/>
  <c r="M154" i="55" a="1"/>
  <c r="M154" i="55" s="1"/>
  <c r="M238" i="55" a="1"/>
  <c r="M238" i="55" s="1"/>
  <c r="M165" i="55" a="1"/>
  <c r="M165" i="55" s="1"/>
  <c r="O165" i="55" s="1"/>
  <c r="M114" i="55" a="1"/>
  <c r="M114" i="55" s="1"/>
  <c r="O114" i="55" s="1"/>
  <c r="M109" i="55" a="1"/>
  <c r="M109" i="55" s="1"/>
  <c r="O109" i="55" s="1"/>
  <c r="M230" i="55" a="1"/>
  <c r="M230" i="55" s="1"/>
  <c r="O230" i="55" s="1"/>
  <c r="M205" i="55" a="1"/>
  <c r="M205" i="55" s="1"/>
  <c r="O205" i="55" s="1"/>
  <c r="M93" i="55" a="1"/>
  <c r="M93" i="55" s="1"/>
  <c r="O93" i="55" s="1"/>
  <c r="M149" i="55" a="1"/>
  <c r="M149" i="55" s="1"/>
  <c r="O149" i="55" s="1"/>
  <c r="M204" i="55" a="1"/>
  <c r="M204" i="55" s="1"/>
  <c r="M90" i="55" a="1"/>
  <c r="M90" i="55" s="1"/>
  <c r="M202" i="55" a="1"/>
  <c r="M202" i="55" s="1"/>
  <c r="O202" i="55" s="1"/>
  <c r="M69" i="55" a="1"/>
  <c r="M69" i="55" s="1"/>
  <c r="O69" i="55" s="1"/>
  <c r="AI14" i="26"/>
  <c r="AL12" i="26"/>
  <c r="M14" i="26"/>
  <c r="M25" i="55" a="1"/>
  <c r="M25" i="55" s="1"/>
  <c r="M190" i="55" a="1"/>
  <c r="M190" i="55" s="1"/>
  <c r="O190" i="55" s="1"/>
  <c r="M182" i="55" a="1"/>
  <c r="M182" i="55" s="1"/>
  <c r="O182" i="55" s="1"/>
  <c r="M139" i="55" a="1"/>
  <c r="M139" i="55" s="1"/>
  <c r="O139" i="55" s="1"/>
  <c r="M80" i="55" a="1"/>
  <c r="M80" i="55" s="1"/>
  <c r="O80" i="55" s="1"/>
  <c r="M240" i="55" a="1"/>
  <c r="M240" i="55" s="1"/>
  <c r="O240" i="55" s="1"/>
  <c r="M171" i="55" a="1"/>
  <c r="M171" i="55" s="1"/>
  <c r="O171" i="55" s="1"/>
  <c r="M247" i="55" a="1"/>
  <c r="M247" i="55" s="1"/>
  <c r="O247" i="55" s="1"/>
  <c r="M76" i="55" a="1"/>
  <c r="M76" i="55" s="1"/>
  <c r="M21" i="55" a="1"/>
  <c r="M21" i="55" s="1"/>
  <c r="O21" i="55" s="1"/>
  <c r="M61" i="55" a="1"/>
  <c r="M61" i="55" s="1"/>
  <c r="O61" i="55" s="1"/>
  <c r="M28" i="55" a="1"/>
  <c r="M28" i="55" s="1"/>
  <c r="M100" i="55" a="1"/>
  <c r="M100" i="55" s="1"/>
  <c r="Z14" i="26"/>
  <c r="L12" i="26"/>
  <c r="U14" i="26"/>
  <c r="M163" i="55" a="1"/>
  <c r="M163" i="55" s="1"/>
  <c r="O163" i="55" s="1"/>
  <c r="M99" i="55" a="1"/>
  <c r="M99" i="55" s="1"/>
  <c r="M87" i="55" a="1"/>
  <c r="M87" i="55" s="1"/>
  <c r="AB14" i="26"/>
  <c r="M168" i="55" a="1"/>
  <c r="M168" i="55" s="1"/>
  <c r="M91" i="55" a="1"/>
  <c r="M91" i="55" s="1"/>
  <c r="M77" i="55" a="1"/>
  <c r="M77" i="55" s="1"/>
  <c r="M206" i="55" a="1"/>
  <c r="M206" i="55" s="1"/>
  <c r="M227" i="55" a="1"/>
  <c r="M227" i="55" s="1"/>
  <c r="O227" i="55" s="1"/>
  <c r="M9" i="55" a="1"/>
  <c r="M9" i="55" s="1"/>
  <c r="O9" i="55" s="1"/>
  <c r="M113" i="55" a="1"/>
  <c r="M113" i="55" s="1"/>
  <c r="O113" i="55" s="1"/>
  <c r="M176" i="55" a="1"/>
  <c r="M176" i="55" s="1"/>
  <c r="M155" i="55" a="1"/>
  <c r="M155" i="55" s="1"/>
  <c r="P14" i="26"/>
  <c r="B6" i="26"/>
  <c r="AD14" i="26"/>
  <c r="M45" i="55" a="1"/>
  <c r="M45" i="55" s="1"/>
  <c r="M250" i="55" a="1"/>
  <c r="M250" i="55" s="1"/>
  <c r="O250" i="55" s="1"/>
  <c r="M235" i="55" a="1"/>
  <c r="M235" i="55" s="1"/>
  <c r="M131" i="55" a="1"/>
  <c r="M131" i="55" s="1"/>
  <c r="O131" i="55" s="1"/>
  <c r="M40" i="55" a="1"/>
  <c r="M40" i="55" s="1"/>
  <c r="O40" i="55" s="1"/>
  <c r="M74" i="55" a="1"/>
  <c r="M74" i="55" s="1"/>
  <c r="O74" i="55" s="1"/>
  <c r="V12" i="26"/>
  <c r="M146" i="55" a="1"/>
  <c r="M146" i="55" s="1"/>
  <c r="N13" i="59" l="1"/>
  <c r="O170" i="55"/>
  <c r="V12" i="59"/>
  <c r="N40" i="59"/>
  <c r="N38" i="59"/>
  <c r="M23" i="59"/>
  <c r="B14" i="59"/>
  <c r="T33" i="59"/>
  <c r="F11" i="59"/>
  <c r="L26" i="59"/>
  <c r="V33" i="59"/>
  <c r="E42" i="59"/>
  <c r="D42" i="59"/>
  <c r="N39" i="59"/>
  <c r="V38" i="59"/>
  <c r="F38" i="59"/>
  <c r="N5" i="59"/>
  <c r="F18" i="59"/>
  <c r="F26" i="59"/>
  <c r="O110" i="55"/>
  <c r="R28" i="59"/>
  <c r="F22" i="59"/>
  <c r="F6" i="59"/>
  <c r="F40" i="59"/>
  <c r="N26" i="59"/>
  <c r="O22" i="55"/>
  <c r="V40" i="59"/>
  <c r="N20" i="59"/>
  <c r="N19" i="59"/>
  <c r="V11" i="59"/>
  <c r="N23" i="59"/>
  <c r="Q42" i="59"/>
  <c r="O211" i="55"/>
  <c r="M12" i="59"/>
  <c r="M11" i="59"/>
  <c r="M19" i="59"/>
  <c r="Q14" i="59"/>
  <c r="F7" i="59"/>
  <c r="M9" i="59"/>
  <c r="L5" i="59"/>
  <c r="N18" i="59"/>
  <c r="I28" i="59"/>
  <c r="N24" i="59"/>
  <c r="N11" i="59"/>
  <c r="O238" i="55"/>
  <c r="O102" i="55"/>
  <c r="L25" i="59"/>
  <c r="T23" i="59"/>
  <c r="V41" i="59"/>
  <c r="T32" i="59"/>
  <c r="F10" i="59"/>
  <c r="O168" i="55"/>
  <c r="V8" i="59"/>
  <c r="L37" i="59"/>
  <c r="L11" i="59"/>
  <c r="U10" i="59"/>
  <c r="N22" i="59"/>
  <c r="O42" i="59"/>
  <c r="U42" i="59" s="1"/>
  <c r="O155" i="55"/>
  <c r="O28" i="55"/>
  <c r="Q28" i="59"/>
  <c r="O92" i="55"/>
  <c r="F32" i="59"/>
  <c r="K42" i="59"/>
  <c r="O146" i="55"/>
  <c r="O117" i="55"/>
  <c r="L23" i="59"/>
  <c r="O25" i="55"/>
  <c r="O176" i="55"/>
  <c r="O147" i="55"/>
  <c r="O132" i="55"/>
  <c r="O83" i="55"/>
  <c r="O136" i="55"/>
  <c r="L174" i="55" a="1"/>
  <c r="L174" i="55" s="1"/>
  <c r="L172" i="55" a="1"/>
  <c r="L172" i="55" s="1"/>
  <c r="L136" i="55" a="1"/>
  <c r="L136" i="55" s="1"/>
  <c r="O154" i="55"/>
  <c r="L9" i="59"/>
  <c r="L53" i="55" a="1"/>
  <c r="L53" i="55" s="1"/>
  <c r="L144" i="55" a="1"/>
  <c r="L144" i="55" s="1"/>
  <c r="F28" i="59" a="1"/>
  <c r="F28" i="59" s="1"/>
  <c r="L25" i="55" a="1"/>
  <c r="L25" i="55" s="1"/>
  <c r="L120" i="55" a="1"/>
  <c r="L120" i="55" s="1"/>
  <c r="L18" i="59"/>
  <c r="L107" i="55" a="1"/>
  <c r="L107" i="55" s="1"/>
  <c r="L64" i="55" a="1"/>
  <c r="L64" i="55" s="1"/>
  <c r="L157" i="55" a="1"/>
  <c r="L157" i="55" s="1"/>
  <c r="L234" i="55" a="1"/>
  <c r="L234" i="55" s="1"/>
  <c r="L100" i="55" a="1"/>
  <c r="L100" i="55" s="1"/>
  <c r="L83" i="55" a="1"/>
  <c r="L83" i="55" s="1"/>
  <c r="L129" i="55" a="1"/>
  <c r="L129" i="55" s="1"/>
  <c r="O235" i="55"/>
  <c r="L197" i="55" a="1"/>
  <c r="L197" i="55" s="1"/>
  <c r="O70" i="55"/>
  <c r="L226" i="55" a="1"/>
  <c r="L226" i="55" s="1"/>
  <c r="L113" i="55" a="1"/>
  <c r="L113" i="55" s="1"/>
  <c r="L31" i="55" a="1"/>
  <c r="L31" i="55" s="1"/>
  <c r="O90" i="55"/>
  <c r="L11" i="55" a="1"/>
  <c r="L11" i="55" s="1"/>
  <c r="L72" i="55" a="1"/>
  <c r="L72" i="55" s="1"/>
  <c r="L181" i="55" a="1"/>
  <c r="L181" i="55" s="1"/>
  <c r="L210" i="55" a="1"/>
  <c r="L210" i="55" s="1"/>
  <c r="L117" i="55" a="1"/>
  <c r="L117" i="55" s="1"/>
  <c r="L155" i="55" a="1"/>
  <c r="L155" i="55" s="1"/>
  <c r="L191" i="55" a="1"/>
  <c r="L191" i="55" s="1"/>
  <c r="L201" i="55" a="1"/>
  <c r="L201" i="55" s="1"/>
  <c r="L60" i="55" a="1"/>
  <c r="L60" i="55" s="1"/>
  <c r="L12" i="55" a="1"/>
  <c r="L12" i="55" s="1"/>
  <c r="L12" i="59"/>
  <c r="L227" i="55" a="1"/>
  <c r="L227" i="55" s="1"/>
  <c r="L122" i="55" a="1"/>
  <c r="L122" i="55" s="1"/>
  <c r="O26" i="55"/>
  <c r="L56" i="55" a="1"/>
  <c r="L56" i="55" s="1"/>
  <c r="L101" i="55" a="1"/>
  <c r="L101" i="55" s="1"/>
  <c r="L251" i="55" a="1"/>
  <c r="L251" i="55" s="1"/>
  <c r="L79" i="55" a="1"/>
  <c r="L79" i="55" s="1"/>
  <c r="L70" i="55" a="1"/>
  <c r="L70" i="55" s="1"/>
  <c r="L24" i="55" a="1"/>
  <c r="L24" i="55" s="1"/>
  <c r="L17" i="55" a="1"/>
  <c r="L17" i="55" s="1"/>
  <c r="L208" i="55" a="1"/>
  <c r="L208" i="55" s="1"/>
  <c r="L76" i="55" a="1"/>
  <c r="L76" i="55" s="1"/>
  <c r="L110" i="55" a="1"/>
  <c r="L110" i="55" s="1"/>
  <c r="L62" i="55" a="1"/>
  <c r="L62" i="55" s="1"/>
  <c r="L182" i="55" a="1"/>
  <c r="L182" i="55" s="1"/>
  <c r="L176" i="55" a="1"/>
  <c r="L176" i="55" s="1"/>
  <c r="L214" i="55" a="1"/>
  <c r="L214" i="55" s="1"/>
  <c r="L57" i="55" a="1"/>
  <c r="L57" i="55" s="1"/>
  <c r="L71" i="55" a="1"/>
  <c r="L71" i="55" s="1"/>
  <c r="L130" i="55" a="1"/>
  <c r="L130" i="55" s="1"/>
  <c r="L103" i="55" a="1"/>
  <c r="L103" i="55" s="1"/>
  <c r="L15" i="55" a="1"/>
  <c r="L15" i="55" s="1"/>
  <c r="L105" i="55" a="1"/>
  <c r="L105" i="55" s="1"/>
  <c r="L37" i="55" a="1"/>
  <c r="L37" i="55" s="1"/>
  <c r="O173" i="55"/>
  <c r="L203" i="55" a="1"/>
  <c r="L203" i="55" s="1"/>
  <c r="L94" i="55" a="1"/>
  <c r="L94" i="55" s="1"/>
  <c r="L26" i="55" a="1"/>
  <c r="L26" i="55" s="1"/>
  <c r="L133" i="55" a="1"/>
  <c r="L133" i="55" s="1"/>
  <c r="L96" i="55" a="1"/>
  <c r="L96" i="55" s="1"/>
  <c r="F42" i="59" a="1"/>
  <c r="F42" i="59" s="1"/>
  <c r="L42" i="55" a="1"/>
  <c r="L42" i="55" s="1"/>
  <c r="L18" i="55" a="1"/>
  <c r="L18" i="55" s="1"/>
  <c r="L190" i="55" a="1"/>
  <c r="L190" i="55" s="1"/>
  <c r="L73" i="55" a="1"/>
  <c r="L73" i="55" s="1"/>
  <c r="L160" i="55" a="1"/>
  <c r="L160" i="55" s="1"/>
  <c r="O35" i="55"/>
  <c r="L233" i="55" a="1"/>
  <c r="L233" i="55" s="1"/>
  <c r="L168" i="55" a="1"/>
  <c r="L168" i="55" s="1"/>
  <c r="L92" i="55" a="1"/>
  <c r="L92" i="55" s="1"/>
  <c r="L32" i="55" a="1"/>
  <c r="L32" i="55" s="1"/>
  <c r="L139" i="55" a="1"/>
  <c r="L139" i="55" s="1"/>
  <c r="L14" i="55" a="1"/>
  <c r="L14" i="55" s="1"/>
  <c r="L177" i="55" a="1"/>
  <c r="L177" i="55" s="1"/>
  <c r="L52" i="55" a="1"/>
  <c r="L52" i="55" s="1"/>
  <c r="L61" i="55" a="1"/>
  <c r="L61" i="55" s="1"/>
  <c r="L95" i="55" a="1"/>
  <c r="L95" i="55" s="1"/>
  <c r="L138" i="55" a="1"/>
  <c r="L138" i="55" s="1"/>
  <c r="L158" i="55" a="1"/>
  <c r="L158" i="55" s="1"/>
  <c r="L154" i="55" a="1"/>
  <c r="L154" i="55" s="1"/>
  <c r="O232" i="55"/>
  <c r="O195" i="55"/>
  <c r="O44" i="55"/>
  <c r="O187" i="55"/>
  <c r="O126" i="55"/>
  <c r="O76" i="55"/>
  <c r="O206" i="55"/>
  <c r="O99" i="55"/>
  <c r="U23" i="59"/>
  <c r="T20" i="59"/>
  <c r="T8" i="59"/>
  <c r="O24" i="55"/>
  <c r="O77" i="55"/>
  <c r="L99" i="55" a="1"/>
  <c r="L99" i="55" s="1"/>
  <c r="O91" i="55"/>
  <c r="L156" i="55" a="1"/>
  <c r="L156" i="55" s="1"/>
  <c r="O133" i="55"/>
  <c r="L82" i="55" a="1"/>
  <c r="L82" i="55" s="1"/>
  <c r="O97" i="55"/>
  <c r="L135" i="55" a="1"/>
  <c r="L135" i="55" s="1"/>
  <c r="L66" i="55" a="1"/>
  <c r="L66" i="55" s="1"/>
  <c r="O29" i="55"/>
  <c r="O37" i="55"/>
  <c r="O45" i="55"/>
  <c r="O13" i="55"/>
  <c r="T12" i="59"/>
  <c r="L77" i="55" a="1"/>
  <c r="L77" i="55" s="1"/>
  <c r="L9" i="55" a="1"/>
  <c r="L9" i="55" s="1"/>
  <c r="L46" i="55" a="1"/>
  <c r="L46" i="55" s="1"/>
  <c r="L8" i="55" a="1"/>
  <c r="L8" i="55" s="1"/>
  <c r="L45" i="55" a="1"/>
  <c r="L45" i="55" s="1"/>
  <c r="O87" i="55"/>
  <c r="L27" i="55" a="1"/>
  <c r="L27" i="55" s="1"/>
  <c r="L125" i="55" a="1"/>
  <c r="L125" i="55" s="1"/>
  <c r="M6" i="59"/>
  <c r="L28" i="55" a="1"/>
  <c r="L28" i="55" s="1"/>
  <c r="L84" i="55" a="1"/>
  <c r="L84" i="55" s="1"/>
  <c r="L74" i="55" a="1"/>
  <c r="L74" i="55" s="1"/>
  <c r="O38" i="55"/>
  <c r="O41" i="55"/>
  <c r="L10" i="59"/>
  <c r="L104" i="55" a="1"/>
  <c r="L104" i="55" s="1"/>
  <c r="O55" i="55"/>
  <c r="L93" i="55" a="1"/>
  <c r="L93" i="55" s="1"/>
  <c r="O249" i="55"/>
  <c r="O101" i="55"/>
  <c r="P277" i="55"/>
  <c r="S277" i="55" s="1"/>
  <c r="O204" i="55"/>
  <c r="O151" i="55"/>
  <c r="U7" i="59"/>
  <c r="T22" i="59"/>
  <c r="L209" i="55" a="1"/>
  <c r="L209" i="55" s="1"/>
  <c r="L164" i="55" a="1"/>
  <c r="L164" i="55" s="1"/>
  <c r="L171" i="55" a="1"/>
  <c r="L171" i="55" s="1"/>
  <c r="L114" i="55" a="1"/>
  <c r="L114" i="55" s="1"/>
  <c r="L118" i="55" a="1"/>
  <c r="L118" i="55" s="1"/>
  <c r="L97" i="55" a="1"/>
  <c r="L97" i="55" s="1"/>
  <c r="L206" i="55" a="1"/>
  <c r="L206" i="55" s="1"/>
  <c r="L123" i="55" a="1"/>
  <c r="L123" i="55" s="1"/>
  <c r="L213" i="55" a="1"/>
  <c r="L213" i="55" s="1"/>
  <c r="L185" i="55" a="1"/>
  <c r="L185" i="55" s="1"/>
  <c r="L163" i="55" a="1"/>
  <c r="L163" i="55" s="1"/>
  <c r="L87" i="55" a="1"/>
  <c r="L87" i="55" s="1"/>
  <c r="L140" i="55" a="1"/>
  <c r="L140" i="55" s="1"/>
  <c r="L51" i="55" a="1"/>
  <c r="L51" i="55" s="1"/>
  <c r="L106" i="55" a="1"/>
  <c r="L106" i="55" s="1"/>
  <c r="L34" i="55" a="1"/>
  <c r="L34" i="55" s="1"/>
  <c r="L223" i="55" a="1"/>
  <c r="L223" i="55" s="1"/>
  <c r="L216" i="55" a="1"/>
  <c r="L216" i="55" s="1"/>
  <c r="L236" i="55" a="1"/>
  <c r="L236" i="55" s="1"/>
  <c r="L142" i="55" a="1"/>
  <c r="L142" i="55" s="1"/>
  <c r="L115" i="55" a="1"/>
  <c r="L115" i="55" s="1"/>
  <c r="L23" i="55" a="1"/>
  <c r="L23" i="55" s="1"/>
  <c r="L10" i="55" a="1"/>
  <c r="L10" i="55" s="1"/>
  <c r="L242" i="55" a="1"/>
  <c r="L242" i="55" s="1"/>
  <c r="L146" i="55" a="1"/>
  <c r="L146" i="55" s="1"/>
  <c r="L54" i="55" a="1"/>
  <c r="L54" i="55" s="1"/>
  <c r="L65" i="55" a="1"/>
  <c r="L65" i="55" s="1"/>
  <c r="L29" i="55" a="1"/>
  <c r="L29" i="55" s="1"/>
  <c r="L204" i="55" a="1"/>
  <c r="L204" i="55" s="1"/>
  <c r="L48" i="55" a="1"/>
  <c r="L48" i="55" s="1"/>
  <c r="L108" i="55" a="1"/>
  <c r="L108" i="55" s="1"/>
  <c r="L198" i="55" a="1"/>
  <c r="L198" i="55" s="1"/>
  <c r="L19" i="55" a="1"/>
  <c r="L19" i="55" s="1"/>
  <c r="L229" i="55" a="1"/>
  <c r="L229" i="55" s="1"/>
  <c r="L124" i="55" a="1"/>
  <c r="L124" i="55" s="1"/>
  <c r="L33" i="55" a="1"/>
  <c r="L33" i="55" s="1"/>
  <c r="L240" i="55" a="1"/>
  <c r="L240" i="55" s="1"/>
  <c r="L38" i="55" a="1"/>
  <c r="L38" i="55" s="1"/>
  <c r="L218" i="55" a="1"/>
  <c r="L218" i="55" s="1"/>
  <c r="L121" i="55" a="1"/>
  <c r="L121" i="55" s="1"/>
  <c r="L189" i="55" a="1"/>
  <c r="L189" i="55" s="1"/>
  <c r="L131" i="55" a="1"/>
  <c r="L131" i="55" s="1"/>
  <c r="L39" i="55" a="1"/>
  <c r="L39" i="55" s="1"/>
  <c r="L173" i="55" a="1"/>
  <c r="L173" i="55" s="1"/>
  <c r="L128" i="55" a="1"/>
  <c r="L128" i="55" s="1"/>
  <c r="L85" i="55" a="1"/>
  <c r="L85" i="55" s="1"/>
  <c r="L170" i="55" a="1"/>
  <c r="L170" i="55" s="1"/>
  <c r="L228" i="55" a="1"/>
  <c r="L228" i="55" s="1"/>
  <c r="L200" i="55" a="1"/>
  <c r="L200" i="55" s="1"/>
  <c r="L221" i="55" a="1"/>
  <c r="L221" i="55" s="1"/>
  <c r="L148" i="55" a="1"/>
  <c r="L148" i="55" s="1"/>
  <c r="L127" i="55" a="1"/>
  <c r="L127" i="55" s="1"/>
  <c r="L80" i="55" a="1"/>
  <c r="L80" i="55" s="1"/>
  <c r="L20" i="55" a="1"/>
  <c r="L20" i="55" s="1"/>
  <c r="L91" i="55" a="1"/>
  <c r="L91" i="55" s="1"/>
  <c r="L90" i="55" a="1"/>
  <c r="L90" i="55" s="1"/>
  <c r="L50" i="55" a="1"/>
  <c r="L50" i="55" s="1"/>
  <c r="L166" i="55" a="1"/>
  <c r="L166" i="55" s="1"/>
  <c r="L116" i="55" a="1"/>
  <c r="L116" i="55" s="1"/>
  <c r="L250" i="55" a="1"/>
  <c r="L250" i="55" s="1"/>
  <c r="L69" i="55" a="1"/>
  <c r="L69" i="55" s="1"/>
  <c r="L81" i="55" a="1"/>
  <c r="L81" i="55" s="1"/>
  <c r="L238" i="55" a="1"/>
  <c r="L238" i="55" s="1"/>
  <c r="L224" i="55" a="1"/>
  <c r="L224" i="55" s="1"/>
  <c r="L119" i="55" a="1"/>
  <c r="L119" i="55" s="1"/>
  <c r="L41" i="55" a="1"/>
  <c r="L41" i="55" s="1"/>
  <c r="L16" i="55" a="1"/>
  <c r="L16" i="55" s="1"/>
  <c r="L230" i="55" a="1"/>
  <c r="L230" i="55" s="1"/>
  <c r="L22" i="55" a="1"/>
  <c r="L22" i="55" s="1"/>
  <c r="L188" i="55" a="1"/>
  <c r="L188" i="55" s="1"/>
  <c r="L252" i="55" a="1"/>
  <c r="L252" i="55" s="1"/>
  <c r="L248" i="55" a="1"/>
  <c r="L248" i="55" s="1"/>
  <c r="L47" i="55" a="1"/>
  <c r="L47" i="55" s="1"/>
  <c r="L21" i="55" a="1"/>
  <c r="L21" i="55" s="1"/>
  <c r="L231" i="55" a="1"/>
  <c r="L231" i="55" s="1"/>
  <c r="L132" i="55" a="1"/>
  <c r="L132" i="55" s="1"/>
  <c r="L112" i="55" a="1"/>
  <c r="L112" i="55" s="1"/>
  <c r="L256" i="55" a="1"/>
  <c r="L256" i="55" s="1"/>
  <c r="L217" i="55" a="1"/>
  <c r="L217" i="55" s="1"/>
  <c r="L58" i="55" a="1"/>
  <c r="L58" i="55" s="1"/>
  <c r="L35" i="55" a="1"/>
  <c r="L35" i="55" s="1"/>
  <c r="L194" i="55" a="1"/>
  <c r="L194" i="55" s="1"/>
  <c r="L277" i="55"/>
  <c r="L159" i="55" a="1"/>
  <c r="L159" i="55" s="1"/>
  <c r="L165" i="55" a="1"/>
  <c r="L165" i="55" s="1"/>
  <c r="L184" i="55" a="1"/>
  <c r="L184" i="55" s="1"/>
  <c r="L169" i="55" a="1"/>
  <c r="L169" i="55" s="1"/>
  <c r="L245" i="55" a="1"/>
  <c r="L245" i="55" s="1"/>
  <c r="L44" i="55" a="1"/>
  <c r="L44" i="55" s="1"/>
  <c r="L13" i="55" a="1"/>
  <c r="L13" i="55" s="1"/>
  <c r="L244" i="55" a="1"/>
  <c r="L244" i="55" s="1"/>
  <c r="L207" i="55" a="1"/>
  <c r="L207" i="55" s="1"/>
  <c r="L102" i="55" a="1"/>
  <c r="L102" i="55" s="1"/>
  <c r="L257" i="55" a="1"/>
  <c r="L257" i="55" s="1"/>
  <c r="L67" i="55" a="1"/>
  <c r="L67" i="55" s="1"/>
  <c r="L75" i="55" a="1"/>
  <c r="L75" i="55" s="1"/>
  <c r="L89" i="55" a="1"/>
  <c r="L89" i="55" s="1"/>
  <c r="L219" i="55" a="1"/>
  <c r="L219" i="55" s="1"/>
  <c r="L88" i="55" a="1"/>
  <c r="L88" i="55" s="1"/>
  <c r="L195" i="55" a="1"/>
  <c r="L195" i="55" s="1"/>
  <c r="L249" i="55" a="1"/>
  <c r="L249" i="55" s="1"/>
  <c r="L161" i="55" a="1"/>
  <c r="L161" i="55" s="1"/>
  <c r="L98" i="55" a="1"/>
  <c r="L98" i="55" s="1"/>
  <c r="L141" i="55" a="1"/>
  <c r="L141" i="55" s="1"/>
  <c r="L126" i="55" a="1"/>
  <c r="L126" i="55" s="1"/>
  <c r="L241" i="55" a="1"/>
  <c r="L241" i="55" s="1"/>
  <c r="L255" i="55" a="1"/>
  <c r="L255" i="55" s="1"/>
  <c r="L220" i="55" a="1"/>
  <c r="L220" i="55" s="1"/>
  <c r="L137" i="55" a="1"/>
  <c r="L137" i="55" s="1"/>
  <c r="L222" i="55" a="1"/>
  <c r="L222" i="55" s="1"/>
  <c r="L237" i="55" a="1"/>
  <c r="L237" i="55" s="1"/>
  <c r="L247" i="55" a="1"/>
  <c r="L247" i="55" s="1"/>
  <c r="L205" i="55" a="1"/>
  <c r="L205" i="55" s="1"/>
  <c r="L40" i="55" a="1"/>
  <c r="L40" i="55" s="1"/>
  <c r="L145" i="55" a="1"/>
  <c r="L145" i="55" s="1"/>
  <c r="L109" i="55" a="1"/>
  <c r="L109" i="55" s="1"/>
  <c r="L192" i="55" a="1"/>
  <c r="L192" i="55" s="1"/>
  <c r="L134" i="55" a="1"/>
  <c r="L134" i="55" s="1"/>
  <c r="L235" i="55" a="1"/>
  <c r="L235" i="55" s="1"/>
  <c r="L225" i="55" a="1"/>
  <c r="L225" i="55" s="1"/>
  <c r="L143" i="55" a="1"/>
  <c r="L143" i="55" s="1"/>
  <c r="L212" i="55" a="1"/>
  <c r="L212" i="55" s="1"/>
  <c r="L7" i="55" a="1"/>
  <c r="L7" i="55" s="1"/>
  <c r="L215" i="55" a="1"/>
  <c r="L215" i="55" s="1"/>
  <c r="L147" i="55" a="1"/>
  <c r="L147" i="55" s="1"/>
  <c r="L59" i="55" a="1"/>
  <c r="L59" i="55" s="1"/>
  <c r="L63" i="55" a="1"/>
  <c r="L63" i="55" s="1"/>
  <c r="L175" i="55" a="1"/>
  <c r="L175" i="55" s="1"/>
  <c r="L254" i="55" a="1"/>
  <c r="L254" i="55" s="1"/>
  <c r="L246" i="55" a="1"/>
  <c r="L246" i="55" s="1"/>
  <c r="L243" i="55" a="1"/>
  <c r="L243" i="55" s="1"/>
  <c r="L258" i="55" a="1"/>
  <c r="L258" i="55" s="1"/>
  <c r="L2" i="55"/>
  <c r="L55" i="55" a="1"/>
  <c r="L55" i="55" s="1"/>
  <c r="L111" i="55" a="1"/>
  <c r="L111" i="55" s="1"/>
  <c r="L211" i="55" a="1"/>
  <c r="L211" i="55" s="1"/>
  <c r="L167" i="55" a="1"/>
  <c r="L167" i="55" s="1"/>
  <c r="L149" i="55" a="1"/>
  <c r="L149" i="55" s="1"/>
  <c r="L179" i="55" a="1"/>
  <c r="L179" i="55" s="1"/>
  <c r="L199" i="55" a="1"/>
  <c r="L199" i="55" s="1"/>
  <c r="L187" i="55" a="1"/>
  <c r="L187" i="55" s="1"/>
  <c r="L150" i="55" a="1"/>
  <c r="L150" i="55" s="1"/>
  <c r="L151" i="55" a="1"/>
  <c r="L151" i="55" s="1"/>
  <c r="L86" i="55" a="1"/>
  <c r="L86" i="55" s="1"/>
  <c r="L202" i="55" a="1"/>
  <c r="L202" i="55" s="1"/>
  <c r="L180" i="55" a="1"/>
  <c r="L180" i="55" s="1"/>
  <c r="L232" i="55" a="1"/>
  <c r="L232" i="55" s="1"/>
  <c r="L36" i="55" a="1"/>
  <c r="L36" i="55" s="1"/>
  <c r="L196" i="55" a="1"/>
  <c r="L196" i="55" s="1"/>
  <c r="L49" i="55" a="1"/>
  <c r="L49" i="55" s="1"/>
  <c r="L193" i="55" a="1"/>
  <c r="L193" i="55" s="1"/>
  <c r="L239" i="55" a="1"/>
  <c r="L239" i="55" s="1"/>
  <c r="L78" i="55" a="1"/>
  <c r="L78" i="55" s="1"/>
  <c r="L253" i="55" a="1"/>
  <c r="L253" i="55" s="1"/>
  <c r="L178" i="55" a="1"/>
  <c r="L178" i="55" s="1"/>
  <c r="L162" i="55" a="1"/>
  <c r="L162" i="55" s="1"/>
  <c r="L153" i="55" a="1"/>
  <c r="L153" i="55" s="1"/>
  <c r="L43" i="55" a="1"/>
  <c r="L43" i="55" s="1"/>
  <c r="L183" i="55" a="1"/>
  <c r="L183" i="55" s="1"/>
  <c r="L186" i="55" a="1"/>
  <c r="L186" i="55" s="1"/>
  <c r="L30" i="55" a="1"/>
  <c r="L30" i="55" s="1"/>
  <c r="O100" i="55"/>
  <c r="O130" i="55"/>
  <c r="L152" i="55" a="1"/>
  <c r="L152" i="55" s="1"/>
  <c r="U18" i="59"/>
  <c r="O116" i="55"/>
  <c r="I42" i="59"/>
  <c r="S14" i="59"/>
  <c r="L19" i="59"/>
  <c r="J14" i="59"/>
  <c r="M26" i="59"/>
  <c r="T26" i="59"/>
  <c r="T10" i="59"/>
  <c r="O121" i="55"/>
  <c r="M7" i="59"/>
  <c r="K28" i="59"/>
  <c r="R42" i="59"/>
  <c r="T21" i="59"/>
  <c r="U9" i="59"/>
  <c r="T9" i="59"/>
  <c r="O277" i="55"/>
  <c r="O2" i="55"/>
  <c r="D14" i="59"/>
  <c r="F14" i="59" s="1" a="1"/>
  <c r="F14" i="59" s="1"/>
  <c r="O43" i="55"/>
  <c r="O49" i="55"/>
  <c r="H28" i="59"/>
  <c r="N28" i="59" s="1"/>
  <c r="S28" i="59"/>
  <c r="P42" i="59"/>
  <c r="M4" i="59"/>
  <c r="G14" i="59"/>
  <c r="P14" i="59"/>
  <c r="V14" i="59" s="1"/>
  <c r="U4" i="59"/>
  <c r="L7" i="59"/>
  <c r="T19" i="59"/>
  <c r="V19" i="59"/>
  <c r="F19" i="59"/>
  <c r="B28" i="59"/>
  <c r="P28" i="59"/>
  <c r="U19" i="59"/>
  <c r="U11" i="59"/>
  <c r="T11" i="59"/>
  <c r="G28" i="59"/>
  <c r="M20" i="59"/>
  <c r="L36" i="59"/>
  <c r="N36" i="59"/>
  <c r="H42" i="59"/>
  <c r="U5" i="59"/>
  <c r="O14" i="59"/>
  <c r="T14" i="59" s="1"/>
  <c r="U6" i="59"/>
  <c r="T6" i="59"/>
  <c r="V25" i="59"/>
  <c r="T25" i="59"/>
  <c r="F25" i="59"/>
  <c r="F39" i="59"/>
  <c r="V39" i="59"/>
  <c r="T39" i="59"/>
  <c r="C14" i="59"/>
  <c r="L4" i="59"/>
  <c r="N4" i="59"/>
  <c r="V4" i="59"/>
  <c r="F4" i="59"/>
  <c r="T4" i="59"/>
  <c r="M22" i="59"/>
  <c r="M25" i="59"/>
  <c r="N25" i="59"/>
  <c r="U25" i="59"/>
  <c r="O28" i="59"/>
  <c r="E28" i="59"/>
  <c r="F21" i="59"/>
  <c r="L24" i="59"/>
  <c r="M24" i="59"/>
  <c r="M32" i="59"/>
  <c r="G42" i="59"/>
  <c r="M42" i="59" s="1"/>
  <c r="E14" i="59"/>
  <c r="F5" i="59"/>
  <c r="S42" i="59"/>
  <c r="V23" i="59"/>
  <c r="O167" i="55"/>
  <c r="T5" i="59"/>
  <c r="L8" i="59"/>
  <c r="M8" i="59"/>
  <c r="J28" i="59"/>
  <c r="U24" i="59"/>
  <c r="V24" i="59"/>
  <c r="I14" i="59"/>
  <c r="B42" i="59"/>
  <c r="T34" i="59"/>
  <c r="V34" i="59"/>
  <c r="F34" i="59"/>
  <c r="C42" i="59"/>
  <c r="H2" i="55"/>
  <c r="H277" i="55"/>
  <c r="I7" i="26"/>
  <c r="H6" i="26"/>
  <c r="G277" i="55"/>
  <c r="G278" i="55"/>
  <c r="G3" i="55"/>
  <c r="G2" i="55"/>
  <c r="R2" i="55" l="1"/>
  <c r="R277" i="55"/>
  <c r="T2" i="55" s="1"/>
  <c r="S2" i="55"/>
  <c r="M28" i="59"/>
  <c r="M14" i="59"/>
  <c r="U14" i="59"/>
  <c r="T28" i="59"/>
  <c r="U28" i="59"/>
  <c r="L42" i="59"/>
  <c r="N42" i="59"/>
  <c r="L14" i="59"/>
  <c r="N14" i="59"/>
  <c r="V42" i="59"/>
  <c r="T42" i="59"/>
  <c r="V28" i="59"/>
  <c r="L28" i="59"/>
  <c r="H3" i="55"/>
  <c r="H278" i="55"/>
  <c r="I6" i="26"/>
  <c r="J7" i="26"/>
  <c r="T277" i="55" l="1"/>
  <c r="J6" i="26"/>
  <c r="K7" i="26"/>
  <c r="K6" i="26" l="1"/>
  <c r="L7" i="26"/>
  <c r="M7" i="26" l="1"/>
  <c r="L6" i="26"/>
  <c r="N7" i="26" l="1"/>
  <c r="M6" i="26"/>
  <c r="N6" i="26" l="1"/>
  <c r="O7" i="26"/>
  <c r="P7" i="26" l="1"/>
  <c r="O6" i="26"/>
  <c r="Q7" i="26" l="1"/>
  <c r="P6" i="26"/>
  <c r="R7" i="26" l="1"/>
  <c r="Q6" i="26"/>
  <c r="R6" i="26" l="1"/>
  <c r="S7" i="26"/>
  <c r="S6" i="26" l="1"/>
  <c r="T7" i="26"/>
  <c r="U7" i="26" l="1"/>
  <c r="T6" i="26"/>
  <c r="V7" i="26" l="1"/>
  <c r="U6" i="26"/>
  <c r="W7" i="26" l="1"/>
  <c r="V6" i="26"/>
  <c r="X7" i="26" l="1"/>
  <c r="W6" i="26"/>
  <c r="Y7" i="26" l="1"/>
  <c r="X6" i="26"/>
  <c r="Y6" i="26" l="1"/>
  <c r="Z7" i="26"/>
  <c r="AA7" i="26" l="1"/>
  <c r="Z6" i="26"/>
  <c r="AA6" i="26" l="1"/>
  <c r="AB7" i="26"/>
  <c r="AC7" i="26" l="1"/>
  <c r="AB6"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rgb="FF000000"/>
            <rFont val="Tahoma"/>
            <family val="2"/>
          </rPr>
          <t xml:space="preserve">TServer or CDL or any type of Diags test case ID.
</t>
        </r>
        <r>
          <rPr>
            <sz val="9"/>
            <color rgb="FF000000"/>
            <rFont val="Tahoma"/>
            <family val="2"/>
          </rPr>
          <t xml:space="preserve">
</t>
        </r>
        <r>
          <rPr>
            <b/>
            <sz val="9"/>
            <color rgb="FF000000"/>
            <rFont val="Tahoma"/>
            <family val="2"/>
          </rPr>
          <t xml:space="preserve">Unique Test Case ID, as used in Diag suites and scripts. One Test Case ID per row.
</t>
        </r>
        <r>
          <rPr>
            <b/>
            <sz val="9"/>
            <color rgb="FF000000"/>
            <rFont val="Tahoma"/>
            <family val="2"/>
          </rPr>
          <t xml:space="preserve">
</t>
        </r>
        <r>
          <rPr>
            <b/>
            <sz val="9"/>
            <color rgb="FF000000"/>
            <rFont val="Tahoma"/>
            <family val="2"/>
          </rPr>
          <t>Do not use different designations for same test – i.e., "TestId7.1" and "TestId007.001". Pick one, and stick with it consistently.</t>
        </r>
        <r>
          <rPr>
            <sz val="9"/>
            <color rgb="FF000000"/>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<sst xmlns="http://schemas.openxmlformats.org/spreadsheetml/2006/main" count="3824" uniqueCount="1004">
  <si>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</si>
  <si>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</si>
  <si>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</si>
  <si>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</si>
  <si>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</si>
  <si>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</si>
  <si>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</si>
  <si>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</si>
  <si>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</si>
  <si>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</si>
  <si>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</si>
  <si>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</si>
  <si>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</si>
  <si>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</si>
  <si>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</si>
  <si>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</si>
  <si>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</si>
  <si>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</si>
  <si>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</si>
  <si>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</si>
  <si>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</si>
  <si>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</si>
  <si>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</si>
  <si>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</si>
  <si>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</si>
  <si>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</si>
  <si>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</si>
  <si>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</si>
  <si>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</si>
  <si>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</si>
  <si>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</si>
  <si>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</si>
  <si>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</si>
  <si>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</si>
  <si>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</si>
  <si>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</si>
  <si>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</si>
  <si>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</si>
  <si>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</si>
  <si>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</si>
  <si>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</si>
  <si>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</si>
  <si>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</si>
  <si>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</si>
  <si>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</si>
  <si>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</si>
  <si>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</si>
  <si>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</si>
  <si>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</si>
  <si>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</si>
  <si>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</si>
  <si>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</si>
  <si>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</si>
  <si>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</si>
  <si>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</si>
  <si>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</si>
  <si>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</si>
  <si>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</si>
  <si>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</si>
  <si>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</si>
  <si>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</si>
  <si>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</si>
  <si>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</si>
  <si>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</si>
  <si>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</si>
  <si>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</si>
  <si>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</si>
  <si>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</si>
  <si>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</si>
  <si>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</si>
  <si>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</si>
  <si>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</si>
  <si>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</si>
  <si>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</si>
  <si>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</si>
  <si>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</si>
  <si>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</si>
  <si>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</si>
  <si>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</si>
  <si>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</si>
  <si>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</si>
  <si>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</si>
  <si>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</si>
  <si>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</si>
  <si>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</si>
  <si>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</si>
  <si>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</si>
  <si>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</si>
  <si>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</si>
  <si>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</si>
  <si>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</si>
  <si>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</si>
  <si>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</si>
  <si>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</si>
  <si>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</si>
  <si>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</si>
  <si>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</si>
  <si>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</si>
  <si>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</si>
  <si>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</si>
  <si>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</si>
  <si>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</si>
  <si>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</si>
  <si>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</si>
  <si>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</si>
  <si>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</si>
  <si>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</si>
  <si>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</si>
  <si>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</si>
  <si>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</si>
  <si>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</si>
  <si>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</si>
  <si>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</si>
  <si>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</si>
  <si>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</si>
  <si>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</si>
  <si>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</si>
  <si>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</si>
  <si>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</si>
  <si>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</si>
  <si>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</si>
  <si>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</si>
  <si>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</si>
  <si>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</si>
  <si>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</si>
  <si>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</si>
  <si>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</si>
  <si>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</si>
  <si>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</si>
  <si>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</si>
  <si>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</si>
  <si>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</si>
  <si>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</si>
  <si>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</si>
  <si>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</si>
  <si>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</si>
  <si>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</si>
  <si>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</si>
  <si>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</si>
  <si>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</si>
  <si>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</si>
  <si>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</si>
  <si>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</si>
  <si>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</si>
  <si>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</si>
  <si>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</si>
  <si>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</si>
  <si>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</si>
  <si>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</si>
  <si>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</si>
  <si>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</si>
  <si>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</si>
  <si>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</si>
  <si>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</si>
  <si>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</si>
  <si>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</si>
  <si>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</si>
  <si>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</si>
  <si>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</si>
  <si>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</si>
  <si>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</si>
  <si>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</si>
  <si>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</si>
  <si>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</si>
  <si>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</si>
  <si>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</si>
  <si>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</si>
  <si>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</si>
  <si>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</si>
  <si>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</si>
  <si>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</si>
  <si>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</si>
  <si>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</si>
  <si>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</si>
  <si>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</si>
  <si>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</si>
  <si>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</si>
  <si>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</si>
  <si>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</si>
  <si>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</si>
  <si>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</si>
  <si>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</si>
  <si>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</si>
  <si>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</si>
  <si>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</si>
  <si>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</si>
  <si>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</si>
  <si>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</si>
  <si>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</si>
  <si>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</si>
  <si>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</si>
  <si>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</si>
  <si>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</si>
  <si>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</si>
  <si>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</si>
  <si>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</si>
  <si>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</si>
  <si>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</si>
  <si>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</si>
  <si>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</si>
  <si>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</si>
  <si>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</si>
  <si>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</si>
  <si>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</si>
  <si>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</si>
  <si>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</si>
  <si>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</si>
  <si>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</si>
  <si>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</si>
  <si>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</si>
  <si>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</si>
  <si>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</si>
  <si>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</si>
  <si>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</si>
  <si>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</si>
  <si>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</si>
  <si>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</si>
  <si>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</si>
  <si>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</si>
  <si>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</si>
  <si>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</si>
  <si>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</si>
  <si>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</si>
  <si>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</si>
  <si>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</si>
  <si>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</si>
  <si>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</si>
  <si>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</si>
  <si>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</si>
  <si>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</si>
  <si>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</si>
  <si>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</si>
  <si>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</si>
  <si>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</si>
  <si>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</si>
  <si>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</si>
  <si>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</si>
  <si>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</si>
  <si>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</si>
  <si>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</si>
  <si>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</si>
  <si>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</si>
  <si>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</si>
  <si>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</si>
  <si>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</si>
  <si>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</si>
  <si>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</si>
  <si>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</si>
  <si>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</si>
  <si>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</si>
  <si>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</si>
  <si>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</si>
  <si>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</si>
  <si>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</si>
  <si>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</si>
  <si>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</si>
  <si>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</si>
  <si>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</si>
  <si>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</si>
  <si>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</si>
  <si>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</si>
  <si>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</si>
  <si>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</si>
  <si>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</si>
  <si>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</si>
  <si>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</si>
  <si>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</si>
  <si>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</si>
  <si>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</si>
  <si>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</si>
  <si>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</si>
  <si>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</si>
  <si>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</si>
  <si>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</si>
  <si>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</si>
  <si>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</si>
  <si>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</si>
  <si>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</si>
  <si>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</si>
  <si>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</si>
  <si>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</si>
  <si>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</si>
  <si>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</si>
  <si>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</si>
  <si>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</si>
  <si>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</si>
  <si>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</si>
  <si>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</si>
  <si>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</si>
  <si>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</si>
  <si>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</si>
  <si>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</si>
  <si>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</si>
  <si>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</si>
  <si>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</si>
  <si>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</si>
  <si>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</si>
  <si>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</si>
  <si>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</si>
  <si>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</si>
  <si>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</si>
  <si>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</si>
  <si>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</si>
  <si>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</si>
  <si>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</si>
  <si>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</si>
  <si>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</si>
  <si>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</si>
  <si>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</si>
  <si>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</si>
  <si>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</si>
  <si>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</si>
  <si>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</si>
  <si>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</si>
  <si>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</si>
  <si>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</si>
  <si>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</si>
  <si>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PPI39
PPI100.65</t>
  </si>
  <si>
    <t>WK3</t>
  </si>
  <si>
    <t>Yu Xuan</t>
  </si>
  <si>
    <t>ge1.0, ge1.1</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</si>
  <si>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</si>
  <si>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</si>
  <si>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</si>
  <si>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</si>
  <si>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STD1.6 -tglEnableSCBinning=0</t>
  </si>
  <si>
    <t>sc42.2
sc42.3
sc26.9
sc26.10
sc26.11
sc26.12</t>
  </si>
  <si>
    <t>Feature dropped</t>
  </si>
  <si>
    <t>Xiaojing</t>
  </si>
  <si>
    <t>gfx.sr_stat</t>
  </si>
  <si>
    <t>ppi41.2,ppi41.22,ppi41.42,ppi41.52</t>
  </si>
  <si>
    <t>Covered by 12.164 hybrid_depth_comp</t>
  </si>
  <si>
    <t>Faez/Frank</t>
  </si>
  <si>
    <t>txi91.0-1</t>
  </si>
  <si>
    <t>logged into jira. Will check on silicon.</t>
  </si>
  <si>
    <t>Frank</t>
  </si>
  <si>
    <t>txi90.0-5</t>
  </si>
  <si>
    <t>Glenn/Javad</t>
  </si>
  <si>
    <t>See 12.041</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</si>
  <si>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</si>
  <si>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</si>
  <si>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</si>
  <si>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ppi302.3,ppi302.5</t>
  </si>
  <si>
    <t>WK9</t>
  </si>
  <si>
    <t>Not an implemented feature in Navi4x</t>
  </si>
  <si>
    <t>rt1.320</t>
  </si>
  <si>
    <t>WK2</t>
  </si>
  <si>
    <t>rt1.330</t>
  </si>
  <si>
    <t>rt1.302</t>
  </si>
  <si>
    <t>Glenn/Javad/JJ/Anthony</t>
  </si>
  <si>
    <t>gfx.cmm_cp_access_order_monolithic
gfx.cmm_sa_gl2_access_order_monolithic 
gfx.cmm_sa_gl2_same_address_monolithic</t>
  </si>
  <si>
    <t>-c +/diag/gpu/vml2/global/mode=On -c +/diag/gpu/vml2/context/0/mode=On -c +/diag/gpu/allocationRerouting=NoDeviceMemory</t>
  </si>
  <si>
    <t>Javad</t>
  </si>
  <si>
    <t>gfx.cmm_cache_last_use_policy_monolithic</t>
  </si>
  <si>
    <t>WK8</t>
  </si>
  <si>
    <t>glxi60.1-3</t>
  </si>
  <si>
    <t xml:space="preserve"> -vm</t>
  </si>
  <si>
    <t>Not visible to software and diags</t>
  </si>
  <si>
    <t>gci1301.0</t>
  </si>
  <si>
    <t>gci1304.0</t>
  </si>
  <si>
    <t>-pv_proxy=true -counter=SQC_PERF_SEL_ICACHE_PREFETCH_REQ_CACHELINES,SQC_PERF_SEL_ICACHE_PREFETCH_MISSES -countertemp=counterfile</t>
  </si>
  <si>
    <t>gfx.inst_perf/sched_mode_dep_mode1
gfx.inst_perf/sched_mode_dep_mode2</t>
  </si>
  <si>
    <t>gfx.inst_perf/global_load_block
gfx.inst_perf/global_store_block
gfx.inst_perf/scratch_load_block
gfx.inst_perf/scratch_store_block</t>
  </si>
  <si>
    <t>gci1305.0
gci1305.1</t>
  </si>
  <si>
    <t>gci1305.2</t>
  </si>
  <si>
    <t>gfx.inst_perf/ds_permute_b32_w64
gfx.inst_perf/ds_bpermute_b32_w64</t>
  </si>
  <si>
    <t>Shuhui</t>
  </si>
  <si>
    <t>gfx.inst_perf/v_permlanex16_var_b32
gfx.inst_perf/v_permlane16_var_b32</t>
  </si>
  <si>
    <t>https://ontrack-internal.amd.com/browse/TNG-8400</t>
  </si>
  <si>
    <t>gfx.inst_perf/s_sleep_var
gfx.inst_perf/s_sleep
gfx.inst_perf/s_add_nc_u64
gfx.inst_perf/s_sub_nc_u64
gfx.inst_perf/s_mul_u64
gfx.inst_perf/s_mul_i32</t>
  </si>
  <si>
    <t>gci1303.0</t>
  </si>
  <si>
    <t>-tt_enable=true -tt_config=tt.ini</t>
  </si>
  <si>
    <t>Indirect coverage: Can be covered by any test with thread trace enabled</t>
  </si>
  <si>
    <t>gci1303.0
gci1303.1
gci1303.2</t>
  </si>
  <si>
    <t>gfx.inst_perf/vglobal_signed_offset</t>
  </si>
  <si>
    <t>Hardware feature change, no software visibility.</t>
  </si>
  <si>
    <t>gci1302.0 / gci1302.1</t>
  </si>
  <si>
    <t>WK1</t>
  </si>
  <si>
    <t>gfx.inst_perf/v_add_f64
gfx.inst_perf/v_mul_f64
gfx.inst_perf/v_lshlrev_b64</t>
  </si>
  <si>
    <t>Steven</t>
  </si>
  <si>
    <t>Not a feature, the MAS to be delivered by the DE team</t>
  </si>
  <si>
    <t>Waived by UTCL1 design</t>
  </si>
  <si>
    <t>Removal feature, not visible to diags</t>
  </si>
  <si>
    <t>Waived from gfx coverage by IPSE</t>
  </si>
  <si>
    <t>glxi82.1-6</t>
  </si>
  <si>
    <t>IPSE team will cover this</t>
  </si>
  <si>
    <t>Meiru</t>
  </si>
  <si>
    <t>This is a rejected feature</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</si>
  <si>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</si>
  <si>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ge2.0, ge2.1, std1.6</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</si>
  <si>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</si>
  <si>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Confirmed with arch, because this feature is RLC ROM to program the harvesting setting during fuse distribution stage, and there's no needed to test from diag side.</t>
  </si>
  <si>
    <t>gci1300.0,gci1300.1,gci1300.2,gci1300.3</t>
  </si>
  <si>
    <t>spi124.0,spi124.1</t>
  </si>
  <si>
    <t>spi125</t>
  </si>
  <si>
    <t>Issues in gfx_pm4_packets</t>
  </si>
  <si>
    <t>Pierce</t>
  </si>
  <si>
    <t>glxi85.1 + std test + glxi85.2</t>
  </si>
  <si>
    <t>Daniel G</t>
  </si>
  <si>
    <t>cpi400.0</t>
  </si>
  <si>
    <t>cpi410.0</t>
  </si>
  <si>
    <t>spi1390,spi1391</t>
  </si>
  <si>
    <t>gfx.inst_perf/v_dot4_i32_iu8
gfx.inst_perf/v_dot4_u32_u8
gfx.inst_perf/v_dot8_i32_iu4
gfx.inst_perf/v_dot8_u32_u4
gfx.inst_perf/v_wmma_i32_16x16x16_iu4
gfx.inst_perf/v_wmma_i32_16x16x32_iu4
gfx.inst_perf/v_wmma_i32_16x16x16_iu8</t>
  </si>
  <si>
    <t>https://ontrack-internal.amd.com/browse/TNG-7782</t>
  </si>
  <si>
    <t>Driver team will verify this</t>
  </si>
  <si>
    <t>std1.1, gci30.4</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</si>
  <si>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</si>
  <si>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</si>
  <si>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gfx.inst_perf/v_s_.*</t>
  </si>
  <si>
    <t>https://ontrack-internal.amd.com/browse/TNG-8507</t>
  </si>
  <si>
    <t>shci2038.0-3,104</t>
  </si>
  <si>
    <t>shci2041</t>
  </si>
  <si>
    <t>std1.1
std3.1
std4.1
rt1.300
rt1.320
gci1304
gci1305
gci1308
shci2033
shci2036
gssi212.10</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</si>
  <si>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</si>
  <si>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sh1630, sh1631</t>
  </si>
  <si>
    <t>may need write in TNG</t>
  </si>
  <si>
    <t>PPI406.1-8  PPI406.11-18 PPI406.21-28 PPI406.31-38 PPI406.41-48</t>
  </si>
  <si>
    <t>std5.9</t>
  </si>
  <si>
    <t>run with -tZTileBuffer=0 and 1</t>
  </si>
  <si>
    <t>Same to 12.164</t>
  </si>
  <si>
    <t>Descoped, can drop</t>
  </si>
  <si>
    <t>gci30.3 with aql</t>
  </si>
  <si>
    <t>gfx.cmm_cp_ch_access_size_monolithic_gfx12
gfx.cmm_sdma_access_size_monolithic</t>
  </si>
  <si>
    <t>gfx.inst_perf/v_wmma.*
gfx.inst_perf/v_cvt.*
gfx.inst_perf/v_dot4_f32.*</t>
  </si>
  <si>
    <t>https://ontrack-internal.amd.com/browse/TNG-8491</t>
  </si>
  <si>
    <t>gci1306.0-2, gssi212.11</t>
  </si>
  <si>
    <t>gci1305.0,3,4,5,6</t>
  </si>
  <si>
    <t>For gci1305.3 only, "-vm -tc_ulVidmemFragmentSize=0"</t>
  </si>
  <si>
    <t>Steven/JJ/Anthony</t>
  </si>
  <si>
    <t>gfx.cmm_sax_utcl1_monolithic/utcl0_disable</t>
  </si>
  <si>
    <t>spi197</t>
  </si>
  <si>
    <t>spi2010,spi2011</t>
  </si>
  <si>
    <t>spi2020,spi2021</t>
  </si>
  <si>
    <t>Indirect</t>
  </si>
  <si>
    <t>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t>
  </si>
  <si>
    <t>https://ontrack-internal.amd.com/browse/TNG-8760</t>
  </si>
  <si>
    <t>Claire/Meiru</t>
  </si>
  <si>
    <t>gci950-960.0 for wave32, .1 for wave64</t>
  </si>
  <si>
    <t>gci669.1-12</t>
  </si>
  <si>
    <t>For chiplet SED Crest, not applicable for NV4m</t>
  </si>
  <si>
    <t>Deprecated, not visible to diags</t>
  </si>
  <si>
    <t>We expect indirect coverage for this feature from many Graphics workloads including Geometry shader.   There is no need to plan for direct/dedicated test case for this one.</t>
  </si>
  <si>
    <t>Not visible to diags, will be tested by IPSE team</t>
  </si>
  <si>
    <t>gfx.red_triangle_draw_composite</t>
  </si>
  <si>
    <t>navi48.gfx.ge.register_access</t>
  </si>
  <si>
    <t>STD1.6 GCI30.3</t>
  </si>
  <si>
    <t>No direct coverage required</t>
  </si>
  <si>
    <t>IPSE team will cover this, with RLC FW team support</t>
  </si>
  <si>
    <t>IPSE coverage</t>
  </si>
  <si>
    <t>Navi4x no longer has SED N/A</t>
  </si>
  <si>
    <t>Indirect covered by regular clock stretch, not directly covered by diag</t>
  </si>
  <si>
    <t>food_store,mountain_range,navi48.gfx.ge.register_access</t>
  </si>
  <si>
    <t>IMU team will cover this</t>
  </si>
  <si>
    <t>David</t>
  </si>
  <si>
    <t>rlci9.1 :: rlc_firewall_40bit_address
rlci10.1 :: cp_firewall_40bit_address</t>
  </si>
  <si>
    <t xml:space="preserve">wgs.6 :: wgs_dispatch_sanity_pm4_01
wgs.8 :: wgs_dispatch_two_pipes_pm4_01
wgs.1 :: wgs_ace_cwsr_pm4_01
wgs.100 :: wgs_dispatch_sanity_tacl_01
wgs.12 :: wgs_gl1_ret_xnack_pm4_01
gci30.3 ::linpack_wgs
wgs_interrrupt_tacl
gci22.11 :: shader_memory_copy
</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</si>
  <si>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</si>
  <si>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gci820.0</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</si>
  <si>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</si>
  <si>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</si>
  <si>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glxi60.7</t>
  </si>
  <si>
    <t>Will be covered by any DCC tests</t>
  </si>
  <si>
    <t>glxi60.5</t>
  </si>
  <si>
    <t>glxi60.6</t>
  </si>
  <si>
    <t>Not visible to diags</t>
  </si>
  <si>
    <t>ge3.0, std4.34</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</si>
  <si>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</si>
  <si>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spi2940, spi2941</t>
  </si>
  <si>
    <t xml:space="preserve">Indirect coverage with front door loading </t>
  </si>
  <si>
    <t>gfx.ieee_min_max</t>
  </si>
  <si>
    <t>https://ontrack-internal.amd.com/browse/TNG-7987</t>
  </si>
  <si>
    <t>Invisible to diags, workload cross the original die interface will cover</t>
  </si>
  <si>
    <t>glxi29.8</t>
  </si>
  <si>
    <t>gfx.cmm_sax_utcl0_invalidation_monolithic/utcl0_enable</t>
  </si>
  <si>
    <t>Waived by design/FET lead</t>
  </si>
  <si>
    <t>Sid</t>
  </si>
  <si>
    <t>std1.6 with tgre spm &amp; sqtt</t>
  </si>
  <si>
    <t>glxi86.1-2</t>
  </si>
  <si>
    <t>std1.6 with tgre spm, cp test with spm</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</si>
  <si>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</si>
  <si>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</si>
  <si>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std1.1 with legacy pv_proxy</t>
  </si>
  <si>
    <t>rlc1.0, rlc1.1</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</si>
  <si>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</si>
  <si>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</si>
  <si>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</si>
  <si>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Requires thread trace viewer</t>
  </si>
  <si>
    <t>GFX IPSE will cover the Perfmon related features</t>
  </si>
  <si>
    <t>gfx.inst_perf/v_dual_mov_b32</t>
  </si>
  <si>
    <t>https://ontrack-internal.amd.com/browse/TNG-8273</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</si>
  <si>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</si>
  <si>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</si>
  <si>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</si>
  <si>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</si>
  <si>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</si>
  <si>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</si>
  <si>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</si>
  <si>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</si>
  <si>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</si>
  <si>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</si>
  <si>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cs16.0 wgs_gpa3_disable_dispatch_pm4_01</t>
  </si>
  <si>
    <t>WGS dependent</t>
  </si>
  <si>
    <t>PMM coverage through CGCG/PG features</t>
  </si>
  <si>
    <t>Indirect coverage through FGCG</t>
  </si>
  <si>
    <t>OSS diag will provide coverage</t>
  </si>
  <si>
    <t>Not POR for NV48/44</t>
  </si>
  <si>
    <t>Xiaojing/Botao</t>
  </si>
  <si>
    <t>gci1311</t>
  </si>
  <si>
    <t xml:space="preserve">Indrect coverage with front door loading </t>
  </si>
  <si>
    <t xml:space="preserve">The feature is not applicable to Navi44/48.   Please remove this from your feature list. </t>
  </si>
  <si>
    <t>Feature removal, no software visibility.</t>
  </si>
  <si>
    <t>Tserver</t>
  </si>
  <si>
    <t>de-featured</t>
  </si>
  <si>
    <t>Faez</t>
  </si>
  <si>
    <t>rt1.400-401</t>
  </si>
  <si>
    <t>This is a removal, and no direct coverage is required.   Makhan/Wanshou to check with Arch and waive from PostSi coverage.</t>
  </si>
  <si>
    <t>Steven/Glenn</t>
  </si>
  <si>
    <t>utci16.1</t>
  </si>
  <si>
    <t>Feature removal inside hardware, no software visibility.</t>
  </si>
  <si>
    <t>IPSE confirmed chiplet only</t>
  </si>
  <si>
    <t>shci2039.0-3</t>
  </si>
  <si>
    <t>"-tt_enable=1 -vm -tt_config=traceSe=0"</t>
  </si>
  <si>
    <t>David/Glenn/Javad</t>
  </si>
  <si>
    <t>WGS related, covered by gaming exerciser with test firmware</t>
  </si>
  <si>
    <t>rt33.0</t>
  </si>
  <si>
    <t>rt33.1-2</t>
  </si>
  <si>
    <t>gci1307.4-7</t>
  </si>
  <si>
    <t>Tested on gopher+
Partially addresses by 12.030</t>
  </si>
  <si>
    <t>tested on GopherLite</t>
  </si>
  <si>
    <t>spi453</t>
  </si>
  <si>
    <t>glxi61.1-2</t>
  </si>
  <si>
    <t>gfx.linpack_gfx_compute</t>
  </si>
  <si>
    <t xml:space="preserve">PPA team will enable this, IPSE team will verify </t>
  </si>
  <si>
    <t>gci1310</t>
  </si>
  <si>
    <t>Leverage SMU coverage through feature enablement</t>
  </si>
  <si>
    <t>cpi415</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</si>
  <si>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</si>
  <si>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</si>
  <si>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</si>
  <si>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</si>
  <si>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</si>
  <si>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</si>
  <si>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</si>
  <si>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</si>
  <si>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</si>
  <si>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Steven/Frank</t>
  </si>
  <si>
    <t>txi83</t>
  </si>
  <si>
    <t>gfx.stress3d.gfxoff/food_store</t>
  </si>
  <si>
    <t>IMU team will cover this, in diag this is an indirect coverage through GFXOFF</t>
  </si>
  <si>
    <t>No need for diag to do performance check</t>
  </si>
  <si>
    <t xml:space="preserve">STD1.6    </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</si>
  <si>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</si>
  <si>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</si>
  <si>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</si>
  <si>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</si>
  <si>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</si>
  <si>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</si>
  <si>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</si>
  <si>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</si>
  <si>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</si>
  <si>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</si>
  <si>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</si>
  <si>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</si>
  <si>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</si>
  <si>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</si>
  <si>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</si>
  <si>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</si>
  <si>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</si>
  <si>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</si>
  <si>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</si>
  <si>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</si>
  <si>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</si>
  <si>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</si>
  <si>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</si>
  <si>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</si>
  <si>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</si>
  <si>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</si>
  <si>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</si>
  <si>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</si>
  <si>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</si>
  <si>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</si>
  <si>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</si>
  <si>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</si>
  <si>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</si>
  <si>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</si>
  <si>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</si>
  <si>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</si>
  <si>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</si>
  <si>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</si>
  <si>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</si>
  <si>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</si>
  <si>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</si>
  <si>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</si>
  <si>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</si>
  <si>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</si>
  <si>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</si>
  <si>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</si>
  <si>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</si>
  <si>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</si>
  <si>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</si>
  <si>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</si>
  <si>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</si>
  <si>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</si>
  <si>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</si>
  <si>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</si>
  <si>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</si>
  <si>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</si>
  <si>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</si>
  <si>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</si>
  <si>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</si>
  <si>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</si>
  <si>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</si>
  <si>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</si>
  <si>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</si>
  <si>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</si>
  <si>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</si>
  <si>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</si>
  <si>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</si>
  <si>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</si>
  <si>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</si>
  <si>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</si>
  <si>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</si>
  <si>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</si>
  <si>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</si>
  <si>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</si>
  <si>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</si>
  <si>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</si>
  <si>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</si>
  <si>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</si>
  <si>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</si>
  <si>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</si>
  <si>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</si>
  <si>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</si>
  <si>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</si>
  <si>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</si>
  <si>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</si>
  <si>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</si>
  <si>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</si>
  <si>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</si>
  <si>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</si>
  <si>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</si>
  <si>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</si>
  <si>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</si>
  <si>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</si>
  <si>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</si>
  <si>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</si>
  <si>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</si>
  <si>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</si>
  <si>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</si>
  <si>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</si>
  <si>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</si>
  <si>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</si>
  <si>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</si>
  <si>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</si>
  <si>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</si>
  <si>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</si>
  <si>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</si>
  <si>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</si>
  <si>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</si>
  <si>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</si>
  <si>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</si>
  <si>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</si>
  <si>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</si>
  <si>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</si>
  <si>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</si>
  <si>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</si>
  <si>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</si>
  <si>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</si>
  <si>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</si>
  <si>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</si>
  <si>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</si>
  <si>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</si>
  <si>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</si>
  <si>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</si>
  <si>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</si>
  <si>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</si>
  <si>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</si>
  <si>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</si>
  <si>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</si>
  <si>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</si>
  <si>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</si>
  <si>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</si>
  <si>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</si>
  <si>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</si>
  <si>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</si>
  <si>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</si>
  <si>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</si>
  <si>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</si>
  <si>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</si>
  <si>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</si>
  <si>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</si>
  <si>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</si>
  <si>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</si>
  <si>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</si>
  <si>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</si>
  <si>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</si>
  <si>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</si>
  <si>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</si>
  <si>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</si>
  <si>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</si>
  <si>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</si>
  <si>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</si>
  <si>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</si>
  <si>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</si>
  <si>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</si>
  <si>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</si>
  <si>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</si>
  <si>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</si>
  <si>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</si>
  <si>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</si>
  <si>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</si>
  <si>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</si>
  <si>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</si>
  <si>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</si>
  <si>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</si>
  <si>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</si>
  <si>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</si>
  <si>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</si>
  <si>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</si>
  <si>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</si>
  <si>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</si>
  <si>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</si>
  <si>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</si>
  <si>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</si>
  <si>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</si>
  <si>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</si>
  <si>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</si>
  <si>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</si>
  <si>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</si>
  <si>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</si>
  <si>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</si>
  <si>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</si>
  <si>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</si>
  <si>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</si>
  <si>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</si>
  <si>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</si>
  <si>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</si>
  <si>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</si>
  <si>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</si>
  <si>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</si>
  <si>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</si>
  <si>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</si>
  <si>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</si>
  <si>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</si>
  <si>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</si>
  <si>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</si>
  <si>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</si>
  <si>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</si>
  <si>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</si>
  <si>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</si>
  <si>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</si>
  <si>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</si>
  <si>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</si>
  <si>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</si>
  <si>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</si>
  <si>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</si>
  <si>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</si>
  <si>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</si>
  <si>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</si>
  <si>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</si>
  <si>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</si>
  <si>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</si>
  <si>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</si>
  <si>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</si>
  <si>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</si>
  <si>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</si>
  <si>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</si>
  <si>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</si>
  <si>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</si>
  <si>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</si>
  <si>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</si>
  <si>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</si>
  <si>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</si>
  <si>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</si>
  <si>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</si>
  <si>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</si>
  <si>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</si>
  <si>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</si>
  <si>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</si>
  <si>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</si>
  <si>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</si>
  <si>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</si>
  <si>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</si>
  <si>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</si>
  <si>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</si>
  <si>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</si>
  <si>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</si>
  <si>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</si>
  <si>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</si>
  <si>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</si>
  <si>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</si>
  <si>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</si>
  <si>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</si>
  <si>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</si>
  <si>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</si>
  <si>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</si>
  <si>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</si>
  <si>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</si>
  <si>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</si>
  <si>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</si>
  <si>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</si>
  <si>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</si>
  <si>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</si>
  <si>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</si>
  <si>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</si>
  <si>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</si>
  <si>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</si>
  <si>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</si>
  <si>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</si>
  <si>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</si>
  <si>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</si>
  <si>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</si>
  <si>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</si>
  <si>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</si>
  <si>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</si>
  <si>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</si>
  <si>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</si>
  <si>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</si>
  <si>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</si>
  <si>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</si>
  <si>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</si>
  <si>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</si>
  <si>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</si>
  <si>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</si>
  <si>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</si>
  <si>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</si>
  <si>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</si>
  <si>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</si>
  <si>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</si>
  <si>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</si>
  <si>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</si>
  <si>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</si>
  <si>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</si>
  <si>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</si>
  <si>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</si>
  <si>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</si>
  <si>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</si>
  <si>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</si>
  <si>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</si>
  <si>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</si>
  <si>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</si>
  <si>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</si>
  <si>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</si>
  <si>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</si>
  <si>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</si>
  <si>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</si>
  <si>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</si>
  <si>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</si>
  <si>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</si>
  <si>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</si>
  <si>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</si>
  <si>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</si>
  <si>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</si>
  <si>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</si>
  <si>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</si>
  <si>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</si>
  <si>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</si>
  <si>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</si>
  <si>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</si>
  <si>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</si>
  <si>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</si>
  <si>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</si>
  <si>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</si>
  <si>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</si>
  <si>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</si>
  <si>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</si>
  <si>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</si>
  <si>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</si>
  <si>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</si>
  <si>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</si>
  <si>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</si>
  <si>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</si>
  <si>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</si>
  <si>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</si>
  <si>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</si>
  <si>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</si>
  <si>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</si>
  <si>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</si>
  <si>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</si>
  <si>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</si>
  <si>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</si>
  <si>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</si>
  <si>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</si>
  <si>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</si>
  <si>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</si>
  <si>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</si>
  <si>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</si>
  <si>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</si>
  <si>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</si>
  <si>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</si>
  <si>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</si>
  <si>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</si>
  <si>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</si>
  <si>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</si>
  <si>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</si>
  <si>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</si>
  <si>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</si>
  <si>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</si>
  <si>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</si>
  <si>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</si>
  <si>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</si>
  <si>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</si>
  <si>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</si>
  <si>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</si>
  <si>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</si>
  <si>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</si>
  <si>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</si>
  <si>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</si>
  <si>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</si>
  <si>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</si>
  <si>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</si>
  <si>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</si>
  <si>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</si>
  <si>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</si>
  <si>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</si>
  <si>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</si>
  <si>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</si>
  <si>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</si>
  <si>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</si>
  <si>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</si>
  <si>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</si>
  <si>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</si>
  <si>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</si>
  <si>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</si>
  <si>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</si>
  <si>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</si>
  <si>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</si>
  <si>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</si>
  <si>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</si>
  <si>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</si>
  <si>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</si>
  <si>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</si>
  <si>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</si>
  <si>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</si>
  <si>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</si>
  <si>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</si>
  <si>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</si>
  <si>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</si>
  <si>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</si>
  <si>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</si>
  <si>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</si>
  <si>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</si>
  <si>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</si>
  <si>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</si>
  <si>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</si>
  <si>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</si>
  <si>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</si>
  <si>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</si>
  <si>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</si>
  <si>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</si>
  <si>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</si>
  <si>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</si>
  <si>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</si>
  <si>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</si>
  <si>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</si>
  <si>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</si>
  <si>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</si>
  <si>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</si>
  <si>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</si>
  <si>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</si>
  <si>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</si>
  <si>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</si>
  <si>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</si>
  <si>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</si>
  <si>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</si>
  <si>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</si>
  <si>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</si>
  <si>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</si>
  <si>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</si>
  <si>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</si>
  <si>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</si>
  <si>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</si>
  <si>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</si>
  <si>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</si>
  <si>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</si>
  <si>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std1.6,2.6,3.6,4.6</t>
  </si>
  <si>
    <t>shci2039.4,5</t>
  </si>
  <si>
    <t>"-tt_enable=1 -vm -tt_config=tracese=0,stall_all_simds=0,wavestart_mode=wg_id"</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</si>
  <si>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</si>
  <si>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GCI28.3</t>
  </si>
  <si>
    <t>./tserverlite -cf=tserver-soclfb-frontdoor.cf -test=gci28.3 -d=1</t>
  </si>
  <si>
    <t>placeholder_a.1-108</t>
  </si>
  <si>
    <t>placeholder_b.1</t>
  </si>
  <si>
    <t>placeholder_c.1</t>
  </si>
  <si>
    <t>placeholder_d.1</t>
  </si>
  <si>
    <t>placeholder_e.1</t>
  </si>
  <si>
    <t>placeholder_o.1</t>
  </si>
  <si>
    <t>placeholder_t.1</t>
  </si>
  <si>
    <t>placeholder_n.1</t>
  </si>
  <si>
    <t>placeholder_f.1</t>
  </si>
  <si>
    <t>placeholder_g.1-8</t>
  </si>
  <si>
    <t>placeholder_h.1</t>
  </si>
  <si>
    <t>placeholder_i.1</t>
  </si>
  <si>
    <t>placeholder_j.1</t>
  </si>
  <si>
    <t>placeholder_k.1-2</t>
  </si>
  <si>
    <t>placeholder_l.1-8</t>
  </si>
  <si>
    <t>placeholder_m</t>
  </si>
  <si>
    <t>placeholder_p.1</t>
  </si>
  <si>
    <t>placeholder_q.1</t>
  </si>
  <si>
    <t>placeholder_r.1</t>
  </si>
  <si>
    <t>placeholder_s.1</t>
  </si>
  <si>
    <t>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t>
  </si>
  <si>
    <t>gfx.cmm_sa_policy_monolithic_gfx12.1-23</t>
  </si>
  <si>
    <t>std1.6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</si>
</sst>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3"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7" fontId="0" fillId="36" borderId="13" xfId="0" applyNumberFormat="1" applyFill="1" applyBorder="1" applyProtection="1">
      <protection locked="0"/>
    </xf>
    <xf numFmtId="167" fontId="0" fillId="52" borderId="13" xfId="0" applyNumberFormat="1" applyFill="1" applyBorder="1" applyAlignment="1" applyProtection="1">
      <alignment vertical="center"/>
      <protection locked="0"/>
    </xf>
    <xf numFmtId="167" fontId="0" fillId="36" borderId="13" xfId="0" applyNumberFormat="1" applyFill="1"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12" Type="http://schemas.openxmlformats.org/officeDocument/2006/relationships/comments" Target="../comments2.xm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vmlDrawing" Target="../drawings/vmlDrawing2.vml"/><Relationship Id="rId5" Type="http://schemas.openxmlformats.org/officeDocument/2006/relationships/hyperlink" Target="https://ontrack-internal.amd.com/browse/TNG-8491" TargetMode="External"/><Relationship Id="rId10" Type="http://schemas.openxmlformats.org/officeDocument/2006/relationships/printerSettings" Target="../printerSettings/printerSettings6.bin"/><Relationship Id="rId4" Type="http://schemas.openxmlformats.org/officeDocument/2006/relationships/hyperlink" Target="https://ontrack-internal.amd.com/browse/TNG-8400" TargetMode="External"/><Relationship Id="rId9" Type="http://schemas.openxmlformats.org/officeDocument/2006/relationships/hyperlink" Target="https://ontrack-internal.amd.com/browse/DIAG-19897Thread%20trace%20related%20can%20only%20be%20verified%20in%20gopher%20and%20using%20thread%20trace%20viewer.There%20are%20a%20few%20perf%20counters%20that%20are%20not%20tested%20but%20the%20test%20is%20avaliable.SQ_PERF_SEL_INSTS_LOCKSQ_PERF_SEL_INST_CYCLES_VALU_WMMASQ_PERF_SEL_INSTS_VEC32_VALU_WMMASQ_PERF_SEL_INSTS_WMMA_LOADSQ_PERF_SEL_INSTS_TEX_BLOCK_LOADSQ_PERF_SEL_INSTS_TEX_BLOCK_STORE"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617" t="s">
        <v>54</v>
      </c>
      <c r="C1" s="618"/>
      <c r="D1" s="618"/>
      <c r="E1" s="167" t="s">
        <v>55</v>
      </c>
      <c r="F1" s="167" t="s">
        <v>56</v>
      </c>
      <c r="G1" s="110" t="s">
        <v>57</v>
      </c>
    </row>
    <row r="2" spans="1:7" x14ac:dyDescent="0.25">
      <c r="A2" s="116" t="s">
        <v>58</v>
      </c>
      <c r="B2" s="619" t="s">
        <v>59</v>
      </c>
      <c r="C2" s="620"/>
      <c r="D2" s="620"/>
      <c r="E2" s="296" t="s">
        <v>60</v>
      </c>
      <c r="F2" s="296" t="s">
        <v>61</v>
      </c>
      <c r="G2" s="328" t="s">
        <v>62</v>
      </c>
    </row>
    <row r="3" spans="1:7" s="81" customFormat="1" x14ac:dyDescent="0.25">
      <c r="A3" s="204" t="s">
        <v>63</v>
      </c>
      <c r="B3" s="626" t="s">
        <v>64</v>
      </c>
      <c r="C3" s="627"/>
      <c r="D3" s="628"/>
      <c r="E3" s="80" t="s">
        <v>60</v>
      </c>
      <c r="F3" s="80" t="s">
        <v>61</v>
      </c>
      <c r="G3" s="329" t="s">
        <v>62</v>
      </c>
    </row>
    <row r="4" spans="1:7" x14ac:dyDescent="0.25">
      <c r="A4" s="204" t="s">
        <v>65</v>
      </c>
      <c r="B4" s="623" t="s">
        <v>66</v>
      </c>
      <c r="C4" s="624"/>
      <c r="D4" s="625"/>
      <c r="E4" s="80" t="s">
        <v>67</v>
      </c>
      <c r="F4" s="80" t="s">
        <v>61</v>
      </c>
      <c r="G4" s="329" t="s">
        <v>62</v>
      </c>
    </row>
    <row r="5" spans="1:7" x14ac:dyDescent="0.25">
      <c r="A5" s="117" t="s">
        <v>68</v>
      </c>
      <c r="B5" s="623" t="s">
        <v>69</v>
      </c>
      <c r="C5" s="624"/>
      <c r="D5" s="625"/>
      <c r="E5" s="80" t="s">
        <v>67</v>
      </c>
      <c r="F5" s="80" t="s">
        <v>61</v>
      </c>
      <c r="G5" s="329" t="s">
        <v>62</v>
      </c>
    </row>
    <row r="6" spans="1:7" x14ac:dyDescent="0.25">
      <c r="A6" s="117" t="s">
        <v>70</v>
      </c>
      <c r="B6" s="623" t="s">
        <v>71</v>
      </c>
      <c r="C6" s="624"/>
      <c r="D6" s="625"/>
      <c r="E6" s="80" t="s">
        <v>72</v>
      </c>
      <c r="F6" s="80" t="s">
        <v>61</v>
      </c>
      <c r="G6" s="85"/>
    </row>
    <row r="7" spans="1:7" ht="15.75" thickBot="1" x14ac:dyDescent="0.3">
      <c r="A7" s="118" t="s">
        <v>73</v>
      </c>
      <c r="B7" s="621" t="s">
        <v>74</v>
      </c>
      <c r="C7" s="622"/>
      <c r="D7" s="622"/>
      <c r="E7" s="86" t="s">
        <v>72</v>
      </c>
      <c r="F7" s="86"/>
      <c r="G7" s="87"/>
    </row>
    <row r="8" spans="1:7" s="84" customFormat="1" ht="30.75" thickBot="1" x14ac:dyDescent="0.3">
      <c r="A8" s="115" t="s">
        <v>53</v>
      </c>
      <c r="B8" s="426" t="s">
        <v>1</v>
      </c>
      <c r="C8" s="167" t="s">
        <v>75</v>
      </c>
      <c r="D8" s="167" t="s">
        <v>54</v>
      </c>
      <c r="E8" s="167" t="s">
        <v>55</v>
      </c>
      <c r="F8" s="167" t="s">
        <v>56</v>
      </c>
      <c r="G8" s="110" t="s">
        <v>57</v>
      </c>
    </row>
    <row r="9" spans="1:7" ht="105" x14ac:dyDescent="0.25">
      <c r="A9" s="603" t="s">
        <v>58</v>
      </c>
      <c r="B9" s="606" t="s">
        <v>76</v>
      </c>
      <c r="C9" s="335" t="s">
        <v>77</v>
      </c>
      <c r="D9" s="94" t="s">
        <v>78</v>
      </c>
      <c r="E9" s="94" t="s">
        <v>60</v>
      </c>
      <c r="F9" s="94" t="s">
        <v>79</v>
      </c>
      <c r="G9" s="427" t="s">
        <v>80</v>
      </c>
    </row>
    <row r="10" spans="1:7" ht="75" x14ac:dyDescent="0.25">
      <c r="A10" s="604"/>
      <c r="B10" s="607"/>
      <c r="C10" s="331" t="s">
        <v>81</v>
      </c>
      <c r="D10" s="82" t="s">
        <v>82</v>
      </c>
      <c r="E10" s="82" t="s">
        <v>60</v>
      </c>
      <c r="F10" s="82" t="s">
        <v>79</v>
      </c>
      <c r="G10" s="323" t="s">
        <v>83</v>
      </c>
    </row>
    <row r="11" spans="1:7" ht="45" x14ac:dyDescent="0.25">
      <c r="A11" s="604"/>
      <c r="B11" s="607"/>
      <c r="C11" s="331" t="s">
        <v>84</v>
      </c>
      <c r="D11" s="82" t="s">
        <v>85</v>
      </c>
      <c r="E11" s="82" t="s">
        <v>86</v>
      </c>
      <c r="F11" s="82" t="s">
        <v>79</v>
      </c>
      <c r="G11" s="95" t="s">
        <v>87</v>
      </c>
    </row>
    <row r="12" spans="1:7" ht="120" x14ac:dyDescent="0.25">
      <c r="A12" s="604"/>
      <c r="B12" s="607"/>
      <c r="C12" s="331" t="s">
        <v>88</v>
      </c>
      <c r="D12" s="350" t="s">
        <v>89</v>
      </c>
      <c r="E12" s="82" t="s">
        <v>86</v>
      </c>
      <c r="F12" s="82" t="s">
        <v>79</v>
      </c>
      <c r="G12" s="323" t="s">
        <v>90</v>
      </c>
    </row>
    <row r="13" spans="1:7" ht="30" x14ac:dyDescent="0.25">
      <c r="A13" s="604"/>
      <c r="B13" s="607"/>
      <c r="C13" s="331" t="s">
        <v>91</v>
      </c>
      <c r="D13" s="82" t="s">
        <v>92</v>
      </c>
      <c r="E13" s="82" t="s">
        <v>86</v>
      </c>
      <c r="F13" s="82" t="s">
        <v>79</v>
      </c>
      <c r="G13" s="95" t="s">
        <v>93</v>
      </c>
    </row>
    <row r="14" spans="1:7" ht="30" x14ac:dyDescent="0.25">
      <c r="A14" s="604"/>
      <c r="B14" s="607"/>
      <c r="C14" s="331" t="s">
        <v>94</v>
      </c>
      <c r="D14" s="82" t="s">
        <v>95</v>
      </c>
      <c r="E14" s="82" t="s">
        <v>86</v>
      </c>
      <c r="F14" s="82" t="s">
        <v>79</v>
      </c>
      <c r="G14" s="95" t="s">
        <v>93</v>
      </c>
    </row>
    <row r="15" spans="1:7" ht="30" x14ac:dyDescent="0.25">
      <c r="A15" s="604"/>
      <c r="B15" s="607"/>
      <c r="C15" s="121" t="s">
        <v>96</v>
      </c>
      <c r="D15" s="82" t="s">
        <v>97</v>
      </c>
      <c r="E15" s="82" t="s">
        <v>60</v>
      </c>
      <c r="F15" s="82" t="s">
        <v>79</v>
      </c>
      <c r="G15" s="95" t="s">
        <v>98</v>
      </c>
    </row>
    <row r="16" spans="1:7" ht="60" x14ac:dyDescent="0.25">
      <c r="A16" s="604"/>
      <c r="B16" s="607"/>
      <c r="C16" s="331" t="s">
        <v>99</v>
      </c>
      <c r="D16" s="350" t="s">
        <v>100</v>
      </c>
      <c r="E16" s="82" t="s">
        <v>86</v>
      </c>
      <c r="F16" s="82" t="s">
        <v>79</v>
      </c>
      <c r="G16" s="323" t="s">
        <v>101</v>
      </c>
    </row>
    <row r="17" spans="1:7" ht="30" x14ac:dyDescent="0.25">
      <c r="A17" s="604"/>
      <c r="B17" s="607"/>
      <c r="C17" s="331" t="s">
        <v>102</v>
      </c>
      <c r="D17" s="82" t="s">
        <v>103</v>
      </c>
      <c r="E17" s="82" t="s">
        <v>86</v>
      </c>
      <c r="F17" s="82" t="s">
        <v>79</v>
      </c>
      <c r="G17" s="95" t="s">
        <v>104</v>
      </c>
    </row>
    <row r="18" spans="1:7" ht="45" x14ac:dyDescent="0.25">
      <c r="A18" s="604"/>
      <c r="B18" s="607"/>
      <c r="C18" s="331" t="s">
        <v>105</v>
      </c>
      <c r="D18" s="82" t="s">
        <v>106</v>
      </c>
      <c r="E18" s="82" t="s">
        <v>86</v>
      </c>
      <c r="F18" s="82" t="s">
        <v>79</v>
      </c>
      <c r="G18" s="95" t="s">
        <v>107</v>
      </c>
    </row>
    <row r="19" spans="1:7" x14ac:dyDescent="0.25">
      <c r="A19" s="604"/>
      <c r="B19" s="607"/>
      <c r="C19" s="331" t="s">
        <v>108</v>
      </c>
      <c r="D19" s="82" t="s">
        <v>109</v>
      </c>
      <c r="E19" s="82" t="s">
        <v>86</v>
      </c>
      <c r="F19" s="82" t="s">
        <v>79</v>
      </c>
      <c r="G19" s="95" t="s">
        <v>110</v>
      </c>
    </row>
    <row r="20" spans="1:7" ht="105.75" thickBot="1" x14ac:dyDescent="0.3">
      <c r="A20" s="604"/>
      <c r="B20" s="608"/>
      <c r="C20" s="428" t="s">
        <v>1</v>
      </c>
      <c r="D20" s="549" t="s">
        <v>111</v>
      </c>
      <c r="E20" s="396" t="s">
        <v>86</v>
      </c>
      <c r="F20" s="396" t="s">
        <v>79</v>
      </c>
      <c r="G20" s="429" t="s">
        <v>112</v>
      </c>
    </row>
    <row r="21" spans="1:7" ht="45" x14ac:dyDescent="0.25">
      <c r="A21" s="604"/>
      <c r="B21" s="640" t="s">
        <v>113</v>
      </c>
      <c r="C21" s="332" t="s">
        <v>114</v>
      </c>
      <c r="D21" s="105" t="s">
        <v>115</v>
      </c>
      <c r="E21" s="105" t="s">
        <v>86</v>
      </c>
      <c r="F21" s="105" t="s">
        <v>116</v>
      </c>
      <c r="G21" s="168" t="s">
        <v>117</v>
      </c>
    </row>
    <row r="22" spans="1:7" ht="30" x14ac:dyDescent="0.25">
      <c r="A22" s="604"/>
      <c r="B22" s="641"/>
      <c r="C22" s="333" t="s">
        <v>118</v>
      </c>
      <c r="D22" s="433" t="s">
        <v>119</v>
      </c>
      <c r="E22" s="433" t="s">
        <v>86</v>
      </c>
      <c r="F22" s="433" t="s">
        <v>116</v>
      </c>
      <c r="G22" s="434" t="s">
        <v>120</v>
      </c>
    </row>
    <row r="23" spans="1:7" ht="15.75" thickBot="1" x14ac:dyDescent="0.3">
      <c r="A23" s="604"/>
      <c r="B23" s="642"/>
      <c r="C23" s="435" t="s">
        <v>121</v>
      </c>
      <c r="D23" s="107" t="s">
        <v>122</v>
      </c>
      <c r="E23" s="107" t="s">
        <v>86</v>
      </c>
      <c r="F23" s="107" t="s">
        <v>116</v>
      </c>
      <c r="G23" s="108" t="s">
        <v>123</v>
      </c>
    </row>
    <row r="24" spans="1:7" ht="30" customHeight="1" x14ac:dyDescent="0.25">
      <c r="A24" s="604"/>
      <c r="B24" s="643" t="s">
        <v>124</v>
      </c>
      <c r="C24" s="430" t="s">
        <v>125</v>
      </c>
      <c r="D24" s="431" t="s">
        <v>126</v>
      </c>
      <c r="E24" s="431" t="s">
        <v>86</v>
      </c>
      <c r="F24" s="431" t="s">
        <v>79</v>
      </c>
      <c r="G24" s="432" t="s">
        <v>127</v>
      </c>
    </row>
    <row r="25" spans="1:7" ht="30" customHeight="1" x14ac:dyDescent="0.25">
      <c r="A25" s="604"/>
      <c r="B25" s="644"/>
      <c r="C25" s="333" t="s">
        <v>128</v>
      </c>
      <c r="D25" s="109" t="s">
        <v>129</v>
      </c>
      <c r="E25" s="109" t="s">
        <v>86</v>
      </c>
      <c r="F25" s="109" t="s">
        <v>130</v>
      </c>
      <c r="G25" s="597" t="s">
        <v>131</v>
      </c>
    </row>
    <row r="26" spans="1:7" ht="30" x14ac:dyDescent="0.25">
      <c r="A26" s="604"/>
      <c r="B26" s="644"/>
      <c r="C26" s="277" t="s">
        <v>132</v>
      </c>
      <c r="D26" s="109" t="s">
        <v>133</v>
      </c>
      <c r="E26" s="109" t="s">
        <v>86</v>
      </c>
      <c r="F26" s="109" t="s">
        <v>130</v>
      </c>
      <c r="G26" s="598"/>
    </row>
    <row r="27" spans="1:7" x14ac:dyDescent="0.25">
      <c r="A27" s="604"/>
      <c r="B27" s="644"/>
      <c r="C27" s="333" t="s">
        <v>30</v>
      </c>
      <c r="D27" s="109" t="s">
        <v>134</v>
      </c>
      <c r="E27" s="109" t="s">
        <v>86</v>
      </c>
      <c r="F27" s="109" t="s">
        <v>130</v>
      </c>
      <c r="G27" s="598"/>
    </row>
    <row r="28" spans="1:7" x14ac:dyDescent="0.25">
      <c r="A28" s="604"/>
      <c r="B28" s="644"/>
      <c r="C28" s="333" t="s">
        <v>135</v>
      </c>
      <c r="D28" s="109" t="s">
        <v>136</v>
      </c>
      <c r="E28" s="109" t="s">
        <v>86</v>
      </c>
      <c r="F28" s="109" t="s">
        <v>130</v>
      </c>
      <c r="G28" s="598"/>
    </row>
    <row r="29" spans="1:7" x14ac:dyDescent="0.25">
      <c r="A29" s="604"/>
      <c r="B29" s="644"/>
      <c r="C29" s="333" t="s">
        <v>36</v>
      </c>
      <c r="D29" s="109" t="s">
        <v>137</v>
      </c>
      <c r="E29" s="109" t="s">
        <v>86</v>
      </c>
      <c r="F29" s="109" t="s">
        <v>130</v>
      </c>
      <c r="G29" s="598"/>
    </row>
    <row r="30" spans="1:7" x14ac:dyDescent="0.25">
      <c r="A30" s="604"/>
      <c r="B30" s="644"/>
      <c r="C30" s="333" t="s">
        <v>138</v>
      </c>
      <c r="D30" s="109" t="s">
        <v>139</v>
      </c>
      <c r="E30" s="109" t="s">
        <v>86</v>
      </c>
      <c r="F30" s="109" t="s">
        <v>130</v>
      </c>
      <c r="G30" s="598"/>
    </row>
    <row r="31" spans="1:7" x14ac:dyDescent="0.25">
      <c r="A31" s="604"/>
      <c r="B31" s="644"/>
      <c r="C31" s="277" t="s">
        <v>140</v>
      </c>
      <c r="D31" s="109" t="s">
        <v>141</v>
      </c>
      <c r="E31" s="109" t="s">
        <v>86</v>
      </c>
      <c r="F31" s="109" t="s">
        <v>130</v>
      </c>
      <c r="G31" s="598"/>
    </row>
    <row r="32" spans="1:7" ht="30.75" thickBot="1" x14ac:dyDescent="0.3">
      <c r="A32" s="604"/>
      <c r="B32" s="645"/>
      <c r="C32" s="334" t="s">
        <v>142</v>
      </c>
      <c r="D32" s="104" t="s">
        <v>143</v>
      </c>
      <c r="E32" s="104" t="s">
        <v>86</v>
      </c>
      <c r="F32" s="104" t="s">
        <v>130</v>
      </c>
      <c r="G32" s="599"/>
    </row>
    <row r="33" spans="1:7" ht="30" x14ac:dyDescent="0.25">
      <c r="A33" s="604"/>
      <c r="B33" s="646" t="s">
        <v>144</v>
      </c>
      <c r="C33" s="312" t="s">
        <v>132</v>
      </c>
      <c r="D33" s="275" t="s">
        <v>145</v>
      </c>
      <c r="E33" s="275" t="s">
        <v>86</v>
      </c>
      <c r="F33" s="275" t="s">
        <v>146</v>
      </c>
      <c r="G33" s="276" t="s">
        <v>147</v>
      </c>
    </row>
    <row r="34" spans="1:7" x14ac:dyDescent="0.25">
      <c r="A34" s="604"/>
      <c r="B34" s="647"/>
      <c r="C34" s="331" t="s">
        <v>30</v>
      </c>
      <c r="D34" s="83" t="s">
        <v>148</v>
      </c>
      <c r="E34" s="83" t="s">
        <v>86</v>
      </c>
      <c r="F34" s="83" t="s">
        <v>146</v>
      </c>
      <c r="G34" s="99"/>
    </row>
    <row r="35" spans="1:7" x14ac:dyDescent="0.25">
      <c r="A35" s="604"/>
      <c r="B35" s="647"/>
      <c r="C35" s="331" t="s">
        <v>135</v>
      </c>
      <c r="D35" s="83" t="s">
        <v>149</v>
      </c>
      <c r="E35" s="83" t="s">
        <v>86</v>
      </c>
      <c r="F35" s="83" t="s">
        <v>146</v>
      </c>
      <c r="G35" s="99" t="s">
        <v>150</v>
      </c>
    </row>
    <row r="36" spans="1:7" x14ac:dyDescent="0.25">
      <c r="A36" s="604"/>
      <c r="B36" s="647"/>
      <c r="C36" s="331" t="s">
        <v>36</v>
      </c>
      <c r="D36" s="83" t="s">
        <v>151</v>
      </c>
      <c r="E36" s="83" t="s">
        <v>86</v>
      </c>
      <c r="F36" s="83" t="s">
        <v>146</v>
      </c>
      <c r="G36" s="113"/>
    </row>
    <row r="37" spans="1:7" x14ac:dyDescent="0.25">
      <c r="A37" s="604"/>
      <c r="B37" s="647"/>
      <c r="C37" s="331" t="s">
        <v>138</v>
      </c>
      <c r="D37" s="83" t="s">
        <v>152</v>
      </c>
      <c r="E37" s="83" t="s">
        <v>86</v>
      </c>
      <c r="F37" s="83" t="s">
        <v>146</v>
      </c>
      <c r="G37" s="99" t="s">
        <v>153</v>
      </c>
    </row>
    <row r="38" spans="1:7" x14ac:dyDescent="0.25">
      <c r="A38" s="604"/>
      <c r="B38" s="647"/>
      <c r="C38" s="278" t="s">
        <v>140</v>
      </c>
      <c r="D38" s="83" t="s">
        <v>154</v>
      </c>
      <c r="E38" s="83" t="s">
        <v>86</v>
      </c>
      <c r="F38" s="83" t="s">
        <v>146</v>
      </c>
      <c r="G38" s="99"/>
    </row>
    <row r="39" spans="1:7" ht="30" x14ac:dyDescent="0.25">
      <c r="A39" s="604"/>
      <c r="B39" s="647"/>
      <c r="C39" s="333" t="s">
        <v>155</v>
      </c>
      <c r="D39" s="83" t="s">
        <v>156</v>
      </c>
      <c r="E39" s="83" t="s">
        <v>86</v>
      </c>
      <c r="F39" s="83" t="s">
        <v>146</v>
      </c>
      <c r="G39" s="99"/>
    </row>
    <row r="40" spans="1:7" ht="30" x14ac:dyDescent="0.25">
      <c r="A40" s="604"/>
      <c r="B40" s="647"/>
      <c r="C40" s="278" t="s">
        <v>157</v>
      </c>
      <c r="D40" s="83" t="s">
        <v>158</v>
      </c>
      <c r="E40" s="83" t="s">
        <v>60</v>
      </c>
      <c r="F40" s="83" t="s">
        <v>146</v>
      </c>
      <c r="G40" s="99" t="s">
        <v>159</v>
      </c>
    </row>
    <row r="41" spans="1:7" ht="45.75" thickBot="1" x14ac:dyDescent="0.3">
      <c r="A41" s="604"/>
      <c r="B41" s="648"/>
      <c r="C41" s="330" t="s">
        <v>160</v>
      </c>
      <c r="D41" s="100" t="s">
        <v>161</v>
      </c>
      <c r="E41" s="100" t="s">
        <v>86</v>
      </c>
      <c r="F41" s="100" t="s">
        <v>146</v>
      </c>
      <c r="G41" s="101" t="s">
        <v>162</v>
      </c>
    </row>
    <row r="42" spans="1:7" ht="135.75" thickBot="1" x14ac:dyDescent="0.3">
      <c r="A42" s="603" t="s">
        <v>63</v>
      </c>
      <c r="B42" s="436" t="s">
        <v>163</v>
      </c>
      <c r="C42" s="335" t="s">
        <v>88</v>
      </c>
      <c r="D42" s="437" t="s">
        <v>164</v>
      </c>
      <c r="E42" s="437" t="s">
        <v>86</v>
      </c>
      <c r="F42" s="437" t="s">
        <v>79</v>
      </c>
      <c r="G42" s="438" t="s">
        <v>165</v>
      </c>
    </row>
    <row r="43" spans="1:7" ht="15" customHeight="1" x14ac:dyDescent="0.25">
      <c r="A43" s="604"/>
      <c r="B43" s="632" t="s">
        <v>166</v>
      </c>
      <c r="C43" s="309" t="s">
        <v>167</v>
      </c>
      <c r="D43" s="297" t="s">
        <v>168</v>
      </c>
      <c r="E43" s="297" t="s">
        <v>67</v>
      </c>
      <c r="F43" s="297" t="s">
        <v>79</v>
      </c>
      <c r="G43" s="280" t="s">
        <v>169</v>
      </c>
    </row>
    <row r="44" spans="1:7" ht="30" x14ac:dyDescent="0.25">
      <c r="A44" s="604"/>
      <c r="B44" s="633"/>
      <c r="C44" s="310" t="s">
        <v>128</v>
      </c>
      <c r="D44" s="298" t="s">
        <v>170</v>
      </c>
      <c r="E44" s="298" t="s">
        <v>67</v>
      </c>
      <c r="F44" s="298" t="s">
        <v>79</v>
      </c>
      <c r="G44" s="281" t="s">
        <v>169</v>
      </c>
    </row>
    <row r="45" spans="1:7" ht="30" x14ac:dyDescent="0.25">
      <c r="A45" s="604"/>
      <c r="B45" s="633"/>
      <c r="C45" s="310" t="s">
        <v>105</v>
      </c>
      <c r="D45" s="298" t="s">
        <v>171</v>
      </c>
      <c r="E45" s="298" t="s">
        <v>67</v>
      </c>
      <c r="F45" s="298" t="s">
        <v>79</v>
      </c>
      <c r="G45" s="281" t="s">
        <v>172</v>
      </c>
    </row>
    <row r="46" spans="1:7" x14ac:dyDescent="0.25">
      <c r="A46" s="604"/>
      <c r="B46" s="633"/>
      <c r="C46" s="310" t="s">
        <v>173</v>
      </c>
      <c r="D46" s="298" t="s">
        <v>174</v>
      </c>
      <c r="E46" s="298" t="s">
        <v>67</v>
      </c>
      <c r="F46" s="298" t="s">
        <v>79</v>
      </c>
      <c r="G46" s="281" t="s">
        <v>169</v>
      </c>
    </row>
    <row r="47" spans="1:7" ht="15.75" thickBot="1" x14ac:dyDescent="0.3">
      <c r="A47" s="604"/>
      <c r="B47" s="634"/>
      <c r="C47" s="311" t="s">
        <v>175</v>
      </c>
      <c r="D47" s="299" t="s">
        <v>176</v>
      </c>
      <c r="E47" s="298" t="s">
        <v>67</v>
      </c>
      <c r="F47" s="299" t="s">
        <v>79</v>
      </c>
      <c r="G47" s="282" t="s">
        <v>169</v>
      </c>
    </row>
    <row r="48" spans="1:7" ht="30" x14ac:dyDescent="0.25">
      <c r="A48" s="604"/>
      <c r="B48" s="635" t="s">
        <v>177</v>
      </c>
      <c r="C48" s="306" t="s">
        <v>132</v>
      </c>
      <c r="D48" s="300" t="s">
        <v>178</v>
      </c>
      <c r="E48" s="300" t="s">
        <v>67</v>
      </c>
      <c r="F48" s="300" t="s">
        <v>130</v>
      </c>
      <c r="G48" s="600" t="s">
        <v>179</v>
      </c>
    </row>
    <row r="49" spans="1:7" ht="30" x14ac:dyDescent="0.25">
      <c r="A49" s="604"/>
      <c r="B49" s="635"/>
      <c r="C49" s="307" t="s">
        <v>30</v>
      </c>
      <c r="D49" s="283" t="s">
        <v>180</v>
      </c>
      <c r="E49" s="283" t="s">
        <v>67</v>
      </c>
      <c r="F49" s="283" t="s">
        <v>130</v>
      </c>
      <c r="G49" s="601"/>
    </row>
    <row r="50" spans="1:7" ht="30" x14ac:dyDescent="0.25">
      <c r="A50" s="604"/>
      <c r="B50" s="635"/>
      <c r="C50" s="307" t="s">
        <v>135</v>
      </c>
      <c r="D50" s="283" t="s">
        <v>181</v>
      </c>
      <c r="E50" s="283" t="s">
        <v>67</v>
      </c>
      <c r="F50" s="283" t="s">
        <v>130</v>
      </c>
      <c r="G50" s="601"/>
    </row>
    <row r="51" spans="1:7" ht="30" x14ac:dyDescent="0.25">
      <c r="A51" s="604"/>
      <c r="B51" s="635"/>
      <c r="C51" s="307" t="s">
        <v>36</v>
      </c>
      <c r="D51" s="283" t="s">
        <v>182</v>
      </c>
      <c r="E51" s="283" t="s">
        <v>67</v>
      </c>
      <c r="F51" s="283" t="s">
        <v>130</v>
      </c>
      <c r="G51" s="601"/>
    </row>
    <row r="52" spans="1:7" ht="30" x14ac:dyDescent="0.25">
      <c r="A52" s="604"/>
      <c r="B52" s="635"/>
      <c r="C52" s="307" t="s">
        <v>138</v>
      </c>
      <c r="D52" s="283" t="s">
        <v>183</v>
      </c>
      <c r="E52" s="283" t="s">
        <v>67</v>
      </c>
      <c r="F52" s="283" t="s">
        <v>130</v>
      </c>
      <c r="G52" s="601"/>
    </row>
    <row r="53" spans="1:7" ht="30" x14ac:dyDescent="0.25">
      <c r="A53" s="604"/>
      <c r="B53" s="635"/>
      <c r="C53" s="307" t="s">
        <v>184</v>
      </c>
      <c r="D53" s="283" t="s">
        <v>185</v>
      </c>
      <c r="E53" s="283" t="s">
        <v>67</v>
      </c>
      <c r="F53" s="283" t="s">
        <v>130</v>
      </c>
      <c r="G53" s="601"/>
    </row>
    <row r="54" spans="1:7" x14ac:dyDescent="0.25">
      <c r="A54" s="604"/>
      <c r="B54" s="635"/>
      <c r="C54" s="307" t="s">
        <v>140</v>
      </c>
      <c r="D54" s="283" t="s">
        <v>186</v>
      </c>
      <c r="E54" s="283" t="s">
        <v>67</v>
      </c>
      <c r="F54" s="283" t="s">
        <v>130</v>
      </c>
      <c r="G54" s="601"/>
    </row>
    <row r="55" spans="1:7" ht="30.75" thickBot="1" x14ac:dyDescent="0.3">
      <c r="A55" s="604"/>
      <c r="B55" s="636"/>
      <c r="C55" s="308" t="s">
        <v>187</v>
      </c>
      <c r="D55" s="301" t="s">
        <v>188</v>
      </c>
      <c r="E55" s="301" t="s">
        <v>67</v>
      </c>
      <c r="F55" s="301" t="s">
        <v>130</v>
      </c>
      <c r="G55" s="602"/>
    </row>
    <row r="56" spans="1:7" ht="30" x14ac:dyDescent="0.25">
      <c r="A56" s="604"/>
      <c r="B56" s="637" t="s">
        <v>144</v>
      </c>
      <c r="C56" s="423" t="s">
        <v>132</v>
      </c>
      <c r="D56" s="424" t="s">
        <v>189</v>
      </c>
      <c r="E56" s="424" t="s">
        <v>67</v>
      </c>
      <c r="F56" s="424" t="s">
        <v>146</v>
      </c>
      <c r="G56" s="425" t="s">
        <v>169</v>
      </c>
    </row>
    <row r="57" spans="1:7" ht="30" x14ac:dyDescent="0.25">
      <c r="A57" s="604"/>
      <c r="B57" s="638"/>
      <c r="C57" s="304" t="s">
        <v>30</v>
      </c>
      <c r="D57" s="302" t="s">
        <v>190</v>
      </c>
      <c r="E57" s="302" t="s">
        <v>67</v>
      </c>
      <c r="F57" s="302" t="s">
        <v>146</v>
      </c>
      <c r="G57" s="279" t="s">
        <v>169</v>
      </c>
    </row>
    <row r="58" spans="1:7" ht="30" x14ac:dyDescent="0.25">
      <c r="A58" s="604"/>
      <c r="B58" s="638"/>
      <c r="C58" s="304" t="s">
        <v>135</v>
      </c>
      <c r="D58" s="302" t="s">
        <v>191</v>
      </c>
      <c r="E58" s="302" t="s">
        <v>67</v>
      </c>
      <c r="F58" s="302" t="s">
        <v>146</v>
      </c>
      <c r="G58" s="279" t="s">
        <v>169</v>
      </c>
    </row>
    <row r="59" spans="1:7" x14ac:dyDescent="0.25">
      <c r="A59" s="604"/>
      <c r="B59" s="638"/>
      <c r="C59" s="304" t="s">
        <v>36</v>
      </c>
      <c r="D59" s="302" t="s">
        <v>192</v>
      </c>
      <c r="E59" s="302" t="s">
        <v>67</v>
      </c>
      <c r="F59" s="302" t="s">
        <v>146</v>
      </c>
      <c r="G59" s="279" t="s">
        <v>169</v>
      </c>
    </row>
    <row r="60" spans="1:7" ht="30" x14ac:dyDescent="0.25">
      <c r="A60" s="604"/>
      <c r="B60" s="638"/>
      <c r="C60" s="304" t="s">
        <v>138</v>
      </c>
      <c r="D60" s="302" t="s">
        <v>193</v>
      </c>
      <c r="E60" s="302" t="s">
        <v>67</v>
      </c>
      <c r="F60" s="302" t="s">
        <v>146</v>
      </c>
      <c r="G60" s="279" t="s">
        <v>169</v>
      </c>
    </row>
    <row r="61" spans="1:7" x14ac:dyDescent="0.25">
      <c r="A61" s="604"/>
      <c r="B61" s="638"/>
      <c r="C61" s="304" t="s">
        <v>184</v>
      </c>
      <c r="D61" s="302" t="s">
        <v>194</v>
      </c>
      <c r="E61" s="302" t="s">
        <v>67</v>
      </c>
      <c r="F61" s="302" t="s">
        <v>146</v>
      </c>
      <c r="G61" s="279" t="s">
        <v>169</v>
      </c>
    </row>
    <row r="62" spans="1:7" x14ac:dyDescent="0.25">
      <c r="A62" s="604"/>
      <c r="B62" s="638"/>
      <c r="C62" s="304" t="s">
        <v>140</v>
      </c>
      <c r="D62" s="302" t="s">
        <v>195</v>
      </c>
      <c r="E62" s="302" t="s">
        <v>67</v>
      </c>
      <c r="F62" s="302" t="s">
        <v>146</v>
      </c>
      <c r="G62" s="279" t="s">
        <v>169</v>
      </c>
    </row>
    <row r="63" spans="1:7" ht="15.75" thickBot="1" x14ac:dyDescent="0.3">
      <c r="A63" s="605"/>
      <c r="B63" s="639"/>
      <c r="C63" s="305" t="s">
        <v>187</v>
      </c>
      <c r="D63" s="303" t="s">
        <v>196</v>
      </c>
      <c r="E63" s="303" t="s">
        <v>67</v>
      </c>
      <c r="F63" s="303" t="s">
        <v>146</v>
      </c>
      <c r="G63" s="284" t="s">
        <v>169</v>
      </c>
    </row>
    <row r="64" spans="1:7" ht="120" x14ac:dyDescent="0.25">
      <c r="A64" s="604" t="s">
        <v>65</v>
      </c>
      <c r="B64" s="629" t="s">
        <v>197</v>
      </c>
      <c r="C64" s="332" t="s">
        <v>77</v>
      </c>
      <c r="D64" s="286" t="s">
        <v>198</v>
      </c>
      <c r="E64" s="286" t="s">
        <v>60</v>
      </c>
      <c r="F64" s="286" t="s">
        <v>79</v>
      </c>
      <c r="G64" s="439" t="s">
        <v>199</v>
      </c>
    </row>
    <row r="65" spans="1:7" ht="60" x14ac:dyDescent="0.25">
      <c r="A65" s="604"/>
      <c r="B65" s="630"/>
      <c r="C65" s="333" t="s">
        <v>81</v>
      </c>
      <c r="D65" s="287" t="s">
        <v>82</v>
      </c>
      <c r="E65" s="287" t="s">
        <v>60</v>
      </c>
      <c r="F65" s="287" t="s">
        <v>79</v>
      </c>
      <c r="G65" s="441" t="s">
        <v>200</v>
      </c>
    </row>
    <row r="66" spans="1:7" ht="30" x14ac:dyDescent="0.25">
      <c r="A66" s="604"/>
      <c r="B66" s="630"/>
      <c r="C66" s="333" t="s">
        <v>96</v>
      </c>
      <c r="D66" s="287" t="s">
        <v>97</v>
      </c>
      <c r="E66" s="287" t="s">
        <v>60</v>
      </c>
      <c r="F66" s="287" t="s">
        <v>79</v>
      </c>
      <c r="G66" s="288" t="s">
        <v>201</v>
      </c>
    </row>
    <row r="67" spans="1:7" ht="30" x14ac:dyDescent="0.25">
      <c r="A67" s="604"/>
      <c r="B67" s="630"/>
      <c r="C67" s="333" t="s">
        <v>202</v>
      </c>
      <c r="D67" s="287" t="s">
        <v>203</v>
      </c>
      <c r="E67" s="287" t="s">
        <v>60</v>
      </c>
      <c r="F67" s="287" t="s">
        <v>79</v>
      </c>
      <c r="G67" s="288" t="s">
        <v>204</v>
      </c>
    </row>
    <row r="68" spans="1:7" x14ac:dyDescent="0.25">
      <c r="A68" s="604"/>
      <c r="B68" s="630"/>
      <c r="C68" s="333" t="s">
        <v>1</v>
      </c>
      <c r="D68" s="287" t="s">
        <v>205</v>
      </c>
      <c r="E68" s="287" t="s">
        <v>60</v>
      </c>
      <c r="F68" s="287" t="s">
        <v>79</v>
      </c>
      <c r="G68" s="288" t="s">
        <v>206</v>
      </c>
    </row>
    <row r="69" spans="1:7" ht="15.75" thickBot="1" x14ac:dyDescent="0.3">
      <c r="A69" s="604"/>
      <c r="B69" s="631"/>
      <c r="C69" s="334" t="s">
        <v>207</v>
      </c>
      <c r="D69" s="289" t="s">
        <v>208</v>
      </c>
      <c r="E69" s="289" t="s">
        <v>60</v>
      </c>
      <c r="F69" s="289" t="s">
        <v>79</v>
      </c>
      <c r="G69" s="290"/>
    </row>
    <row r="70" spans="1:7" ht="150" x14ac:dyDescent="0.25">
      <c r="A70" s="603" t="s">
        <v>68</v>
      </c>
      <c r="B70" s="606" t="s">
        <v>76</v>
      </c>
      <c r="C70" s="342" t="s">
        <v>77</v>
      </c>
      <c r="D70" s="285" t="s">
        <v>209</v>
      </c>
      <c r="E70" s="285" t="s">
        <v>60</v>
      </c>
      <c r="F70" s="285" t="s">
        <v>79</v>
      </c>
      <c r="G70" s="440" t="s">
        <v>210</v>
      </c>
    </row>
    <row r="71" spans="1:7" x14ac:dyDescent="0.25">
      <c r="A71" s="604"/>
      <c r="B71" s="607"/>
      <c r="C71" s="121" t="s">
        <v>81</v>
      </c>
      <c r="D71" s="82" t="s">
        <v>82</v>
      </c>
      <c r="E71" s="82" t="s">
        <v>60</v>
      </c>
      <c r="F71" s="82" t="s">
        <v>79</v>
      </c>
      <c r="G71" s="95" t="s">
        <v>169</v>
      </c>
    </row>
    <row r="72" spans="1:7" ht="30" x14ac:dyDescent="0.25">
      <c r="A72" s="604"/>
      <c r="B72" s="607"/>
      <c r="C72" s="121" t="s">
        <v>96</v>
      </c>
      <c r="D72" s="82" t="s">
        <v>97</v>
      </c>
      <c r="E72" s="82" t="s">
        <v>60</v>
      </c>
      <c r="F72" s="82" t="s">
        <v>79</v>
      </c>
      <c r="G72" s="95" t="s">
        <v>211</v>
      </c>
    </row>
    <row r="73" spans="1:7" x14ac:dyDescent="0.25">
      <c r="A73" s="604"/>
      <c r="B73" s="607"/>
      <c r="C73" s="121" t="s">
        <v>212</v>
      </c>
      <c r="D73" s="82" t="s">
        <v>213</v>
      </c>
      <c r="E73" s="82" t="s">
        <v>86</v>
      </c>
      <c r="F73" s="82" t="s">
        <v>79</v>
      </c>
      <c r="G73" s="95" t="s">
        <v>169</v>
      </c>
    </row>
    <row r="74" spans="1:7" ht="60" customHeight="1" x14ac:dyDescent="0.25">
      <c r="A74" s="604"/>
      <c r="B74" s="607"/>
      <c r="C74" s="121" t="s">
        <v>88</v>
      </c>
      <c r="D74" s="82" t="s">
        <v>214</v>
      </c>
      <c r="E74" s="82" t="s">
        <v>86</v>
      </c>
      <c r="F74" s="82" t="s">
        <v>79</v>
      </c>
      <c r="G74" s="95" t="s">
        <v>169</v>
      </c>
    </row>
    <row r="75" spans="1:7" x14ac:dyDescent="0.25">
      <c r="A75" s="604"/>
      <c r="B75" s="607"/>
      <c r="C75" s="121" t="s">
        <v>1</v>
      </c>
      <c r="D75" s="82" t="s">
        <v>205</v>
      </c>
      <c r="E75" s="82" t="s">
        <v>86</v>
      </c>
      <c r="F75" s="82" t="s">
        <v>79</v>
      </c>
      <c r="G75" s="95" t="s">
        <v>169</v>
      </c>
    </row>
    <row r="76" spans="1:7" ht="105" x14ac:dyDescent="0.25">
      <c r="A76" s="604"/>
      <c r="B76" s="607"/>
      <c r="C76" s="121" t="s">
        <v>215</v>
      </c>
      <c r="D76" s="82" t="s">
        <v>216</v>
      </c>
      <c r="E76" s="82" t="s">
        <v>60</v>
      </c>
      <c r="F76" s="82" t="s">
        <v>79</v>
      </c>
      <c r="G76" s="323" t="s">
        <v>217</v>
      </c>
    </row>
    <row r="77" spans="1:7" ht="105" x14ac:dyDescent="0.25">
      <c r="A77" s="604"/>
      <c r="B77" s="607"/>
      <c r="C77" s="121" t="s">
        <v>218</v>
      </c>
      <c r="D77" s="82" t="s">
        <v>219</v>
      </c>
      <c r="E77" s="82" t="s">
        <v>60</v>
      </c>
      <c r="F77" s="82" t="s">
        <v>79</v>
      </c>
      <c r="G77" s="323" t="s">
        <v>220</v>
      </c>
    </row>
    <row r="78" spans="1:7" ht="30" x14ac:dyDescent="0.25">
      <c r="A78" s="604"/>
      <c r="B78" s="607"/>
      <c r="C78" s="121" t="s">
        <v>105</v>
      </c>
      <c r="D78" s="82" t="s">
        <v>171</v>
      </c>
      <c r="E78" s="82" t="s">
        <v>86</v>
      </c>
      <c r="F78" s="82" t="s">
        <v>79</v>
      </c>
      <c r="G78" s="95" t="s">
        <v>172</v>
      </c>
    </row>
    <row r="79" spans="1:7" ht="30.75" thickBot="1" x14ac:dyDescent="0.3">
      <c r="A79" s="604"/>
      <c r="B79" s="608"/>
      <c r="C79" s="122" t="s">
        <v>221</v>
      </c>
      <c r="D79" s="96" t="s">
        <v>222</v>
      </c>
      <c r="E79" s="96" t="s">
        <v>60</v>
      </c>
      <c r="F79" s="96" t="s">
        <v>79</v>
      </c>
      <c r="G79" s="97" t="s">
        <v>223</v>
      </c>
    </row>
    <row r="80" spans="1:7" ht="30" x14ac:dyDescent="0.25">
      <c r="A80" s="604"/>
      <c r="B80" s="609" t="s">
        <v>113</v>
      </c>
      <c r="C80" s="123" t="s">
        <v>114</v>
      </c>
      <c r="D80" s="105" t="s">
        <v>224</v>
      </c>
      <c r="E80" s="105" t="s">
        <v>60</v>
      </c>
      <c r="F80" s="105" t="s">
        <v>225</v>
      </c>
      <c r="G80" s="106" t="s">
        <v>223</v>
      </c>
    </row>
    <row r="81" spans="1:7" ht="30.75" thickBot="1" x14ac:dyDescent="0.3">
      <c r="A81" s="604"/>
      <c r="B81" s="610"/>
      <c r="C81" s="124" t="s">
        <v>121</v>
      </c>
      <c r="D81" s="107" t="s">
        <v>226</v>
      </c>
      <c r="E81" s="107" t="s">
        <v>60</v>
      </c>
      <c r="F81" s="107" t="s">
        <v>225</v>
      </c>
      <c r="G81" s="108" t="s">
        <v>223</v>
      </c>
    </row>
    <row r="82" spans="1:7" ht="30" x14ac:dyDescent="0.25">
      <c r="A82" s="604"/>
      <c r="B82" s="611" t="s">
        <v>124</v>
      </c>
      <c r="C82" s="125" t="s">
        <v>227</v>
      </c>
      <c r="D82" s="102" t="s">
        <v>228</v>
      </c>
      <c r="E82" s="102" t="s">
        <v>60</v>
      </c>
      <c r="F82" s="102" t="s">
        <v>79</v>
      </c>
      <c r="G82" s="103" t="s">
        <v>223</v>
      </c>
    </row>
    <row r="83" spans="1:7" ht="30" x14ac:dyDescent="0.25">
      <c r="A83" s="604"/>
      <c r="B83" s="612"/>
      <c r="C83" s="127" t="s">
        <v>229</v>
      </c>
      <c r="D83" s="109" t="s">
        <v>230</v>
      </c>
      <c r="E83" s="109" t="s">
        <v>60</v>
      </c>
      <c r="F83" s="109" t="s">
        <v>225</v>
      </c>
      <c r="G83" s="114" t="s">
        <v>223</v>
      </c>
    </row>
    <row r="84" spans="1:7" ht="30.75" thickBot="1" x14ac:dyDescent="0.3">
      <c r="A84" s="604"/>
      <c r="B84" s="613"/>
      <c r="C84" s="128" t="s">
        <v>187</v>
      </c>
      <c r="D84" s="119" t="s">
        <v>231</v>
      </c>
      <c r="E84" s="119" t="s">
        <v>60</v>
      </c>
      <c r="F84" s="119" t="s">
        <v>225</v>
      </c>
      <c r="G84" s="120" t="s">
        <v>223</v>
      </c>
    </row>
    <row r="85" spans="1:7" ht="30" x14ac:dyDescent="0.25">
      <c r="A85" s="604"/>
      <c r="B85" s="614" t="s">
        <v>144</v>
      </c>
      <c r="C85" s="126" t="s">
        <v>232</v>
      </c>
      <c r="D85" s="111" t="s">
        <v>233</v>
      </c>
      <c r="E85" s="111" t="s">
        <v>60</v>
      </c>
      <c r="F85" s="111" t="s">
        <v>225</v>
      </c>
      <c r="G85" s="112" t="s">
        <v>223</v>
      </c>
    </row>
    <row r="86" spans="1:7" ht="30" x14ac:dyDescent="0.25">
      <c r="A86" s="604"/>
      <c r="B86" s="615"/>
      <c r="C86" s="98" t="s">
        <v>229</v>
      </c>
      <c r="D86" s="83" t="s">
        <v>234</v>
      </c>
      <c r="E86" s="83" t="s">
        <v>60</v>
      </c>
      <c r="F86" s="83" t="s">
        <v>225</v>
      </c>
      <c r="G86" s="99" t="s">
        <v>223</v>
      </c>
    </row>
    <row r="87" spans="1:7" ht="30" x14ac:dyDescent="0.25">
      <c r="A87" s="604"/>
      <c r="B87" s="615"/>
      <c r="C87" s="98" t="s">
        <v>184</v>
      </c>
      <c r="D87" s="83" t="s">
        <v>235</v>
      </c>
      <c r="E87" s="83" t="s">
        <v>60</v>
      </c>
      <c r="F87" s="83" t="s">
        <v>225</v>
      </c>
      <c r="G87" s="99" t="s">
        <v>223</v>
      </c>
    </row>
    <row r="88" spans="1:7" ht="30" x14ac:dyDescent="0.25">
      <c r="A88" s="604"/>
      <c r="B88" s="615"/>
      <c r="C88" s="98" t="s">
        <v>140</v>
      </c>
      <c r="D88" s="83" t="s">
        <v>236</v>
      </c>
      <c r="E88" s="83" t="s">
        <v>60</v>
      </c>
      <c r="F88" s="83" t="s">
        <v>225</v>
      </c>
      <c r="G88" s="99" t="s">
        <v>223</v>
      </c>
    </row>
    <row r="89" spans="1:7" ht="45" customHeight="1" x14ac:dyDescent="0.25">
      <c r="A89" s="604"/>
      <c r="B89" s="615"/>
      <c r="C89" s="98" t="s">
        <v>187</v>
      </c>
      <c r="D89" s="83" t="s">
        <v>237</v>
      </c>
      <c r="E89" s="83" t="s">
        <v>60</v>
      </c>
      <c r="F89" s="83" t="s">
        <v>225</v>
      </c>
      <c r="G89" s="99" t="s">
        <v>223</v>
      </c>
    </row>
    <row r="90" spans="1:7" ht="30.75" thickBot="1" x14ac:dyDescent="0.3">
      <c r="A90" s="605"/>
      <c r="B90" s="616"/>
      <c r="C90" s="330"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49" t="s">
        <v>240</v>
      </c>
      <c r="B2" s="649"/>
      <c r="C2" s="649"/>
      <c r="D2" s="649"/>
      <c r="E2" s="649"/>
      <c r="F2" s="89"/>
      <c r="G2" s="89"/>
      <c r="H2" s="89"/>
      <c r="I2" s="89"/>
      <c r="J2" s="89"/>
      <c r="K2" s="89"/>
      <c r="L2" s="89"/>
      <c r="M2" s="89"/>
      <c r="N2" s="89"/>
      <c r="O2" s="89"/>
      <c r="P2" s="89"/>
      <c r="Q2" s="89"/>
      <c r="R2" s="89"/>
    </row>
    <row r="3" spans="1:19" ht="45" x14ac:dyDescent="0.25">
      <c r="A3" s="550" t="s">
        <v>241</v>
      </c>
      <c r="B3" s="550" t="s">
        <v>242</v>
      </c>
      <c r="C3" s="550" t="s">
        <v>243</v>
      </c>
      <c r="D3" s="550" t="s">
        <v>244</v>
      </c>
      <c r="E3" s="550" t="s">
        <v>245</v>
      </c>
    </row>
    <row r="4" spans="1:19" x14ac:dyDescent="0.25">
      <c r="A4" s="551" t="s">
        <v>246</v>
      </c>
      <c r="B4" s="551" t="s">
        <v>247</v>
      </c>
      <c r="C4" s="551" t="s">
        <v>248</v>
      </c>
      <c r="D4" s="551" t="s">
        <v>249</v>
      </c>
      <c r="E4" s="551" t="s">
        <v>248</v>
      </c>
    </row>
    <row r="5" spans="1:19" x14ac:dyDescent="0.25">
      <c r="A5" s="551" t="s">
        <v>250</v>
      </c>
      <c r="B5" s="551" t="s">
        <v>251</v>
      </c>
      <c r="C5" s="551" t="s">
        <v>252</v>
      </c>
      <c r="D5" s="551" t="s">
        <v>249</v>
      </c>
      <c r="E5" s="551" t="s">
        <v>248</v>
      </c>
    </row>
    <row r="6" spans="1:19" x14ac:dyDescent="0.25">
      <c r="A6" s="81"/>
    </row>
    <row r="7" spans="1:19" ht="59.25" customHeight="1" x14ac:dyDescent="0.25">
      <c r="A7" s="649" t="s">
        <v>253</v>
      </c>
      <c r="B7" s="650"/>
      <c r="C7" s="650"/>
      <c r="D7" s="650"/>
      <c r="E7" s="650"/>
      <c r="F7" s="650"/>
      <c r="G7" s="650"/>
      <c r="H7" s="650"/>
      <c r="I7" s="650"/>
      <c r="J7" s="650"/>
      <c r="K7" s="650"/>
      <c r="L7" s="650"/>
      <c r="M7" s="89"/>
      <c r="N7" s="89"/>
      <c r="O7" s="89"/>
      <c r="P7" s="89"/>
      <c r="Q7" s="89"/>
      <c r="R7" s="89"/>
      <c r="S7" s="89"/>
    </row>
    <row r="8" spans="1:19" x14ac:dyDescent="0.25">
      <c r="A8" s="552" t="s">
        <v>254</v>
      </c>
      <c r="B8" s="553"/>
      <c r="C8" s="553"/>
      <c r="D8" s="553"/>
      <c r="E8" s="553"/>
      <c r="F8" s="553"/>
      <c r="G8" s="553"/>
      <c r="H8" s="553"/>
      <c r="I8" s="553"/>
      <c r="J8" s="553"/>
      <c r="K8" s="553"/>
      <c r="L8" s="553"/>
      <c r="M8" s="89"/>
      <c r="N8" s="89"/>
      <c r="O8" s="89"/>
      <c r="P8" s="89"/>
      <c r="Q8" s="89"/>
      <c r="R8" s="89"/>
      <c r="S8" s="89"/>
    </row>
    <row r="9" spans="1:19" x14ac:dyDescent="0.25">
      <c r="A9" s="554" t="s">
        <v>77</v>
      </c>
      <c r="B9" s="555" t="s">
        <v>81</v>
      </c>
      <c r="C9" s="555" t="s">
        <v>84</v>
      </c>
      <c r="D9" s="556" t="s">
        <v>88</v>
      </c>
      <c r="E9" s="555" t="s">
        <v>91</v>
      </c>
      <c r="F9" s="555" t="s">
        <v>94</v>
      </c>
      <c r="G9" s="555" t="s">
        <v>96</v>
      </c>
      <c r="H9" s="555" t="s">
        <v>99</v>
      </c>
      <c r="I9" s="555" t="s">
        <v>102</v>
      </c>
      <c r="J9" s="557" t="s">
        <v>105</v>
      </c>
      <c r="K9" s="557" t="s">
        <v>108</v>
      </c>
      <c r="L9" s="558" t="s">
        <v>1</v>
      </c>
    </row>
    <row r="10" spans="1:19" x14ac:dyDescent="0.25">
      <c r="A10" s="559" t="s">
        <v>255</v>
      </c>
      <c r="B10" s="560" t="s">
        <v>256</v>
      </c>
      <c r="C10" s="560"/>
      <c r="D10" s="561" t="s">
        <v>257</v>
      </c>
      <c r="E10" s="562"/>
      <c r="F10" s="560" t="s">
        <v>258</v>
      </c>
      <c r="G10" s="561" t="s">
        <v>259</v>
      </c>
      <c r="H10" s="560" t="s">
        <v>260</v>
      </c>
      <c r="I10" s="560"/>
      <c r="J10" s="561">
        <v>1</v>
      </c>
      <c r="K10" s="561">
        <v>1</v>
      </c>
      <c r="L10" s="561" t="s">
        <v>261</v>
      </c>
    </row>
    <row r="11" spans="1:19" x14ac:dyDescent="0.25">
      <c r="A11" s="559" t="s">
        <v>262</v>
      </c>
      <c r="B11" s="560" t="s">
        <v>263</v>
      </c>
      <c r="C11" s="560"/>
      <c r="D11" s="561" t="s">
        <v>264</v>
      </c>
      <c r="E11" s="562"/>
      <c r="F11" s="560" t="s">
        <v>265</v>
      </c>
      <c r="G11" s="561" t="s">
        <v>259</v>
      </c>
      <c r="H11" s="560" t="s">
        <v>266</v>
      </c>
      <c r="I11" s="560"/>
      <c r="J11" s="561">
        <v>1</v>
      </c>
      <c r="K11" s="561">
        <v>1</v>
      </c>
      <c r="L11" s="561" t="s">
        <v>267</v>
      </c>
    </row>
    <row r="12" spans="1:19" ht="45" x14ac:dyDescent="0.25">
      <c r="A12" s="559" t="s">
        <v>268</v>
      </c>
      <c r="B12" s="559" t="s">
        <v>269</v>
      </c>
      <c r="C12" s="560"/>
      <c r="D12" s="561" t="s">
        <v>247</v>
      </c>
      <c r="E12" s="562"/>
      <c r="F12" s="560" t="s">
        <v>270</v>
      </c>
      <c r="G12" s="561" t="e">
        <v>#N/A</v>
      </c>
      <c r="H12" s="560" t="s">
        <v>249</v>
      </c>
      <c r="I12" s="560"/>
      <c r="J12" s="561">
        <v>1</v>
      </c>
      <c r="K12" s="561">
        <v>1</v>
      </c>
      <c r="L12" s="561" t="s">
        <v>261</v>
      </c>
    </row>
    <row r="13" spans="1:19" x14ac:dyDescent="0.25">
      <c r="A13" s="563" t="s">
        <v>271</v>
      </c>
    </row>
    <row r="14" spans="1:19" x14ac:dyDescent="0.25">
      <c r="A14" s="554" t="s">
        <v>77</v>
      </c>
      <c r="B14" s="555" t="s">
        <v>81</v>
      </c>
      <c r="C14" s="555" t="s">
        <v>84</v>
      </c>
      <c r="D14" s="556" t="s">
        <v>88</v>
      </c>
      <c r="E14" s="555" t="s">
        <v>91</v>
      </c>
      <c r="F14" s="555" t="s">
        <v>94</v>
      </c>
      <c r="G14" s="555" t="s">
        <v>96</v>
      </c>
      <c r="H14" s="555" t="s">
        <v>99</v>
      </c>
      <c r="I14" s="555" t="s">
        <v>102</v>
      </c>
      <c r="J14" s="557" t="s">
        <v>105</v>
      </c>
      <c r="K14" s="557" t="s">
        <v>108</v>
      </c>
      <c r="L14" s="564" t="s">
        <v>1</v>
      </c>
      <c r="M14" s="557" t="s">
        <v>114</v>
      </c>
      <c r="N14" s="557" t="s">
        <v>118</v>
      </c>
      <c r="O14" s="557" t="s">
        <v>121</v>
      </c>
      <c r="P14" s="557" t="s">
        <v>125</v>
      </c>
      <c r="Q14" s="557" t="s">
        <v>128</v>
      </c>
      <c r="R14" s="557" t="s">
        <v>132</v>
      </c>
      <c r="S14" s="557" t="s">
        <v>157</v>
      </c>
    </row>
    <row r="15" spans="1:19" x14ac:dyDescent="0.25">
      <c r="A15" s="559" t="s">
        <v>272</v>
      </c>
      <c r="B15" s="560" t="s">
        <v>273</v>
      </c>
      <c r="C15" s="560"/>
      <c r="D15" s="561" t="s">
        <v>252</v>
      </c>
      <c r="E15" s="560"/>
      <c r="F15" s="560" t="s">
        <v>274</v>
      </c>
      <c r="G15" s="561" t="s">
        <v>259</v>
      </c>
      <c r="H15" s="560" t="s">
        <v>275</v>
      </c>
      <c r="I15" s="560"/>
      <c r="J15" s="561">
        <v>1</v>
      </c>
      <c r="K15" s="561">
        <v>1</v>
      </c>
      <c r="L15" s="561" t="s">
        <v>276</v>
      </c>
      <c r="M15" s="565">
        <v>0</v>
      </c>
      <c r="N15" s="561"/>
      <c r="O15" s="565">
        <v>0</v>
      </c>
      <c r="P15" s="560" t="s">
        <v>48</v>
      </c>
      <c r="Q15" s="561">
        <v>1</v>
      </c>
      <c r="R15" s="561">
        <v>0</v>
      </c>
      <c r="S15" s="560" t="s">
        <v>277</v>
      </c>
    </row>
    <row r="16" spans="1:19" x14ac:dyDescent="0.25">
      <c r="A16" s="559" t="s">
        <v>250</v>
      </c>
      <c r="B16" s="560" t="s">
        <v>278</v>
      </c>
      <c r="C16" s="560"/>
      <c r="D16" s="566" t="s">
        <v>247</v>
      </c>
      <c r="E16" s="560"/>
      <c r="F16" s="560" t="s">
        <v>279</v>
      </c>
      <c r="G16" s="561" t="s">
        <v>280</v>
      </c>
      <c r="H16" s="567" t="s">
        <v>249</v>
      </c>
      <c r="I16" s="560"/>
      <c r="J16" s="561">
        <v>1</v>
      </c>
      <c r="K16" s="561">
        <v>1</v>
      </c>
      <c r="L16" s="561" t="s">
        <v>261</v>
      </c>
      <c r="M16" s="565">
        <v>0</v>
      </c>
      <c r="N16" s="561"/>
      <c r="O16" s="565">
        <v>0</v>
      </c>
      <c r="P16" s="560" t="s">
        <v>48</v>
      </c>
      <c r="Q16" s="561">
        <v>1</v>
      </c>
      <c r="R16" s="561">
        <v>0</v>
      </c>
      <c r="S16" s="560" t="s">
        <v>277</v>
      </c>
    </row>
    <row r="17" spans="1:19" x14ac:dyDescent="0.25">
      <c r="A17" s="559" t="s">
        <v>281</v>
      </c>
      <c r="B17" s="560" t="s">
        <v>282</v>
      </c>
      <c r="C17" s="560"/>
      <c r="D17" s="561" t="s">
        <v>252</v>
      </c>
      <c r="E17" s="560"/>
      <c r="F17" s="560" t="s">
        <v>283</v>
      </c>
      <c r="G17" s="561" t="s">
        <v>284</v>
      </c>
      <c r="H17" s="560" t="s">
        <v>285</v>
      </c>
      <c r="I17" s="560"/>
      <c r="J17" s="561">
        <v>1</v>
      </c>
      <c r="K17" s="561">
        <v>1</v>
      </c>
      <c r="L17" s="561" t="s">
        <v>276</v>
      </c>
      <c r="M17" s="565">
        <v>0</v>
      </c>
      <c r="N17" s="561"/>
      <c r="O17" s="565">
        <v>0</v>
      </c>
      <c r="P17" s="560" t="s">
        <v>48</v>
      </c>
      <c r="Q17" s="561">
        <v>1</v>
      </c>
      <c r="R17" s="561">
        <v>0</v>
      </c>
      <c r="S17" s="56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68" t="s">
        <v>0</v>
      </c>
      <c r="B1" s="569" t="s">
        <v>287</v>
      </c>
      <c r="C1" s="569" t="s">
        <v>288</v>
      </c>
    </row>
    <row r="2" spans="1:3" x14ac:dyDescent="0.25">
      <c r="A2" s="570">
        <v>43807</v>
      </c>
      <c r="B2" s="571" t="s">
        <v>289</v>
      </c>
      <c r="C2" s="571" t="s">
        <v>11</v>
      </c>
    </row>
    <row r="3" spans="1:3" ht="30" x14ac:dyDescent="0.25">
      <c r="A3" s="570">
        <v>43937</v>
      </c>
      <c r="B3" s="80" t="s">
        <v>290</v>
      </c>
      <c r="C3" s="571" t="s">
        <v>11</v>
      </c>
    </row>
    <row r="4" spans="1:3" x14ac:dyDescent="0.25">
      <c r="A4" s="570">
        <v>43941</v>
      </c>
      <c r="B4" s="571" t="s">
        <v>291</v>
      </c>
      <c r="C4" s="571" t="s">
        <v>11</v>
      </c>
    </row>
    <row r="5" spans="1:3" x14ac:dyDescent="0.25">
      <c r="A5" s="570">
        <v>43942</v>
      </c>
      <c r="B5" s="571" t="s">
        <v>292</v>
      </c>
      <c r="C5" s="571" t="s">
        <v>11</v>
      </c>
    </row>
    <row r="6" spans="1:3" x14ac:dyDescent="0.25">
      <c r="A6" s="570">
        <v>43963</v>
      </c>
      <c r="B6" s="571" t="s">
        <v>293</v>
      </c>
      <c r="C6" s="571" t="s">
        <v>11</v>
      </c>
    </row>
    <row r="7" spans="1:3" x14ac:dyDescent="0.25">
      <c r="A7" s="570">
        <v>43990</v>
      </c>
      <c r="B7" s="571" t="s">
        <v>294</v>
      </c>
      <c r="C7" s="571" t="s">
        <v>11</v>
      </c>
    </row>
    <row r="8" spans="1:3" ht="30" x14ac:dyDescent="0.25">
      <c r="A8" s="570">
        <v>44104</v>
      </c>
      <c r="B8" s="80" t="s">
        <v>295</v>
      </c>
      <c r="C8" s="571" t="s">
        <v>296</v>
      </c>
    </row>
    <row r="9" spans="1:3" ht="150" x14ac:dyDescent="0.25">
      <c r="A9" s="570">
        <v>44128</v>
      </c>
      <c r="B9" s="80" t="s">
        <v>297</v>
      </c>
      <c r="C9" s="571" t="s">
        <v>296</v>
      </c>
    </row>
    <row r="10" spans="1:3" x14ac:dyDescent="0.25">
      <c r="A10" s="570">
        <v>44361</v>
      </c>
      <c r="B10" s="571" t="s">
        <v>298</v>
      </c>
      <c r="C10" s="571" t="s">
        <v>299</v>
      </c>
    </row>
    <row r="11" spans="1:3" x14ac:dyDescent="0.25">
      <c r="A11" s="570">
        <v>44813</v>
      </c>
      <c r="B11" s="571" t="s">
        <v>300</v>
      </c>
      <c r="C11" s="57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95"/>
  <sheetViews>
    <sheetView tabSelected="1" zoomScale="70" zoomScaleNormal="70" workbookViewId="0">
      <pane xSplit="2" ySplit="5" topLeftCell="C70" activePane="bottomRight" state="frozen"/>
      <selection pane="topRight" activeCell="C1" sqref="C1"/>
      <selection pane="bottomLeft" activeCell="A4" sqref="A4"/>
      <selection pane="bottomRight" activeCell="H75" sqref="H75"/>
    </sheetView>
  </sheetViews>
  <sheetFormatPr defaultColWidth="9.42578125" defaultRowHeight="15" x14ac:dyDescent="0.25"/>
  <cols>
    <col min="1" max="1" width="12.42578125" style="173" customWidth="1"/>
    <col min="2" max="2" width="63" style="170" customWidth="1"/>
    <col min="3" max="3" width="17.5703125" style="170" customWidth="1"/>
    <col min="4" max="4" width="7" style="174" hidden="1" customWidth="1"/>
    <col min="5" max="5" width="7.42578125" style="170" hidden="1" customWidth="1"/>
    <col min="6" max="6" width="7" style="170" hidden="1" customWidth="1"/>
    <col min="7" max="7" width="9.5703125" style="170" bestFit="1" customWidth="1"/>
    <col min="8" max="8" width="51" style="174" bestFit="1" customWidth="1"/>
    <col min="9" max="9" width="13.42578125" style="174"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6" hidden="1" customWidth="1"/>
    <col min="19" max="19" width="11.42578125" style="176" hidden="1" customWidth="1"/>
    <col min="20" max="20" width="7.42578125" style="175" hidden="1" customWidth="1"/>
    <col min="21" max="23" width="6.42578125" style="175" hidden="1" customWidth="1"/>
    <col min="24" max="24" width="13.42578125" style="175" hidden="1" customWidth="1"/>
    <col min="25" max="25" width="49.5703125" style="176" hidden="1" customWidth="1"/>
    <col min="26" max="26" width="11.42578125" style="176" bestFit="1" customWidth="1"/>
    <col min="27" max="27" width="7.42578125" style="175" bestFit="1" customWidth="1"/>
    <col min="28" max="28" width="10.42578125" style="175" bestFit="1" customWidth="1"/>
    <col min="29" max="29" width="6.42578125" style="175" bestFit="1" customWidth="1"/>
    <col min="30" max="30" width="7" style="175" bestFit="1" customWidth="1"/>
    <col min="31" max="31" width="13.42578125" style="175"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57" t="s">
        <v>301</v>
      </c>
      <c r="B1" s="658"/>
      <c r="C1" s="658"/>
      <c r="D1" s="658"/>
      <c r="E1" s="658"/>
      <c r="F1" s="658"/>
      <c r="G1" s="658"/>
      <c r="H1" s="658"/>
      <c r="I1" s="658"/>
      <c r="J1" s="658"/>
      <c r="K1" s="658"/>
      <c r="L1" s="658"/>
      <c r="M1" s="658"/>
      <c r="N1" s="658"/>
      <c r="O1" s="658"/>
      <c r="P1" s="658"/>
      <c r="Q1" s="658"/>
      <c r="R1" s="658"/>
      <c r="S1" s="658"/>
      <c r="T1" s="658"/>
      <c r="U1" s="658"/>
      <c r="V1" s="658"/>
      <c r="W1" s="658"/>
      <c r="X1" s="658"/>
      <c r="Y1" s="659"/>
      <c r="Z1" s="658"/>
      <c r="AA1" s="658"/>
      <c r="AB1" s="658"/>
      <c r="AC1" s="658"/>
      <c r="AD1" s="658"/>
      <c r="AE1" s="658"/>
      <c r="AF1" s="658"/>
      <c r="AG1" s="658"/>
      <c r="AH1" s="660"/>
    </row>
    <row r="2" spans="1:34" ht="18.75" x14ac:dyDescent="0.25">
      <c r="A2" s="661" t="s">
        <v>302</v>
      </c>
      <c r="B2" s="662"/>
      <c r="C2" s="662"/>
      <c r="D2" s="662"/>
      <c r="E2" s="662"/>
      <c r="F2" s="662"/>
      <c r="G2" s="662"/>
      <c r="H2" s="662"/>
      <c r="I2" s="662"/>
      <c r="J2" s="663"/>
      <c r="K2" s="401">
        <f>SUM(K6:K390)</f>
        <v>253</v>
      </c>
      <c r="L2" s="401">
        <f>SUM(L6:L390)</f>
        <v>718</v>
      </c>
      <c r="M2" s="402"/>
      <c r="N2" s="473">
        <f>SUMPRODUCT(K6:K390,N6:N390)/K393</f>
        <v>1</v>
      </c>
      <c r="O2" s="474">
        <f>SUM(O6:O390)</f>
        <v>707.09999999999991</v>
      </c>
      <c r="P2" s="475">
        <f>SUMPRODUCT(K6:K390,P6:P390)/K393</f>
        <v>0.96620553359683803</v>
      </c>
      <c r="Q2" s="403"/>
      <c r="R2" s="404">
        <f t="shared" ref="R2:W2" si="0">SUM(R6:R390)</f>
        <v>535</v>
      </c>
      <c r="S2" s="476">
        <f t="shared" si="0"/>
        <v>450</v>
      </c>
      <c r="T2" s="476">
        <f t="shared" si="0"/>
        <v>438</v>
      </c>
      <c r="U2" s="476">
        <f t="shared" si="0"/>
        <v>0</v>
      </c>
      <c r="V2" s="476">
        <f t="shared" si="0"/>
        <v>12</v>
      </c>
      <c r="W2" s="476">
        <f t="shared" si="0"/>
        <v>0</v>
      </c>
      <c r="X2" s="477">
        <f>IF((R393=0),1,((T393+U393)/R393*100%))</f>
        <v>0.81869158878504678</v>
      </c>
      <c r="Y2" s="405"/>
      <c r="Z2" s="493">
        <f>SUM(Z6:Z390)</f>
        <v>240</v>
      </c>
      <c r="AA2" s="494">
        <f>SUM(AA6:AA390)</f>
        <v>238</v>
      </c>
      <c r="AB2" s="494">
        <f>SUM(AB6:AB390)</f>
        <v>0</v>
      </c>
      <c r="AC2" s="494">
        <f>SUM(AC6:AC390)</f>
        <v>2</v>
      </c>
      <c r="AD2" s="494">
        <f>SUM(AD6:AD390)</f>
        <v>0</v>
      </c>
      <c r="AE2" s="480">
        <f>IF((L393=0),1,((AA393+AB393)/L393*100%))</f>
        <v>0.33147632311977715</v>
      </c>
      <c r="AF2" s="406"/>
      <c r="AG2" s="406"/>
      <c r="AH2" s="407"/>
    </row>
    <row r="3" spans="1:34" ht="19.5" customHeight="1" thickBot="1" x14ac:dyDescent="0.3">
      <c r="A3" s="657" t="s">
        <v>303</v>
      </c>
      <c r="B3" s="658"/>
      <c r="C3" s="658"/>
      <c r="D3" s="658"/>
      <c r="E3" s="658"/>
      <c r="F3" s="658"/>
      <c r="G3" s="658"/>
      <c r="H3" s="658"/>
      <c r="I3" s="658"/>
      <c r="J3" s="658"/>
      <c r="K3" s="658"/>
      <c r="L3" s="658"/>
      <c r="M3" s="658"/>
      <c r="N3" s="658"/>
      <c r="O3" s="658"/>
      <c r="P3" s="658"/>
      <c r="Q3" s="658"/>
      <c r="R3" s="658"/>
      <c r="S3" s="658"/>
      <c r="T3" s="658"/>
      <c r="U3" s="658"/>
      <c r="V3" s="658"/>
      <c r="W3" s="658"/>
      <c r="X3" s="658"/>
      <c r="Y3" s="659"/>
      <c r="Z3" s="658"/>
      <c r="AA3" s="658"/>
      <c r="AB3" s="658"/>
      <c r="AC3" s="658"/>
      <c r="AD3" s="658"/>
      <c r="AE3" s="658"/>
      <c r="AF3" s="658"/>
      <c r="AG3" s="658"/>
      <c r="AH3" s="660"/>
    </row>
    <row r="4" spans="1:34" ht="31.5" customHeight="1" thickBot="1" x14ac:dyDescent="0.3">
      <c r="A4" s="664" t="s">
        <v>76</v>
      </c>
      <c r="B4" s="665"/>
      <c r="C4" s="665"/>
      <c r="D4" s="665"/>
      <c r="E4" s="665"/>
      <c r="F4" s="665"/>
      <c r="G4" s="665"/>
      <c r="H4" s="665"/>
      <c r="I4" s="665"/>
      <c r="J4" s="665"/>
      <c r="K4" s="665"/>
      <c r="L4" s="665"/>
      <c r="M4" s="666"/>
      <c r="N4" s="667" t="s">
        <v>304</v>
      </c>
      <c r="O4" s="668"/>
      <c r="P4" s="669"/>
      <c r="Q4" s="674" t="s">
        <v>305</v>
      </c>
      <c r="R4" s="675"/>
      <c r="S4" s="675"/>
      <c r="T4" s="675"/>
      <c r="U4" s="675"/>
      <c r="V4" s="675"/>
      <c r="W4" s="675"/>
      <c r="X4" s="675"/>
      <c r="Y4" s="676"/>
      <c r="Z4" s="670" t="s">
        <v>306</v>
      </c>
      <c r="AA4" s="671"/>
      <c r="AB4" s="671"/>
      <c r="AC4" s="671"/>
      <c r="AD4" s="671"/>
      <c r="AE4" s="672"/>
      <c r="AF4" s="672"/>
      <c r="AG4" s="672"/>
      <c r="AH4" s="673"/>
    </row>
    <row r="5" spans="1:34" s="171" customFormat="1" ht="30.75" thickBot="1" x14ac:dyDescent="0.3">
      <c r="A5" s="351" t="s">
        <v>77</v>
      </c>
      <c r="B5" s="352" t="s">
        <v>81</v>
      </c>
      <c r="C5" s="352" t="s">
        <v>84</v>
      </c>
      <c r="D5" s="353" t="s">
        <v>88</v>
      </c>
      <c r="E5" s="352" t="s">
        <v>91</v>
      </c>
      <c r="F5" s="352" t="s">
        <v>94</v>
      </c>
      <c r="G5" s="352" t="s">
        <v>96</v>
      </c>
      <c r="H5" s="352" t="s">
        <v>99</v>
      </c>
      <c r="I5" s="352" t="s">
        <v>307</v>
      </c>
      <c r="J5" s="352" t="s">
        <v>102</v>
      </c>
      <c r="K5" s="354" t="s">
        <v>105</v>
      </c>
      <c r="L5" s="354" t="s">
        <v>108</v>
      </c>
      <c r="M5" s="548"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75" thickBot="1" x14ac:dyDescent="0.3">
      <c r="A6" s="575">
        <v>12</v>
      </c>
      <c r="B6" s="579" t="str">
        <f>VLOOKUP(A6,'Feature Raw Data'!$A$3:$B$3922,2,FALSE)</f>
        <v>Navi4x configuration changes</v>
      </c>
      <c r="C6" s="442" t="s">
        <v>308</v>
      </c>
      <c r="D6" s="580" t="str">
        <f>VLOOKUP(A6,'Feature Raw Data'!$A$3:$F$3922,6,FALSE)</f>
        <v>GFX</v>
      </c>
      <c r="E6" s="442"/>
      <c r="F6" s="442"/>
      <c r="G6" s="243" t="str">
        <f>VLOOKUP(A6,'Feature Summary'!$A$7:$C$4170,3,FALSE)</f>
        <v>P1</v>
      </c>
      <c r="H6" s="443" t="s">
        <v>1003</v>
      </c>
      <c r="I6" s="444" t="s">
        <v>41</v>
      </c>
      <c r="J6" s="442"/>
      <c r="K6" s="361">
        <v>1</v>
      </c>
      <c r="L6" s="361">
        <v>1</v>
      </c>
      <c r="M6" s="581" t="str">
        <f>VLOOKUP(A6,'Feature Raw Data'!$A$3:$E$3922,5,FALSE)</f>
        <v>New</v>
      </c>
      <c r="N6" s="463">
        <v>1</v>
      </c>
      <c r="O6" s="463">
        <v>1</v>
      </c>
      <c r="P6" s="464">
        <f>IF((L6=0),1,(O6/L6))</f>
        <v>1</v>
      </c>
      <c r="Q6" s="444" t="s">
        <v>32</v>
      </c>
      <c r="R6" s="361">
        <v>1</v>
      </c>
      <c r="S6" s="495">
        <f>SUM(T6:W6)</f>
        <v>1</v>
      </c>
      <c r="T6" s="482">
        <v>1</v>
      </c>
      <c r="U6" s="482"/>
      <c r="V6" s="482"/>
      <c r="W6" s="482"/>
      <c r="X6" s="497">
        <f>IF((R6=0),1,((T6+U6)/R6*100%))</f>
        <v>1</v>
      </c>
      <c r="Y6" s="445"/>
      <c r="Z6" s="481">
        <f>SUM(AA6:AD6)</f>
        <v>0</v>
      </c>
      <c r="AA6" s="482"/>
      <c r="AB6" s="482"/>
      <c r="AC6" s="482"/>
      <c r="AD6" s="482"/>
      <c r="AE6" s="483">
        <f>IF((L6=0),1,((AA6+AB6)/L6*100%))</f>
        <v>0</v>
      </c>
      <c r="AF6" s="442"/>
      <c r="AG6" s="446" t="s">
        <v>309</v>
      </c>
      <c r="AH6" s="447"/>
    </row>
    <row r="7" spans="1:34" ht="15.75" thickBot="1" x14ac:dyDescent="0.3">
      <c r="A7" s="576">
        <v>12.000999999999999</v>
      </c>
      <c r="B7" s="325" t="str">
        <f>VLOOKUP(A7,'Feature Raw Data'!$A$3:$B$3922,2,FALSE)</f>
        <v xml:space="preserve">Separate color blend opt bits out of CB_COLORn_INFO </v>
      </c>
      <c r="C7" s="325" t="s">
        <v>310</v>
      </c>
      <c r="D7" s="326" t="str">
        <f>VLOOKUP(A7,'Feature Raw Data'!$A$3:$F$3922,6,FALSE)</f>
        <v>PP</v>
      </c>
      <c r="E7" s="325"/>
      <c r="F7" s="325"/>
      <c r="G7" s="244" t="str">
        <f>VLOOKUP(A7,'Feature Summary'!$A$7:$C$4170,3,FALSE)</f>
        <v>P1</v>
      </c>
      <c r="H7" s="417" t="s">
        <v>311</v>
      </c>
      <c r="I7" s="448" t="s">
        <v>41</v>
      </c>
      <c r="J7" s="325"/>
      <c r="K7" s="326">
        <v>1</v>
      </c>
      <c r="L7" s="326">
        <v>1</v>
      </c>
      <c r="M7" s="582" t="str">
        <f>VLOOKUP(A7,'Feature Raw Data'!$A$3:$E$3922,5,FALSE)</f>
        <v>New</v>
      </c>
      <c r="N7" s="465">
        <v>1</v>
      </c>
      <c r="O7" s="466">
        <v>1</v>
      </c>
      <c r="P7" s="464">
        <f t="shared" ref="P7" si="1">IF((L7=0),1,(O7/L7))</f>
        <v>1</v>
      </c>
      <c r="Q7" s="448" t="s">
        <v>32</v>
      </c>
      <c r="R7" s="326">
        <v>1</v>
      </c>
      <c r="S7" s="496">
        <f t="shared" ref="S7:S70" si="2">SUM(T7:W7)</f>
        <v>0</v>
      </c>
      <c r="T7" s="485"/>
      <c r="U7" s="485"/>
      <c r="V7" s="485"/>
      <c r="W7" s="485"/>
      <c r="X7" s="497">
        <f t="shared" ref="X7:X71" si="3">IF((R7=0),1,((T7+U7)/R7*100%))</f>
        <v>0</v>
      </c>
      <c r="Y7" s="449"/>
      <c r="Z7" s="484">
        <f t="shared" ref="Z7:Z70" si="4">SUM(AA7:AD7)</f>
        <v>0</v>
      </c>
      <c r="AA7" s="485"/>
      <c r="AB7" s="485"/>
      <c r="AC7" s="485"/>
      <c r="AD7" s="485"/>
      <c r="AE7" s="483">
        <f t="shared" ref="AE7:AE71" si="5">IF((L7=0),1,((AA7+AB7)/L7*100%))</f>
        <v>0</v>
      </c>
      <c r="AF7" s="325"/>
      <c r="AG7" s="450" t="s">
        <v>312</v>
      </c>
      <c r="AH7" s="327"/>
    </row>
    <row r="8" spans="1:34" ht="15.75" thickBot="1" x14ac:dyDescent="0.3">
      <c r="A8" s="576">
        <v>12.001999999999999</v>
      </c>
      <c r="B8" s="325" t="str">
        <f>VLOOKUP(A8,'Feature Raw Data'!$A$3:$B$3922,2,FALSE)</f>
        <v xml:space="preserve">Change SPI_VS_OUT_CONFIG and SPI_PS_IN_CONTROL from context to persistent state regs </v>
      </c>
      <c r="C8" s="325" t="s">
        <v>313</v>
      </c>
      <c r="D8" s="326" t="str">
        <f>VLOOKUP(A8,'Feature Raw Data'!$A$3:$F$3922,6,FALSE)</f>
        <v>SIO</v>
      </c>
      <c r="E8" s="325"/>
      <c r="F8" s="325"/>
      <c r="G8" s="244" t="str">
        <f>VLOOKUP(A8,'Feature Summary'!$A$7:$C$4170,3,FALSE)</f>
        <v>P1</v>
      </c>
      <c r="H8" s="417" t="s">
        <v>314</v>
      </c>
      <c r="I8" s="448" t="s">
        <v>41</v>
      </c>
      <c r="J8" s="325"/>
      <c r="K8" s="326">
        <v>1</v>
      </c>
      <c r="L8" s="326">
        <v>2</v>
      </c>
      <c r="M8" s="582" t="str">
        <f>VLOOKUP(A8,'Feature Raw Data'!$A$3:$E$3922,5,FALSE)</f>
        <v>New</v>
      </c>
      <c r="N8" s="465">
        <v>1</v>
      </c>
      <c r="O8" s="466">
        <v>2</v>
      </c>
      <c r="P8" s="464">
        <f t="shared" ref="P8:P70" si="6">IF((L8=0),1,(O8/L8))</f>
        <v>1</v>
      </c>
      <c r="Q8" s="448" t="s">
        <v>32</v>
      </c>
      <c r="R8" s="326">
        <v>2</v>
      </c>
      <c r="S8" s="496">
        <f>SUM(T8:W8)</f>
        <v>2</v>
      </c>
      <c r="T8" s="485">
        <v>2</v>
      </c>
      <c r="U8" s="485"/>
      <c r="V8" s="485"/>
      <c r="W8" s="485"/>
      <c r="X8" s="497">
        <f t="shared" si="3"/>
        <v>1</v>
      </c>
      <c r="Y8" s="449"/>
      <c r="Z8" s="484">
        <f>SUM(AA8:AD8)</f>
        <v>0</v>
      </c>
      <c r="AA8" s="485"/>
      <c r="AB8" s="485"/>
      <c r="AC8" s="485"/>
      <c r="AD8" s="485"/>
      <c r="AE8" s="483">
        <f t="shared" si="5"/>
        <v>0</v>
      </c>
      <c r="AF8" s="325"/>
      <c r="AG8" s="450" t="s">
        <v>312</v>
      </c>
      <c r="AH8" s="327"/>
    </row>
    <row r="9" spans="1:34" ht="15.75" thickBot="1" x14ac:dyDescent="0.3">
      <c r="A9" s="576">
        <v>12.002999999999998</v>
      </c>
      <c r="B9" s="325" t="str">
        <f>VLOOKUP(A9,'Feature Raw Data'!$A$3:$B$3922,2,FALSE)</f>
        <v xml:space="preserve">Separate PS_ITER_SAMPLE out of PA_SC_MODE_CNTL_1 </v>
      </c>
      <c r="C9" s="325" t="s">
        <v>310</v>
      </c>
      <c r="D9" s="326" t="str">
        <f>VLOOKUP(A9,'Feature Raw Data'!$A$3:$F$3922,6,FALSE)</f>
        <v>PP</v>
      </c>
      <c r="E9" s="325"/>
      <c r="F9" s="325"/>
      <c r="G9" s="244" t="str">
        <f>VLOOKUP(A9,'Feature Summary'!$A$7:$C$4170,3,FALSE)</f>
        <v>P1</v>
      </c>
      <c r="H9" s="417" t="s">
        <v>315</v>
      </c>
      <c r="I9" s="448" t="s">
        <v>41</v>
      </c>
      <c r="J9" s="325"/>
      <c r="K9" s="326">
        <v>1</v>
      </c>
      <c r="L9" s="326">
        <v>1</v>
      </c>
      <c r="M9" s="582" t="str">
        <f>VLOOKUP(A9,'Feature Raw Data'!$A$3:$E$3922,5,FALSE)</f>
        <v>New</v>
      </c>
      <c r="N9" s="465">
        <v>1</v>
      </c>
      <c r="O9" s="466">
        <v>1</v>
      </c>
      <c r="P9" s="464">
        <f t="shared" si="6"/>
        <v>1</v>
      </c>
      <c r="Q9" s="448" t="s">
        <v>32</v>
      </c>
      <c r="R9" s="326">
        <v>1</v>
      </c>
      <c r="S9" s="496">
        <f t="shared" si="2"/>
        <v>0</v>
      </c>
      <c r="T9" s="485"/>
      <c r="U9" s="485"/>
      <c r="V9" s="485"/>
      <c r="W9" s="485"/>
      <c r="X9" s="497">
        <f t="shared" si="3"/>
        <v>0</v>
      </c>
      <c r="Y9" s="449"/>
      <c r="Z9" s="484">
        <f t="shared" si="4"/>
        <v>0</v>
      </c>
      <c r="AA9" s="485"/>
      <c r="AB9" s="485"/>
      <c r="AC9" s="485"/>
      <c r="AD9" s="485"/>
      <c r="AE9" s="483">
        <f t="shared" si="5"/>
        <v>0</v>
      </c>
      <c r="AF9" s="325"/>
      <c r="AG9" s="450" t="s">
        <v>309</v>
      </c>
      <c r="AH9" s="327"/>
    </row>
    <row r="10" spans="1:34" ht="30.75" thickBot="1" x14ac:dyDescent="0.3">
      <c r="A10" s="576">
        <v>12.003999999999998</v>
      </c>
      <c r="B10" s="325" t="str">
        <f>VLOOKUP(A10,'Feature Raw Data'!$A$3:$B$3922,2,FALSE)</f>
        <v xml:space="preserve">Separate SAMPLE_RATE out of DB_COUNT_CONTROL </v>
      </c>
      <c r="C10" s="325" t="s">
        <v>316</v>
      </c>
      <c r="D10" s="326" t="str">
        <f>VLOOKUP(A10,'Feature Raw Data'!$A$3:$F$3922,6,FALSE)</f>
        <v>PP</v>
      </c>
      <c r="E10" s="325"/>
      <c r="F10" s="325"/>
      <c r="G10" s="244" t="str">
        <f>VLOOKUP(A10,'Feature Summary'!$A$7:$C$4170,3,FALSE)</f>
        <v>P1</v>
      </c>
      <c r="H10" s="587" t="s">
        <v>317</v>
      </c>
      <c r="I10" s="448" t="s">
        <v>41</v>
      </c>
      <c r="J10" s="325"/>
      <c r="K10" s="326">
        <v>1</v>
      </c>
      <c r="L10" s="326">
        <v>2</v>
      </c>
      <c r="M10" s="582" t="str">
        <f>VLOOKUP(A10,'Feature Raw Data'!$A$3:$E$3922,5,FALSE)</f>
        <v>New</v>
      </c>
      <c r="N10" s="465">
        <v>1</v>
      </c>
      <c r="O10" s="466">
        <v>2</v>
      </c>
      <c r="P10" s="464">
        <f t="shared" si="6"/>
        <v>1</v>
      </c>
      <c r="Q10" s="448" t="s">
        <v>32</v>
      </c>
      <c r="R10" s="326">
        <v>1</v>
      </c>
      <c r="S10" s="496">
        <f t="shared" si="2"/>
        <v>0</v>
      </c>
      <c r="T10" s="485"/>
      <c r="U10" s="485"/>
      <c r="V10" s="485"/>
      <c r="W10" s="485"/>
      <c r="X10" s="497">
        <f t="shared" si="3"/>
        <v>0</v>
      </c>
      <c r="Y10" s="449"/>
      <c r="Z10" s="484">
        <f t="shared" si="4"/>
        <v>0</v>
      </c>
      <c r="AA10" s="485"/>
      <c r="AB10" s="485"/>
      <c r="AC10" s="485"/>
      <c r="AD10" s="485"/>
      <c r="AE10" s="483">
        <f t="shared" si="5"/>
        <v>0</v>
      </c>
      <c r="AF10" s="325"/>
      <c r="AG10" s="450" t="s">
        <v>318</v>
      </c>
      <c r="AH10" s="327"/>
    </row>
    <row r="11" spans="1:34" ht="409.6" thickBot="1" x14ac:dyDescent="0.3">
      <c r="A11" s="576">
        <v>12.005999999999997</v>
      </c>
      <c r="B11" s="325" t="str">
        <f>VLOOKUP(A11,'Feature Raw Data'!$A$3:$B$3922,2,FALSE)</f>
        <v xml:space="preserve">GE_CNTL and VGT_LS_HS_CONFIG changes </v>
      </c>
      <c r="C11" s="325" t="s">
        <v>319</v>
      </c>
      <c r="D11" s="326" t="str">
        <f>VLOOKUP(A11,'Feature Raw Data'!$A$3:$F$3922,6,FALSE)</f>
        <v>GEO</v>
      </c>
      <c r="E11" s="325"/>
      <c r="F11" s="325"/>
      <c r="G11" s="244" t="str">
        <f>VLOOKUP(A11,'Feature Summary'!$A$7:$C$4170,3,FALSE)</f>
        <v>P1</v>
      </c>
      <c r="H11" s="417" t="s">
        <v>320</v>
      </c>
      <c r="I11" s="448" t="s">
        <v>41</v>
      </c>
      <c r="J11" s="325"/>
      <c r="K11" s="326">
        <v>1</v>
      </c>
      <c r="L11" s="326">
        <v>2</v>
      </c>
      <c r="M11" s="582" t="str">
        <f>VLOOKUP(A11,'Feature Raw Data'!$A$3:$E$3922,5,FALSE)</f>
        <v>New</v>
      </c>
      <c r="N11" s="465">
        <v>1</v>
      </c>
      <c r="O11" s="466">
        <v>2</v>
      </c>
      <c r="P11" s="464">
        <f t="shared" si="6"/>
        <v>1</v>
      </c>
      <c r="Q11" s="448" t="s">
        <v>32</v>
      </c>
      <c r="R11" s="326">
        <v>2</v>
      </c>
      <c r="S11" s="496">
        <f>SUM(T11:W11)</f>
        <v>2</v>
      </c>
      <c r="T11" s="485">
        <v>2</v>
      </c>
      <c r="U11" s="485"/>
      <c r="V11" s="485"/>
      <c r="W11" s="485"/>
      <c r="X11" s="497">
        <f>IF((R11=0),1,((T11+U11)/R11*100%))</f>
        <v>1</v>
      </c>
      <c r="Y11" s="588" t="s">
        <v>321</v>
      </c>
      <c r="Z11" s="484">
        <f t="shared" si="4"/>
        <v>0</v>
      </c>
      <c r="AA11" s="485"/>
      <c r="AB11" s="485"/>
      <c r="AC11" s="485"/>
      <c r="AD11" s="485"/>
      <c r="AE11" s="483">
        <f t="shared" si="5"/>
        <v>0</v>
      </c>
      <c r="AF11" s="325"/>
      <c r="AG11" s="450" t="s">
        <v>309</v>
      </c>
      <c r="AH11" s="327"/>
    </row>
    <row r="12" spans="1:34" ht="15.75" thickBot="1" x14ac:dyDescent="0.3">
      <c r="A12" s="576">
        <v>12.006999999999996</v>
      </c>
      <c r="B12" s="325" t="str">
        <f>VLOOKUP(A12,'Feature Raw Data'!$A$3:$B$3922,2,FALSE)</f>
        <v xml:space="preserve">PA_SC_AA_CONFIG changes </v>
      </c>
      <c r="C12" s="325" t="s">
        <v>322</v>
      </c>
      <c r="D12" s="326" t="str">
        <f>VLOOKUP(A12,'Feature Raw Data'!$A$3:$F$3922,6,FALSE)</f>
        <v>PP</v>
      </c>
      <c r="E12" s="325"/>
      <c r="F12" s="325"/>
      <c r="G12" s="244" t="str">
        <f>VLOOKUP(A12,'Feature Summary'!$A$7:$C$4170,3,FALSE)</f>
        <v>P1</v>
      </c>
      <c r="H12" s="417" t="s">
        <v>323</v>
      </c>
      <c r="I12" s="448" t="s">
        <v>41</v>
      </c>
      <c r="J12" s="325"/>
      <c r="K12" s="326">
        <v>1</v>
      </c>
      <c r="L12" s="326">
        <v>1</v>
      </c>
      <c r="M12" s="582" t="str">
        <f>VLOOKUP(A12,'Feature Raw Data'!$A$3:$E$3922,5,FALSE)</f>
        <v>Delta</v>
      </c>
      <c r="N12" s="465">
        <v>1</v>
      </c>
      <c r="O12" s="466">
        <v>1</v>
      </c>
      <c r="P12" s="464">
        <f t="shared" si="6"/>
        <v>1</v>
      </c>
      <c r="Q12" s="448" t="s">
        <v>32</v>
      </c>
      <c r="R12" s="326">
        <v>1</v>
      </c>
      <c r="S12" s="496">
        <f t="shared" si="2"/>
        <v>0</v>
      </c>
      <c r="T12" s="485"/>
      <c r="U12" s="485"/>
      <c r="V12" s="485"/>
      <c r="W12" s="485"/>
      <c r="X12" s="497">
        <f t="shared" si="3"/>
        <v>0</v>
      </c>
      <c r="Y12" s="449"/>
      <c r="Z12" s="484">
        <f t="shared" si="4"/>
        <v>0</v>
      </c>
      <c r="AA12" s="485"/>
      <c r="AB12" s="485"/>
      <c r="AC12" s="485"/>
      <c r="AD12" s="485"/>
      <c r="AE12" s="483">
        <f t="shared" si="5"/>
        <v>0</v>
      </c>
      <c r="AF12" s="325"/>
      <c r="AG12" s="450" t="s">
        <v>318</v>
      </c>
      <c r="AH12" s="327"/>
    </row>
    <row r="13" spans="1:34" ht="15.75" thickBot="1" x14ac:dyDescent="0.3">
      <c r="A13" s="576">
        <v>12.007999999999996</v>
      </c>
      <c r="B13" s="325" t="str">
        <f>VLOOKUP(A13,'Feature Raw Data'!$A$3:$B$3922,2,FALSE)</f>
        <v xml:space="preserve">PA_SC_CONSERVATIVE_RASTERIZATION_CNTL changes </v>
      </c>
      <c r="C13" s="325" t="s">
        <v>322</v>
      </c>
      <c r="D13" s="326" t="str">
        <f>VLOOKUP(A13,'Feature Raw Data'!$A$3:$F$3922,6,FALSE)</f>
        <v>PP</v>
      </c>
      <c r="E13" s="325"/>
      <c r="F13" s="325"/>
      <c r="G13" s="244" t="str">
        <f>VLOOKUP(A13,'Feature Summary'!$A$7:$C$4170,3,FALSE)</f>
        <v>P1</v>
      </c>
      <c r="H13" s="417" t="s">
        <v>324</v>
      </c>
      <c r="I13" s="448" t="s">
        <v>41</v>
      </c>
      <c r="J13" s="325"/>
      <c r="K13" s="326">
        <v>1</v>
      </c>
      <c r="L13" s="326">
        <v>1</v>
      </c>
      <c r="M13" s="582" t="str">
        <f>VLOOKUP(A13,'Feature Raw Data'!$A$3:$E$3922,5,FALSE)</f>
        <v>Delta</v>
      </c>
      <c r="N13" s="465">
        <v>1</v>
      </c>
      <c r="O13" s="466">
        <v>1</v>
      </c>
      <c r="P13" s="464">
        <f t="shared" si="6"/>
        <v>1</v>
      </c>
      <c r="Q13" s="448" t="s">
        <v>32</v>
      </c>
      <c r="R13" s="326">
        <v>1</v>
      </c>
      <c r="S13" s="496">
        <f t="shared" si="2"/>
        <v>0</v>
      </c>
      <c r="T13" s="485"/>
      <c r="U13" s="485"/>
      <c r="V13" s="485"/>
      <c r="W13" s="485"/>
      <c r="X13" s="497">
        <f t="shared" si="3"/>
        <v>0</v>
      </c>
      <c r="Y13" s="449"/>
      <c r="Z13" s="484">
        <f t="shared" si="4"/>
        <v>0</v>
      </c>
      <c r="AA13" s="485"/>
      <c r="AB13" s="485"/>
      <c r="AC13" s="485"/>
      <c r="AD13" s="485"/>
      <c r="AE13" s="483">
        <f t="shared" si="5"/>
        <v>0</v>
      </c>
      <c r="AF13" s="325"/>
      <c r="AG13" s="450" t="s">
        <v>318</v>
      </c>
      <c r="AH13" s="327"/>
    </row>
    <row r="14" spans="1:34" ht="15.75" thickBot="1" x14ac:dyDescent="0.3">
      <c r="A14" s="576">
        <v>12.008999999999995</v>
      </c>
      <c r="B14" s="325" t="str">
        <f>VLOOKUP(A14,'Feature Raw Data'!$A$3:$B$3922,2,FALSE)</f>
        <v xml:space="preserve">Eliminate PA_SU_SC_MODE_CNTL.KEEP_TOGETHER_ENABLE </v>
      </c>
      <c r="C14" s="325" t="s">
        <v>322</v>
      </c>
      <c r="D14" s="326" t="str">
        <f>VLOOKUP(A14,'Feature Raw Data'!$A$3:$F$3922,6,FALSE)</f>
        <v>PP</v>
      </c>
      <c r="E14" s="325"/>
      <c r="F14" s="325"/>
      <c r="G14" s="244" t="str">
        <f>VLOOKUP(A14,'Feature Summary'!$A$7:$C$4170,3,FALSE)</f>
        <v>P1</v>
      </c>
      <c r="H14" s="417" t="s">
        <v>325</v>
      </c>
      <c r="I14" s="448" t="s">
        <v>41</v>
      </c>
      <c r="J14" s="325"/>
      <c r="K14" s="326">
        <v>1</v>
      </c>
      <c r="L14" s="326">
        <v>1</v>
      </c>
      <c r="M14" s="582" t="str">
        <f>VLOOKUP(A14,'Feature Raw Data'!$A$3:$E$3922,5,FALSE)</f>
        <v>New</v>
      </c>
      <c r="N14" s="465">
        <v>1</v>
      </c>
      <c r="O14" s="466">
        <v>1</v>
      </c>
      <c r="P14" s="464">
        <f t="shared" si="6"/>
        <v>1</v>
      </c>
      <c r="Q14" s="448" t="s">
        <v>32</v>
      </c>
      <c r="R14" s="326">
        <v>1</v>
      </c>
      <c r="S14" s="496">
        <f t="shared" si="2"/>
        <v>0</v>
      </c>
      <c r="T14" s="485"/>
      <c r="U14" s="485"/>
      <c r="V14" s="485"/>
      <c r="W14" s="485"/>
      <c r="X14" s="497">
        <f t="shared" si="3"/>
        <v>0</v>
      </c>
      <c r="Y14" s="449"/>
      <c r="Z14" s="484">
        <f t="shared" si="4"/>
        <v>0</v>
      </c>
      <c r="AA14" s="485"/>
      <c r="AB14" s="485"/>
      <c r="AC14" s="485"/>
      <c r="AD14" s="485"/>
      <c r="AE14" s="483">
        <f t="shared" si="5"/>
        <v>0</v>
      </c>
      <c r="AF14" s="325"/>
      <c r="AG14" s="450" t="s">
        <v>318</v>
      </c>
      <c r="AH14" s="327"/>
    </row>
    <row r="15" spans="1:34" ht="24.75" customHeight="1" thickBot="1" x14ac:dyDescent="0.3">
      <c r="A15" s="576">
        <v>12.009999999999994</v>
      </c>
      <c r="B15" s="325" t="str">
        <f>VLOOKUP(A15,'Feature Raw Data'!$A$3:$B$3922,2,FALSE)</f>
        <v xml:space="preserve">Separate AUTO_RESET_CNTL from PA_SC_LINE_STIPPLE </v>
      </c>
      <c r="C15" s="325" t="s">
        <v>322</v>
      </c>
      <c r="D15" s="326" t="str">
        <f>VLOOKUP(A15,'Feature Raw Data'!$A$3:$F$3922,6,FALSE)</f>
        <v>PP</v>
      </c>
      <c r="E15" s="325"/>
      <c r="F15" s="325"/>
      <c r="G15" s="244" t="str">
        <f>VLOOKUP(A15,'Feature Summary'!$A$7:$C$4170,3,FALSE)</f>
        <v>P1</v>
      </c>
      <c r="H15" s="417" t="s">
        <v>988</v>
      </c>
      <c r="I15" s="448" t="s">
        <v>41</v>
      </c>
      <c r="J15" s="325"/>
      <c r="K15" s="326">
        <v>1</v>
      </c>
      <c r="L15" s="326">
        <v>1</v>
      </c>
      <c r="M15" s="582" t="str">
        <f>VLOOKUP(A15,'Feature Raw Data'!$A$3:$E$3922,5,FALSE)</f>
        <v>New</v>
      </c>
      <c r="N15" s="465">
        <v>1</v>
      </c>
      <c r="O15" s="466">
        <v>0</v>
      </c>
      <c r="P15" s="464">
        <f t="shared" si="6"/>
        <v>0</v>
      </c>
      <c r="Q15" s="448" t="s">
        <v>32</v>
      </c>
      <c r="R15" s="326">
        <v>1</v>
      </c>
      <c r="S15" s="496">
        <f t="shared" si="2"/>
        <v>0</v>
      </c>
      <c r="T15" s="485"/>
      <c r="U15" s="485"/>
      <c r="V15" s="485"/>
      <c r="W15" s="485"/>
      <c r="X15" s="497">
        <f t="shared" si="3"/>
        <v>0</v>
      </c>
      <c r="Y15" s="449"/>
      <c r="Z15" s="484">
        <f t="shared" si="4"/>
        <v>0</v>
      </c>
      <c r="AA15" s="485"/>
      <c r="AB15" s="485"/>
      <c r="AC15" s="485"/>
      <c r="AD15" s="485"/>
      <c r="AE15" s="483">
        <f t="shared" si="5"/>
        <v>0</v>
      </c>
      <c r="AF15" s="325"/>
      <c r="AG15" s="450" t="s">
        <v>318</v>
      </c>
      <c r="AH15" s="327"/>
    </row>
    <row r="16" spans="1:34" ht="90.75" thickBot="1" x14ac:dyDescent="0.3">
      <c r="A16" s="576">
        <v>12.010999999999994</v>
      </c>
      <c r="B16" s="325" t="str">
        <f>VLOOKUP(A16,'Feature Raw Data'!$A$3:$B$3922,2,FALSE)</f>
        <v xml:space="preserve">Implicit viewport scissoring </v>
      </c>
      <c r="C16" s="325" t="s">
        <v>322</v>
      </c>
      <c r="D16" s="326" t="str">
        <f>VLOOKUP(A16,'Feature Raw Data'!$A$3:$F$3922,6,FALSE)</f>
        <v>PP</v>
      </c>
      <c r="E16" s="325"/>
      <c r="F16" s="325"/>
      <c r="G16" s="244" t="str">
        <f>VLOOKUP(A16,'Feature Summary'!$A$7:$C$4170,3,FALSE)</f>
        <v>P1</v>
      </c>
      <c r="H16" s="587" t="s">
        <v>326</v>
      </c>
      <c r="I16" s="448" t="s">
        <v>41</v>
      </c>
      <c r="J16" s="325"/>
      <c r="K16" s="326">
        <v>1</v>
      </c>
      <c r="L16" s="326">
        <v>7</v>
      </c>
      <c r="M16" s="582" t="str">
        <f>VLOOKUP(A16,'Feature Raw Data'!$A$3:$E$3922,5,FALSE)</f>
        <v>New</v>
      </c>
      <c r="N16" s="465">
        <v>1</v>
      </c>
      <c r="O16" s="466">
        <v>7</v>
      </c>
      <c r="P16" s="464">
        <f t="shared" si="6"/>
        <v>1</v>
      </c>
      <c r="Q16" s="448" t="s">
        <v>32</v>
      </c>
      <c r="R16" s="326">
        <v>6</v>
      </c>
      <c r="S16" s="496">
        <f>SUM(T16:W16)</f>
        <v>2</v>
      </c>
      <c r="T16" s="485">
        <v>2</v>
      </c>
      <c r="U16" s="485"/>
      <c r="V16" s="485"/>
      <c r="W16" s="485"/>
      <c r="X16" s="497">
        <f t="shared" si="3"/>
        <v>0.33333333333333331</v>
      </c>
      <c r="Y16" s="449"/>
      <c r="Z16" s="484">
        <f t="shared" si="4"/>
        <v>0</v>
      </c>
      <c r="AA16" s="485"/>
      <c r="AB16" s="485"/>
      <c r="AC16" s="485"/>
      <c r="AD16" s="485"/>
      <c r="AE16" s="483">
        <f t="shared" si="5"/>
        <v>0</v>
      </c>
      <c r="AF16" s="325"/>
      <c r="AG16" s="450" t="s">
        <v>312</v>
      </c>
      <c r="AH16" s="327"/>
    </row>
    <row r="17" spans="1:34" ht="15.75" thickBot="1" x14ac:dyDescent="0.3">
      <c r="A17" s="576">
        <v>12.011999999999993</v>
      </c>
      <c r="B17" s="325" t="str">
        <f>VLOOKUP(A17,'Feature Raw Data'!$A$3:$B$3922,2,FALSE)</f>
        <v xml:space="preserve">Simplify workaround for DEGGIGXX0-4644 </v>
      </c>
      <c r="C17" s="325" t="s">
        <v>310</v>
      </c>
      <c r="D17" s="326" t="str">
        <f>VLOOKUP(A17,'Feature Raw Data'!$A$3:$F$3922,6,FALSE)</f>
        <v>PP</v>
      </c>
      <c r="E17" s="325"/>
      <c r="F17" s="325"/>
      <c r="G17" s="244" t="str">
        <f>VLOOKUP(A17,'Feature Summary'!$A$7:$C$4170,3,FALSE)</f>
        <v>P1</v>
      </c>
      <c r="H17" s="417" t="s">
        <v>47</v>
      </c>
      <c r="I17" s="448" t="s">
        <v>47</v>
      </c>
      <c r="J17" s="325"/>
      <c r="K17" s="326">
        <v>1</v>
      </c>
      <c r="L17" s="326">
        <v>0</v>
      </c>
      <c r="M17" s="582" t="str">
        <f>VLOOKUP(A17,'Feature Raw Data'!$A$3:$E$3922,5,FALSE)</f>
        <v>Delta</v>
      </c>
      <c r="N17" s="465">
        <v>1</v>
      </c>
      <c r="O17" s="466"/>
      <c r="P17" s="464">
        <f t="shared" si="6"/>
        <v>1</v>
      </c>
      <c r="Q17" s="448" t="s">
        <v>47</v>
      </c>
      <c r="R17" s="326">
        <v>0</v>
      </c>
      <c r="S17" s="496">
        <f t="shared" si="2"/>
        <v>0</v>
      </c>
      <c r="T17" s="485"/>
      <c r="U17" s="485"/>
      <c r="V17" s="485"/>
      <c r="W17" s="485"/>
      <c r="X17" s="497">
        <f t="shared" si="3"/>
        <v>1</v>
      </c>
      <c r="Y17" s="449" t="s">
        <v>327</v>
      </c>
      <c r="Z17" s="484">
        <f t="shared" si="4"/>
        <v>0</v>
      </c>
      <c r="AA17" s="485"/>
      <c r="AB17" s="485"/>
      <c r="AC17" s="485"/>
      <c r="AD17" s="485"/>
      <c r="AE17" s="483">
        <f t="shared" si="5"/>
        <v>1</v>
      </c>
      <c r="AF17" s="325"/>
      <c r="AG17" s="450" t="s">
        <v>47</v>
      </c>
      <c r="AH17" s="327"/>
    </row>
    <row r="18" spans="1:34" ht="15.75" thickBot="1" x14ac:dyDescent="0.3">
      <c r="A18" s="576">
        <v>12.012999999999993</v>
      </c>
      <c r="B18" s="325" t="str">
        <f>VLOOKUP(A18,'Feature Raw Data'!$A$3:$B$3922,2,FALSE)</f>
        <v>Separate event enable bits out of SPI_CONFIG_CNTL</v>
      </c>
      <c r="C18" s="325" t="s">
        <v>328</v>
      </c>
      <c r="D18" s="326" t="str">
        <f>VLOOKUP(A18,'Feature Raw Data'!$A$3:$F$3922,6,FALSE)</f>
        <v>SIO</v>
      </c>
      <c r="E18" s="325"/>
      <c r="F18" s="325"/>
      <c r="G18" s="244" t="str">
        <f>VLOOKUP(A18,'Feature Summary'!$A$7:$C$4170,3,FALSE)</f>
        <v>P2</v>
      </c>
      <c r="H18" s="417" t="s">
        <v>329</v>
      </c>
      <c r="I18" s="448" t="s">
        <v>35</v>
      </c>
      <c r="J18" s="325"/>
      <c r="K18" s="326">
        <v>1</v>
      </c>
      <c r="L18" s="326">
        <v>2</v>
      </c>
      <c r="M18" s="582" t="str">
        <f>VLOOKUP(A18,'Feature Raw Data'!$A$3:$E$3922,5,FALSE)</f>
        <v>New</v>
      </c>
      <c r="N18" s="465">
        <v>1</v>
      </c>
      <c r="O18" s="466">
        <v>1.8</v>
      </c>
      <c r="P18" s="464">
        <f t="shared" si="6"/>
        <v>0.9</v>
      </c>
      <c r="Q18" s="448" t="s">
        <v>32</v>
      </c>
      <c r="R18" s="326">
        <v>1</v>
      </c>
      <c r="S18" s="496">
        <f t="shared" si="2"/>
        <v>1</v>
      </c>
      <c r="T18" s="485">
        <v>1</v>
      </c>
      <c r="U18" s="485"/>
      <c r="V18" s="485"/>
      <c r="W18" s="485"/>
      <c r="X18" s="497">
        <f t="shared" si="3"/>
        <v>1</v>
      </c>
      <c r="Y18" s="449"/>
      <c r="Z18" s="484">
        <f t="shared" si="4"/>
        <v>0</v>
      </c>
      <c r="AA18" s="485"/>
      <c r="AB18" s="485"/>
      <c r="AC18" s="485"/>
      <c r="AD18" s="485"/>
      <c r="AE18" s="483">
        <f t="shared" si="5"/>
        <v>0</v>
      </c>
      <c r="AF18" s="325"/>
      <c r="AG18" s="450" t="s">
        <v>277</v>
      </c>
      <c r="AH18" s="327"/>
    </row>
    <row r="19" spans="1:34" ht="15.75" thickBot="1" x14ac:dyDescent="0.3">
      <c r="A19" s="576">
        <v>12.013999999999992</v>
      </c>
      <c r="B19" s="325" t="str">
        <f>VLOOKUP(A19,'Feature Raw Data'!$A$3:$B$3922,2,FALSE)</f>
        <v xml:space="preserve">Split DB_RENDER_OVERRIDE </v>
      </c>
      <c r="C19" s="325" t="s">
        <v>322</v>
      </c>
      <c r="D19" s="326" t="str">
        <f>VLOOKUP(A19,'Feature Raw Data'!$A$3:$F$3922,6,FALSE)</f>
        <v>PP</v>
      </c>
      <c r="E19" s="325"/>
      <c r="F19" s="325"/>
      <c r="G19" s="244" t="str">
        <f>VLOOKUP(A19,'Feature Summary'!$A$7:$C$4170,3,FALSE)</f>
        <v>P1</v>
      </c>
      <c r="H19" s="417" t="s">
        <v>986</v>
      </c>
      <c r="I19" s="448" t="s">
        <v>41</v>
      </c>
      <c r="J19" s="325"/>
      <c r="K19" s="326">
        <v>1</v>
      </c>
      <c r="L19" s="326">
        <v>1</v>
      </c>
      <c r="M19" s="582" t="str">
        <f>VLOOKUP(A19,'Feature Raw Data'!$A$3:$E$3922,5,FALSE)</f>
        <v>New</v>
      </c>
      <c r="N19" s="465">
        <v>1</v>
      </c>
      <c r="O19" s="466">
        <v>0</v>
      </c>
      <c r="P19" s="464">
        <f t="shared" si="6"/>
        <v>0</v>
      </c>
      <c r="Q19" s="448" t="s">
        <v>32</v>
      </c>
      <c r="R19" s="326">
        <v>1</v>
      </c>
      <c r="S19" s="496">
        <f t="shared" si="2"/>
        <v>0</v>
      </c>
      <c r="T19" s="485"/>
      <c r="U19" s="485"/>
      <c r="V19" s="485"/>
      <c r="W19" s="485"/>
      <c r="X19" s="497">
        <f t="shared" si="3"/>
        <v>0</v>
      </c>
      <c r="Y19" s="449"/>
      <c r="Z19" s="484">
        <f t="shared" si="4"/>
        <v>0</v>
      </c>
      <c r="AA19" s="485"/>
      <c r="AB19" s="485"/>
      <c r="AC19" s="485"/>
      <c r="AD19" s="485"/>
      <c r="AE19" s="483">
        <f t="shared" si="5"/>
        <v>0</v>
      </c>
      <c r="AF19" s="325"/>
      <c r="AG19" s="450" t="s">
        <v>312</v>
      </c>
      <c r="AH19" s="327"/>
    </row>
    <row r="20" spans="1:34" ht="15.75" thickBot="1" x14ac:dyDescent="0.3">
      <c r="A20" s="576">
        <v>12.014999999999992</v>
      </c>
      <c r="B20" s="325" t="str">
        <f>VLOOKUP(A20,'Feature Raw Data'!$A$3:$B$3922,2,FALSE)</f>
        <v xml:space="preserve">DB_STENCILREFMASK refactor </v>
      </c>
      <c r="C20" s="325" t="s">
        <v>322</v>
      </c>
      <c r="D20" s="326" t="str">
        <f>VLOOKUP(A20,'Feature Raw Data'!$A$3:$F$3922,6,FALSE)</f>
        <v>PP</v>
      </c>
      <c r="E20" s="325"/>
      <c r="F20" s="325"/>
      <c r="G20" s="244" t="str">
        <f>VLOOKUP(A20,'Feature Summary'!$A$7:$C$4170,3,FALSE)</f>
        <v>P1</v>
      </c>
      <c r="H20" s="417" t="s">
        <v>997</v>
      </c>
      <c r="I20" s="448" t="s">
        <v>41</v>
      </c>
      <c r="J20" s="325"/>
      <c r="K20" s="326">
        <v>1</v>
      </c>
      <c r="L20" s="326">
        <v>1</v>
      </c>
      <c r="M20" s="582" t="str">
        <f>VLOOKUP(A20,'Feature Raw Data'!$A$3:$E$3922,5,FALSE)</f>
        <v>Delta</v>
      </c>
      <c r="N20" s="465">
        <v>1</v>
      </c>
      <c r="O20" s="466">
        <v>0</v>
      </c>
      <c r="P20" s="464">
        <f t="shared" si="6"/>
        <v>0</v>
      </c>
      <c r="Q20" s="448" t="s">
        <v>32</v>
      </c>
      <c r="R20" s="326">
        <v>1</v>
      </c>
      <c r="S20" s="496">
        <f t="shared" si="2"/>
        <v>0</v>
      </c>
      <c r="T20" s="485"/>
      <c r="U20" s="485"/>
      <c r="V20" s="485"/>
      <c r="W20" s="485"/>
      <c r="X20" s="497">
        <f t="shared" si="3"/>
        <v>0</v>
      </c>
      <c r="Y20" s="449"/>
      <c r="Z20" s="484">
        <f t="shared" si="4"/>
        <v>0</v>
      </c>
      <c r="AA20" s="485"/>
      <c r="AB20" s="485"/>
      <c r="AC20" s="485"/>
      <c r="AD20" s="485"/>
      <c r="AE20" s="483">
        <f t="shared" si="5"/>
        <v>0</v>
      </c>
      <c r="AF20" s="325"/>
      <c r="AG20" s="450" t="s">
        <v>312</v>
      </c>
      <c r="AH20" s="327"/>
    </row>
    <row r="21" spans="1:34" ht="15.75" thickBot="1" x14ac:dyDescent="0.3">
      <c r="A21" s="576">
        <v>12.015999999999991</v>
      </c>
      <c r="B21" s="325" t="str">
        <f>VLOOKUP(A21,'Feature Raw Data'!$A$3:$B$3922,2,FALSE)</f>
        <v xml:space="preserve">Per target control for CB BIG_PAGE/L2_BYPASS </v>
      </c>
      <c r="C21" s="325" t="s">
        <v>310</v>
      </c>
      <c r="D21" s="326" t="str">
        <f>VLOOKUP(A21,'Feature Raw Data'!$A$3:$F$3922,6,FALSE)</f>
        <v>PP</v>
      </c>
      <c r="E21" s="325"/>
      <c r="F21" s="325"/>
      <c r="G21" s="244" t="str">
        <f>VLOOKUP(A21,'Feature Summary'!$A$7:$C$4170,3,FALSE)</f>
        <v>P1</v>
      </c>
      <c r="H21" s="417" t="s">
        <v>330</v>
      </c>
      <c r="I21" s="448" t="s">
        <v>41</v>
      </c>
      <c r="J21" s="325"/>
      <c r="K21" s="326">
        <v>1</v>
      </c>
      <c r="L21" s="326">
        <v>4</v>
      </c>
      <c r="M21" s="582" t="str">
        <f>VLOOKUP(A21,'Feature Raw Data'!$A$3:$E$3922,5,FALSE)</f>
        <v>New</v>
      </c>
      <c r="N21" s="465">
        <v>1</v>
      </c>
      <c r="O21" s="466">
        <v>4</v>
      </c>
      <c r="P21" s="464">
        <f t="shared" si="6"/>
        <v>1</v>
      </c>
      <c r="Q21" s="448" t="s">
        <v>32</v>
      </c>
      <c r="R21" s="326">
        <v>1</v>
      </c>
      <c r="S21" s="496">
        <f t="shared" si="2"/>
        <v>0</v>
      </c>
      <c r="T21" s="485"/>
      <c r="U21" s="485"/>
      <c r="V21" s="485"/>
      <c r="W21" s="485"/>
      <c r="X21" s="497">
        <f t="shared" si="3"/>
        <v>0</v>
      </c>
      <c r="Y21" s="449"/>
      <c r="Z21" s="484">
        <f t="shared" si="4"/>
        <v>0</v>
      </c>
      <c r="AA21" s="485"/>
      <c r="AB21" s="485"/>
      <c r="AC21" s="485"/>
      <c r="AD21" s="485"/>
      <c r="AE21" s="483">
        <f t="shared" si="5"/>
        <v>0</v>
      </c>
      <c r="AF21" s="325"/>
      <c r="AG21" s="450" t="s">
        <v>309</v>
      </c>
      <c r="AH21" s="327"/>
    </row>
    <row r="22" spans="1:34" ht="15.75" thickBot="1" x14ac:dyDescent="0.3">
      <c r="A22" s="576">
        <v>12.016999999999991</v>
      </c>
      <c r="B22" s="325" t="str">
        <f>VLOOKUP(A22,'Feature Raw Data'!$A$3:$B$3922,2,FALSE)</f>
        <v xml:space="preserve">MSAA shader write support for D/S images </v>
      </c>
      <c r="C22" s="325" t="s">
        <v>310</v>
      </c>
      <c r="D22" s="326" t="str">
        <f>VLOOKUP(A22,'Feature Raw Data'!$A$3:$F$3922,6,FALSE)</f>
        <v>PP</v>
      </c>
      <c r="E22" s="325"/>
      <c r="F22" s="325"/>
      <c r="G22" s="244" t="str">
        <f>VLOOKUP(A22,'Feature Summary'!$A$7:$C$4170,3,FALSE)</f>
        <v>P1</v>
      </c>
      <c r="H22" s="417" t="s">
        <v>47</v>
      </c>
      <c r="I22" s="448" t="s">
        <v>47</v>
      </c>
      <c r="J22" s="325"/>
      <c r="K22" s="326">
        <v>1</v>
      </c>
      <c r="L22" s="326">
        <v>0</v>
      </c>
      <c r="M22" s="582" t="str">
        <f>VLOOKUP(A22,'Feature Raw Data'!$A$3:$E$3922,5,FALSE)</f>
        <v>New</v>
      </c>
      <c r="N22" s="465">
        <v>1</v>
      </c>
      <c r="O22" s="466"/>
      <c r="P22" s="464">
        <f>IF((L22=0),1,(O22/L22))</f>
        <v>1</v>
      </c>
      <c r="Q22" s="448" t="s">
        <v>47</v>
      </c>
      <c r="R22" s="326">
        <v>0</v>
      </c>
      <c r="S22" s="496">
        <f t="shared" si="2"/>
        <v>0</v>
      </c>
      <c r="T22" s="485"/>
      <c r="U22" s="485"/>
      <c r="V22" s="485"/>
      <c r="W22" s="485"/>
      <c r="X22" s="497">
        <f t="shared" si="3"/>
        <v>1</v>
      </c>
      <c r="Y22" s="449" t="s">
        <v>331</v>
      </c>
      <c r="Z22" s="484">
        <f t="shared" si="4"/>
        <v>0</v>
      </c>
      <c r="AA22" s="485"/>
      <c r="AB22" s="485"/>
      <c r="AC22" s="485"/>
      <c r="AD22" s="485"/>
      <c r="AE22" s="483">
        <f t="shared" si="5"/>
        <v>1</v>
      </c>
      <c r="AF22" s="325"/>
      <c r="AG22" s="450" t="s">
        <v>47</v>
      </c>
      <c r="AH22" s="327"/>
    </row>
    <row r="23" spans="1:34" ht="15.75" thickBot="1" x14ac:dyDescent="0.3">
      <c r="A23" s="576">
        <v>12.018999999999989</v>
      </c>
      <c r="B23" s="325" t="str">
        <f>VLOOKUP(A23,'Feature Raw Data'!$A$3:$B$3922,2,FALSE)</f>
        <v xml:space="preserve">Broadcast stores </v>
      </c>
      <c r="C23" s="325" t="s">
        <v>332</v>
      </c>
      <c r="D23" s="326" t="str">
        <f>VLOOKUP(A23,'Feature Raw Data'!$A$3:$F$3922,6,FALSE)</f>
        <v>TEX</v>
      </c>
      <c r="E23" s="325"/>
      <c r="F23" s="325"/>
      <c r="G23" s="244" t="str">
        <f>VLOOKUP(A23,'Feature Summary'!$A$7:$C$4170,3,FALSE)</f>
        <v>P1</v>
      </c>
      <c r="H23" s="417" t="s">
        <v>333</v>
      </c>
      <c r="I23" s="448" t="s">
        <v>41</v>
      </c>
      <c r="J23" s="325"/>
      <c r="K23" s="326">
        <v>1</v>
      </c>
      <c r="L23" s="326">
        <v>2</v>
      </c>
      <c r="M23" s="582" t="str">
        <f>VLOOKUP(A23,'Feature Raw Data'!$A$3:$E$3922,5,FALSE)</f>
        <v>New</v>
      </c>
      <c r="N23" s="465">
        <v>1</v>
      </c>
      <c r="O23" s="466">
        <v>2</v>
      </c>
      <c r="P23" s="464">
        <f t="shared" si="6"/>
        <v>1</v>
      </c>
      <c r="Q23" s="448" t="s">
        <v>43</v>
      </c>
      <c r="R23" s="326">
        <v>2</v>
      </c>
      <c r="S23" s="496">
        <f t="shared" si="2"/>
        <v>2</v>
      </c>
      <c r="T23" s="485">
        <v>1</v>
      </c>
      <c r="U23" s="485"/>
      <c r="V23" s="485">
        <v>1</v>
      </c>
      <c r="W23" s="485"/>
      <c r="X23" s="497">
        <f t="shared" si="3"/>
        <v>0.5</v>
      </c>
      <c r="Y23" s="449" t="s">
        <v>334</v>
      </c>
      <c r="Z23" s="484">
        <f t="shared" si="4"/>
        <v>0</v>
      </c>
      <c r="AA23" s="485"/>
      <c r="AB23" s="485"/>
      <c r="AC23" s="485"/>
      <c r="AD23" s="485"/>
      <c r="AE23" s="483">
        <f t="shared" si="5"/>
        <v>0</v>
      </c>
      <c r="AF23" s="325"/>
      <c r="AG23" s="450" t="s">
        <v>309</v>
      </c>
      <c r="AH23" s="327"/>
    </row>
    <row r="24" spans="1:34" ht="15.75" thickBot="1" x14ac:dyDescent="0.3">
      <c r="A24" s="594">
        <v>12.019999999999989</v>
      </c>
      <c r="B24" s="325" t="str">
        <f>VLOOKUP(A24,'Feature Raw Data'!$A$3:$B$3922,2,FALSE)</f>
        <v xml:space="preserve">out of order per-wave vmem returns </v>
      </c>
      <c r="C24" s="325" t="s">
        <v>335</v>
      </c>
      <c r="D24" s="326" t="str">
        <f>VLOOKUP(A24,'Feature Raw Data'!$A$3:$F$3922,6,FALSE)</f>
        <v>TEX</v>
      </c>
      <c r="E24" s="325"/>
      <c r="F24" s="325"/>
      <c r="G24" s="244" t="str">
        <f>VLOOKUP(A24,'Feature Summary'!$A$7:$C$4170,3,FALSE)</f>
        <v>P1</v>
      </c>
      <c r="H24" s="417" t="s">
        <v>336</v>
      </c>
      <c r="I24" s="448" t="s">
        <v>41</v>
      </c>
      <c r="J24" s="325"/>
      <c r="K24" s="326">
        <v>1</v>
      </c>
      <c r="L24" s="326">
        <v>6</v>
      </c>
      <c r="M24" s="582" t="str">
        <f>VLOOKUP(A24,'Feature Raw Data'!$A$3:$E$3922,5,FALSE)</f>
        <v>New</v>
      </c>
      <c r="N24" s="465">
        <v>1</v>
      </c>
      <c r="O24" s="466">
        <v>6</v>
      </c>
      <c r="P24" s="464">
        <f t="shared" si="6"/>
        <v>1</v>
      </c>
      <c r="Q24" s="448" t="s">
        <v>43</v>
      </c>
      <c r="R24" s="326">
        <v>6</v>
      </c>
      <c r="S24" s="496">
        <v>6</v>
      </c>
      <c r="T24" s="485">
        <v>6</v>
      </c>
      <c r="U24" s="485"/>
      <c r="V24" s="485"/>
      <c r="W24" s="485"/>
      <c r="X24" s="497">
        <f t="shared" si="3"/>
        <v>1</v>
      </c>
      <c r="Y24" s="449"/>
      <c r="Z24" s="484">
        <f t="shared" si="4"/>
        <v>0</v>
      </c>
      <c r="AA24" s="485"/>
      <c r="AB24" s="485"/>
      <c r="AC24" s="485"/>
      <c r="AD24" s="485"/>
      <c r="AE24" s="483">
        <f t="shared" si="5"/>
        <v>0</v>
      </c>
      <c r="AF24" s="325"/>
      <c r="AG24" s="450" t="s">
        <v>318</v>
      </c>
      <c r="AH24" s="327"/>
    </row>
    <row r="25" spans="1:34" ht="15.75" thickBot="1" x14ac:dyDescent="0.3">
      <c r="A25" s="595">
        <v>12.026999999999985</v>
      </c>
      <c r="B25" s="325" t="str">
        <f>VLOOKUP(A25,'Feature Raw Data'!$A$3:$B$3922,2,FALSE)</f>
        <v>Configuration agnostic memory scope and policy control (dup of 12.041)</v>
      </c>
      <c r="C25" s="325" t="s">
        <v>337</v>
      </c>
      <c r="D25" s="326" t="str">
        <f>VLOOKUP(A25,'Feature Raw Data'!$A$3:$F$3922,6,FALSE)</f>
        <v>CMM</v>
      </c>
      <c r="E25" s="325"/>
      <c r="F25" s="325"/>
      <c r="G25" s="244" t="str">
        <f>VLOOKUP(A25,'Feature Summary'!$A$7:$C$4170,3,FALSE)</f>
        <v>P1</v>
      </c>
      <c r="H25" s="417" t="s">
        <v>338</v>
      </c>
      <c r="I25" s="448" t="s">
        <v>35</v>
      </c>
      <c r="J25" s="325"/>
      <c r="K25" s="326">
        <v>1</v>
      </c>
      <c r="L25" s="326">
        <v>0</v>
      </c>
      <c r="M25" s="582" t="str">
        <f>VLOOKUP(A25,'Feature Raw Data'!$A$3:$E$3922,5,FALSE)</f>
        <v>New</v>
      </c>
      <c r="N25" s="465">
        <v>1</v>
      </c>
      <c r="O25" s="466">
        <v>0</v>
      </c>
      <c r="P25" s="464">
        <f t="shared" si="6"/>
        <v>1</v>
      </c>
      <c r="Q25" s="448" t="s">
        <v>32</v>
      </c>
      <c r="R25" s="326">
        <v>5</v>
      </c>
      <c r="S25" s="496">
        <f t="shared" si="2"/>
        <v>5</v>
      </c>
      <c r="T25" s="485">
        <v>5</v>
      </c>
      <c r="U25" s="485"/>
      <c r="V25" s="485"/>
      <c r="W25" s="485"/>
      <c r="X25" s="497">
        <f t="shared" si="3"/>
        <v>1</v>
      </c>
      <c r="Y25" s="449"/>
      <c r="Z25" s="484">
        <f t="shared" si="4"/>
        <v>0</v>
      </c>
      <c r="AA25" s="485"/>
      <c r="AB25" s="485"/>
      <c r="AC25" s="485"/>
      <c r="AD25" s="485"/>
      <c r="AE25" s="483">
        <f t="shared" si="5"/>
        <v>1</v>
      </c>
      <c r="AF25" s="325"/>
      <c r="AG25" s="450" t="s">
        <v>309</v>
      </c>
      <c r="AH25" s="327"/>
    </row>
    <row r="26" spans="1:34" ht="30" customHeight="1" thickBot="1" x14ac:dyDescent="0.3">
      <c r="A26" s="594">
        <v>12.029999999999983</v>
      </c>
      <c r="B26" s="325" t="str">
        <f>VLOOKUP(A26,'Feature Raw Data'!$A$3:$B$3922,2,FALSE)</f>
        <v>Add support for image atomics fp32 add (makes fp32 add orthogonal).  Make fp behaviour among lds/cmm/df identical</v>
      </c>
      <c r="C26" s="325" t="s">
        <v>339</v>
      </c>
      <c r="D26" s="326" t="str">
        <f>VLOOKUP(A26,'Feature Raw Data'!$A$3:$F$3922,6,FALSE)</f>
        <v>SH</v>
      </c>
      <c r="E26" s="325"/>
      <c r="F26" s="325"/>
      <c r="G26" s="244" t="str">
        <f>VLOOKUP(A26,'Feature Summary'!$A$7:$C$4170,3,FALSE)</f>
        <v>P1</v>
      </c>
      <c r="H26" s="587" t="s">
        <v>340</v>
      </c>
      <c r="I26" s="448" t="s">
        <v>35</v>
      </c>
      <c r="J26" s="325"/>
      <c r="K26" s="326">
        <v>1</v>
      </c>
      <c r="L26" s="326">
        <v>18</v>
      </c>
      <c r="M26" s="582" t="str">
        <f>VLOOKUP(A26,'Feature Raw Data'!$A$3:$E$3922,5,FALSE)</f>
        <v>New</v>
      </c>
      <c r="N26" s="465">
        <v>1</v>
      </c>
      <c r="O26" s="466">
        <v>18</v>
      </c>
      <c r="P26" s="464">
        <f t="shared" si="6"/>
        <v>1</v>
      </c>
      <c r="Q26" s="448" t="s">
        <v>32</v>
      </c>
      <c r="R26" s="326">
        <v>18</v>
      </c>
      <c r="S26" s="496">
        <f>SUM(T26:W26)</f>
        <v>18</v>
      </c>
      <c r="T26" s="485">
        <v>18</v>
      </c>
      <c r="U26" s="485"/>
      <c r="V26" s="485"/>
      <c r="W26" s="485"/>
      <c r="X26" s="497">
        <f t="shared" si="3"/>
        <v>1</v>
      </c>
      <c r="Y26" s="588" t="s">
        <v>341</v>
      </c>
      <c r="Z26" s="484">
        <f t="shared" si="4"/>
        <v>18</v>
      </c>
      <c r="AA26" s="485">
        <v>18</v>
      </c>
      <c r="AB26" s="485"/>
      <c r="AC26" s="485"/>
      <c r="AD26" s="485"/>
      <c r="AE26" s="483">
        <f t="shared" si="5"/>
        <v>1</v>
      </c>
      <c r="AF26" s="325"/>
      <c r="AG26" s="450" t="s">
        <v>309</v>
      </c>
      <c r="AH26" s="327"/>
    </row>
    <row r="27" spans="1:34" ht="15.75" thickBot="1" x14ac:dyDescent="0.3">
      <c r="A27" s="594">
        <v>12.030999999999983</v>
      </c>
      <c r="B27" s="325" t="str">
        <f>VLOOKUP(A27,'Feature Raw Data'!$A$3:$B$3922,2,FALSE)</f>
        <v xml:space="preserve">Support greater than 16k x 16k x 8k textures  (64k x 64k x 16k, inc. 16 mip levels to support 64k).  Reduce/simplify swizzle modes. </v>
      </c>
      <c r="C27" s="325" t="s">
        <v>310</v>
      </c>
      <c r="D27" s="326" t="str">
        <f>VLOOKUP(A27,'Feature Raw Data'!$A$3:$F$3922,6,FALSE)</f>
        <v>PP</v>
      </c>
      <c r="E27" s="325"/>
      <c r="F27" s="325"/>
      <c r="G27" s="244" t="str">
        <f>VLOOKUP(A27,'Feature Summary'!$A$7:$C$4170,3,FALSE)</f>
        <v>P1</v>
      </c>
      <c r="H27" s="417" t="s">
        <v>342</v>
      </c>
      <c r="I27" s="448" t="s">
        <v>41</v>
      </c>
      <c r="J27" s="325"/>
      <c r="K27" s="326">
        <v>1</v>
      </c>
      <c r="L27" s="326">
        <v>2</v>
      </c>
      <c r="M27" s="582" t="str">
        <f>VLOOKUP(A27,'Feature Raw Data'!$A$3:$E$3922,5,FALSE)</f>
        <v>New</v>
      </c>
      <c r="N27" s="465">
        <v>1</v>
      </c>
      <c r="O27" s="466">
        <v>2</v>
      </c>
      <c r="P27" s="464">
        <f t="shared" si="6"/>
        <v>1</v>
      </c>
      <c r="Q27" s="448" t="s">
        <v>43</v>
      </c>
      <c r="R27" s="326">
        <v>2</v>
      </c>
      <c r="S27" s="496">
        <f t="shared" si="2"/>
        <v>2</v>
      </c>
      <c r="T27" s="485">
        <v>2</v>
      </c>
      <c r="U27" s="485"/>
      <c r="V27" s="485"/>
      <c r="W27" s="485"/>
      <c r="X27" s="497">
        <f t="shared" si="3"/>
        <v>1</v>
      </c>
      <c r="Y27" s="449"/>
      <c r="Z27" s="484">
        <f t="shared" si="4"/>
        <v>0</v>
      </c>
      <c r="AA27" s="485"/>
      <c r="AB27" s="485"/>
      <c r="AC27" s="485"/>
      <c r="AD27" s="485"/>
      <c r="AE27" s="483">
        <f t="shared" si="5"/>
        <v>0</v>
      </c>
      <c r="AF27" s="325"/>
      <c r="AG27" s="450" t="s">
        <v>318</v>
      </c>
      <c r="AH27" s="327"/>
    </row>
    <row r="28" spans="1:34" ht="15.75" thickBot="1" x14ac:dyDescent="0.3">
      <c r="A28" s="576">
        <v>12.032999999999982</v>
      </c>
      <c r="B28" s="325" t="str">
        <f>VLOOKUP(A28,'Feature Raw Data'!$A$3:$B$3922,2,FALSE)</f>
        <v xml:space="preserve">Unclamped image load/store support </v>
      </c>
      <c r="C28" s="325" t="s">
        <v>335</v>
      </c>
      <c r="D28" s="326" t="str">
        <f>VLOOKUP(A28,'Feature Raw Data'!$A$3:$F$3922,6,FALSE)</f>
        <v>TEX</v>
      </c>
      <c r="E28" s="325"/>
      <c r="F28" s="325"/>
      <c r="G28" s="244" t="str">
        <f>VLOOKUP(A28,'Feature Summary'!$A$7:$C$4170,3,FALSE)</f>
        <v>P2</v>
      </c>
      <c r="H28" s="417" t="s">
        <v>998</v>
      </c>
      <c r="I28" s="448" t="s">
        <v>35</v>
      </c>
      <c r="J28" s="325"/>
      <c r="K28" s="326">
        <v>1</v>
      </c>
      <c r="L28" s="326">
        <v>1</v>
      </c>
      <c r="M28" s="582" t="str">
        <f>VLOOKUP(A28,'Feature Raw Data'!$A$3:$E$3922,5,FALSE)</f>
        <v>New</v>
      </c>
      <c r="N28" s="465">
        <v>1</v>
      </c>
      <c r="O28" s="466">
        <v>0</v>
      </c>
      <c r="P28" s="464">
        <f t="shared" si="6"/>
        <v>0</v>
      </c>
      <c r="Q28" s="448" t="s">
        <v>32</v>
      </c>
      <c r="R28" s="326">
        <v>1</v>
      </c>
      <c r="S28" s="496">
        <f t="shared" si="2"/>
        <v>0</v>
      </c>
      <c r="T28" s="485"/>
      <c r="U28" s="485"/>
      <c r="V28" s="485"/>
      <c r="W28" s="485"/>
      <c r="X28" s="497">
        <f t="shared" si="3"/>
        <v>0</v>
      </c>
      <c r="Y28" s="449"/>
      <c r="Z28" s="484">
        <f t="shared" si="4"/>
        <v>0</v>
      </c>
      <c r="AA28" s="485"/>
      <c r="AB28" s="485"/>
      <c r="AC28" s="485"/>
      <c r="AD28" s="485"/>
      <c r="AE28" s="483">
        <f t="shared" si="5"/>
        <v>0</v>
      </c>
      <c r="AF28" s="325"/>
      <c r="AG28" s="590" t="s">
        <v>343</v>
      </c>
      <c r="AH28" s="327"/>
    </row>
    <row r="29" spans="1:34" ht="15.75" thickBot="1" x14ac:dyDescent="0.3">
      <c r="A29" s="576">
        <v>12.033999999999981</v>
      </c>
      <c r="B29" s="325" t="str">
        <f>VLOOKUP(A29,'Feature Raw Data'!$A$3:$B$3922,2,FALSE)</f>
        <v xml:space="preserve">Move PRT++ atomic ops out of TCP tags </v>
      </c>
      <c r="C29" s="325" t="s">
        <v>335</v>
      </c>
      <c r="D29" s="326" t="str">
        <f>VLOOKUP(A29,'Feature Raw Data'!$A$3:$F$3922,6,FALSE)</f>
        <v>TEX</v>
      </c>
      <c r="E29" s="325"/>
      <c r="F29" s="325"/>
      <c r="G29" s="244" t="str">
        <f>VLOOKUP(A29,'Feature Summary'!$A$7:$C$4170,3,FALSE)</f>
        <v>P2</v>
      </c>
      <c r="H29" s="417" t="s">
        <v>47</v>
      </c>
      <c r="I29" s="448" t="s">
        <v>47</v>
      </c>
      <c r="J29" s="325"/>
      <c r="K29" s="326">
        <v>1</v>
      </c>
      <c r="L29" s="326">
        <v>0</v>
      </c>
      <c r="M29" s="582" t="str">
        <f>VLOOKUP(A29,'Feature Raw Data'!$A$3:$E$3922,5,FALSE)</f>
        <v>New</v>
      </c>
      <c r="N29" s="465">
        <v>1</v>
      </c>
      <c r="O29" s="466"/>
      <c r="P29" s="464">
        <f t="shared" si="6"/>
        <v>1</v>
      </c>
      <c r="Q29" s="448" t="s">
        <v>47</v>
      </c>
      <c r="R29" s="326">
        <v>0</v>
      </c>
      <c r="S29" s="496">
        <f t="shared" si="2"/>
        <v>0</v>
      </c>
      <c r="T29" s="485"/>
      <c r="U29" s="485"/>
      <c r="V29" s="485"/>
      <c r="W29" s="485"/>
      <c r="X29" s="497">
        <f t="shared" si="3"/>
        <v>1</v>
      </c>
      <c r="Y29" s="449" t="s">
        <v>344</v>
      </c>
      <c r="Z29" s="484">
        <f t="shared" si="4"/>
        <v>0</v>
      </c>
      <c r="AA29" s="485"/>
      <c r="AB29" s="485"/>
      <c r="AC29" s="485"/>
      <c r="AD29" s="485"/>
      <c r="AE29" s="483">
        <f t="shared" si="5"/>
        <v>1</v>
      </c>
      <c r="AF29" s="325"/>
      <c r="AG29" s="450" t="s">
        <v>47</v>
      </c>
      <c r="AH29" s="327"/>
    </row>
    <row r="30" spans="1:34" ht="15.75" thickBot="1" x14ac:dyDescent="0.3">
      <c r="A30" s="594">
        <v>12.03599999999998</v>
      </c>
      <c r="B30" s="325" t="str">
        <f>VLOOKUP(A30,'Feature Raw Data'!$A$3:$B$3922,2,FALSE)</f>
        <v xml:space="preserve">Double Ray Tracing Intersect Engine </v>
      </c>
      <c r="C30" s="325" t="s">
        <v>335</v>
      </c>
      <c r="D30" s="326" t="str">
        <f>VLOOKUP(A30,'Feature Raw Data'!$A$3:$F$3922,6,FALSE)</f>
        <v>TEX</v>
      </c>
      <c r="E30" s="325"/>
      <c r="F30" s="325"/>
      <c r="G30" s="244" t="str">
        <f>VLOOKUP(A30,'Feature Summary'!$A$7:$C$4170,3,FALSE)</f>
        <v>P1</v>
      </c>
      <c r="H30" s="417" t="s">
        <v>345</v>
      </c>
      <c r="I30" s="448" t="s">
        <v>41</v>
      </c>
      <c r="J30" s="325"/>
      <c r="K30" s="326">
        <v>1</v>
      </c>
      <c r="L30" s="326">
        <v>1</v>
      </c>
      <c r="M30" s="582" t="str">
        <f>VLOOKUP(A30,'Feature Raw Data'!$A$3:$E$3922,5,FALSE)</f>
        <v>New</v>
      </c>
      <c r="N30" s="465">
        <v>1</v>
      </c>
      <c r="O30" s="466">
        <v>1</v>
      </c>
      <c r="P30" s="464">
        <f t="shared" si="6"/>
        <v>1</v>
      </c>
      <c r="Q30" s="448" t="s">
        <v>43</v>
      </c>
      <c r="R30" s="326">
        <v>1</v>
      </c>
      <c r="S30" s="496">
        <f t="shared" si="2"/>
        <v>1</v>
      </c>
      <c r="T30" s="485">
        <v>1</v>
      </c>
      <c r="U30" s="485"/>
      <c r="V30" s="485"/>
      <c r="W30" s="485"/>
      <c r="X30" s="497">
        <f t="shared" si="3"/>
        <v>1</v>
      </c>
      <c r="Y30" s="449"/>
      <c r="Z30" s="484">
        <f t="shared" si="4"/>
        <v>0</v>
      </c>
      <c r="AA30" s="485"/>
      <c r="AB30" s="485"/>
      <c r="AC30" s="485"/>
      <c r="AD30" s="485"/>
      <c r="AE30" s="483">
        <f t="shared" si="5"/>
        <v>0</v>
      </c>
      <c r="AF30" s="325"/>
      <c r="AG30" s="450" t="s">
        <v>346</v>
      </c>
      <c r="AH30" s="327"/>
    </row>
    <row r="31" spans="1:34" ht="15.75" thickBot="1" x14ac:dyDescent="0.3">
      <c r="A31" s="594">
        <v>12.037000000000001</v>
      </c>
      <c r="B31" s="325" t="str">
        <f>VLOOKUP(A31,'Feature Raw Data'!$A$3:$B$3922,2,FALSE)</f>
        <v xml:space="preserve">RT instance node transform </v>
      </c>
      <c r="C31" s="325" t="s">
        <v>335</v>
      </c>
      <c r="D31" s="326" t="str">
        <f>VLOOKUP(A31,'Feature Raw Data'!$A$3:$F$3922,6,FALSE)</f>
        <v>TEX</v>
      </c>
      <c r="E31" s="325"/>
      <c r="F31" s="325"/>
      <c r="G31" s="244" t="str">
        <f>VLOOKUP(A31,'Feature Summary'!$A$7:$C$4170,3,FALSE)</f>
        <v>P1</v>
      </c>
      <c r="H31" s="417" t="s">
        <v>347</v>
      </c>
      <c r="I31" s="448" t="s">
        <v>41</v>
      </c>
      <c r="J31" s="325"/>
      <c r="K31" s="326">
        <v>1</v>
      </c>
      <c r="L31" s="326">
        <v>1</v>
      </c>
      <c r="M31" s="582" t="str">
        <f>VLOOKUP(A31,'Feature Raw Data'!$A$3:$E$3922,5,FALSE)</f>
        <v>New</v>
      </c>
      <c r="N31" s="465">
        <v>1</v>
      </c>
      <c r="O31" s="466">
        <v>1</v>
      </c>
      <c r="P31" s="464">
        <f t="shared" si="6"/>
        <v>1</v>
      </c>
      <c r="Q31" s="448" t="s">
        <v>43</v>
      </c>
      <c r="R31" s="326">
        <v>1</v>
      </c>
      <c r="S31" s="496">
        <f t="shared" si="2"/>
        <v>1</v>
      </c>
      <c r="T31" s="485">
        <v>1</v>
      </c>
      <c r="U31" s="485"/>
      <c r="V31" s="485"/>
      <c r="W31" s="485"/>
      <c r="X31" s="497">
        <f t="shared" si="3"/>
        <v>1</v>
      </c>
      <c r="Y31" s="449"/>
      <c r="Z31" s="484">
        <f t="shared" si="4"/>
        <v>0</v>
      </c>
      <c r="AA31" s="485"/>
      <c r="AB31" s="485"/>
      <c r="AC31" s="485"/>
      <c r="AD31" s="485"/>
      <c r="AE31" s="483">
        <f t="shared" si="5"/>
        <v>0</v>
      </c>
      <c r="AF31" s="325"/>
      <c r="AG31" s="450" t="s">
        <v>318</v>
      </c>
      <c r="AH31" s="327"/>
    </row>
    <row r="32" spans="1:34" ht="15.75" thickBot="1" x14ac:dyDescent="0.3">
      <c r="A32" s="594">
        <v>12.039999999999978</v>
      </c>
      <c r="B32" s="325" t="str">
        <f>VLOOKUP(A32,'Feature Raw Data'!$A$3:$B$3922,2,FALSE)</f>
        <v xml:space="preserve">64B RT node </v>
      </c>
      <c r="C32" s="325" t="s">
        <v>335</v>
      </c>
      <c r="D32" s="326" t="str">
        <f>VLOOKUP(A32,'Feature Raw Data'!$A$3:$F$3922,6,FALSE)</f>
        <v>TEX</v>
      </c>
      <c r="E32" s="325"/>
      <c r="F32" s="325"/>
      <c r="G32" s="244" t="str">
        <f>VLOOKUP(A32,'Feature Summary'!$A$7:$C$4170,3,FALSE)</f>
        <v>P1</v>
      </c>
      <c r="H32" s="417" t="s">
        <v>348</v>
      </c>
      <c r="I32" s="448" t="s">
        <v>41</v>
      </c>
      <c r="J32" s="325"/>
      <c r="K32" s="326">
        <v>1</v>
      </c>
      <c r="L32" s="326">
        <v>1</v>
      </c>
      <c r="M32" s="582" t="str">
        <f>VLOOKUP(A32,'Feature Raw Data'!$A$3:$E$3922,5,FALSE)</f>
        <v>New</v>
      </c>
      <c r="N32" s="465">
        <v>1</v>
      </c>
      <c r="O32" s="466">
        <v>1</v>
      </c>
      <c r="P32" s="464">
        <f t="shared" si="6"/>
        <v>1</v>
      </c>
      <c r="Q32" s="448" t="s">
        <v>43</v>
      </c>
      <c r="R32" s="326">
        <v>1</v>
      </c>
      <c r="S32" s="496">
        <f t="shared" si="2"/>
        <v>1</v>
      </c>
      <c r="T32" s="485">
        <v>1</v>
      </c>
      <c r="U32" s="485"/>
      <c r="V32" s="485"/>
      <c r="W32" s="485"/>
      <c r="X32" s="497">
        <f t="shared" si="3"/>
        <v>1</v>
      </c>
      <c r="Y32" s="449"/>
      <c r="Z32" s="484">
        <f t="shared" si="4"/>
        <v>0</v>
      </c>
      <c r="AA32" s="485"/>
      <c r="AB32" s="485"/>
      <c r="AC32" s="485"/>
      <c r="AD32" s="485"/>
      <c r="AE32" s="483">
        <f t="shared" si="5"/>
        <v>0</v>
      </c>
      <c r="AF32" s="325"/>
      <c r="AG32" s="450" t="s">
        <v>346</v>
      </c>
      <c r="AH32" s="327"/>
    </row>
    <row r="33" spans="1:34" ht="15.75" thickBot="1" x14ac:dyDescent="0.3">
      <c r="A33" s="596">
        <v>12.041</v>
      </c>
      <c r="B33" s="325" t="str">
        <f>VLOOKUP(A33,'Feature Raw Data'!$A$3:$B$3922,2,FALSE)</f>
        <v>New GL2 policies (same/child of 12.027)</v>
      </c>
      <c r="C33" s="325" t="s">
        <v>337</v>
      </c>
      <c r="D33" s="326" t="str">
        <f>VLOOKUP(A33,'Feature Raw Data'!$A$3:$F$3922,6,FALSE)</f>
        <v>CMM</v>
      </c>
      <c r="E33" s="325"/>
      <c r="F33" s="325"/>
      <c r="G33" s="244" t="str">
        <f>VLOOKUP(A33,'Feature Summary'!$A$7:$C$4170,3,FALSE)</f>
        <v>P1</v>
      </c>
      <c r="H33" s="417" t="s">
        <v>1002</v>
      </c>
      <c r="I33" s="448" t="s">
        <v>35</v>
      </c>
      <c r="J33" s="325"/>
      <c r="K33" s="326">
        <v>1</v>
      </c>
      <c r="L33" s="326">
        <v>23</v>
      </c>
      <c r="M33" s="582" t="str">
        <f>VLOOKUP(A33,'Feature Raw Data'!$A$3:$E$3922,5,FALSE)</f>
        <v>New</v>
      </c>
      <c r="N33" s="465">
        <v>1</v>
      </c>
      <c r="O33" s="466">
        <v>23</v>
      </c>
      <c r="P33" s="464">
        <f t="shared" si="6"/>
        <v>1</v>
      </c>
      <c r="Q33" s="448" t="s">
        <v>43</v>
      </c>
      <c r="R33" s="326">
        <v>18</v>
      </c>
      <c r="S33" s="496">
        <f t="shared" si="2"/>
        <v>18</v>
      </c>
      <c r="T33" s="485">
        <v>18</v>
      </c>
      <c r="U33" s="485"/>
      <c r="V33" s="485"/>
      <c r="W33" s="485"/>
      <c r="X33" s="497">
        <f t="shared" si="3"/>
        <v>1</v>
      </c>
      <c r="Y33" s="449"/>
      <c r="Z33" s="484">
        <f t="shared" si="4"/>
        <v>0</v>
      </c>
      <c r="AA33" s="485"/>
      <c r="AB33" s="485"/>
      <c r="AC33" s="485"/>
      <c r="AD33" s="485"/>
      <c r="AE33" s="483">
        <f t="shared" si="5"/>
        <v>0</v>
      </c>
      <c r="AF33" s="325"/>
      <c r="AG33" s="450" t="s">
        <v>312</v>
      </c>
      <c r="AH33" s="327"/>
    </row>
    <row r="34" spans="1:34" ht="45.75" thickBot="1" x14ac:dyDescent="0.3">
      <c r="A34" s="595">
        <v>12.041999999999977</v>
      </c>
      <c r="B34" s="325" t="str">
        <f>VLOOKUP(A34,'Feature Raw Data'!$A$3:$B$3922,2,FALSE)</f>
        <v xml:space="preserve">Unify GLC-&gt;EA request interface </v>
      </c>
      <c r="C34" s="325" t="s">
        <v>349</v>
      </c>
      <c r="D34" s="326" t="str">
        <f>VLOOKUP(A34,'Feature Raw Data'!$A$3:$F$3922,6,FALSE)</f>
        <v>CMM</v>
      </c>
      <c r="E34" s="325"/>
      <c r="F34" s="325"/>
      <c r="G34" s="244" t="str">
        <f>VLOOKUP(A34,'Feature Summary'!$A$7:$C$4170,3,FALSE)</f>
        <v>P1</v>
      </c>
      <c r="H34" s="587" t="s">
        <v>350</v>
      </c>
      <c r="I34" s="448" t="s">
        <v>35</v>
      </c>
      <c r="J34" s="325" t="s">
        <v>351</v>
      </c>
      <c r="K34" s="326">
        <v>1</v>
      </c>
      <c r="L34" s="326">
        <v>8</v>
      </c>
      <c r="M34" s="582" t="str">
        <f>VLOOKUP(A34,'Feature Raw Data'!$A$3:$E$3922,5,FALSE)</f>
        <v>New</v>
      </c>
      <c r="N34" s="465">
        <v>1</v>
      </c>
      <c r="O34" s="466">
        <v>8</v>
      </c>
      <c r="P34" s="464">
        <f t="shared" si="6"/>
        <v>1</v>
      </c>
      <c r="Q34" s="448" t="s">
        <v>32</v>
      </c>
      <c r="R34" s="326">
        <v>1</v>
      </c>
      <c r="S34" s="496">
        <f t="shared" si="2"/>
        <v>0</v>
      </c>
      <c r="T34" s="485"/>
      <c r="U34" s="485"/>
      <c r="V34" s="485"/>
      <c r="W34" s="485"/>
      <c r="X34" s="497">
        <f t="shared" si="3"/>
        <v>0</v>
      </c>
      <c r="Y34" s="449"/>
      <c r="Z34" s="484">
        <f t="shared" si="4"/>
        <v>0</v>
      </c>
      <c r="AA34" s="485"/>
      <c r="AB34" s="485"/>
      <c r="AC34" s="485"/>
      <c r="AD34" s="485"/>
      <c r="AE34" s="483">
        <f t="shared" si="5"/>
        <v>0</v>
      </c>
      <c r="AF34" s="325"/>
      <c r="AG34" s="450" t="s">
        <v>309</v>
      </c>
      <c r="AH34" s="327"/>
    </row>
    <row r="35" spans="1:34" ht="45.75" thickBot="1" x14ac:dyDescent="0.3">
      <c r="A35" s="595">
        <v>12.043999999999976</v>
      </c>
      <c r="B35" s="325" t="str">
        <f>VLOOKUP(A35,'Feature Raw Data'!$A$3:$B$3922,2,FALSE)</f>
        <v>GLC guarantee of same address order for any op or scope (dep. On 12.042)</v>
      </c>
      <c r="C35" s="325" t="s">
        <v>349</v>
      </c>
      <c r="D35" s="326" t="str">
        <f>VLOOKUP(A35,'Feature Raw Data'!$A$3:$F$3922,6,FALSE)</f>
        <v>CMM</v>
      </c>
      <c r="E35" s="325"/>
      <c r="F35" s="325"/>
      <c r="G35" s="244" t="str">
        <f>VLOOKUP(A35,'Feature Summary'!$A$7:$C$4170,3,FALSE)</f>
        <v>P1</v>
      </c>
      <c r="H35" s="587" t="s">
        <v>350</v>
      </c>
      <c r="I35" s="448" t="s">
        <v>35</v>
      </c>
      <c r="J35" s="325"/>
      <c r="K35" s="326">
        <v>1</v>
      </c>
      <c r="L35" s="326">
        <v>8</v>
      </c>
      <c r="M35" s="582" t="str">
        <f>VLOOKUP(A35,'Feature Raw Data'!$A$3:$E$3922,5,FALSE)</f>
        <v>New</v>
      </c>
      <c r="N35" s="465">
        <v>1</v>
      </c>
      <c r="O35" s="466">
        <v>8</v>
      </c>
      <c r="P35" s="464">
        <f t="shared" si="6"/>
        <v>1</v>
      </c>
      <c r="Q35" s="448" t="s">
        <v>32</v>
      </c>
      <c r="R35" s="326">
        <v>1</v>
      </c>
      <c r="S35" s="496">
        <f t="shared" si="2"/>
        <v>0</v>
      </c>
      <c r="T35" s="485"/>
      <c r="U35" s="485"/>
      <c r="V35" s="485"/>
      <c r="W35" s="485"/>
      <c r="X35" s="497">
        <f t="shared" si="3"/>
        <v>0</v>
      </c>
      <c r="Y35" s="449"/>
      <c r="Z35" s="484">
        <f t="shared" si="4"/>
        <v>0</v>
      </c>
      <c r="AA35" s="485"/>
      <c r="AB35" s="485"/>
      <c r="AC35" s="485"/>
      <c r="AD35" s="485"/>
      <c r="AE35" s="483">
        <f t="shared" si="5"/>
        <v>0</v>
      </c>
      <c r="AF35" s="325"/>
      <c r="AG35" s="450" t="s">
        <v>309</v>
      </c>
      <c r="AH35" s="327"/>
    </row>
    <row r="36" spans="1:34" ht="15.75" thickBot="1" x14ac:dyDescent="0.3">
      <c r="A36" s="595">
        <v>12.045999999999975</v>
      </c>
      <c r="B36" s="325" t="str">
        <f>VLOOKUP(A36,'Feature Raw Data'!$A$3:$B$3922,2,FALSE)</f>
        <v>GLC Cascading Read-Mod-Write Atomic Ops (includes retaining gfx11 atomic ops)</v>
      </c>
      <c r="C36" s="325" t="s">
        <v>337</v>
      </c>
      <c r="D36" s="326" t="str">
        <f>VLOOKUP(A36,'Feature Raw Data'!$A$3:$F$3922,6,FALSE)</f>
        <v>CMM</v>
      </c>
      <c r="E36" s="325"/>
      <c r="F36" s="325"/>
      <c r="G36" s="244" t="str">
        <f>VLOOKUP(A36,'Feature Summary'!$A$7:$C$4170,3,FALSE)</f>
        <v>P1</v>
      </c>
      <c r="H36" s="417" t="s">
        <v>996</v>
      </c>
      <c r="I36" s="448" t="s">
        <v>35</v>
      </c>
      <c r="J36" s="325"/>
      <c r="K36" s="326">
        <v>1</v>
      </c>
      <c r="L36" s="326">
        <v>0</v>
      </c>
      <c r="M36" s="582" t="str">
        <f>VLOOKUP(A36,'Feature Raw Data'!$A$3:$E$3922,5,FALSE)</f>
        <v>New</v>
      </c>
      <c r="N36" s="465">
        <v>1</v>
      </c>
      <c r="O36" s="466"/>
      <c r="P36" s="464">
        <f t="shared" si="6"/>
        <v>1</v>
      </c>
      <c r="Q36" s="448" t="s">
        <v>32</v>
      </c>
      <c r="R36" s="326">
        <v>1</v>
      </c>
      <c r="S36" s="496">
        <f t="shared" si="2"/>
        <v>0</v>
      </c>
      <c r="T36" s="485"/>
      <c r="U36" s="485"/>
      <c r="V36" s="485"/>
      <c r="W36" s="485"/>
      <c r="X36" s="497">
        <f t="shared" si="3"/>
        <v>0</v>
      </c>
      <c r="Y36" s="449"/>
      <c r="Z36" s="484">
        <f t="shared" si="4"/>
        <v>0</v>
      </c>
      <c r="AA36" s="485"/>
      <c r="AB36" s="485"/>
      <c r="AC36" s="485"/>
      <c r="AD36" s="485"/>
      <c r="AE36" s="483">
        <f t="shared" si="5"/>
        <v>1</v>
      </c>
      <c r="AF36" s="325"/>
      <c r="AG36" s="450" t="s">
        <v>312</v>
      </c>
      <c r="AH36" s="327"/>
    </row>
    <row r="37" spans="1:34" ht="15.75" thickBot="1" x14ac:dyDescent="0.3">
      <c r="A37" s="595">
        <v>12.047999999999973</v>
      </c>
      <c r="B37" s="325" t="str">
        <f>VLOOKUP(A37,'Feature Raw Data'!$A$3:$B$3922,2,FALSE)</f>
        <v xml:space="preserve">GLC Full CL sized write support </v>
      </c>
      <c r="C37" s="325" t="s">
        <v>337</v>
      </c>
      <c r="D37" s="326" t="str">
        <f>VLOOKUP(A37,'Feature Raw Data'!$A$3:$F$3922,6,FALSE)</f>
        <v>CMM</v>
      </c>
      <c r="E37" s="325"/>
      <c r="F37" s="325"/>
      <c r="G37" s="244" t="str">
        <f>VLOOKUP(A37,'Feature Summary'!$A$7:$C$4170,3,FALSE)</f>
        <v>P2</v>
      </c>
      <c r="H37" s="417" t="s">
        <v>984</v>
      </c>
      <c r="I37" s="448" t="s">
        <v>35</v>
      </c>
      <c r="J37" s="325"/>
      <c r="K37" s="326">
        <v>1</v>
      </c>
      <c r="L37" s="326">
        <v>1</v>
      </c>
      <c r="M37" s="582" t="str">
        <f>VLOOKUP(A37,'Feature Raw Data'!$A$3:$E$3922,5,FALSE)</f>
        <v>New</v>
      </c>
      <c r="N37" s="465">
        <v>1</v>
      </c>
      <c r="O37" s="466">
        <v>1</v>
      </c>
      <c r="P37" s="464">
        <f t="shared" si="6"/>
        <v>1</v>
      </c>
      <c r="Q37" s="448" t="s">
        <v>32</v>
      </c>
      <c r="R37" s="326">
        <v>1</v>
      </c>
      <c r="S37" s="496">
        <f t="shared" si="2"/>
        <v>1</v>
      </c>
      <c r="T37" s="485">
        <v>1</v>
      </c>
      <c r="U37" s="485"/>
      <c r="V37" s="485"/>
      <c r="W37" s="485"/>
      <c r="X37" s="497">
        <f t="shared" si="3"/>
        <v>1</v>
      </c>
      <c r="Y37" s="449"/>
      <c r="Z37" s="484">
        <f t="shared" si="4"/>
        <v>0</v>
      </c>
      <c r="AA37" s="485"/>
      <c r="AB37" s="485"/>
      <c r="AC37" s="485"/>
      <c r="AD37" s="485"/>
      <c r="AE37" s="483">
        <f t="shared" si="5"/>
        <v>0</v>
      </c>
      <c r="AF37" s="325"/>
      <c r="AG37" s="450" t="s">
        <v>277</v>
      </c>
      <c r="AH37" s="327"/>
    </row>
    <row r="38" spans="1:34" ht="15.75" thickBot="1" x14ac:dyDescent="0.3">
      <c r="A38" s="595">
        <v>12.048999999999973</v>
      </c>
      <c r="B38" s="325" t="str">
        <f>VLOOKUP(A38,'Feature Raw Data'!$A$3:$B$3922,2,FALSE)</f>
        <v xml:space="preserve">GLC Up to 256B Write Support to EA </v>
      </c>
      <c r="C38" s="325" t="s">
        <v>337</v>
      </c>
      <c r="D38" s="326" t="str">
        <f>VLOOKUP(A38,'Feature Raw Data'!$A$3:$F$3922,6,FALSE)</f>
        <v>CMM</v>
      </c>
      <c r="E38" s="325"/>
      <c r="F38" s="325"/>
      <c r="G38" s="244" t="str">
        <f>VLOOKUP(A38,'Feature Summary'!$A$7:$C$4170,3,FALSE)</f>
        <v>P1</v>
      </c>
      <c r="H38" s="417" t="s">
        <v>985</v>
      </c>
      <c r="I38" s="448" t="s">
        <v>35</v>
      </c>
      <c r="J38" s="325"/>
      <c r="K38" s="326">
        <v>1</v>
      </c>
      <c r="L38" s="326">
        <v>1</v>
      </c>
      <c r="M38" s="582" t="str">
        <f>VLOOKUP(A38,'Feature Raw Data'!$A$3:$E$3922,5,FALSE)</f>
        <v>New</v>
      </c>
      <c r="N38" s="465">
        <v>1</v>
      </c>
      <c r="O38" s="466">
        <v>1</v>
      </c>
      <c r="P38" s="464">
        <f t="shared" si="6"/>
        <v>1</v>
      </c>
      <c r="Q38" s="448" t="s">
        <v>32</v>
      </c>
      <c r="R38" s="326">
        <v>1</v>
      </c>
      <c r="S38" s="496">
        <f t="shared" si="2"/>
        <v>1</v>
      </c>
      <c r="T38" s="485">
        <v>1</v>
      </c>
      <c r="U38" s="485"/>
      <c r="V38" s="485"/>
      <c r="W38" s="485"/>
      <c r="X38" s="497">
        <f t="shared" si="3"/>
        <v>1</v>
      </c>
      <c r="Y38" s="449"/>
      <c r="Z38" s="484">
        <f t="shared" si="4"/>
        <v>0</v>
      </c>
      <c r="AA38" s="485"/>
      <c r="AB38" s="485"/>
      <c r="AC38" s="485"/>
      <c r="AD38" s="485"/>
      <c r="AE38" s="483">
        <f t="shared" si="5"/>
        <v>0</v>
      </c>
      <c r="AF38" s="325"/>
      <c r="AG38" s="450" t="s">
        <v>346</v>
      </c>
      <c r="AH38" s="327"/>
    </row>
    <row r="39" spans="1:34" ht="15.75" thickBot="1" x14ac:dyDescent="0.3">
      <c r="A39" s="595">
        <v>12.051</v>
      </c>
      <c r="B39" s="325" t="str">
        <f>VLOOKUP(A39,'Feature Raw Data'!$A$3:$B$3922,2,FALSE)</f>
        <v>cache last_use policy (child of 12.041/12.027)</v>
      </c>
      <c r="C39" s="325" t="s">
        <v>352</v>
      </c>
      <c r="D39" s="326" t="str">
        <f>VLOOKUP(A39,'Feature Raw Data'!$A$3:$F$3922,6,FALSE)</f>
        <v>CMM</v>
      </c>
      <c r="E39" s="325"/>
      <c r="F39" s="325"/>
      <c r="G39" s="244" t="str">
        <f>VLOOKUP(A39,'Feature Summary'!$A$7:$C$4170,3,FALSE)</f>
        <v>P2</v>
      </c>
      <c r="H39" s="417" t="s">
        <v>353</v>
      </c>
      <c r="I39" s="448" t="s">
        <v>35</v>
      </c>
      <c r="J39" s="325"/>
      <c r="K39" s="326">
        <v>1</v>
      </c>
      <c r="L39" s="326">
        <v>1</v>
      </c>
      <c r="M39" s="582" t="str">
        <f>VLOOKUP(A39,'Feature Raw Data'!$A$3:$E$3922,5,FALSE)</f>
        <v>New</v>
      </c>
      <c r="N39" s="465">
        <v>1</v>
      </c>
      <c r="O39" s="466">
        <v>1</v>
      </c>
      <c r="P39" s="464">
        <f t="shared" si="6"/>
        <v>1</v>
      </c>
      <c r="Q39" s="448" t="s">
        <v>32</v>
      </c>
      <c r="R39" s="326">
        <v>0</v>
      </c>
      <c r="S39" s="496">
        <f t="shared" si="2"/>
        <v>0</v>
      </c>
      <c r="T39" s="485"/>
      <c r="U39" s="485"/>
      <c r="V39" s="485"/>
      <c r="W39" s="485"/>
      <c r="X39" s="497">
        <f t="shared" si="3"/>
        <v>1</v>
      </c>
      <c r="Y39" s="449"/>
      <c r="Z39" s="484">
        <f t="shared" si="4"/>
        <v>0</v>
      </c>
      <c r="AA39" s="485"/>
      <c r="AB39" s="485"/>
      <c r="AC39" s="485"/>
      <c r="AD39" s="485"/>
      <c r="AE39" s="483">
        <f t="shared" si="5"/>
        <v>0</v>
      </c>
      <c r="AF39" s="325"/>
      <c r="AG39" s="450" t="s">
        <v>354</v>
      </c>
      <c r="AH39" s="327"/>
    </row>
    <row r="40" spans="1:34" ht="15.75" thickBot="1" x14ac:dyDescent="0.3">
      <c r="A40" s="596">
        <v>12.052999999999971</v>
      </c>
      <c r="B40" s="325" t="str">
        <f>VLOOKUP(A40,'Feature Raw Data'!$A$3:$B$3922,2,FALSE)</f>
        <v>Distributed compression architecture in CMM and client impacts (w/ physical meta-data)</v>
      </c>
      <c r="C40" s="325" t="s">
        <v>337</v>
      </c>
      <c r="D40" s="326" t="str">
        <f>VLOOKUP(A40,'Feature Raw Data'!$A$3:$F$3922,6,FALSE)</f>
        <v>CMM</v>
      </c>
      <c r="E40" s="325"/>
      <c r="F40" s="325"/>
      <c r="G40" s="244" t="str">
        <f>VLOOKUP(A40,'Feature Summary'!$A$7:$C$4170,3,FALSE)</f>
        <v>P1</v>
      </c>
      <c r="H40" s="417" t="s">
        <v>355</v>
      </c>
      <c r="I40" s="448" t="s">
        <v>41</v>
      </c>
      <c r="J40" s="325" t="s">
        <v>356</v>
      </c>
      <c r="K40" s="326">
        <v>1</v>
      </c>
      <c r="L40" s="326">
        <v>3</v>
      </c>
      <c r="M40" s="582" t="str">
        <f>VLOOKUP(A40,'Feature Raw Data'!$A$3:$E$3922,5,FALSE)</f>
        <v>New</v>
      </c>
      <c r="N40" s="465">
        <v>1</v>
      </c>
      <c r="O40" s="466">
        <v>3</v>
      </c>
      <c r="P40" s="464">
        <f t="shared" si="6"/>
        <v>1</v>
      </c>
      <c r="Q40" s="448" t="s">
        <v>43</v>
      </c>
      <c r="R40" s="326">
        <v>1</v>
      </c>
      <c r="S40" s="496">
        <f t="shared" si="2"/>
        <v>1</v>
      </c>
      <c r="T40" s="485">
        <v>1</v>
      </c>
      <c r="U40" s="485"/>
      <c r="V40" s="485"/>
      <c r="W40" s="485"/>
      <c r="X40" s="497">
        <f t="shared" si="3"/>
        <v>1</v>
      </c>
      <c r="Y40" s="449"/>
      <c r="Z40" s="484">
        <f t="shared" si="4"/>
        <v>3</v>
      </c>
      <c r="AA40" s="485">
        <v>3</v>
      </c>
      <c r="AB40" s="485"/>
      <c r="AC40" s="485"/>
      <c r="AD40" s="485"/>
      <c r="AE40" s="483">
        <f t="shared" si="5"/>
        <v>1</v>
      </c>
      <c r="AF40" s="325"/>
      <c r="AG40" s="450" t="s">
        <v>309</v>
      </c>
      <c r="AH40" s="327"/>
    </row>
    <row r="41" spans="1:34" ht="15.75" thickBot="1" x14ac:dyDescent="0.3">
      <c r="A41" s="576">
        <v>12.054</v>
      </c>
      <c r="B41" s="325" t="str">
        <f>VLOOKUP(A41,'Feature Raw Data'!$A$3:$B$3922,2,FALSE)</f>
        <v xml:space="preserve">SQG Ring Bus conversion for multi-chip </v>
      </c>
      <c r="C41" s="325" t="s">
        <v>339</v>
      </c>
      <c r="D41" s="326" t="str">
        <f>VLOOKUP(A41,'Feature Raw Data'!$A$3:$F$3922,6,FALSE)</f>
        <v>SH</v>
      </c>
      <c r="E41" s="325"/>
      <c r="F41" s="325"/>
      <c r="G41" s="244" t="str">
        <f>VLOOKUP(A41,'Feature Summary'!$A$7:$C$4170,3,FALSE)</f>
        <v>P1</v>
      </c>
      <c r="H41" s="417" t="s">
        <v>47</v>
      </c>
      <c r="I41" s="448" t="s">
        <v>47</v>
      </c>
      <c r="J41" s="325"/>
      <c r="K41" s="326">
        <v>1</v>
      </c>
      <c r="L41" s="326">
        <v>0</v>
      </c>
      <c r="M41" s="582" t="str">
        <f>VLOOKUP(A41,'Feature Raw Data'!$A$3:$E$3922,5,FALSE)</f>
        <v>New</v>
      </c>
      <c r="N41" s="465">
        <v>1</v>
      </c>
      <c r="O41" s="466"/>
      <c r="P41" s="464">
        <f t="shared" ref="P41" si="7">IF((L41=0),1,(O41/L41))</f>
        <v>1</v>
      </c>
      <c r="Q41" s="448" t="s">
        <v>47</v>
      </c>
      <c r="R41" s="326">
        <v>0</v>
      </c>
      <c r="S41" s="496">
        <f t="shared" ref="S41" si="8">SUM(T41:W41)</f>
        <v>0</v>
      </c>
      <c r="T41" s="485"/>
      <c r="U41" s="485"/>
      <c r="V41" s="485"/>
      <c r="W41" s="485"/>
      <c r="X41" s="497">
        <f t="shared" ref="X41" si="9">IF((R41=0),1,((T41+U41)/R41*100%))</f>
        <v>1</v>
      </c>
      <c r="Y41" s="449" t="s">
        <v>357</v>
      </c>
      <c r="Z41" s="484">
        <f t="shared" ref="Z41" si="10">SUM(AA41:AD41)</f>
        <v>0</v>
      </c>
      <c r="AA41" s="485"/>
      <c r="AB41" s="485"/>
      <c r="AC41" s="485"/>
      <c r="AD41" s="485"/>
      <c r="AE41" s="483">
        <f t="shared" ref="AE41" si="11">IF((L41=0),1,((AA41+AB41)/L41*100%))</f>
        <v>1</v>
      </c>
      <c r="AF41" s="325"/>
      <c r="AG41" s="450" t="s">
        <v>47</v>
      </c>
      <c r="AH41" s="327"/>
    </row>
    <row r="42" spans="1:34" ht="15.75" thickBot="1" x14ac:dyDescent="0.3">
      <c r="A42" s="576">
        <v>12.05499999999997</v>
      </c>
      <c r="B42" s="325" t="str">
        <f>VLOOKUP(A42,'Feature Raw Data'!$A$3:$B$3922,2,FALSE)</f>
        <v>Split workgroup barrier</v>
      </c>
      <c r="C42" s="325" t="s">
        <v>339</v>
      </c>
      <c r="D42" s="326" t="str">
        <f>VLOOKUP(A42,'Feature Raw Data'!$A$3:$F$3922,6,FALSE)</f>
        <v>SH</v>
      </c>
      <c r="E42" s="325"/>
      <c r="F42" s="325"/>
      <c r="G42" s="244" t="str">
        <f>VLOOKUP(A42,'Feature Summary'!$A$7:$C$4170,3,FALSE)</f>
        <v>P1</v>
      </c>
      <c r="H42" s="417" t="s">
        <v>358</v>
      </c>
      <c r="I42" s="448" t="s">
        <v>41</v>
      </c>
      <c r="J42" s="591"/>
      <c r="K42" s="326">
        <v>1</v>
      </c>
      <c r="L42" s="326">
        <v>1</v>
      </c>
      <c r="M42" s="582" t="str">
        <f>VLOOKUP(A42,'Feature Raw Data'!$A$3:$E$3922,5,FALSE)</f>
        <v>New</v>
      </c>
      <c r="N42" s="465">
        <v>1</v>
      </c>
      <c r="O42" s="466">
        <v>1</v>
      </c>
      <c r="P42" s="464">
        <f t="shared" si="6"/>
        <v>1</v>
      </c>
      <c r="Q42" s="448" t="s">
        <v>32</v>
      </c>
      <c r="R42" s="326">
        <v>1</v>
      </c>
      <c r="S42" s="496">
        <f t="shared" si="2"/>
        <v>1</v>
      </c>
      <c r="T42" s="485">
        <v>1</v>
      </c>
      <c r="U42" s="485"/>
      <c r="V42" s="485"/>
      <c r="W42" s="485"/>
      <c r="X42" s="497">
        <f t="shared" si="3"/>
        <v>1</v>
      </c>
      <c r="Y42" s="449"/>
      <c r="Z42" s="484">
        <f t="shared" si="4"/>
        <v>1</v>
      </c>
      <c r="AA42" s="485">
        <v>1</v>
      </c>
      <c r="AB42" s="485"/>
      <c r="AC42" s="485"/>
      <c r="AD42" s="485"/>
      <c r="AE42" s="483">
        <f t="shared" si="5"/>
        <v>1</v>
      </c>
      <c r="AF42" s="325"/>
      <c r="AG42" s="450" t="s">
        <v>309</v>
      </c>
      <c r="AH42" s="327"/>
    </row>
    <row r="43" spans="1:34" ht="15.75" thickBot="1" x14ac:dyDescent="0.3">
      <c r="A43" s="576">
        <v>12.055999999999969</v>
      </c>
      <c r="B43" s="325" t="str">
        <f>VLOOKUP(A43,'Feature Raw Data'!$A$3:$B$3922,2,FALSE)</f>
        <v>Shader Instruction Data Prefetch (viola item)</v>
      </c>
      <c r="C43" s="325" t="s">
        <v>339</v>
      </c>
      <c r="D43" s="326" t="str">
        <f>VLOOKUP(A43,'Feature Raw Data'!$A$3:$F$3922,6,FALSE)</f>
        <v>SH</v>
      </c>
      <c r="E43" s="325"/>
      <c r="F43" s="325"/>
      <c r="G43" s="244" t="str">
        <f>VLOOKUP(A43,'Feature Summary'!$A$7:$C$4170,3,FALSE)</f>
        <v>P1</v>
      </c>
      <c r="H43" s="417" t="s">
        <v>359</v>
      </c>
      <c r="I43" s="448" t="s">
        <v>41</v>
      </c>
      <c r="J43" s="591" t="s">
        <v>360</v>
      </c>
      <c r="K43" s="326">
        <v>1</v>
      </c>
      <c r="L43" s="326">
        <v>1</v>
      </c>
      <c r="M43" s="582" t="str">
        <f>VLOOKUP(A43,'Feature Raw Data'!$A$3:$E$3922,5,FALSE)</f>
        <v>New</v>
      </c>
      <c r="N43" s="465">
        <v>1</v>
      </c>
      <c r="O43" s="466">
        <v>1</v>
      </c>
      <c r="P43" s="464">
        <f t="shared" si="6"/>
        <v>1</v>
      </c>
      <c r="Q43" s="448" t="s">
        <v>32</v>
      </c>
      <c r="R43" s="326">
        <v>1</v>
      </c>
      <c r="S43" s="496">
        <f t="shared" si="2"/>
        <v>1</v>
      </c>
      <c r="T43" s="485">
        <v>1</v>
      </c>
      <c r="U43" s="485"/>
      <c r="V43" s="485"/>
      <c r="W43" s="485"/>
      <c r="X43" s="497">
        <f t="shared" si="3"/>
        <v>1</v>
      </c>
      <c r="Y43" s="449"/>
      <c r="Z43" s="484">
        <f t="shared" si="4"/>
        <v>1</v>
      </c>
      <c r="AA43" s="485">
        <v>1</v>
      </c>
      <c r="AB43" s="485"/>
      <c r="AC43" s="485"/>
      <c r="AD43" s="485"/>
      <c r="AE43" s="483">
        <f t="shared" si="5"/>
        <v>1</v>
      </c>
      <c r="AF43" s="325"/>
      <c r="AG43" s="450" t="s">
        <v>309</v>
      </c>
      <c r="AH43" s="327"/>
    </row>
    <row r="44" spans="1:34" ht="30.75" thickBot="1" x14ac:dyDescent="0.3">
      <c r="A44" s="576">
        <v>12.057</v>
      </c>
      <c r="B44" s="325" t="str">
        <f>VLOOKUP(A44,'Feature Raw Data'!$A$3:$B$3922,2,FALSE)</f>
        <v>Shader software data dependency control</v>
      </c>
      <c r="C44" s="325" t="s">
        <v>339</v>
      </c>
      <c r="D44" s="326" t="str">
        <f>VLOOKUP(A44,'Feature Raw Data'!$A$3:$F$3922,6,FALSE)</f>
        <v>SH</v>
      </c>
      <c r="E44" s="325"/>
      <c r="F44" s="325"/>
      <c r="G44" s="244" t="str">
        <f>VLOOKUP(A44,'Feature Summary'!$A$7:$C$4170,3,FALSE)</f>
        <v>P2</v>
      </c>
      <c r="H44" s="587" t="s">
        <v>361</v>
      </c>
      <c r="I44" s="448" t="s">
        <v>35</v>
      </c>
      <c r="J44" s="325"/>
      <c r="K44" s="326">
        <v>1</v>
      </c>
      <c r="L44" s="326">
        <v>2</v>
      </c>
      <c r="M44" s="582" t="str">
        <f>VLOOKUP(A44,'Feature Raw Data'!$A$3:$E$3922,5,FALSE)</f>
        <v>New</v>
      </c>
      <c r="N44" s="465">
        <v>1</v>
      </c>
      <c r="O44" s="466">
        <v>2</v>
      </c>
      <c r="P44" s="464">
        <f t="shared" si="6"/>
        <v>1</v>
      </c>
      <c r="Q44" s="448" t="s">
        <v>32</v>
      </c>
      <c r="R44" s="326">
        <v>2</v>
      </c>
      <c r="S44" s="496">
        <f t="shared" si="2"/>
        <v>2</v>
      </c>
      <c r="T44" s="485">
        <v>2</v>
      </c>
      <c r="U44" s="485"/>
      <c r="V44" s="485"/>
      <c r="W44" s="485"/>
      <c r="X44" s="497">
        <f t="shared" si="3"/>
        <v>1</v>
      </c>
      <c r="Y44" s="449"/>
      <c r="Z44" s="484">
        <f t="shared" si="4"/>
        <v>2</v>
      </c>
      <c r="AA44" s="485">
        <v>2</v>
      </c>
      <c r="AB44" s="485"/>
      <c r="AC44" s="485"/>
      <c r="AD44" s="485"/>
      <c r="AE44" s="483">
        <f t="shared" si="5"/>
        <v>1</v>
      </c>
      <c r="AF44" s="325"/>
      <c r="AG44" s="450" t="s">
        <v>354</v>
      </c>
      <c r="AH44" s="327"/>
    </row>
    <row r="45" spans="1:34" ht="409.6" thickBot="1" x14ac:dyDescent="0.3">
      <c r="A45" s="576">
        <v>12.058999999999967</v>
      </c>
      <c r="B45" s="325" t="str">
        <f>VLOOKUP(A45,'Feature Raw Data'!$A$3:$B$3922,2,FALSE)</f>
        <v>Shader SALU Float support (in M1/M2/gfx11.5)</v>
      </c>
      <c r="C45" s="325" t="s">
        <v>339</v>
      </c>
      <c r="D45" s="326" t="str">
        <f>VLOOKUP(A45,'Feature Raw Data'!$A$3:$F$3922,6,FALSE)</f>
        <v>SH</v>
      </c>
      <c r="E45" s="325"/>
      <c r="F45" s="325"/>
      <c r="G45" s="244" t="str">
        <f>VLOOKUP(A45,'Feature Summary'!$A$7:$C$4170,3,FALSE)</f>
        <v>P1</v>
      </c>
      <c r="H45" s="587" t="s">
        <v>1001</v>
      </c>
      <c r="I45" s="448" t="s">
        <v>35</v>
      </c>
      <c r="J45" s="325"/>
      <c r="K45" s="326">
        <v>1</v>
      </c>
      <c r="L45" s="326">
        <v>62</v>
      </c>
      <c r="M45" s="582" t="str">
        <f>VLOOKUP(A45,'Feature Raw Data'!$A$3:$E$3922,5,FALSE)</f>
        <v>New</v>
      </c>
      <c r="N45" s="465">
        <v>1</v>
      </c>
      <c r="O45" s="466">
        <v>62</v>
      </c>
      <c r="P45" s="464">
        <f t="shared" si="6"/>
        <v>1</v>
      </c>
      <c r="Q45" s="448" t="s">
        <v>32</v>
      </c>
      <c r="R45" s="326">
        <v>62</v>
      </c>
      <c r="S45" s="496">
        <f t="shared" si="2"/>
        <v>62</v>
      </c>
      <c r="T45" s="485">
        <v>62</v>
      </c>
      <c r="U45" s="485"/>
      <c r="V45" s="485"/>
      <c r="W45" s="485"/>
      <c r="X45" s="497">
        <f t="shared" si="3"/>
        <v>1</v>
      </c>
      <c r="Y45" s="449"/>
      <c r="Z45" s="484">
        <f t="shared" si="4"/>
        <v>62</v>
      </c>
      <c r="AA45" s="485">
        <v>62</v>
      </c>
      <c r="AB45" s="485"/>
      <c r="AC45" s="485"/>
      <c r="AD45" s="485"/>
      <c r="AE45" s="483">
        <f t="shared" si="5"/>
        <v>1</v>
      </c>
      <c r="AF45" s="325"/>
      <c r="AG45" s="450" t="s">
        <v>309</v>
      </c>
      <c r="AH45" s="327"/>
    </row>
    <row r="46" spans="1:34" ht="60.75" thickBot="1" x14ac:dyDescent="0.3">
      <c r="A46" s="594">
        <v>12.059999999999967</v>
      </c>
      <c r="B46" s="325" t="str">
        <f>VLOOKUP(A46,'Feature Raw Data'!$A$3:$B$3922,2,FALSE)</f>
        <v>VGPR DMA for Function Calls (uniform mask only)</v>
      </c>
      <c r="C46" s="325" t="s">
        <v>339</v>
      </c>
      <c r="D46" s="326" t="str">
        <f>VLOOKUP(A46,'Feature Raw Data'!$A$3:$F$3922,6,FALSE)</f>
        <v>SH</v>
      </c>
      <c r="E46" s="325"/>
      <c r="F46" s="325"/>
      <c r="G46" s="244" t="str">
        <f>VLOOKUP(A46,'Feature Summary'!$A$7:$C$4170,3,FALSE)</f>
        <v>P1</v>
      </c>
      <c r="H46" s="587" t="s">
        <v>362</v>
      </c>
      <c r="I46" s="448" t="s">
        <v>35</v>
      </c>
      <c r="J46" s="325"/>
      <c r="K46" s="326">
        <v>1</v>
      </c>
      <c r="L46" s="326">
        <v>4</v>
      </c>
      <c r="M46" s="582" t="str">
        <f>VLOOKUP(A46,'Feature Raw Data'!$A$3:$E$3922,5,FALSE)</f>
        <v>New</v>
      </c>
      <c r="N46" s="465">
        <v>1</v>
      </c>
      <c r="O46" s="466">
        <v>4</v>
      </c>
      <c r="P46" s="464">
        <f t="shared" si="6"/>
        <v>1</v>
      </c>
      <c r="Q46" s="448" t="s">
        <v>43</v>
      </c>
      <c r="R46" s="326">
        <v>4</v>
      </c>
      <c r="S46" s="496">
        <f t="shared" si="2"/>
        <v>4</v>
      </c>
      <c r="T46" s="485">
        <v>4</v>
      </c>
      <c r="U46" s="485"/>
      <c r="V46" s="485"/>
      <c r="W46" s="485"/>
      <c r="X46" s="497">
        <f t="shared" si="3"/>
        <v>1</v>
      </c>
      <c r="Y46" s="588"/>
      <c r="Z46" s="484">
        <f t="shared" si="4"/>
        <v>4</v>
      </c>
      <c r="AA46" s="485">
        <v>4</v>
      </c>
      <c r="AB46" s="485"/>
      <c r="AC46" s="485"/>
      <c r="AD46" s="485"/>
      <c r="AE46" s="483">
        <f t="shared" si="5"/>
        <v>1</v>
      </c>
      <c r="AF46" s="325"/>
      <c r="AG46" s="450" t="s">
        <v>309</v>
      </c>
      <c r="AH46" s="327"/>
    </row>
    <row r="47" spans="1:34" ht="30.75" thickBot="1" x14ac:dyDescent="0.3">
      <c r="A47" s="576">
        <v>12.061999999999966</v>
      </c>
      <c r="B47" s="325" t="str">
        <f>VLOOKUP(A47,'Feature Raw Data'!$A$3:$B$3922,2,FALSE)</f>
        <v xml:space="preserve">Shader Debugger Enablement </v>
      </c>
      <c r="C47" s="325" t="s">
        <v>339</v>
      </c>
      <c r="D47" s="326" t="str">
        <f>VLOOKUP(A47,'Feature Raw Data'!$A$3:$F$3922,6,FALSE)</f>
        <v>SH</v>
      </c>
      <c r="E47" s="325"/>
      <c r="F47" s="325"/>
      <c r="G47" s="244" t="str">
        <f>VLOOKUP(A47,'Feature Summary'!$A$7:$C$4170,3,FALSE)</f>
        <v>P1</v>
      </c>
      <c r="H47" s="587" t="s">
        <v>363</v>
      </c>
      <c r="I47" s="448" t="s">
        <v>41</v>
      </c>
      <c r="J47" s="325"/>
      <c r="K47" s="326">
        <v>1</v>
      </c>
      <c r="L47" s="326">
        <v>2</v>
      </c>
      <c r="M47" s="582" t="str">
        <f>VLOOKUP(A47,'Feature Raw Data'!$A$3:$E$3922,5,FALSE)</f>
        <v>New</v>
      </c>
      <c r="N47" s="465">
        <v>1</v>
      </c>
      <c r="O47" s="466">
        <v>2</v>
      </c>
      <c r="P47" s="464">
        <f t="shared" si="6"/>
        <v>1</v>
      </c>
      <c r="Q47" s="448" t="s">
        <v>32</v>
      </c>
      <c r="R47" s="326">
        <v>2</v>
      </c>
      <c r="S47" s="496">
        <f t="shared" si="2"/>
        <v>2</v>
      </c>
      <c r="T47" s="485">
        <v>2</v>
      </c>
      <c r="U47" s="485"/>
      <c r="V47" s="485"/>
      <c r="W47" s="485"/>
      <c r="X47" s="497">
        <f t="shared" si="3"/>
        <v>1</v>
      </c>
      <c r="Y47" s="449"/>
      <c r="Z47" s="484">
        <f t="shared" si="4"/>
        <v>2</v>
      </c>
      <c r="AA47" s="485">
        <v>2</v>
      </c>
      <c r="AB47" s="485"/>
      <c r="AC47" s="485"/>
      <c r="AD47" s="485"/>
      <c r="AE47" s="483">
        <f t="shared" si="5"/>
        <v>1</v>
      </c>
      <c r="AF47" s="325"/>
      <c r="AG47" s="450" t="s">
        <v>309</v>
      </c>
      <c r="AH47" s="327"/>
    </row>
    <row r="48" spans="1:34" ht="15.75" thickBot="1" x14ac:dyDescent="0.3">
      <c r="A48" s="576">
        <v>12.062999999999965</v>
      </c>
      <c r="B48" s="325" t="str">
        <f>VLOOKUP(A48,'Feature Raw Data'!$A$3:$B$3922,2,FALSE)</f>
        <v xml:space="preserve">Shader Illegal Instruction Detection </v>
      </c>
      <c r="C48" s="325" t="s">
        <v>339</v>
      </c>
      <c r="D48" s="326" t="str">
        <f>VLOOKUP(A48,'Feature Raw Data'!$A$3:$F$3922,6,FALSE)</f>
        <v>SH</v>
      </c>
      <c r="E48" s="325"/>
      <c r="F48" s="325"/>
      <c r="G48" s="244" t="str">
        <f>VLOOKUP(A48,'Feature Summary'!$A$7:$C$4170,3,FALSE)</f>
        <v>P2</v>
      </c>
      <c r="H48" s="417" t="s">
        <v>364</v>
      </c>
      <c r="I48" s="448" t="s">
        <v>41</v>
      </c>
      <c r="J48" s="325"/>
      <c r="K48" s="326">
        <v>1</v>
      </c>
      <c r="L48" s="326">
        <v>1</v>
      </c>
      <c r="M48" s="582" t="str">
        <f>VLOOKUP(A48,'Feature Raw Data'!$A$3:$E$3922,5,FALSE)</f>
        <v>Delta</v>
      </c>
      <c r="N48" s="465">
        <v>1</v>
      </c>
      <c r="O48" s="466">
        <v>1</v>
      </c>
      <c r="P48" s="464">
        <f t="shared" si="6"/>
        <v>1</v>
      </c>
      <c r="Q48" s="448" t="s">
        <v>32</v>
      </c>
      <c r="R48" s="326">
        <v>1</v>
      </c>
      <c r="S48" s="496">
        <f t="shared" si="2"/>
        <v>1</v>
      </c>
      <c r="T48" s="485">
        <v>1</v>
      </c>
      <c r="U48" s="485"/>
      <c r="V48" s="485"/>
      <c r="W48" s="485"/>
      <c r="X48" s="497">
        <f t="shared" si="3"/>
        <v>1</v>
      </c>
      <c r="Y48" s="449"/>
      <c r="Z48" s="484">
        <f t="shared" si="4"/>
        <v>1</v>
      </c>
      <c r="AA48" s="485">
        <v>1</v>
      </c>
      <c r="AB48" s="485"/>
      <c r="AC48" s="485"/>
      <c r="AD48" s="485"/>
      <c r="AE48" s="483">
        <f t="shared" si="5"/>
        <v>1</v>
      </c>
      <c r="AF48" s="325"/>
      <c r="AG48" s="450" t="s">
        <v>354</v>
      </c>
      <c r="AH48" s="327"/>
    </row>
    <row r="49" spans="1:34" ht="30.75" thickBot="1" x14ac:dyDescent="0.3">
      <c r="A49" s="576">
        <v>12.063999999999965</v>
      </c>
      <c r="B49" s="325" t="str">
        <f>VLOOKUP(A49,'Feature Raw Data'!$A$3:$B$3922,2,FALSE)</f>
        <v xml:space="preserve">Support PERMUTE/BPERMUTE for wave64 </v>
      </c>
      <c r="C49" s="325" t="s">
        <v>339</v>
      </c>
      <c r="D49" s="326" t="str">
        <f>VLOOKUP(A49,'Feature Raw Data'!$A$3:$F$3922,6,FALSE)</f>
        <v>SH</v>
      </c>
      <c r="E49" s="325"/>
      <c r="F49" s="586"/>
      <c r="G49" s="244" t="str">
        <f>VLOOKUP(A49,'Feature Summary'!$A$7:$C$4170,3,FALSE)</f>
        <v>P2</v>
      </c>
      <c r="H49" s="587" t="s">
        <v>365</v>
      </c>
      <c r="I49" s="448" t="s">
        <v>35</v>
      </c>
      <c r="J49" s="325"/>
      <c r="K49" s="326">
        <v>1</v>
      </c>
      <c r="L49" s="326">
        <v>2</v>
      </c>
      <c r="M49" s="582" t="str">
        <f>VLOOKUP(A49,'Feature Raw Data'!$A$3:$E$3922,5,FALSE)</f>
        <v>Delta</v>
      </c>
      <c r="N49" s="465">
        <v>1</v>
      </c>
      <c r="O49" s="466">
        <v>2</v>
      </c>
      <c r="P49" s="464">
        <f t="shared" si="6"/>
        <v>1</v>
      </c>
      <c r="Q49" s="448" t="s">
        <v>32</v>
      </c>
      <c r="R49" s="326">
        <v>2</v>
      </c>
      <c r="S49" s="496">
        <f t="shared" si="2"/>
        <v>2</v>
      </c>
      <c r="T49" s="485">
        <v>2</v>
      </c>
      <c r="U49" s="485"/>
      <c r="V49" s="485"/>
      <c r="W49" s="485"/>
      <c r="X49" s="497">
        <f t="shared" si="3"/>
        <v>1</v>
      </c>
      <c r="Y49" s="449"/>
      <c r="Z49" s="484">
        <f t="shared" si="4"/>
        <v>2</v>
      </c>
      <c r="AA49" s="485">
        <v>2</v>
      </c>
      <c r="AB49" s="485"/>
      <c r="AC49" s="485"/>
      <c r="AD49" s="485"/>
      <c r="AE49" s="483">
        <f t="shared" si="5"/>
        <v>1</v>
      </c>
      <c r="AF49" s="325"/>
      <c r="AG49" s="450" t="s">
        <v>354</v>
      </c>
      <c r="AH49" s="327"/>
    </row>
    <row r="50" spans="1:34" ht="30.75" thickBot="1" x14ac:dyDescent="0.3">
      <c r="A50" s="576">
        <v>12.064999999999964</v>
      </c>
      <c r="B50" s="325" t="str">
        <f>VLOOKUP(A50,'Feature Raw Data'!$A$3:$B$3922,2,FALSE)</f>
        <v xml:space="preserve">Shader VALU Improvements </v>
      </c>
      <c r="C50" s="325" t="s">
        <v>366</v>
      </c>
      <c r="D50" s="326" t="str">
        <f>VLOOKUP(A50,'Feature Raw Data'!$A$3:$F$3922,6,FALSE)</f>
        <v>SH</v>
      </c>
      <c r="E50" s="325"/>
      <c r="F50" s="325"/>
      <c r="G50" s="244" t="str">
        <f>VLOOKUP(A50,'Feature Summary'!$A$7:$C$4170,3,FALSE)</f>
        <v>P1</v>
      </c>
      <c r="H50" s="587" t="s">
        <v>367</v>
      </c>
      <c r="I50" s="448" t="s">
        <v>35</v>
      </c>
      <c r="J50" s="325"/>
      <c r="K50" s="326">
        <v>1</v>
      </c>
      <c r="L50" s="326">
        <v>2</v>
      </c>
      <c r="M50" s="582" t="str">
        <f>VLOOKUP(A50,'Feature Raw Data'!$A$3:$E$3922,5,FALSE)</f>
        <v>Delta</v>
      </c>
      <c r="N50" s="465">
        <v>1</v>
      </c>
      <c r="O50" s="466">
        <v>2</v>
      </c>
      <c r="P50" s="464">
        <f t="shared" si="6"/>
        <v>1</v>
      </c>
      <c r="Q50" s="448" t="s">
        <v>32</v>
      </c>
      <c r="R50" s="326">
        <v>2</v>
      </c>
      <c r="S50" s="496">
        <f t="shared" si="2"/>
        <v>2</v>
      </c>
      <c r="T50" s="485">
        <v>2</v>
      </c>
      <c r="U50" s="485"/>
      <c r="V50" s="485"/>
      <c r="W50" s="485"/>
      <c r="X50" s="497">
        <f t="shared" si="3"/>
        <v>1</v>
      </c>
      <c r="Y50" s="592" t="s">
        <v>368</v>
      </c>
      <c r="Z50" s="484">
        <f t="shared" si="4"/>
        <v>2</v>
      </c>
      <c r="AA50" s="485">
        <v>2</v>
      </c>
      <c r="AB50" s="485"/>
      <c r="AC50" s="485"/>
      <c r="AD50" s="485"/>
      <c r="AE50" s="483">
        <f t="shared" si="5"/>
        <v>1</v>
      </c>
      <c r="AF50" s="325"/>
      <c r="AG50" s="450" t="s">
        <v>346</v>
      </c>
      <c r="AH50" s="327"/>
    </row>
    <row r="51" spans="1:34" ht="90.75" thickBot="1" x14ac:dyDescent="0.3">
      <c r="A51" s="576">
        <v>12.065999999999963</v>
      </c>
      <c r="B51" s="325" t="str">
        <f>VLOOKUP(A51,'Feature Raw Data'!$A$3:$B$3922,2,FALSE)</f>
        <v xml:space="preserve">Shader Scalar Improvements </v>
      </c>
      <c r="C51" s="325" t="s">
        <v>339</v>
      </c>
      <c r="D51" s="326" t="str">
        <f>VLOOKUP(A51,'Feature Raw Data'!$A$3:$F$3922,6,FALSE)</f>
        <v>SH</v>
      </c>
      <c r="E51" s="325"/>
      <c r="F51" s="325"/>
      <c r="G51" s="244" t="str">
        <f>VLOOKUP(A51,'Feature Summary'!$A$7:$C$4170,3,FALSE)</f>
        <v>P2</v>
      </c>
      <c r="H51" s="587" t="s">
        <v>369</v>
      </c>
      <c r="I51" s="448" t="s">
        <v>35</v>
      </c>
      <c r="J51" s="325"/>
      <c r="K51" s="326">
        <v>1</v>
      </c>
      <c r="L51" s="326">
        <v>6</v>
      </c>
      <c r="M51" s="582" t="str">
        <f>VLOOKUP(A51,'Feature Raw Data'!$A$3:$E$3922,5,FALSE)</f>
        <v>Delta</v>
      </c>
      <c r="N51" s="465">
        <v>1</v>
      </c>
      <c r="O51" s="466">
        <v>6</v>
      </c>
      <c r="P51" s="464">
        <f t="shared" si="6"/>
        <v>1</v>
      </c>
      <c r="Q51" s="448" t="s">
        <v>32</v>
      </c>
      <c r="R51" s="326">
        <v>6</v>
      </c>
      <c r="S51" s="496">
        <f t="shared" si="2"/>
        <v>6</v>
      </c>
      <c r="T51" s="485">
        <v>6</v>
      </c>
      <c r="U51" s="485"/>
      <c r="V51" s="485"/>
      <c r="W51" s="485"/>
      <c r="X51" s="497">
        <f t="shared" si="3"/>
        <v>1</v>
      </c>
      <c r="Y51" s="449"/>
      <c r="Z51" s="484">
        <f t="shared" si="4"/>
        <v>6</v>
      </c>
      <c r="AA51" s="485">
        <v>6</v>
      </c>
      <c r="AB51" s="485"/>
      <c r="AC51" s="485"/>
      <c r="AD51" s="485"/>
      <c r="AE51" s="483">
        <f t="shared" si="5"/>
        <v>1</v>
      </c>
      <c r="AF51" s="325"/>
      <c r="AG51" s="450" t="s">
        <v>354</v>
      </c>
      <c r="AH51" s="327"/>
    </row>
    <row r="52" spans="1:34" ht="15.75" thickBot="1" x14ac:dyDescent="0.3">
      <c r="A52" s="576">
        <v>12.066999999999963</v>
      </c>
      <c r="B52" s="325" t="str">
        <f>VLOOKUP(A52,'Feature Raw Data'!$A$3:$B$3922,2,FALSE)</f>
        <v xml:space="preserve">Fix SQG GRBM design </v>
      </c>
      <c r="C52" s="325" t="s">
        <v>339</v>
      </c>
      <c r="D52" s="326" t="str">
        <f>VLOOKUP(A52,'Feature Raw Data'!$A$3:$F$3922,6,FALSE)</f>
        <v>SH</v>
      </c>
      <c r="E52" s="325"/>
      <c r="F52" s="325"/>
      <c r="G52" s="244" t="str">
        <f>VLOOKUP(A52,'Feature Summary'!$A$7:$C$4170,3,FALSE)</f>
        <v>P1</v>
      </c>
      <c r="H52" s="417" t="s">
        <v>370</v>
      </c>
      <c r="I52" s="448" t="s">
        <v>41</v>
      </c>
      <c r="J52" s="591" t="s">
        <v>371</v>
      </c>
      <c r="K52" s="326">
        <v>1</v>
      </c>
      <c r="L52" s="326">
        <v>1</v>
      </c>
      <c r="M52" s="582" t="str">
        <f>VLOOKUP(A52,'Feature Raw Data'!$A$3:$E$3922,5,FALSE)</f>
        <v>Delta</v>
      </c>
      <c r="N52" s="465">
        <v>1</v>
      </c>
      <c r="O52" s="466">
        <v>1</v>
      </c>
      <c r="P52" s="464">
        <f t="shared" si="6"/>
        <v>1</v>
      </c>
      <c r="Q52" s="448" t="s">
        <v>43</v>
      </c>
      <c r="R52" s="326">
        <v>1</v>
      </c>
      <c r="S52" s="496">
        <f t="shared" si="2"/>
        <v>1</v>
      </c>
      <c r="T52" s="485">
        <v>1</v>
      </c>
      <c r="U52" s="485"/>
      <c r="V52" s="485"/>
      <c r="W52" s="485"/>
      <c r="X52" s="497">
        <f t="shared" si="3"/>
        <v>1</v>
      </c>
      <c r="Y52" s="449" t="s">
        <v>372</v>
      </c>
      <c r="Z52" s="484">
        <f t="shared" si="4"/>
        <v>1</v>
      </c>
      <c r="AA52" s="485">
        <v>1</v>
      </c>
      <c r="AB52" s="485"/>
      <c r="AC52" s="485"/>
      <c r="AD52" s="485"/>
      <c r="AE52" s="483">
        <f t="shared" si="5"/>
        <v>1</v>
      </c>
      <c r="AF52" s="325"/>
      <c r="AG52" s="450" t="s">
        <v>309</v>
      </c>
      <c r="AH52" s="327"/>
    </row>
    <row r="53" spans="1:34" ht="15.75" thickBot="1" x14ac:dyDescent="0.3">
      <c r="A53" s="576">
        <v>12.067999999999962</v>
      </c>
      <c r="B53" s="325" t="str">
        <f>VLOOKUP(A53,'Feature Raw Data'!$A$3:$B$3922,2,FALSE)</f>
        <v>SQC Latency reduction (inherit approach from mi300)</v>
      </c>
      <c r="C53" s="325" t="s">
        <v>339</v>
      </c>
      <c r="D53" s="326" t="str">
        <f>VLOOKUP(A53,'Feature Raw Data'!$A$3:$F$3922,6,FALSE)</f>
        <v>SH</v>
      </c>
      <c r="E53" s="325"/>
      <c r="F53" s="325"/>
      <c r="G53" s="244" t="str">
        <f>VLOOKUP(A53,'Feature Summary'!$A$7:$C$4170,3,FALSE)</f>
        <v>P1</v>
      </c>
      <c r="H53" s="417" t="s">
        <v>47</v>
      </c>
      <c r="I53" s="448" t="s">
        <v>47</v>
      </c>
      <c r="J53" s="325"/>
      <c r="K53" s="326">
        <v>1</v>
      </c>
      <c r="L53" s="326">
        <v>0</v>
      </c>
      <c r="M53" s="582" t="str">
        <f>VLOOKUP(A53,'Feature Raw Data'!$A$3:$E$3922,5,FALSE)</f>
        <v>Legacy</v>
      </c>
      <c r="N53" s="465">
        <v>1</v>
      </c>
      <c r="O53" s="466"/>
      <c r="P53" s="464">
        <f t="shared" si="6"/>
        <v>1</v>
      </c>
      <c r="Q53" s="448" t="s">
        <v>47</v>
      </c>
      <c r="R53" s="326">
        <v>0</v>
      </c>
      <c r="S53" s="496">
        <f t="shared" si="2"/>
        <v>0</v>
      </c>
      <c r="T53" s="485"/>
      <c r="U53" s="485"/>
      <c r="V53" s="485"/>
      <c r="W53" s="485"/>
      <c r="X53" s="497">
        <f t="shared" si="3"/>
        <v>1</v>
      </c>
      <c r="Y53" s="449" t="s">
        <v>357</v>
      </c>
      <c r="Z53" s="484">
        <f t="shared" si="4"/>
        <v>0</v>
      </c>
      <c r="AA53" s="485"/>
      <c r="AB53" s="485"/>
      <c r="AC53" s="485"/>
      <c r="AD53" s="485"/>
      <c r="AE53" s="483">
        <f t="shared" si="5"/>
        <v>1</v>
      </c>
      <c r="AF53" s="325"/>
      <c r="AG53" s="450" t="s">
        <v>47</v>
      </c>
      <c r="AH53" s="327"/>
    </row>
    <row r="54" spans="1:34" ht="45.75" thickBot="1" x14ac:dyDescent="0.3">
      <c r="A54" s="576">
        <v>12.068999999999962</v>
      </c>
      <c r="B54" s="325" t="str">
        <f>VLOOKUP(A54,'Feature Raw Data'!$A$3:$B$3922,2,FALSE)</f>
        <v xml:space="preserve">WGP-takeover mode </v>
      </c>
      <c r="C54" s="325" t="s">
        <v>339</v>
      </c>
      <c r="D54" s="326" t="str">
        <f>VLOOKUP(A54,'Feature Raw Data'!$A$3:$F$3922,6,FALSE)</f>
        <v>SH</v>
      </c>
      <c r="E54" s="325"/>
      <c r="F54" s="325"/>
      <c r="G54" s="244" t="str">
        <f>VLOOKUP(A54,'Feature Summary'!$A$7:$C$4170,3,FALSE)</f>
        <v>P1</v>
      </c>
      <c r="H54" s="587" t="s">
        <v>373</v>
      </c>
      <c r="I54" s="448" t="s">
        <v>41</v>
      </c>
      <c r="J54" s="591"/>
      <c r="K54" s="326">
        <v>1</v>
      </c>
      <c r="L54" s="326">
        <v>3</v>
      </c>
      <c r="M54" s="582" t="str">
        <f>VLOOKUP(A54,'Feature Raw Data'!$A$3:$E$3922,5,FALSE)</f>
        <v>New</v>
      </c>
      <c r="N54" s="465">
        <v>1</v>
      </c>
      <c r="O54" s="466">
        <v>3</v>
      </c>
      <c r="P54" s="464">
        <f t="shared" si="6"/>
        <v>1</v>
      </c>
      <c r="Q54" s="448" t="s">
        <v>32</v>
      </c>
      <c r="R54" s="326">
        <v>3</v>
      </c>
      <c r="S54" s="496">
        <f t="shared" si="2"/>
        <v>3</v>
      </c>
      <c r="T54" s="485">
        <v>3</v>
      </c>
      <c r="U54" s="485"/>
      <c r="V54" s="485"/>
      <c r="W54" s="485"/>
      <c r="X54" s="497">
        <f t="shared" si="3"/>
        <v>1</v>
      </c>
      <c r="Y54" s="449"/>
      <c r="Z54" s="484">
        <f t="shared" si="4"/>
        <v>3</v>
      </c>
      <c r="AA54" s="485">
        <v>3</v>
      </c>
      <c r="AB54" s="485"/>
      <c r="AC54" s="485"/>
      <c r="AD54" s="485"/>
      <c r="AE54" s="483">
        <f t="shared" si="5"/>
        <v>1</v>
      </c>
      <c r="AF54" s="586"/>
      <c r="AG54" s="450" t="s">
        <v>309</v>
      </c>
      <c r="AH54" s="327"/>
    </row>
    <row r="55" spans="1:34" ht="15.75" thickBot="1" x14ac:dyDescent="0.3">
      <c r="A55" s="576">
        <v>12.070999999999961</v>
      </c>
      <c r="B55" s="325" t="str">
        <f>VLOOKUP(A55,'Feature Raw Data'!$A$3:$B$3922,2,FALSE)</f>
        <v>Shader Instruction Store convert to Cache (likely in M2/gfx11.5)</v>
      </c>
      <c r="C55" s="325" t="s">
        <v>339</v>
      </c>
      <c r="D55" s="326" t="str">
        <f>VLOOKUP(A55,'Feature Raw Data'!$A$3:$F$3922,6,FALSE)</f>
        <v>SH</v>
      </c>
      <c r="E55" s="325"/>
      <c r="F55" s="325"/>
      <c r="G55" s="244" t="str">
        <f>VLOOKUP(A55,'Feature Summary'!$A$7:$C$4170,3,FALSE)</f>
        <v>P2</v>
      </c>
      <c r="H55" s="417" t="s">
        <v>47</v>
      </c>
      <c r="I55" s="448" t="s">
        <v>47</v>
      </c>
      <c r="J55" s="325"/>
      <c r="K55" s="326">
        <v>1</v>
      </c>
      <c r="L55" s="326">
        <v>0</v>
      </c>
      <c r="M55" s="582" t="str">
        <f>VLOOKUP(A55,'Feature Raw Data'!$A$3:$E$3922,5,FALSE)</f>
        <v>New</v>
      </c>
      <c r="N55" s="465">
        <v>1</v>
      </c>
      <c r="O55" s="466"/>
      <c r="P55" s="464">
        <f t="shared" si="6"/>
        <v>1</v>
      </c>
      <c r="Q55" s="448" t="s">
        <v>47</v>
      </c>
      <c r="R55" s="326">
        <v>0</v>
      </c>
      <c r="S55" s="496">
        <f t="shared" si="2"/>
        <v>0</v>
      </c>
      <c r="T55" s="485"/>
      <c r="U55" s="485"/>
      <c r="V55" s="485"/>
      <c r="W55" s="485"/>
      <c r="X55" s="497">
        <f t="shared" si="3"/>
        <v>1</v>
      </c>
      <c r="Y55" s="449" t="s">
        <v>357</v>
      </c>
      <c r="Z55" s="484">
        <f t="shared" si="4"/>
        <v>0</v>
      </c>
      <c r="AA55" s="485"/>
      <c r="AB55" s="485"/>
      <c r="AC55" s="485"/>
      <c r="AD55" s="485"/>
      <c r="AE55" s="483">
        <f t="shared" si="5"/>
        <v>1</v>
      </c>
      <c r="AF55" s="325"/>
      <c r="AG55" s="450" t="s">
        <v>47</v>
      </c>
      <c r="AH55" s="327"/>
    </row>
    <row r="56" spans="1:34" ht="15.75" thickBot="1" x14ac:dyDescent="0.3">
      <c r="A56" s="576">
        <v>12.07299999999996</v>
      </c>
      <c r="B56" s="325" t="str">
        <f>VLOOKUP(A56,'Feature Raw Data'!$A$3:$B$3922,2,FALSE)</f>
        <v xml:space="preserve">Shader signed memory offsets </v>
      </c>
      <c r="C56" s="325" t="s">
        <v>339</v>
      </c>
      <c r="D56" s="326" t="str">
        <f>VLOOKUP(A56,'Feature Raw Data'!$A$3:$F$3922,6,FALSE)</f>
        <v>SH</v>
      </c>
      <c r="E56" s="325"/>
      <c r="F56" s="325"/>
      <c r="G56" s="244" t="str">
        <f>VLOOKUP(A56,'Feature Summary'!$A$7:$C$4170,3,FALSE)</f>
        <v>P2</v>
      </c>
      <c r="H56" s="417" t="s">
        <v>374</v>
      </c>
      <c r="I56" s="448" t="s">
        <v>35</v>
      </c>
      <c r="J56" s="325"/>
      <c r="K56" s="326">
        <v>1</v>
      </c>
      <c r="L56" s="326">
        <v>1</v>
      </c>
      <c r="M56" s="582" t="str">
        <f>VLOOKUP(A56,'Feature Raw Data'!$A$3:$E$3922,5,FALSE)</f>
        <v>New</v>
      </c>
      <c r="N56" s="465">
        <v>1</v>
      </c>
      <c r="O56" s="466">
        <v>1</v>
      </c>
      <c r="P56" s="464">
        <f t="shared" si="6"/>
        <v>1</v>
      </c>
      <c r="Q56" s="448" t="s">
        <v>32</v>
      </c>
      <c r="R56" s="326">
        <v>1</v>
      </c>
      <c r="S56" s="496">
        <f t="shared" si="2"/>
        <v>1</v>
      </c>
      <c r="T56" s="485">
        <v>1</v>
      </c>
      <c r="U56" s="485"/>
      <c r="V56" s="485"/>
      <c r="W56" s="485"/>
      <c r="X56" s="497">
        <f t="shared" si="3"/>
        <v>1</v>
      </c>
      <c r="Y56" s="449"/>
      <c r="Z56" s="484">
        <f t="shared" si="4"/>
        <v>1</v>
      </c>
      <c r="AA56" s="485">
        <v>1</v>
      </c>
      <c r="AB56" s="485"/>
      <c r="AC56" s="485"/>
      <c r="AD56" s="485"/>
      <c r="AE56" s="483">
        <f t="shared" si="5"/>
        <v>1</v>
      </c>
      <c r="AF56" s="325"/>
      <c r="AG56" s="450" t="s">
        <v>354</v>
      </c>
      <c r="AH56" s="327"/>
    </row>
    <row r="57" spans="1:34" ht="15.75" thickBot="1" x14ac:dyDescent="0.3">
      <c r="A57" s="576">
        <v>12.077999999999957</v>
      </c>
      <c r="B57" s="325" t="str">
        <f>VLOOKUP(A57,'Feature Raw Data'!$A$3:$B$3922,2,FALSE)</f>
        <v xml:space="preserve">Move SQG outside of SPI </v>
      </c>
      <c r="C57" s="325" t="s">
        <v>328</v>
      </c>
      <c r="D57" s="326" t="str">
        <f>VLOOKUP(A57,'Feature Raw Data'!$A$3:$F$3922,6,FALSE)</f>
        <v>SIO</v>
      </c>
      <c r="E57" s="325"/>
      <c r="F57" s="325"/>
      <c r="G57" s="244" t="str">
        <f>VLOOKUP(A57,'Feature Summary'!$A$7:$C$4170,3,FALSE)</f>
        <v>P1</v>
      </c>
      <c r="H57" s="417" t="s">
        <v>47</v>
      </c>
      <c r="I57" s="448" t="s">
        <v>47</v>
      </c>
      <c r="J57" s="325"/>
      <c r="K57" s="326">
        <v>1</v>
      </c>
      <c r="L57" s="326">
        <v>0</v>
      </c>
      <c r="M57" s="582" t="str">
        <f>VLOOKUP(A57,'Feature Raw Data'!$A$3:$E$3922,5,FALSE)</f>
        <v>New</v>
      </c>
      <c r="N57" s="465">
        <v>1</v>
      </c>
      <c r="O57" s="466"/>
      <c r="P57" s="464">
        <f t="shared" si="6"/>
        <v>1</v>
      </c>
      <c r="Q57" s="448" t="s">
        <v>47</v>
      </c>
      <c r="R57" s="326">
        <v>0</v>
      </c>
      <c r="S57" s="496">
        <f t="shared" si="2"/>
        <v>0</v>
      </c>
      <c r="T57" s="485"/>
      <c r="U57" s="485"/>
      <c r="V57" s="485"/>
      <c r="W57" s="485"/>
      <c r="X57" s="497">
        <f t="shared" si="3"/>
        <v>1</v>
      </c>
      <c r="Y57" s="449" t="s">
        <v>375</v>
      </c>
      <c r="Z57" s="484">
        <f t="shared" si="4"/>
        <v>0</v>
      </c>
      <c r="AA57" s="485"/>
      <c r="AB57" s="485"/>
      <c r="AC57" s="485"/>
      <c r="AD57" s="485"/>
      <c r="AE57" s="483">
        <f t="shared" si="5"/>
        <v>1</v>
      </c>
      <c r="AF57" s="325"/>
      <c r="AG57" s="450" t="s">
        <v>47</v>
      </c>
      <c r="AH57" s="327"/>
    </row>
    <row r="58" spans="1:34" ht="15.75" thickBot="1" x14ac:dyDescent="0.3">
      <c r="A58" s="576">
        <v>12.078999999999956</v>
      </c>
      <c r="B58" s="325" t="str">
        <f>VLOOKUP(A58,'Feature Raw Data'!$A$3:$B$3922,2,FALSE)</f>
        <v xml:space="preserve">Dynamic VGPR allocation </v>
      </c>
      <c r="C58" s="325" t="s">
        <v>366</v>
      </c>
      <c r="D58" s="326" t="str">
        <f>VLOOKUP(A58,'Feature Raw Data'!$A$3:$F$3922,6,FALSE)</f>
        <v>SH</v>
      </c>
      <c r="E58" s="325"/>
      <c r="F58" s="325"/>
      <c r="G58" s="244" t="str">
        <f>VLOOKUP(A58,'Feature Summary'!$A$7:$C$4170,3,FALSE)</f>
        <v>P1</v>
      </c>
      <c r="H58" s="417" t="s">
        <v>376</v>
      </c>
      <c r="I58" s="448" t="s">
        <v>41</v>
      </c>
      <c r="J58" s="325"/>
      <c r="K58" s="326">
        <v>1</v>
      </c>
      <c r="L58" s="326">
        <v>2</v>
      </c>
      <c r="M58" s="582" t="str">
        <f>VLOOKUP(A58,'Feature Raw Data'!$A$3:$E$3922,5,FALSE)</f>
        <v>New</v>
      </c>
      <c r="N58" s="465">
        <v>1</v>
      </c>
      <c r="O58" s="466">
        <v>2</v>
      </c>
      <c r="P58" s="464">
        <f t="shared" si="6"/>
        <v>1</v>
      </c>
      <c r="Q58" s="448" t="s">
        <v>32</v>
      </c>
      <c r="R58" s="326">
        <v>2</v>
      </c>
      <c r="S58" s="496">
        <f t="shared" si="2"/>
        <v>2</v>
      </c>
      <c r="T58" s="485">
        <v>2</v>
      </c>
      <c r="U58" s="485"/>
      <c r="V58" s="485"/>
      <c r="W58" s="485"/>
      <c r="X58" s="497">
        <f t="shared" si="3"/>
        <v>1</v>
      </c>
      <c r="Y58" s="589"/>
      <c r="Z58" s="484">
        <f t="shared" si="4"/>
        <v>2</v>
      </c>
      <c r="AA58" s="485">
        <v>2</v>
      </c>
      <c r="AB58" s="485"/>
      <c r="AC58" s="485"/>
      <c r="AD58" s="485"/>
      <c r="AE58" s="483">
        <f t="shared" si="5"/>
        <v>1</v>
      </c>
      <c r="AF58" s="325"/>
      <c r="AG58" s="450" t="s">
        <v>377</v>
      </c>
      <c r="AH58" s="327"/>
    </row>
    <row r="59" spans="1:34" ht="45.75" thickBot="1" x14ac:dyDescent="0.3">
      <c r="A59" s="576">
        <v>12.083999999999953</v>
      </c>
      <c r="B59" s="325" t="str">
        <f>VLOOKUP(A59,'Feature Raw Data'!$A$3:$B$3922,2,FALSE)</f>
        <v xml:space="preserve">Prep for Navi + MIx00 shader merge </v>
      </c>
      <c r="C59" s="325" t="s">
        <v>339</v>
      </c>
      <c r="D59" s="326" t="str">
        <f>VLOOKUP(A59,'Feature Raw Data'!$A$3:$F$3922,6,FALSE)</f>
        <v>SH</v>
      </c>
      <c r="E59" s="325"/>
      <c r="F59" s="325"/>
      <c r="G59" s="244" t="str">
        <f>VLOOKUP(A59,'Feature Summary'!$A$7:$C$4170,3,FALSE)</f>
        <v>P2</v>
      </c>
      <c r="H59" s="587" t="s">
        <v>378</v>
      </c>
      <c r="I59" s="448" t="s">
        <v>35</v>
      </c>
      <c r="J59" s="325"/>
      <c r="K59" s="326">
        <v>1</v>
      </c>
      <c r="L59" s="326">
        <v>3</v>
      </c>
      <c r="M59" s="582" t="str">
        <f>VLOOKUP(A59,'Feature Raw Data'!$A$3:$E$3922,5,FALSE)</f>
        <v>New</v>
      </c>
      <c r="N59" s="465">
        <v>1</v>
      </c>
      <c r="O59" s="466">
        <v>3</v>
      </c>
      <c r="P59" s="464">
        <f t="shared" si="6"/>
        <v>1</v>
      </c>
      <c r="Q59" s="448" t="s">
        <v>32</v>
      </c>
      <c r="R59" s="326">
        <v>3</v>
      </c>
      <c r="S59" s="496">
        <f t="shared" si="2"/>
        <v>3</v>
      </c>
      <c r="T59" s="485">
        <v>3</v>
      </c>
      <c r="U59" s="485"/>
      <c r="V59" s="485"/>
      <c r="W59" s="485"/>
      <c r="X59" s="497">
        <f t="shared" si="3"/>
        <v>1</v>
      </c>
      <c r="Y59" s="449"/>
      <c r="Z59" s="484">
        <f t="shared" si="4"/>
        <v>3</v>
      </c>
      <c r="AA59" s="485">
        <v>3</v>
      </c>
      <c r="AB59" s="485"/>
      <c r="AC59" s="485"/>
      <c r="AD59" s="485"/>
      <c r="AE59" s="483">
        <f t="shared" si="5"/>
        <v>1</v>
      </c>
      <c r="AF59" s="325"/>
      <c r="AG59" s="450" t="s">
        <v>354</v>
      </c>
      <c r="AH59" s="327"/>
    </row>
    <row r="60" spans="1:34" ht="15.75" thickBot="1" x14ac:dyDescent="0.3">
      <c r="A60" s="576">
        <v>12.092000000000001</v>
      </c>
      <c r="B60" s="325" t="str">
        <f>VLOOKUP(A60,'Feature Raw Data'!$A$3:$B$3922,2,FALSE)</f>
        <v>Documentation - UTCL* MAS</v>
      </c>
      <c r="C60" s="325" t="s">
        <v>379</v>
      </c>
      <c r="D60" s="326" t="str">
        <f>VLOOKUP(A60,'Feature Raw Data'!$A$3:$F$3922,6,FALSE)</f>
        <v>CMM</v>
      </c>
      <c r="E60" s="325"/>
      <c r="F60" s="325"/>
      <c r="G60" s="244" t="str">
        <f>VLOOKUP(A60,'Feature Summary'!$A$7:$C$4170,3,FALSE)</f>
        <v>P2</v>
      </c>
      <c r="H60" s="417" t="s">
        <v>47</v>
      </c>
      <c r="I60" s="448" t="s">
        <v>47</v>
      </c>
      <c r="J60" s="325"/>
      <c r="K60" s="326">
        <v>1</v>
      </c>
      <c r="L60" s="326">
        <v>0</v>
      </c>
      <c r="M60" s="582" t="str">
        <f>VLOOKUP(A60,'Feature Raw Data'!$A$3:$E$3922,5,FALSE)</f>
        <v>New</v>
      </c>
      <c r="N60" s="465">
        <v>1</v>
      </c>
      <c r="O60" s="466"/>
      <c r="P60" s="464">
        <f t="shared" si="6"/>
        <v>1</v>
      </c>
      <c r="Q60" s="448" t="s">
        <v>47</v>
      </c>
      <c r="R60" s="326">
        <v>0</v>
      </c>
      <c r="S60" s="496">
        <f t="shared" si="2"/>
        <v>0</v>
      </c>
      <c r="T60" s="485"/>
      <c r="U60" s="485"/>
      <c r="V60" s="485"/>
      <c r="W60" s="485"/>
      <c r="X60" s="497">
        <f t="shared" si="3"/>
        <v>1</v>
      </c>
      <c r="Y60" s="584" t="s">
        <v>380</v>
      </c>
      <c r="Z60" s="484">
        <f t="shared" si="4"/>
        <v>0</v>
      </c>
      <c r="AA60" s="485"/>
      <c r="AB60" s="485"/>
      <c r="AC60" s="485"/>
      <c r="AD60" s="485"/>
      <c r="AE60" s="483">
        <f t="shared" si="5"/>
        <v>1</v>
      </c>
      <c r="AF60" s="325"/>
      <c r="AG60" s="450" t="s">
        <v>47</v>
      </c>
      <c r="AH60" s="327"/>
    </row>
    <row r="61" spans="1:34" ht="15.75" thickBot="1" x14ac:dyDescent="0.3">
      <c r="A61" s="576">
        <v>12.096</v>
      </c>
      <c r="B61" s="325" t="str">
        <f>VLOOKUP(A61,'Feature Raw Data'!$A$3:$B$3922,2,FALSE)</f>
        <v xml:space="preserve">UTCL1: check page_size using the stored frag_size </v>
      </c>
      <c r="C61" s="325" t="s">
        <v>379</v>
      </c>
      <c r="D61" s="326" t="str">
        <f>VLOOKUP(A61,'Feature Raw Data'!$A$3:$F$3922,6,FALSE)</f>
        <v>CMM</v>
      </c>
      <c r="E61" s="325"/>
      <c r="F61" s="325"/>
      <c r="G61" s="244" t="str">
        <f>VLOOKUP(A61,'Feature Summary'!$A$7:$C$4170,3,FALSE)</f>
        <v>P2</v>
      </c>
      <c r="H61" s="417" t="s">
        <v>47</v>
      </c>
      <c r="I61" s="448" t="s">
        <v>47</v>
      </c>
      <c r="J61" s="325"/>
      <c r="K61" s="326">
        <v>1</v>
      </c>
      <c r="L61" s="326">
        <v>0</v>
      </c>
      <c r="M61" s="582" t="str">
        <f>VLOOKUP(A61,'Feature Raw Data'!$A$3:$E$3922,5,FALSE)</f>
        <v>New</v>
      </c>
      <c r="N61" s="465">
        <v>1</v>
      </c>
      <c r="O61" s="466"/>
      <c r="P61" s="464">
        <f t="shared" si="6"/>
        <v>1</v>
      </c>
      <c r="Q61" s="448" t="s">
        <v>47</v>
      </c>
      <c r="R61" s="326">
        <v>0</v>
      </c>
      <c r="S61" s="496">
        <f t="shared" si="2"/>
        <v>0</v>
      </c>
      <c r="T61" s="485"/>
      <c r="U61" s="485"/>
      <c r="V61" s="485"/>
      <c r="W61" s="485"/>
      <c r="X61" s="497">
        <f t="shared" si="3"/>
        <v>1</v>
      </c>
      <c r="Y61" s="449" t="s">
        <v>381</v>
      </c>
      <c r="Z61" s="484">
        <f t="shared" si="4"/>
        <v>0</v>
      </c>
      <c r="AA61" s="485"/>
      <c r="AB61" s="485"/>
      <c r="AC61" s="485"/>
      <c r="AD61" s="485"/>
      <c r="AE61" s="483">
        <f t="shared" si="5"/>
        <v>1</v>
      </c>
      <c r="AF61" s="325"/>
      <c r="AG61" s="450" t="s">
        <v>47</v>
      </c>
      <c r="AH61" s="327"/>
    </row>
    <row r="62" spans="1:34" ht="15.75" thickBot="1" x14ac:dyDescent="0.3">
      <c r="A62" s="576">
        <v>12.098000000000001</v>
      </c>
      <c r="B62" s="325" t="str">
        <f>VLOOKUP(A62,'Feature Raw Data'!$A$3:$B$3922,2,FALSE)</f>
        <v xml:space="preserve">Remove unused client shootdown interface </v>
      </c>
      <c r="C62" s="325" t="s">
        <v>379</v>
      </c>
      <c r="D62" s="326" t="str">
        <f>VLOOKUP(A62,'Feature Raw Data'!$A$3:$F$3922,6,FALSE)</f>
        <v>CMM</v>
      </c>
      <c r="E62" s="325"/>
      <c r="F62" s="325"/>
      <c r="G62" s="244" t="str">
        <f>VLOOKUP(A62,'Feature Summary'!$A$7:$C$4170,3,FALSE)</f>
        <v>P2</v>
      </c>
      <c r="H62" s="417" t="s">
        <v>47</v>
      </c>
      <c r="I62" s="448" t="s">
        <v>47</v>
      </c>
      <c r="J62" s="325"/>
      <c r="K62" s="326">
        <v>1</v>
      </c>
      <c r="L62" s="326">
        <v>0</v>
      </c>
      <c r="M62" s="582" t="str">
        <f>VLOOKUP(A62,'Feature Raw Data'!$A$3:$E$3922,5,FALSE)</f>
        <v>New</v>
      </c>
      <c r="N62" s="465">
        <v>1</v>
      </c>
      <c r="O62" s="466"/>
      <c r="P62" s="464">
        <f t="shared" si="6"/>
        <v>1</v>
      </c>
      <c r="Q62" s="448" t="s">
        <v>47</v>
      </c>
      <c r="R62" s="326">
        <v>0</v>
      </c>
      <c r="S62" s="496">
        <f t="shared" si="2"/>
        <v>0</v>
      </c>
      <c r="T62" s="485"/>
      <c r="U62" s="485"/>
      <c r="V62" s="485"/>
      <c r="W62" s="485"/>
      <c r="X62" s="497">
        <f t="shared" si="3"/>
        <v>1</v>
      </c>
      <c r="Y62" s="584" t="s">
        <v>382</v>
      </c>
      <c r="Z62" s="484">
        <f t="shared" si="4"/>
        <v>0</v>
      </c>
      <c r="AA62" s="485"/>
      <c r="AB62" s="485"/>
      <c r="AC62" s="485"/>
      <c r="AD62" s="485"/>
      <c r="AE62" s="483">
        <f t="shared" si="5"/>
        <v>1</v>
      </c>
      <c r="AF62" s="325"/>
      <c r="AG62" s="450" t="s">
        <v>47</v>
      </c>
      <c r="AH62" s="327"/>
    </row>
    <row r="63" spans="1:34" ht="15.75" thickBot="1" x14ac:dyDescent="0.3">
      <c r="A63" s="576">
        <v>12.103999999999999</v>
      </c>
      <c r="B63" s="325" t="str">
        <f>VLOOKUP(A63,'Feature Raw Data'!$A$3:$B$3922,2,FALSE)</f>
        <v xml:space="preserve">GPUVM PTE bits </v>
      </c>
      <c r="C63" s="325" t="s">
        <v>379</v>
      </c>
      <c r="D63" s="326" t="str">
        <f>VLOOKUP(A63,'Feature Raw Data'!$A$3:$F$3922,6,FALSE)</f>
        <v>UTCL2</v>
      </c>
      <c r="E63" s="325"/>
      <c r="F63" s="325"/>
      <c r="G63" s="244" t="str">
        <f>VLOOKUP(A63,'Feature Summary'!$A$7:$C$4170,3,FALSE)</f>
        <v>P1</v>
      </c>
      <c r="H63" s="417" t="s">
        <v>47</v>
      </c>
      <c r="I63" s="448" t="s">
        <v>47</v>
      </c>
      <c r="J63" s="325"/>
      <c r="K63" s="326">
        <v>1</v>
      </c>
      <c r="L63" s="326">
        <v>0</v>
      </c>
      <c r="M63" s="582" t="str">
        <f>VLOOKUP(A63,'Feature Raw Data'!$A$3:$E$3922,5,FALSE)</f>
        <v>New</v>
      </c>
      <c r="N63" s="465">
        <v>1</v>
      </c>
      <c r="O63" s="466"/>
      <c r="P63" s="464">
        <f t="shared" si="6"/>
        <v>1</v>
      </c>
      <c r="Q63" s="448" t="s">
        <v>47</v>
      </c>
      <c r="R63" s="326">
        <v>0</v>
      </c>
      <c r="S63" s="496">
        <f t="shared" si="2"/>
        <v>0</v>
      </c>
      <c r="T63" s="485"/>
      <c r="U63" s="485"/>
      <c r="V63" s="485"/>
      <c r="W63" s="485"/>
      <c r="X63" s="497">
        <f t="shared" si="3"/>
        <v>1</v>
      </c>
      <c r="Y63" s="584" t="s">
        <v>383</v>
      </c>
      <c r="Z63" s="484">
        <f t="shared" si="4"/>
        <v>0</v>
      </c>
      <c r="AA63" s="485"/>
      <c r="AB63" s="485"/>
      <c r="AC63" s="485"/>
      <c r="AD63" s="485"/>
      <c r="AE63" s="483">
        <f t="shared" si="5"/>
        <v>1</v>
      </c>
      <c r="AF63" s="325"/>
      <c r="AG63" s="450" t="s">
        <v>47</v>
      </c>
      <c r="AH63" s="327"/>
    </row>
    <row r="64" spans="1:34" ht="15.75" thickBot="1" x14ac:dyDescent="0.3">
      <c r="A64" s="576">
        <v>12.111000000000001</v>
      </c>
      <c r="B64" s="325" t="str">
        <f>VLOOKUP(A64,'Feature Raw Data'!$A$3:$B$3922,2,FALSE)</f>
        <v xml:space="preserve">Deprecate metadata probe and client shootdown in UTCL0 </v>
      </c>
      <c r="C64" s="325" t="s">
        <v>379</v>
      </c>
      <c r="D64" s="326" t="str">
        <f>VLOOKUP(A64,'Feature Raw Data'!$A$3:$F$3922,6,FALSE)</f>
        <v>CMM</v>
      </c>
      <c r="E64" s="325"/>
      <c r="F64" s="325"/>
      <c r="G64" s="244" t="str">
        <f>VLOOKUP(A64,'Feature Summary'!$A$7:$C$4170,3,FALSE)</f>
        <v>P2</v>
      </c>
      <c r="H64" s="417" t="s">
        <v>47</v>
      </c>
      <c r="I64" s="448" t="s">
        <v>47</v>
      </c>
      <c r="J64" s="325"/>
      <c r="K64" s="326">
        <v>1</v>
      </c>
      <c r="L64" s="326">
        <v>0</v>
      </c>
      <c r="M64" s="582" t="str">
        <f>VLOOKUP(A64,'Feature Raw Data'!$A$3:$E$3922,5,FALSE)</f>
        <v>New</v>
      </c>
      <c r="N64" s="465">
        <v>1</v>
      </c>
      <c r="O64" s="466"/>
      <c r="P64" s="464">
        <f t="shared" si="6"/>
        <v>1</v>
      </c>
      <c r="Q64" s="448" t="s">
        <v>47</v>
      </c>
      <c r="R64" s="326">
        <v>0</v>
      </c>
      <c r="S64" s="496">
        <f t="shared" si="2"/>
        <v>0</v>
      </c>
      <c r="T64" s="485"/>
      <c r="U64" s="485"/>
      <c r="V64" s="485"/>
      <c r="W64" s="485"/>
      <c r="X64" s="497">
        <f t="shared" si="3"/>
        <v>1</v>
      </c>
      <c r="Y64" s="584" t="s">
        <v>382</v>
      </c>
      <c r="Z64" s="484">
        <f t="shared" si="4"/>
        <v>0</v>
      </c>
      <c r="AA64" s="485"/>
      <c r="AB64" s="485"/>
      <c r="AC64" s="485"/>
      <c r="AD64" s="485"/>
      <c r="AE64" s="483">
        <f t="shared" si="5"/>
        <v>1</v>
      </c>
      <c r="AF64" s="325"/>
      <c r="AG64" s="450" t="s">
        <v>47</v>
      </c>
      <c r="AH64" s="327"/>
    </row>
    <row r="65" spans="1:34" ht="15.75" thickBot="1" x14ac:dyDescent="0.3">
      <c r="A65" s="576">
        <v>12.112</v>
      </c>
      <c r="B65" s="325" t="str">
        <f>VLOOKUP(A65,'Feature Raw Data'!$A$3:$B$3922,2,FALSE)</f>
        <v xml:space="preserve">GCR single cycle UTC request interface </v>
      </c>
      <c r="C65" s="325" t="s">
        <v>379</v>
      </c>
      <c r="D65" s="326" t="str">
        <f>VLOOKUP(A65,'Feature Raw Data'!$A$3:$F$3922,6,FALSE)</f>
        <v>CMM</v>
      </c>
      <c r="E65" s="325"/>
      <c r="F65" s="325"/>
      <c r="G65" s="244" t="str">
        <f>VLOOKUP(A65,'Feature Summary'!$A$7:$C$4170,3,FALSE)</f>
        <v>P2</v>
      </c>
      <c r="H65" s="417" t="s">
        <v>384</v>
      </c>
      <c r="I65" s="448" t="s">
        <v>41</v>
      </c>
      <c r="J65" s="325"/>
      <c r="K65" s="326">
        <v>1</v>
      </c>
      <c r="L65" s="326">
        <v>1</v>
      </c>
      <c r="M65" s="582" t="str">
        <f>VLOOKUP(A65,'Feature Raw Data'!$A$3:$E$3922,5,FALSE)</f>
        <v>New</v>
      </c>
      <c r="N65" s="465">
        <v>1</v>
      </c>
      <c r="O65" s="466">
        <v>1</v>
      </c>
      <c r="P65" s="464">
        <f t="shared" si="6"/>
        <v>1</v>
      </c>
      <c r="Q65" s="448" t="s">
        <v>32</v>
      </c>
      <c r="R65" s="326">
        <v>1</v>
      </c>
      <c r="S65" s="496">
        <f t="shared" si="2"/>
        <v>0</v>
      </c>
      <c r="T65" s="485"/>
      <c r="U65" s="485"/>
      <c r="V65" s="485"/>
      <c r="W65" s="485"/>
      <c r="X65" s="497">
        <f t="shared" si="3"/>
        <v>0</v>
      </c>
      <c r="Y65" s="584"/>
      <c r="Z65" s="484">
        <f t="shared" si="4"/>
        <v>0</v>
      </c>
      <c r="AA65" s="485"/>
      <c r="AB65" s="485"/>
      <c r="AC65" s="485"/>
      <c r="AD65" s="485"/>
      <c r="AE65" s="483">
        <f t="shared" si="5"/>
        <v>0</v>
      </c>
      <c r="AF65" s="325"/>
      <c r="AG65" s="450" t="s">
        <v>354</v>
      </c>
      <c r="AH65" s="327"/>
    </row>
    <row r="66" spans="1:34" ht="15.75" thickBot="1" x14ac:dyDescent="0.3">
      <c r="A66" s="576">
        <v>12.113</v>
      </c>
      <c r="B66" s="325" t="str">
        <f>VLOOKUP(A66,'Feature Raw Data'!$A$3:$B$3922,2,FALSE)</f>
        <v xml:space="preserve">RLC dont disable CGCG while thread trace is active </v>
      </c>
      <c r="C66" s="325" t="s">
        <v>322</v>
      </c>
      <c r="D66" s="326" t="str">
        <f>VLOOKUP(A66,'Feature Raw Data'!$A$3:$F$3922,6,FALSE)</f>
        <v>CTL</v>
      </c>
      <c r="E66" s="325"/>
      <c r="F66" s="325"/>
      <c r="G66" s="244" t="str">
        <f>VLOOKUP(A66,'Feature Summary'!$A$7:$C$4170,3,FALSE)</f>
        <v>P2</v>
      </c>
      <c r="H66" s="417" t="s">
        <v>47</v>
      </c>
      <c r="I66" s="448" t="s">
        <v>47</v>
      </c>
      <c r="J66" s="325"/>
      <c r="K66" s="326">
        <v>1</v>
      </c>
      <c r="L66" s="326">
        <v>0</v>
      </c>
      <c r="M66" s="582" t="str">
        <f>VLOOKUP(A66,'Feature Raw Data'!$A$3:$E$3922,5,FALSE)</f>
        <v>New</v>
      </c>
      <c r="N66" s="465">
        <v>1</v>
      </c>
      <c r="O66" s="466"/>
      <c r="P66" s="464">
        <f t="shared" si="6"/>
        <v>1</v>
      </c>
      <c r="Q66" s="448" t="s">
        <v>47</v>
      </c>
      <c r="R66" s="326">
        <v>0</v>
      </c>
      <c r="S66" s="496">
        <f t="shared" si="2"/>
        <v>0</v>
      </c>
      <c r="T66" s="485"/>
      <c r="U66" s="485"/>
      <c r="V66" s="485"/>
      <c r="W66" s="485"/>
      <c r="X66" s="497">
        <f t="shared" si="3"/>
        <v>1</v>
      </c>
      <c r="Y66" s="584" t="s">
        <v>385</v>
      </c>
      <c r="Z66" s="484">
        <f t="shared" si="4"/>
        <v>0</v>
      </c>
      <c r="AA66" s="485"/>
      <c r="AB66" s="485"/>
      <c r="AC66" s="485"/>
      <c r="AD66" s="485"/>
      <c r="AE66" s="483">
        <f t="shared" si="5"/>
        <v>1</v>
      </c>
      <c r="AF66" s="325"/>
      <c r="AG66" s="450" t="s">
        <v>47</v>
      </c>
      <c r="AH66" s="327"/>
    </row>
    <row r="67" spans="1:34" ht="15.75" thickBot="1" x14ac:dyDescent="0.3">
      <c r="A67" s="576">
        <v>12.114000000000001</v>
      </c>
      <c r="B67" s="325" t="str">
        <f>VLOOKUP(A67,'Feature Raw Data'!$A$3:$B$3922,2,FALSE)</f>
        <v xml:space="preserve">CP ucode use dispatch index for TTMP init </v>
      </c>
      <c r="C67" s="325" t="s">
        <v>386</v>
      </c>
      <c r="D67" s="326" t="str">
        <f>VLOOKUP(A67,'Feature Raw Data'!$A$3:$F$3922,6,FALSE)</f>
        <v>CTL</v>
      </c>
      <c r="E67" s="325"/>
      <c r="F67" s="325"/>
      <c r="G67" s="244" t="str">
        <f>VLOOKUP(A67,'Feature Summary'!$A$7:$C$4170,3,FALSE)</f>
        <v>P2</v>
      </c>
      <c r="H67" s="417" t="s">
        <v>47</v>
      </c>
      <c r="I67" s="448" t="s">
        <v>47</v>
      </c>
      <c r="J67" s="325"/>
      <c r="K67" s="326">
        <v>1</v>
      </c>
      <c r="L67" s="326">
        <v>0</v>
      </c>
      <c r="M67" s="582" t="str">
        <f>VLOOKUP(A67,'Feature Raw Data'!$A$3:$E$3922,5,FALSE)</f>
        <v>New</v>
      </c>
      <c r="N67" s="465">
        <v>1</v>
      </c>
      <c r="O67" s="466"/>
      <c r="P67" s="464">
        <f t="shared" si="6"/>
        <v>1</v>
      </c>
      <c r="Q67" s="448" t="s">
        <v>47</v>
      </c>
      <c r="R67" s="326">
        <v>0</v>
      </c>
      <c r="S67" s="496">
        <f t="shared" si="2"/>
        <v>0</v>
      </c>
      <c r="T67" s="485"/>
      <c r="U67" s="485"/>
      <c r="V67" s="485"/>
      <c r="W67" s="485"/>
      <c r="X67" s="497">
        <f t="shared" si="3"/>
        <v>1</v>
      </c>
      <c r="Y67" s="584" t="s">
        <v>387</v>
      </c>
      <c r="Z67" s="484">
        <f t="shared" si="4"/>
        <v>0</v>
      </c>
      <c r="AA67" s="485"/>
      <c r="AB67" s="485"/>
      <c r="AC67" s="485"/>
      <c r="AD67" s="485"/>
      <c r="AE67" s="483">
        <f t="shared" si="5"/>
        <v>1</v>
      </c>
      <c r="AF67" s="325"/>
      <c r="AG67" s="450" t="s">
        <v>47</v>
      </c>
      <c r="AH67" s="327"/>
    </row>
    <row r="68" spans="1:34" ht="225.75" thickBot="1" x14ac:dyDescent="0.3">
      <c r="A68" s="576">
        <v>12.115</v>
      </c>
      <c r="B68" s="325" t="str">
        <f>VLOOKUP(A68,'Feature Raw Data'!$A$3:$B$3922,2,FALSE)</f>
        <v>Single Pass Wave64 Trans Issue (in M2)</v>
      </c>
      <c r="C68" s="325" t="s">
        <v>339</v>
      </c>
      <c r="D68" s="326" t="str">
        <f>VLOOKUP(A68,'Feature Raw Data'!$A$3:$F$3922,6,FALSE)</f>
        <v>SH</v>
      </c>
      <c r="E68" s="325"/>
      <c r="F68" s="325"/>
      <c r="G68" s="244" t="str">
        <f>VLOOKUP(A68,'Feature Summary'!$A$7:$C$4170,3,FALSE)</f>
        <v>P1</v>
      </c>
      <c r="H68" s="587" t="s">
        <v>388</v>
      </c>
      <c r="I68" s="448" t="s">
        <v>35</v>
      </c>
      <c r="J68" s="325"/>
      <c r="K68" s="326">
        <v>1</v>
      </c>
      <c r="L68" s="326">
        <v>14</v>
      </c>
      <c r="M68" s="582" t="str">
        <f>VLOOKUP(A68,'Feature Raw Data'!$A$3:$E$3922,5,FALSE)</f>
        <v>New</v>
      </c>
      <c r="N68" s="465">
        <v>1</v>
      </c>
      <c r="O68" s="466">
        <v>14</v>
      </c>
      <c r="P68" s="464">
        <f t="shared" si="6"/>
        <v>1</v>
      </c>
      <c r="Q68" s="448" t="s">
        <v>32</v>
      </c>
      <c r="R68" s="326">
        <v>14</v>
      </c>
      <c r="S68" s="496">
        <f t="shared" si="2"/>
        <v>14</v>
      </c>
      <c r="T68" s="485">
        <v>14</v>
      </c>
      <c r="U68" s="485"/>
      <c r="V68" s="485"/>
      <c r="W68" s="485"/>
      <c r="X68" s="497">
        <f t="shared" si="3"/>
        <v>1</v>
      </c>
      <c r="Y68" s="584"/>
      <c r="Z68" s="484">
        <f t="shared" si="4"/>
        <v>14</v>
      </c>
      <c r="AA68" s="485">
        <v>14</v>
      </c>
      <c r="AB68" s="485"/>
      <c r="AC68" s="485"/>
      <c r="AD68" s="485"/>
      <c r="AE68" s="483">
        <f t="shared" si="5"/>
        <v>1</v>
      </c>
      <c r="AF68" s="325"/>
      <c r="AG68" s="450" t="s">
        <v>309</v>
      </c>
      <c r="AH68" s="327"/>
    </row>
    <row r="69" spans="1:34" ht="409.6" thickBot="1" x14ac:dyDescent="0.3">
      <c r="A69" s="594">
        <v>12.118</v>
      </c>
      <c r="B69" s="325" t="str">
        <f>VLOOKUP(A69,'Feature Raw Data'!$A$3:$B$3922,2,FALSE)</f>
        <v xml:space="preserve">PH Memory Queues </v>
      </c>
      <c r="C69" s="325" t="s">
        <v>319</v>
      </c>
      <c r="D69" s="326" t="str">
        <f>VLOOKUP(A69,'Feature Raw Data'!$A$3:$F$3922,6,FALSE)</f>
        <v>GEO</v>
      </c>
      <c r="E69" s="325"/>
      <c r="F69" s="325"/>
      <c r="G69" s="244" t="str">
        <f>VLOOKUP(A69,'Feature Summary'!$A$7:$C$4170,3,FALSE)</f>
        <v>P1</v>
      </c>
      <c r="H69" s="417" t="s">
        <v>389</v>
      </c>
      <c r="I69" s="448" t="s">
        <v>41</v>
      </c>
      <c r="J69" s="325"/>
      <c r="K69" s="326">
        <v>1</v>
      </c>
      <c r="L69" s="326">
        <v>3</v>
      </c>
      <c r="M69" s="582" t="str">
        <f>VLOOKUP(A69,'Feature Raw Data'!$A$3:$E$3922,5,FALSE)</f>
        <v>New</v>
      </c>
      <c r="N69" s="465">
        <v>1</v>
      </c>
      <c r="O69" s="466">
        <v>3</v>
      </c>
      <c r="P69" s="464">
        <f t="shared" si="6"/>
        <v>1</v>
      </c>
      <c r="Q69" s="448" t="s">
        <v>43</v>
      </c>
      <c r="R69" s="326">
        <v>3</v>
      </c>
      <c r="S69" s="496">
        <f>SUM(T69:W69)</f>
        <v>3</v>
      </c>
      <c r="T69" s="485">
        <v>3</v>
      </c>
      <c r="U69" s="485"/>
      <c r="V69" s="485"/>
      <c r="W69" s="485"/>
      <c r="X69" s="497">
        <f t="shared" si="3"/>
        <v>1</v>
      </c>
      <c r="Y69" s="593" t="s">
        <v>390</v>
      </c>
      <c r="Z69" s="484">
        <f t="shared" si="4"/>
        <v>0</v>
      </c>
      <c r="AA69" s="485"/>
      <c r="AB69" s="485"/>
      <c r="AC69" s="485"/>
      <c r="AD69" s="485"/>
      <c r="AE69" s="483">
        <f t="shared" si="5"/>
        <v>0</v>
      </c>
      <c r="AF69" s="325"/>
      <c r="AG69" s="450" t="s">
        <v>309</v>
      </c>
      <c r="AH69" s="327"/>
    </row>
    <row r="70" spans="1:34" ht="15.75" thickBot="1" x14ac:dyDescent="0.3">
      <c r="A70" s="576">
        <v>12.119</v>
      </c>
      <c r="B70" s="325" t="str">
        <f>VLOOKUP(A70,'Feature Raw Data'!$A$3:$B$3922,2,FALSE)</f>
        <v xml:space="preserve">Harvesting enabled by default </v>
      </c>
      <c r="C70" s="325" t="s">
        <v>328</v>
      </c>
      <c r="D70" s="326" t="str">
        <f>VLOOKUP(A70,'Feature Raw Data'!$A$3:$F$3922,6,FALSE)</f>
        <v>GC</v>
      </c>
      <c r="E70" s="325"/>
      <c r="F70" s="325"/>
      <c r="G70" s="244" t="str">
        <f>VLOOKUP(A70,'Feature Summary'!$A$7:$C$4170,3,FALSE)</f>
        <v>P1</v>
      </c>
      <c r="H70" s="417" t="s">
        <v>47</v>
      </c>
      <c r="I70" s="448" t="s">
        <v>47</v>
      </c>
      <c r="J70" s="325"/>
      <c r="K70" s="326">
        <v>1</v>
      </c>
      <c r="L70" s="326">
        <v>0</v>
      </c>
      <c r="M70" s="582" t="str">
        <f>VLOOKUP(A70,'Feature Raw Data'!$A$3:$E$3922,5,FALSE)</f>
        <v>New</v>
      </c>
      <c r="N70" s="465">
        <v>1</v>
      </c>
      <c r="O70" s="466"/>
      <c r="P70" s="464">
        <f t="shared" si="6"/>
        <v>1</v>
      </c>
      <c r="Q70" s="448" t="s">
        <v>47</v>
      </c>
      <c r="R70" s="326">
        <v>1</v>
      </c>
      <c r="S70" s="496">
        <f t="shared" si="2"/>
        <v>0</v>
      </c>
      <c r="T70" s="485"/>
      <c r="U70" s="485"/>
      <c r="V70" s="485"/>
      <c r="W70" s="485"/>
      <c r="X70" s="497">
        <f t="shared" si="3"/>
        <v>0</v>
      </c>
      <c r="Y70" s="584" t="s">
        <v>391</v>
      </c>
      <c r="Z70" s="484">
        <f t="shared" si="4"/>
        <v>0</v>
      </c>
      <c r="AA70" s="485"/>
      <c r="AB70" s="485"/>
      <c r="AC70" s="485"/>
      <c r="AD70" s="485"/>
      <c r="AE70" s="483">
        <f t="shared" si="5"/>
        <v>1</v>
      </c>
      <c r="AF70" s="325"/>
      <c r="AG70" s="450" t="s">
        <v>309</v>
      </c>
      <c r="AH70" s="327"/>
    </row>
    <row r="71" spans="1:34" ht="15.75" thickBot="1" x14ac:dyDescent="0.3">
      <c r="A71" s="594">
        <v>12.12</v>
      </c>
      <c r="B71" s="325" t="str">
        <f>VLOOKUP(A71,'Feature Raw Data'!$A$3:$B$3922,2,FALSE)</f>
        <v>WGP&amp;RB GRBM Index Remapping (possible gfx11.5)</v>
      </c>
      <c r="C71" s="325" t="s">
        <v>328</v>
      </c>
      <c r="D71" s="326" t="str">
        <f>VLOOKUP(A71,'Feature Raw Data'!$A$3:$F$3922,6,FALSE)</f>
        <v>CTL</v>
      </c>
      <c r="E71" s="325"/>
      <c r="F71" s="325"/>
      <c r="G71" s="244" t="str">
        <f>VLOOKUP(A71,'Feature Summary'!$A$7:$C$4170,3,FALSE)</f>
        <v>P1</v>
      </c>
      <c r="H71" s="417" t="s">
        <v>392</v>
      </c>
      <c r="I71" s="448" t="s">
        <v>41</v>
      </c>
      <c r="J71" s="325"/>
      <c r="K71" s="326">
        <v>1</v>
      </c>
      <c r="L71" s="326">
        <v>4</v>
      </c>
      <c r="M71" s="582" t="str">
        <f>VLOOKUP(A71,'Feature Raw Data'!$A$3:$E$3922,5,FALSE)</f>
        <v>New</v>
      </c>
      <c r="N71" s="465">
        <v>1</v>
      </c>
      <c r="O71" s="466">
        <v>4</v>
      </c>
      <c r="P71" s="464">
        <f t="shared" ref="P71:P134" si="12">IF((L71=0),1,(O71/L71))</f>
        <v>1</v>
      </c>
      <c r="Q71" s="448" t="s">
        <v>43</v>
      </c>
      <c r="R71" s="326">
        <v>4</v>
      </c>
      <c r="S71" s="496">
        <f t="shared" ref="S71:S134" si="13">SUM(T71:W71)</f>
        <v>4</v>
      </c>
      <c r="T71" s="485">
        <v>4</v>
      </c>
      <c r="U71" s="485"/>
      <c r="V71" s="485"/>
      <c r="W71" s="485"/>
      <c r="X71" s="497">
        <f t="shared" si="3"/>
        <v>1</v>
      </c>
      <c r="Y71" s="584"/>
      <c r="Z71" s="484">
        <f t="shared" ref="Z71:Z134" si="14">SUM(AA71:AD71)</f>
        <v>0</v>
      </c>
      <c r="AA71" s="485"/>
      <c r="AB71" s="485"/>
      <c r="AC71" s="485"/>
      <c r="AD71" s="485"/>
      <c r="AE71" s="483">
        <f t="shared" si="5"/>
        <v>0</v>
      </c>
      <c r="AF71" s="325"/>
      <c r="AG71" s="450" t="s">
        <v>309</v>
      </c>
      <c r="AH71" s="327"/>
    </row>
    <row r="72" spans="1:34" ht="15.75" thickBot="1" x14ac:dyDescent="0.3">
      <c r="A72" s="576">
        <v>12.124000000000001</v>
      </c>
      <c r="B72" s="325" t="str">
        <f>VLOOKUP(A72,'Feature Raw Data'!$A$3:$B$3922,2,FALSE)</f>
        <v xml:space="preserve">CSC Group Launch guarantee </v>
      </c>
      <c r="C72" s="325" t="s">
        <v>313</v>
      </c>
      <c r="D72" s="326" t="str">
        <f>VLOOKUP(A72,'Feature Raw Data'!$A$3:$F$3922,6,FALSE)</f>
        <v>SIO</v>
      </c>
      <c r="E72" s="325"/>
      <c r="F72" s="325"/>
      <c r="G72" s="244" t="str">
        <f>VLOOKUP(A72,'Feature Summary'!$A$7:$C$4170,3,FALSE)</f>
        <v>P2</v>
      </c>
      <c r="H72" s="417" t="s">
        <v>393</v>
      </c>
      <c r="I72" s="448" t="s">
        <v>41</v>
      </c>
      <c r="J72" s="325"/>
      <c r="K72" s="326">
        <v>1</v>
      </c>
      <c r="L72" s="326">
        <v>2</v>
      </c>
      <c r="M72" s="582" t="str">
        <f>VLOOKUP(A72,'Feature Raw Data'!$A$3:$E$3922,5,FALSE)</f>
        <v>New</v>
      </c>
      <c r="N72" s="465">
        <v>1</v>
      </c>
      <c r="O72" s="466">
        <v>2</v>
      </c>
      <c r="P72" s="464">
        <f t="shared" si="12"/>
        <v>1</v>
      </c>
      <c r="Q72" s="448" t="s">
        <v>32</v>
      </c>
      <c r="R72" s="326">
        <v>2</v>
      </c>
      <c r="S72" s="496">
        <f t="shared" si="13"/>
        <v>2</v>
      </c>
      <c r="T72" s="485">
        <v>2</v>
      </c>
      <c r="U72" s="485"/>
      <c r="V72" s="485"/>
      <c r="W72" s="485"/>
      <c r="X72" s="497">
        <f t="shared" ref="X72:X135" si="15">IF((R72=0),1,((T72+U72)/R72*100%))</f>
        <v>1</v>
      </c>
      <c r="Y72" s="584"/>
      <c r="Z72" s="484">
        <f t="shared" si="14"/>
        <v>0</v>
      </c>
      <c r="AA72" s="485"/>
      <c r="AB72" s="485"/>
      <c r="AC72" s="485"/>
      <c r="AD72" s="485"/>
      <c r="AE72" s="483">
        <f t="shared" ref="AE72:AE135" si="16">IF((L72=0),1,((AA72+AB72)/L72*100%))</f>
        <v>0</v>
      </c>
      <c r="AF72" s="325"/>
      <c r="AG72" s="450" t="s">
        <v>277</v>
      </c>
      <c r="AH72" s="327"/>
    </row>
    <row r="73" spans="1:34" ht="15.75" thickBot="1" x14ac:dyDescent="0.3">
      <c r="A73" s="576">
        <v>12.125</v>
      </c>
      <c r="B73" s="325" t="str">
        <f>VLOOKUP(A73,'Feature Raw Data'!$A$3:$B$3922,2,FALSE)</f>
        <v xml:space="preserve">GFX Pipe Group Launch Guarantee </v>
      </c>
      <c r="C73" s="325" t="s">
        <v>313</v>
      </c>
      <c r="D73" s="326" t="str">
        <f>VLOOKUP(A73,'Feature Raw Data'!$A$3:$F$3922,6,FALSE)</f>
        <v>SIO</v>
      </c>
      <c r="E73" s="325"/>
      <c r="F73" s="325"/>
      <c r="G73" s="244" t="str">
        <f>VLOOKUP(A73,'Feature Summary'!$A$7:$C$4170,3,FALSE)</f>
        <v>P2</v>
      </c>
      <c r="H73" s="417" t="s">
        <v>394</v>
      </c>
      <c r="I73" s="448" t="s">
        <v>41</v>
      </c>
      <c r="J73" s="325"/>
      <c r="K73" s="326">
        <v>1</v>
      </c>
      <c r="L73" s="326">
        <v>1</v>
      </c>
      <c r="M73" s="582" t="str">
        <f>VLOOKUP(A73,'Feature Raw Data'!$A$3:$E$3922,5,FALSE)</f>
        <v>New</v>
      </c>
      <c r="N73" s="465">
        <v>1</v>
      </c>
      <c r="O73" s="466">
        <v>1</v>
      </c>
      <c r="P73" s="464">
        <f t="shared" si="12"/>
        <v>1</v>
      </c>
      <c r="Q73" s="448" t="s">
        <v>32</v>
      </c>
      <c r="R73" s="326">
        <v>1</v>
      </c>
      <c r="S73" s="496">
        <f t="shared" si="13"/>
        <v>1</v>
      </c>
      <c r="T73" s="485">
        <v>1</v>
      </c>
      <c r="U73" s="485"/>
      <c r="V73" s="485"/>
      <c r="W73" s="485"/>
      <c r="X73" s="497">
        <f t="shared" si="15"/>
        <v>1</v>
      </c>
      <c r="Y73" s="584" t="s">
        <v>395</v>
      </c>
      <c r="Z73" s="484">
        <f t="shared" si="14"/>
        <v>0</v>
      </c>
      <c r="AA73" s="485"/>
      <c r="AB73" s="485"/>
      <c r="AC73" s="485"/>
      <c r="AD73" s="485"/>
      <c r="AE73" s="483">
        <f t="shared" si="16"/>
        <v>0</v>
      </c>
      <c r="AF73" s="325"/>
      <c r="AG73" s="450" t="s">
        <v>286</v>
      </c>
      <c r="AH73" s="327"/>
    </row>
    <row r="74" spans="1:34" ht="15.75" thickBot="1" x14ac:dyDescent="0.3">
      <c r="A74" s="576">
        <v>12.128</v>
      </c>
      <c r="B74" s="325" t="str">
        <f>VLOOKUP(A74,'Feature Raw Data'!$A$3:$B$3922,2,FALSE)</f>
        <v xml:space="preserve">Packet Hardening for Microsoft Telemetry </v>
      </c>
      <c r="C74" s="325" t="s">
        <v>396</v>
      </c>
      <c r="D74" s="326" t="str">
        <f>VLOOKUP(A74,'Feature Raw Data'!$A$3:$F$3922,6,FALSE)</f>
        <v>CTL</v>
      </c>
      <c r="E74" s="325"/>
      <c r="F74" s="325"/>
      <c r="G74" s="244" t="str">
        <f>VLOOKUP(A74,'Feature Summary'!$A$7:$C$4170,3,FALSE)</f>
        <v>P1</v>
      </c>
      <c r="H74" s="417" t="s">
        <v>989</v>
      </c>
      <c r="I74" s="448" t="s">
        <v>35</v>
      </c>
      <c r="J74" s="325"/>
      <c r="K74" s="326">
        <v>1</v>
      </c>
      <c r="L74" s="326">
        <v>1</v>
      </c>
      <c r="M74" s="582" t="str">
        <f>VLOOKUP(A74,'Feature Raw Data'!$A$3:$E$3922,5,FALSE)</f>
        <v>New</v>
      </c>
      <c r="N74" s="465">
        <v>1</v>
      </c>
      <c r="O74" s="466">
        <v>1</v>
      </c>
      <c r="P74" s="464">
        <f>IF((L74=0),1,(O74/L74))</f>
        <v>1</v>
      </c>
      <c r="Q74" s="448" t="s">
        <v>32</v>
      </c>
      <c r="R74" s="326">
        <v>1</v>
      </c>
      <c r="S74" s="496">
        <f t="shared" si="13"/>
        <v>0</v>
      </c>
      <c r="T74" s="485"/>
      <c r="U74" s="485"/>
      <c r="V74" s="485"/>
      <c r="W74" s="485"/>
      <c r="X74" s="497">
        <f t="shared" si="15"/>
        <v>0</v>
      </c>
      <c r="Y74" s="584"/>
      <c r="Z74" s="484">
        <f t="shared" si="14"/>
        <v>0</v>
      </c>
      <c r="AA74" s="485"/>
      <c r="AB74" s="485"/>
      <c r="AC74" s="485"/>
      <c r="AD74" s="485"/>
      <c r="AE74" s="483">
        <f t="shared" si="16"/>
        <v>0</v>
      </c>
      <c r="AF74" s="325"/>
      <c r="AG74" s="450" t="s">
        <v>309</v>
      </c>
      <c r="AH74" s="327"/>
    </row>
    <row r="75" spans="1:34" ht="15.75" thickBot="1" x14ac:dyDescent="0.3">
      <c r="A75" s="576">
        <v>12.13</v>
      </c>
      <c r="B75" s="325" t="str">
        <f>VLOOKUP(A75,'Feature Raw Data'!$A$3:$B$3922,2,FALSE)</f>
        <v xml:space="preserve">add TCP out of order response support </v>
      </c>
      <c r="C75" s="325" t="s">
        <v>379</v>
      </c>
      <c r="D75" s="326" t="str">
        <f>VLOOKUP(A75,'Feature Raw Data'!$A$3:$F$3922,6,FALSE)</f>
        <v>CMM</v>
      </c>
      <c r="E75" s="325"/>
      <c r="F75" s="325"/>
      <c r="G75" s="244" t="str">
        <f>VLOOKUP(A75,'Feature Summary'!$A$7:$C$4170,3,FALSE)</f>
        <v>P1</v>
      </c>
      <c r="H75" s="417" t="s">
        <v>397</v>
      </c>
      <c r="I75" s="448" t="s">
        <v>41</v>
      </c>
      <c r="J75" s="325"/>
      <c r="K75" s="326">
        <v>1</v>
      </c>
      <c r="L75" s="326">
        <v>2</v>
      </c>
      <c r="M75" s="582" t="str">
        <f>VLOOKUP(A75,'Feature Raw Data'!$A$3:$E$3922,5,FALSE)</f>
        <v>New</v>
      </c>
      <c r="N75" s="465">
        <v>1</v>
      </c>
      <c r="O75" s="466">
        <v>2</v>
      </c>
      <c r="P75" s="464">
        <f t="shared" si="12"/>
        <v>1</v>
      </c>
      <c r="Q75" s="448" t="s">
        <v>32</v>
      </c>
      <c r="R75" s="326">
        <v>1</v>
      </c>
      <c r="S75" s="496">
        <f t="shared" si="13"/>
        <v>0</v>
      </c>
      <c r="T75" s="485"/>
      <c r="U75" s="485"/>
      <c r="V75" s="485"/>
      <c r="W75" s="485"/>
      <c r="X75" s="497">
        <f t="shared" si="15"/>
        <v>0</v>
      </c>
      <c r="Y75" s="584"/>
      <c r="Z75" s="484">
        <f t="shared" si="14"/>
        <v>0</v>
      </c>
      <c r="AA75" s="485"/>
      <c r="AB75" s="485"/>
      <c r="AC75" s="485"/>
      <c r="AD75" s="485"/>
      <c r="AE75" s="483">
        <f t="shared" si="16"/>
        <v>0</v>
      </c>
      <c r="AF75" s="325"/>
      <c r="AG75" s="450" t="s">
        <v>312</v>
      </c>
      <c r="AH75" s="327"/>
    </row>
    <row r="76" spans="1:34" ht="15.75" thickBot="1" x14ac:dyDescent="0.3">
      <c r="A76" s="594">
        <v>12.132</v>
      </c>
      <c r="B76" s="325" t="str">
        <f>VLOOKUP(A76,'Feature Raw Data'!$A$3:$B$3922,2,FALSE)</f>
        <v xml:space="preserve">CP/RLC/SDMA 40-bit Register Addressing to GRBM&lt;&gt;RSMU </v>
      </c>
      <c r="C76" s="325" t="s">
        <v>398</v>
      </c>
      <c r="D76" s="326" t="str">
        <f>VLOOKUP(A76,'Feature Raw Data'!$A$3:$F$3922,6,FALSE)</f>
        <v>CTL</v>
      </c>
      <c r="E76" s="325"/>
      <c r="F76" s="325"/>
      <c r="G76" s="244" t="str">
        <f>VLOOKUP(A76,'Feature Summary'!$A$7:$C$4170,3,FALSE)</f>
        <v>P1</v>
      </c>
      <c r="H76" s="417" t="s">
        <v>399</v>
      </c>
      <c r="I76" s="448" t="s">
        <v>41</v>
      </c>
      <c r="J76" s="325"/>
      <c r="K76" s="326">
        <v>1</v>
      </c>
      <c r="L76" s="326">
        <v>2</v>
      </c>
      <c r="M76" s="582" t="str">
        <f>VLOOKUP(A76,'Feature Raw Data'!$A$3:$E$3922,5,FALSE)</f>
        <v>New</v>
      </c>
      <c r="N76" s="465">
        <v>1</v>
      </c>
      <c r="O76" s="466">
        <v>2</v>
      </c>
      <c r="P76" s="464">
        <f t="shared" si="12"/>
        <v>1</v>
      </c>
      <c r="Q76" s="448" t="s">
        <v>43</v>
      </c>
      <c r="R76" s="326">
        <v>2</v>
      </c>
      <c r="S76" s="496">
        <f t="shared" si="13"/>
        <v>0</v>
      </c>
      <c r="T76" s="485"/>
      <c r="U76" s="485"/>
      <c r="V76" s="485"/>
      <c r="W76" s="485"/>
      <c r="X76" s="497">
        <f t="shared" si="15"/>
        <v>0</v>
      </c>
      <c r="Y76" s="584"/>
      <c r="Z76" s="484">
        <f t="shared" si="14"/>
        <v>0</v>
      </c>
      <c r="AA76" s="485"/>
      <c r="AB76" s="485"/>
      <c r="AC76" s="485"/>
      <c r="AD76" s="485"/>
      <c r="AE76" s="483">
        <f t="shared" si="16"/>
        <v>0</v>
      </c>
      <c r="AF76" s="325"/>
      <c r="AG76" s="450" t="s">
        <v>346</v>
      </c>
      <c r="AH76" s="327"/>
    </row>
    <row r="77" spans="1:34" ht="15.75" thickBot="1" x14ac:dyDescent="0.3">
      <c r="A77" s="576">
        <v>12.132999999999999</v>
      </c>
      <c r="B77" s="325" t="str">
        <f>VLOOKUP(A77,'Feature Raw Data'!$A$3:$B$3922,2,FALSE)</f>
        <v xml:space="preserve">Removal of Clear State Context 0 and reclamation for rendering </v>
      </c>
      <c r="C77" s="325" t="s">
        <v>398</v>
      </c>
      <c r="D77" s="326" t="str">
        <f>VLOOKUP(A77,'Feature Raw Data'!$A$3:$F$3922,6,FALSE)</f>
        <v>CTL</v>
      </c>
      <c r="E77" s="325"/>
      <c r="F77" s="325"/>
      <c r="G77" s="244" t="str">
        <f>VLOOKUP(A77,'Feature Summary'!$A$7:$C$4170,3,FALSE)</f>
        <v>P1</v>
      </c>
      <c r="H77" s="417" t="s">
        <v>400</v>
      </c>
      <c r="I77" s="448" t="s">
        <v>41</v>
      </c>
      <c r="J77" s="325"/>
      <c r="K77" s="326">
        <v>1</v>
      </c>
      <c r="L77" s="326">
        <v>1</v>
      </c>
      <c r="M77" s="582" t="str">
        <f>VLOOKUP(A77,'Feature Raw Data'!$A$3:$E$3922,5,FALSE)</f>
        <v>New</v>
      </c>
      <c r="N77" s="465">
        <v>1</v>
      </c>
      <c r="O77" s="466">
        <v>1</v>
      </c>
      <c r="P77" s="464">
        <v>1</v>
      </c>
      <c r="Q77" s="448" t="s">
        <v>32</v>
      </c>
      <c r="R77" s="326">
        <v>1</v>
      </c>
      <c r="S77" s="496">
        <f t="shared" si="13"/>
        <v>0</v>
      </c>
      <c r="T77" s="485"/>
      <c r="U77" s="485"/>
      <c r="V77" s="485"/>
      <c r="W77" s="485"/>
      <c r="X77" s="497">
        <f t="shared" si="15"/>
        <v>0</v>
      </c>
      <c r="Y77" s="584"/>
      <c r="Z77" s="484">
        <f t="shared" si="14"/>
        <v>0</v>
      </c>
      <c r="AA77" s="485"/>
      <c r="AB77" s="485"/>
      <c r="AC77" s="485"/>
      <c r="AD77" s="485"/>
      <c r="AE77" s="483">
        <f t="shared" si="16"/>
        <v>0</v>
      </c>
      <c r="AF77" s="325"/>
      <c r="AG77" s="450" t="s">
        <v>309</v>
      </c>
      <c r="AH77" s="327"/>
    </row>
    <row r="78" spans="1:34" ht="15.75" thickBot="1" x14ac:dyDescent="0.3">
      <c r="A78" s="576">
        <v>12.134</v>
      </c>
      <c r="B78" s="325" t="str">
        <f>VLOOKUP(A78,'Feature Raw Data'!$A$3:$B$3922,2,FALSE)</f>
        <v xml:space="preserve">MES Handling Doorbell Misses </v>
      </c>
      <c r="C78" s="325" t="s">
        <v>398</v>
      </c>
      <c r="D78" s="326" t="str">
        <f>VLOOKUP(A78,'Feature Raw Data'!$A$3:$F$3922,6,FALSE)</f>
        <v>CTL</v>
      </c>
      <c r="E78" s="325"/>
      <c r="F78" s="325"/>
      <c r="G78" s="244" t="str">
        <f>VLOOKUP(A78,'Feature Summary'!$A$7:$C$4170,3,FALSE)</f>
        <v>P1</v>
      </c>
      <c r="H78" s="417" t="s">
        <v>999</v>
      </c>
      <c r="I78" s="448" t="s">
        <v>41</v>
      </c>
      <c r="J78" s="325"/>
      <c r="K78" s="326">
        <v>1</v>
      </c>
      <c r="L78" s="326">
        <v>1</v>
      </c>
      <c r="M78" s="582" t="str">
        <f>VLOOKUP(A78,'Feature Raw Data'!$A$3:$E$3922,5,FALSE)</f>
        <v>New</v>
      </c>
      <c r="N78" s="465">
        <v>1</v>
      </c>
      <c r="O78" s="466">
        <v>0</v>
      </c>
      <c r="P78" s="464">
        <f t="shared" si="12"/>
        <v>0</v>
      </c>
      <c r="Q78" s="448" t="s">
        <v>32</v>
      </c>
      <c r="R78" s="326">
        <v>1</v>
      </c>
      <c r="S78" s="496">
        <f t="shared" si="13"/>
        <v>0</v>
      </c>
      <c r="T78" s="485"/>
      <c r="U78" s="485"/>
      <c r="V78" s="485"/>
      <c r="W78" s="485"/>
      <c r="X78" s="497">
        <f t="shared" si="15"/>
        <v>0</v>
      </c>
      <c r="Y78" s="584"/>
      <c r="Z78" s="484">
        <f t="shared" si="14"/>
        <v>0</v>
      </c>
      <c r="AA78" s="485"/>
      <c r="AB78" s="485"/>
      <c r="AC78" s="485"/>
      <c r="AD78" s="485"/>
      <c r="AE78" s="483">
        <f t="shared" si="16"/>
        <v>0</v>
      </c>
      <c r="AF78" s="325"/>
      <c r="AG78" s="450" t="s">
        <v>309</v>
      </c>
      <c r="AH78" s="327"/>
    </row>
    <row r="79" spans="1:34" ht="15.75" thickBot="1" x14ac:dyDescent="0.3">
      <c r="A79" s="576">
        <v>12.138999999999999</v>
      </c>
      <c r="B79" s="325" t="str">
        <f>VLOOKUP(A79,'Feature Raw Data'!$A$3:$B$3922,2,FALSE)</f>
        <v xml:space="preserve">Simplify software debugger register change process </v>
      </c>
      <c r="C79" s="325" t="s">
        <v>313</v>
      </c>
      <c r="D79" s="326" t="str">
        <f>VLOOKUP(A79,'Feature Raw Data'!$A$3:$F$3922,6,FALSE)</f>
        <v>SIO</v>
      </c>
      <c r="E79" s="325"/>
      <c r="F79" s="325"/>
      <c r="G79" s="244" t="str">
        <f>VLOOKUP(A79,'Feature Summary'!$A$7:$C$4170,3,FALSE)</f>
        <v>P1</v>
      </c>
      <c r="H79" s="417" t="s">
        <v>401</v>
      </c>
      <c r="I79" s="448" t="s">
        <v>41</v>
      </c>
      <c r="J79" s="325"/>
      <c r="K79" s="326">
        <v>1</v>
      </c>
      <c r="L79" s="326">
        <v>2</v>
      </c>
      <c r="M79" s="582" t="str">
        <f>VLOOKUP(A79,'Feature Raw Data'!$A$3:$E$3922,5,FALSE)</f>
        <v>New</v>
      </c>
      <c r="N79" s="465">
        <v>1</v>
      </c>
      <c r="O79" s="466">
        <v>2</v>
      </c>
      <c r="P79" s="464">
        <f t="shared" si="12"/>
        <v>1</v>
      </c>
      <c r="Q79" s="448" t="s">
        <v>32</v>
      </c>
      <c r="R79" s="326">
        <v>2</v>
      </c>
      <c r="S79" s="496">
        <f t="shared" si="13"/>
        <v>2</v>
      </c>
      <c r="T79" s="485">
        <v>2</v>
      </c>
      <c r="U79" s="485"/>
      <c r="V79" s="485"/>
      <c r="W79" s="485"/>
      <c r="X79" s="497">
        <f t="shared" si="15"/>
        <v>1</v>
      </c>
      <c r="Y79" s="584"/>
      <c r="Z79" s="484">
        <f t="shared" si="14"/>
        <v>0</v>
      </c>
      <c r="AA79" s="485"/>
      <c r="AB79" s="485"/>
      <c r="AC79" s="485"/>
      <c r="AD79" s="485"/>
      <c r="AE79" s="483">
        <f t="shared" si="16"/>
        <v>0</v>
      </c>
      <c r="AF79" s="325"/>
      <c r="AG79" s="450" t="s">
        <v>312</v>
      </c>
      <c r="AH79" s="327"/>
    </row>
    <row r="80" spans="1:34" ht="105.75" thickBot="1" x14ac:dyDescent="0.3">
      <c r="A80" s="594">
        <v>12.141999999999999</v>
      </c>
      <c r="B80" s="325" t="str">
        <f>VLOOKUP(A80,'Feature Raw Data'!$A$3:$B$3922,2,FALSE)</f>
        <v xml:space="preserve">Double shader DOT Int4 and Int8 rates </v>
      </c>
      <c r="C80" s="325" t="s">
        <v>366</v>
      </c>
      <c r="D80" s="326" t="str">
        <f>VLOOKUP(A80,'Feature Raw Data'!$A$3:$F$3922,6,FALSE)</f>
        <v>SH</v>
      </c>
      <c r="E80" s="325"/>
      <c r="F80" s="325"/>
      <c r="G80" s="244" t="str">
        <f>VLOOKUP(A80,'Feature Summary'!$A$7:$C$4170,3,FALSE)</f>
        <v>P1</v>
      </c>
      <c r="H80" s="587" t="s">
        <v>402</v>
      </c>
      <c r="I80" s="448" t="s">
        <v>35</v>
      </c>
      <c r="J80" s="325"/>
      <c r="K80" s="326">
        <v>1</v>
      </c>
      <c r="L80" s="326">
        <v>7</v>
      </c>
      <c r="M80" s="582" t="str">
        <f>VLOOKUP(A80,'Feature Raw Data'!$A$3:$E$3922,5,FALSE)</f>
        <v>Delta</v>
      </c>
      <c r="N80" s="465">
        <v>1</v>
      </c>
      <c r="O80" s="466">
        <v>7</v>
      </c>
      <c r="P80" s="464">
        <f t="shared" si="12"/>
        <v>1</v>
      </c>
      <c r="Q80" s="448" t="s">
        <v>43</v>
      </c>
      <c r="R80" s="326">
        <v>7</v>
      </c>
      <c r="S80" s="496">
        <f t="shared" si="13"/>
        <v>7</v>
      </c>
      <c r="T80" s="485">
        <v>7</v>
      </c>
      <c r="U80" s="485"/>
      <c r="V80" s="485"/>
      <c r="W80" s="485"/>
      <c r="X80" s="497">
        <f t="shared" si="15"/>
        <v>1</v>
      </c>
      <c r="Y80" s="589" t="s">
        <v>403</v>
      </c>
      <c r="Z80" s="484">
        <f t="shared" si="14"/>
        <v>7</v>
      </c>
      <c r="AA80" s="485">
        <v>7</v>
      </c>
      <c r="AB80" s="485"/>
      <c r="AC80" s="485"/>
      <c r="AD80" s="485"/>
      <c r="AE80" s="483">
        <f t="shared" si="16"/>
        <v>1</v>
      </c>
      <c r="AF80" s="325"/>
      <c r="AG80" s="450" t="s">
        <v>377</v>
      </c>
      <c r="AH80" s="327"/>
    </row>
    <row r="81" spans="1:34" ht="15.75" thickBot="1" x14ac:dyDescent="0.3">
      <c r="A81" s="576">
        <v>12.143000000000001</v>
      </c>
      <c r="B81" s="325" t="str">
        <f>VLOOKUP(A81,'Feature Raw Data'!$A$3:$B$3922,2,FALSE)</f>
        <v xml:space="preserve">Remove SA Affinity for Pixel Shaders </v>
      </c>
      <c r="C81" s="325" t="s">
        <v>328</v>
      </c>
      <c r="D81" s="326" t="str">
        <f>VLOOKUP(A81,'Feature Raw Data'!$A$3:$F$3922,6,FALSE)</f>
        <v>SIO</v>
      </c>
      <c r="E81" s="325"/>
      <c r="F81" s="325"/>
      <c r="G81" s="244" t="str">
        <f>VLOOKUP(A81,'Feature Summary'!$A$7:$C$4170,3,FALSE)</f>
        <v>P1</v>
      </c>
      <c r="H81" s="417" t="s">
        <v>47</v>
      </c>
      <c r="I81" s="448" t="s">
        <v>47</v>
      </c>
      <c r="J81" s="325"/>
      <c r="K81" s="326">
        <v>1</v>
      </c>
      <c r="L81" s="326">
        <v>0</v>
      </c>
      <c r="M81" s="582" t="str">
        <f>VLOOKUP(A81,'Feature Raw Data'!$A$3:$E$3922,5,FALSE)</f>
        <v>New</v>
      </c>
      <c r="N81" s="465">
        <v>1</v>
      </c>
      <c r="O81" s="466"/>
      <c r="P81" s="464">
        <f t="shared" si="12"/>
        <v>1</v>
      </c>
      <c r="Q81" s="448" t="s">
        <v>47</v>
      </c>
      <c r="R81" s="326">
        <v>0</v>
      </c>
      <c r="S81" s="496">
        <f t="shared" si="13"/>
        <v>0</v>
      </c>
      <c r="T81" s="485"/>
      <c r="U81" s="485"/>
      <c r="V81" s="485"/>
      <c r="W81" s="485"/>
      <c r="X81" s="497">
        <f t="shared" si="15"/>
        <v>1</v>
      </c>
      <c r="Y81" s="584" t="s">
        <v>404</v>
      </c>
      <c r="Z81" s="484">
        <f t="shared" si="14"/>
        <v>0</v>
      </c>
      <c r="AA81" s="485"/>
      <c r="AB81" s="485"/>
      <c r="AC81" s="485"/>
      <c r="AD81" s="485"/>
      <c r="AE81" s="483">
        <f t="shared" si="16"/>
        <v>1</v>
      </c>
      <c r="AF81" s="325"/>
      <c r="AG81" s="450" t="s">
        <v>47</v>
      </c>
      <c r="AH81" s="327"/>
    </row>
    <row r="82" spans="1:34" ht="15.75" thickBot="1" x14ac:dyDescent="0.3">
      <c r="A82" s="576">
        <v>12.146000000000001</v>
      </c>
      <c r="B82" s="325" t="str">
        <f>VLOOKUP(A82,'Feature Raw Data'!$A$3:$B$3922,2,FALSE)</f>
        <v xml:space="preserve">RS64 L0 Instr Cache </v>
      </c>
      <c r="C82" s="325" t="s">
        <v>319</v>
      </c>
      <c r="D82" s="326" t="str">
        <f>VLOOKUP(A82,'Feature Raw Data'!$A$3:$F$3922,6,FALSE)</f>
        <v>CTL</v>
      </c>
      <c r="E82" s="325"/>
      <c r="F82" s="325"/>
      <c r="G82" s="244" t="str">
        <f>VLOOKUP(A82,'Feature Summary'!$A$7:$C$4170,3,FALSE)</f>
        <v>P1</v>
      </c>
      <c r="H82" s="417" t="s">
        <v>405</v>
      </c>
      <c r="I82" s="448" t="s">
        <v>41</v>
      </c>
      <c r="J82" s="325"/>
      <c r="K82" s="326">
        <v>1</v>
      </c>
      <c r="L82" s="326">
        <v>2</v>
      </c>
      <c r="M82" s="582" t="str">
        <f>VLOOKUP(A82,'Feature Raw Data'!$A$3:$E$3922,5,FALSE)</f>
        <v>New</v>
      </c>
      <c r="N82" s="465">
        <v>1</v>
      </c>
      <c r="O82" s="466">
        <v>2</v>
      </c>
      <c r="P82" s="464">
        <f t="shared" si="12"/>
        <v>1</v>
      </c>
      <c r="Q82" s="448" t="s">
        <v>32</v>
      </c>
      <c r="R82" s="326">
        <v>2</v>
      </c>
      <c r="S82" s="496">
        <f t="shared" si="13"/>
        <v>2</v>
      </c>
      <c r="T82" s="485">
        <v>1</v>
      </c>
      <c r="U82" s="485"/>
      <c r="V82" s="485">
        <v>1</v>
      </c>
      <c r="W82" s="485"/>
      <c r="X82" s="497">
        <f t="shared" si="15"/>
        <v>0.5</v>
      </c>
      <c r="Y82" s="584"/>
      <c r="Z82" s="484">
        <f t="shared" si="14"/>
        <v>1</v>
      </c>
      <c r="AA82" s="485">
        <v>1</v>
      </c>
      <c r="AB82" s="485"/>
      <c r="AC82" s="485"/>
      <c r="AD82" s="485"/>
      <c r="AE82" s="483">
        <f t="shared" si="16"/>
        <v>0.5</v>
      </c>
      <c r="AF82" s="325"/>
      <c r="AG82" s="450" t="s">
        <v>309</v>
      </c>
      <c r="AH82" s="327"/>
    </row>
    <row r="83" spans="1:34" ht="15.75" thickBot="1" x14ac:dyDescent="0.3">
      <c r="A83" s="576">
        <v>12.148</v>
      </c>
      <c r="B83" s="325" t="str">
        <f>VLOOKUP(A83,'Feature Raw Data'!$A$3:$B$3922,2,FALSE)</f>
        <v xml:space="preserve">RS64 L0 Data Cache </v>
      </c>
      <c r="C83" s="325" t="s">
        <v>319</v>
      </c>
      <c r="D83" s="326" t="str">
        <f>VLOOKUP(A83,'Feature Raw Data'!$A$3:$F$3922,6,FALSE)</f>
        <v>CTL</v>
      </c>
      <c r="E83" s="325"/>
      <c r="F83" s="325"/>
      <c r="G83" s="244" t="str">
        <f>VLOOKUP(A83,'Feature Summary'!$A$7:$C$4170,3,FALSE)</f>
        <v>P1</v>
      </c>
      <c r="H83" s="417" t="s">
        <v>405</v>
      </c>
      <c r="I83" s="448" t="s">
        <v>41</v>
      </c>
      <c r="J83" s="325"/>
      <c r="K83" s="326">
        <v>1</v>
      </c>
      <c r="L83" s="326">
        <v>2</v>
      </c>
      <c r="M83" s="582" t="str">
        <f>VLOOKUP(A83,'Feature Raw Data'!$A$3:$E$3922,5,FALSE)</f>
        <v>New</v>
      </c>
      <c r="N83" s="465">
        <v>1</v>
      </c>
      <c r="O83" s="466">
        <v>2</v>
      </c>
      <c r="P83" s="464">
        <f t="shared" si="12"/>
        <v>1</v>
      </c>
      <c r="Q83" s="448" t="s">
        <v>32</v>
      </c>
      <c r="R83" s="326">
        <v>2</v>
      </c>
      <c r="S83" s="496">
        <f t="shared" si="13"/>
        <v>2</v>
      </c>
      <c r="T83" s="485">
        <v>1</v>
      </c>
      <c r="U83" s="485"/>
      <c r="V83" s="485">
        <v>1</v>
      </c>
      <c r="W83" s="485"/>
      <c r="X83" s="497">
        <f t="shared" si="15"/>
        <v>0.5</v>
      </c>
      <c r="Y83" s="584"/>
      <c r="Z83" s="484">
        <f t="shared" si="14"/>
        <v>1</v>
      </c>
      <c r="AA83" s="485">
        <v>1</v>
      </c>
      <c r="AB83" s="485"/>
      <c r="AC83" s="485"/>
      <c r="AD83" s="485"/>
      <c r="AE83" s="483">
        <f t="shared" si="16"/>
        <v>0.5</v>
      </c>
      <c r="AF83" s="325"/>
      <c r="AG83" s="450" t="s">
        <v>309</v>
      </c>
      <c r="AH83" s="327"/>
    </row>
    <row r="84" spans="1:34" ht="15.75" thickBot="1" x14ac:dyDescent="0.3">
      <c r="A84" s="576">
        <v>12.15</v>
      </c>
      <c r="B84" s="325" t="str">
        <f>VLOOKUP(A84,'Feature Raw Data'!$A$3:$B$3922,2,FALSE)</f>
        <v xml:space="preserve">RS64 Bit Manip Instructions </v>
      </c>
      <c r="C84" s="325" t="s">
        <v>319</v>
      </c>
      <c r="D84" s="326" t="str">
        <f>VLOOKUP(A84,'Feature Raw Data'!$A$3:$F$3922,6,FALSE)</f>
        <v>CTL</v>
      </c>
      <c r="E84" s="325"/>
      <c r="F84" s="325"/>
      <c r="G84" s="244" t="str">
        <f>VLOOKUP(A84,'Feature Summary'!$A$7:$C$4170,3,FALSE)</f>
        <v>P1</v>
      </c>
      <c r="H84" s="417" t="s">
        <v>406</v>
      </c>
      <c r="I84" s="448" t="s">
        <v>35</v>
      </c>
      <c r="J84" s="325"/>
      <c r="K84" s="326">
        <v>1</v>
      </c>
      <c r="L84" s="326">
        <v>1</v>
      </c>
      <c r="M84" s="582" t="str">
        <f>VLOOKUP(A84,'Feature Raw Data'!$A$3:$E$3922,5,FALSE)</f>
        <v>New</v>
      </c>
      <c r="N84" s="465">
        <v>1</v>
      </c>
      <c r="O84" s="466">
        <v>1</v>
      </c>
      <c r="P84" s="464">
        <f t="shared" si="12"/>
        <v>1</v>
      </c>
      <c r="Q84" s="448" t="s">
        <v>43</v>
      </c>
      <c r="R84" s="326">
        <v>1</v>
      </c>
      <c r="S84" s="496">
        <f t="shared" si="13"/>
        <v>1</v>
      </c>
      <c r="T84" s="485">
        <v>1</v>
      </c>
      <c r="U84" s="485"/>
      <c r="V84" s="485"/>
      <c r="W84" s="485"/>
      <c r="X84" s="497">
        <f t="shared" si="15"/>
        <v>1</v>
      </c>
      <c r="Y84" s="584" t="s">
        <v>407</v>
      </c>
      <c r="Z84" s="484">
        <f t="shared" si="14"/>
        <v>0</v>
      </c>
      <c r="AA84" s="485"/>
      <c r="AB84" s="485"/>
      <c r="AC84" s="485"/>
      <c r="AD84" s="485"/>
      <c r="AE84" s="483">
        <f t="shared" si="16"/>
        <v>0</v>
      </c>
      <c r="AF84" s="325"/>
      <c r="AG84" s="450" t="s">
        <v>309</v>
      </c>
      <c r="AH84" s="327"/>
    </row>
    <row r="85" spans="1:34" ht="15.75" thickBot="1" x14ac:dyDescent="0.3">
      <c r="A85" s="576">
        <v>12.151999999999999</v>
      </c>
      <c r="B85" s="325" t="str">
        <f>VLOOKUP(A85,'Feature Raw Data'!$A$3:$B$3922,2,FALSE)</f>
        <v>RS64 Dynamic TMR Loading</v>
      </c>
      <c r="C85" s="325" t="s">
        <v>379</v>
      </c>
      <c r="D85" s="326" t="str">
        <f>VLOOKUP(A85,'Feature Raw Data'!$A$3:$F$3922,6,FALSE)</f>
        <v>CTL</v>
      </c>
      <c r="E85" s="325"/>
      <c r="F85" s="325"/>
      <c r="G85" s="244" t="str">
        <f>VLOOKUP(A85,'Feature Summary'!$A$7:$C$4170,3,FALSE)</f>
        <v>P1</v>
      </c>
      <c r="H85" s="417" t="s">
        <v>47</v>
      </c>
      <c r="I85" s="448" t="s">
        <v>47</v>
      </c>
      <c r="J85" s="325"/>
      <c r="K85" s="326">
        <v>1</v>
      </c>
      <c r="L85" s="326">
        <v>0</v>
      </c>
      <c r="M85" s="582" t="str">
        <f>VLOOKUP(A85,'Feature Raw Data'!$A$3:$E$3922,5,FALSE)</f>
        <v>New</v>
      </c>
      <c r="N85" s="465">
        <v>1</v>
      </c>
      <c r="O85" s="466"/>
      <c r="P85" s="464">
        <f t="shared" si="12"/>
        <v>1</v>
      </c>
      <c r="Q85" s="448" t="s">
        <v>47</v>
      </c>
      <c r="R85" s="326">
        <v>0</v>
      </c>
      <c r="S85" s="496">
        <f t="shared" si="13"/>
        <v>0</v>
      </c>
      <c r="T85" s="485"/>
      <c r="U85" s="485"/>
      <c r="V85" s="485"/>
      <c r="W85" s="485"/>
      <c r="X85" s="497">
        <f t="shared" si="15"/>
        <v>1</v>
      </c>
      <c r="Y85" s="584" t="s">
        <v>385</v>
      </c>
      <c r="Z85" s="484">
        <f t="shared" si="14"/>
        <v>0</v>
      </c>
      <c r="AA85" s="485"/>
      <c r="AB85" s="485"/>
      <c r="AC85" s="485"/>
      <c r="AD85" s="485"/>
      <c r="AE85" s="483">
        <f t="shared" si="16"/>
        <v>1</v>
      </c>
      <c r="AF85" s="325"/>
      <c r="AG85" s="450" t="s">
        <v>47</v>
      </c>
      <c r="AH85" s="327"/>
    </row>
    <row r="86" spans="1:34" ht="15.75" thickBot="1" x14ac:dyDescent="0.3">
      <c r="A86" s="576">
        <v>12.157</v>
      </c>
      <c r="B86" s="325" t="str">
        <f>VLOOKUP(A86,'Feature Raw Data'!$A$3:$B$3922,2,FALSE)</f>
        <v>Shader pseudo-scalar trans ops (M2 item)</v>
      </c>
      <c r="C86" s="325" t="s">
        <v>366</v>
      </c>
      <c r="D86" s="326" t="str">
        <f>VLOOKUP(A86,'Feature Raw Data'!$A$3:$F$3922,6,FALSE)</f>
        <v>SH</v>
      </c>
      <c r="E86" s="325"/>
      <c r="F86" s="325"/>
      <c r="G86" s="244" t="str">
        <f>VLOOKUP(A86,'Feature Summary'!$A$7:$C$4170,3,FALSE)</f>
        <v>P2</v>
      </c>
      <c r="H86" s="417" t="s">
        <v>408</v>
      </c>
      <c r="I86" s="448" t="s">
        <v>35</v>
      </c>
      <c r="J86" s="325"/>
      <c r="K86" s="326">
        <v>1</v>
      </c>
      <c r="L86" s="326">
        <v>10</v>
      </c>
      <c r="M86" s="582" t="str">
        <f>VLOOKUP(A86,'Feature Raw Data'!$A$3:$E$3922,5,FALSE)</f>
        <v>New</v>
      </c>
      <c r="N86" s="465">
        <v>1</v>
      </c>
      <c r="O86" s="466">
        <v>10</v>
      </c>
      <c r="P86" s="464">
        <f t="shared" si="12"/>
        <v>1</v>
      </c>
      <c r="Q86" s="448" t="s">
        <v>32</v>
      </c>
      <c r="R86" s="326">
        <v>10</v>
      </c>
      <c r="S86" s="496">
        <f t="shared" si="13"/>
        <v>10</v>
      </c>
      <c r="T86" s="485">
        <v>10</v>
      </c>
      <c r="U86" s="485"/>
      <c r="V86" s="485"/>
      <c r="W86" s="485"/>
      <c r="X86" s="497">
        <f t="shared" si="15"/>
        <v>1</v>
      </c>
      <c r="Y86" s="589" t="s">
        <v>409</v>
      </c>
      <c r="Z86" s="484">
        <f t="shared" si="14"/>
        <v>10</v>
      </c>
      <c r="AA86" s="485">
        <v>10</v>
      </c>
      <c r="AB86" s="485"/>
      <c r="AC86" s="485"/>
      <c r="AD86" s="485"/>
      <c r="AE86" s="483">
        <f t="shared" si="16"/>
        <v>1</v>
      </c>
      <c r="AF86" s="325"/>
      <c r="AG86" s="450" t="s">
        <v>354</v>
      </c>
      <c r="AH86" s="327"/>
    </row>
    <row r="87" spans="1:34" ht="15.75" thickBot="1" x14ac:dyDescent="0.3">
      <c r="A87" s="576">
        <v>12.159000000000001</v>
      </c>
      <c r="B87" s="325" t="str">
        <f>VLOOKUP(A87,'Feature Raw Data'!$A$3:$B$3922,2,FALSE)</f>
        <v>Shader reduce VGPR writes (M2 item, evaluate for gaming)</v>
      </c>
      <c r="C87" s="325" t="s">
        <v>366</v>
      </c>
      <c r="D87" s="326" t="str">
        <f>VLOOKUP(A87,'Feature Raw Data'!$A$3:$F$3922,6,FALSE)</f>
        <v>SH</v>
      </c>
      <c r="E87" s="325"/>
      <c r="F87" s="325"/>
      <c r="G87" s="244" t="str">
        <f>VLOOKUP(A87,'Feature Summary'!$A$7:$C$4170,3,FALSE)</f>
        <v>P1</v>
      </c>
      <c r="H87" s="417" t="s">
        <v>410</v>
      </c>
      <c r="I87" s="448" t="s">
        <v>41</v>
      </c>
      <c r="J87" s="325"/>
      <c r="K87" s="326">
        <v>1</v>
      </c>
      <c r="L87" s="326">
        <v>5</v>
      </c>
      <c r="M87" s="582" t="str">
        <f>VLOOKUP(A87,'Feature Raw Data'!$A$3:$E$3922,5,FALSE)</f>
        <v>New</v>
      </c>
      <c r="N87" s="465">
        <v>1</v>
      </c>
      <c r="O87" s="466">
        <v>5</v>
      </c>
      <c r="P87" s="464">
        <f t="shared" si="12"/>
        <v>1</v>
      </c>
      <c r="Q87" s="448" t="s">
        <v>43</v>
      </c>
      <c r="R87" s="326">
        <v>5</v>
      </c>
      <c r="S87" s="496">
        <f t="shared" si="13"/>
        <v>5</v>
      </c>
      <c r="T87" s="485">
        <v>5</v>
      </c>
      <c r="U87" s="485"/>
      <c r="V87" s="485"/>
      <c r="W87" s="485"/>
      <c r="X87" s="497">
        <f t="shared" si="15"/>
        <v>1</v>
      </c>
      <c r="Y87" s="449"/>
      <c r="Z87" s="484">
        <f t="shared" si="14"/>
        <v>5</v>
      </c>
      <c r="AA87" s="485">
        <v>5</v>
      </c>
      <c r="AB87" s="485"/>
      <c r="AC87" s="485"/>
      <c r="AD87" s="485"/>
      <c r="AE87" s="483">
        <f t="shared" si="16"/>
        <v>1</v>
      </c>
      <c r="AF87" s="325"/>
      <c r="AG87" s="450" t="s">
        <v>377</v>
      </c>
      <c r="AH87" s="327"/>
    </row>
    <row r="88" spans="1:34" ht="15.75" thickBot="1" x14ac:dyDescent="0.3">
      <c r="A88" s="576">
        <v>12.16</v>
      </c>
      <c r="B88" s="325" t="str">
        <f>VLOOKUP(A88,'Feature Raw Data'!$A$3:$B$3922,2,FALSE)</f>
        <v>Shader double wave64 VINTERP rate (por gfx11.5, evaluate gaming)</v>
      </c>
      <c r="C88" s="325" t="s">
        <v>366</v>
      </c>
      <c r="D88" s="326" t="str">
        <f>VLOOKUP(A88,'Feature Raw Data'!$A$3:$F$3922,6,FALSE)</f>
        <v>SH</v>
      </c>
      <c r="E88" s="325"/>
      <c r="F88" s="325"/>
      <c r="G88" s="244" t="str">
        <f>VLOOKUP(A88,'Feature Summary'!$A$7:$C$4170,3,FALSE)</f>
        <v>P2</v>
      </c>
      <c r="H88" s="417" t="s">
        <v>411</v>
      </c>
      <c r="I88" s="448" t="s">
        <v>41</v>
      </c>
      <c r="J88" s="325"/>
      <c r="K88" s="326">
        <v>1</v>
      </c>
      <c r="L88" s="326">
        <v>1</v>
      </c>
      <c r="M88" s="582" t="str">
        <f>VLOOKUP(A88,'Feature Raw Data'!$A$3:$E$3922,5,FALSE)</f>
        <v>New</v>
      </c>
      <c r="N88" s="465">
        <v>1</v>
      </c>
      <c r="O88" s="466">
        <v>1</v>
      </c>
      <c r="P88" s="464">
        <f t="shared" si="12"/>
        <v>1</v>
      </c>
      <c r="Q88" s="448" t="s">
        <v>32</v>
      </c>
      <c r="R88" s="326">
        <v>1</v>
      </c>
      <c r="S88" s="496">
        <f t="shared" si="13"/>
        <v>1</v>
      </c>
      <c r="T88" s="485">
        <v>1</v>
      </c>
      <c r="U88" s="485"/>
      <c r="V88" s="485"/>
      <c r="W88" s="485"/>
      <c r="X88" s="497">
        <f t="shared" si="15"/>
        <v>1</v>
      </c>
      <c r="Y88" s="449"/>
      <c r="Z88" s="484">
        <f t="shared" si="14"/>
        <v>1</v>
      </c>
      <c r="AA88" s="485">
        <v>1</v>
      </c>
      <c r="AB88" s="485"/>
      <c r="AC88" s="485"/>
      <c r="AD88" s="485"/>
      <c r="AE88" s="483">
        <f t="shared" si="16"/>
        <v>1</v>
      </c>
      <c r="AF88" s="325"/>
      <c r="AG88" s="450" t="s">
        <v>286</v>
      </c>
      <c r="AH88" s="327"/>
    </row>
    <row r="89" spans="1:34" ht="180.75" thickBot="1" x14ac:dyDescent="0.3">
      <c r="A89" s="576">
        <v>12.162000000000001</v>
      </c>
      <c r="B89" s="325" t="str">
        <f>VLOOKUP(A89,'Feature Raw Data'!$A$3:$B$3922,2,FALSE)</f>
        <v xml:space="preserve">Shader Performance Profiler Enablement </v>
      </c>
      <c r="C89" s="325" t="s">
        <v>366</v>
      </c>
      <c r="D89" s="326" t="str">
        <f>VLOOKUP(A89,'Feature Raw Data'!$A$3:$F$3922,6,FALSE)</f>
        <v>SH</v>
      </c>
      <c r="E89" s="325"/>
      <c r="F89" s="325"/>
      <c r="G89" s="244" t="str">
        <f>VLOOKUP(A89,'Feature Summary'!$A$7:$C$4170,3,FALSE)</f>
        <v>P1</v>
      </c>
      <c r="H89" s="587" t="s">
        <v>412</v>
      </c>
      <c r="I89" s="448" t="s">
        <v>41</v>
      </c>
      <c r="J89" s="325" t="s">
        <v>978</v>
      </c>
      <c r="K89" s="326">
        <v>1</v>
      </c>
      <c r="L89" s="326">
        <v>14</v>
      </c>
      <c r="M89" s="582" t="str">
        <f>VLOOKUP(A89,'Feature Raw Data'!$A$3:$E$3922,5,FALSE)</f>
        <v>Delta</v>
      </c>
      <c r="N89" s="465">
        <v>1</v>
      </c>
      <c r="O89" s="466">
        <v>14</v>
      </c>
      <c r="P89" s="464">
        <f t="shared" si="12"/>
        <v>1</v>
      </c>
      <c r="Q89" s="448" t="s">
        <v>43</v>
      </c>
      <c r="R89" s="326">
        <v>14</v>
      </c>
      <c r="S89" s="496">
        <f t="shared" si="13"/>
        <v>14</v>
      </c>
      <c r="T89" s="485">
        <v>11</v>
      </c>
      <c r="U89" s="485"/>
      <c r="V89" s="485">
        <v>3</v>
      </c>
      <c r="W89" s="485"/>
      <c r="X89" s="497">
        <f t="shared" si="15"/>
        <v>0.7857142857142857</v>
      </c>
      <c r="Y89" s="592" t="s">
        <v>413</v>
      </c>
      <c r="Z89" s="484">
        <f t="shared" si="14"/>
        <v>3</v>
      </c>
      <c r="AA89" s="485">
        <v>3</v>
      </c>
      <c r="AB89" s="485"/>
      <c r="AC89" s="485"/>
      <c r="AD89" s="485"/>
      <c r="AE89" s="483">
        <f t="shared" si="16"/>
        <v>0.21428571428571427</v>
      </c>
      <c r="AF89" s="325"/>
      <c r="AG89" s="450" t="s">
        <v>309</v>
      </c>
      <c r="AH89" s="327"/>
    </row>
    <row r="90" spans="1:34" ht="15.75" thickBot="1" x14ac:dyDescent="0.3">
      <c r="A90" s="576">
        <v>12.163</v>
      </c>
      <c r="B90" s="325" t="str">
        <f>VLOOKUP(A90,'Feature Raw Data'!$A$3:$B$3922,2,FALSE)</f>
        <v xml:space="preserve">Architected SGPR Values </v>
      </c>
      <c r="C90" s="325" t="s">
        <v>313</v>
      </c>
      <c r="D90" s="326" t="str">
        <f>VLOOKUP(A90,'Feature Raw Data'!$A$3:$F$3922,6,FALSE)</f>
        <v>SIO</v>
      </c>
      <c r="E90" s="325"/>
      <c r="F90" s="325"/>
      <c r="G90" s="244" t="str">
        <f>VLOOKUP(A90,'Feature Summary'!$A$7:$C$4170,3,FALSE)</f>
        <v>P2</v>
      </c>
      <c r="H90" s="417" t="s">
        <v>414</v>
      </c>
      <c r="I90" s="448" t="s">
        <v>41</v>
      </c>
      <c r="J90" s="325"/>
      <c r="K90" s="326">
        <v>1</v>
      </c>
      <c r="L90" s="326">
        <v>2</v>
      </c>
      <c r="M90" s="582" t="str">
        <f>VLOOKUP(A90,'Feature Raw Data'!$A$3:$E$3922,5,FALSE)</f>
        <v>New</v>
      </c>
      <c r="N90" s="465">
        <v>1</v>
      </c>
      <c r="O90" s="466">
        <v>2</v>
      </c>
      <c r="P90" s="464">
        <f t="shared" si="12"/>
        <v>1</v>
      </c>
      <c r="Q90" s="448" t="s">
        <v>32</v>
      </c>
      <c r="R90" s="326">
        <v>2</v>
      </c>
      <c r="S90" s="496">
        <f t="shared" si="13"/>
        <v>2</v>
      </c>
      <c r="T90" s="485">
        <v>1</v>
      </c>
      <c r="U90" s="485"/>
      <c r="V90" s="485">
        <v>1</v>
      </c>
      <c r="W90" s="485"/>
      <c r="X90" s="497">
        <f t="shared" si="15"/>
        <v>0.5</v>
      </c>
      <c r="Y90" s="449" t="s">
        <v>415</v>
      </c>
      <c r="Z90" s="484">
        <f t="shared" si="14"/>
        <v>0</v>
      </c>
      <c r="AA90" s="485"/>
      <c r="AB90" s="485"/>
      <c r="AC90" s="485"/>
      <c r="AD90" s="485"/>
      <c r="AE90" s="483">
        <f t="shared" si="16"/>
        <v>0</v>
      </c>
      <c r="AF90" s="325"/>
      <c r="AG90" s="450" t="s">
        <v>286</v>
      </c>
      <c r="AH90" s="327"/>
    </row>
    <row r="91" spans="1:34" ht="30.75" thickBot="1" x14ac:dyDescent="0.3">
      <c r="A91" s="594">
        <v>12.164</v>
      </c>
      <c r="B91" s="325" t="str">
        <f>VLOOKUP(A91,'Feature Raw Data'!$A$3:$B$3922,2,FALSE)</f>
        <v xml:space="preserve">Hybrid Depth Compression </v>
      </c>
      <c r="C91" s="325" t="s">
        <v>316</v>
      </c>
      <c r="D91" s="326" t="str">
        <f>VLOOKUP(A91,'Feature Raw Data'!$A$3:$F$3922,6,FALSE)</f>
        <v>PP</v>
      </c>
      <c r="E91" s="325"/>
      <c r="F91" s="325"/>
      <c r="G91" s="244" t="str">
        <f>VLOOKUP(A91,'Feature Summary'!$A$7:$C$4170,3,FALSE)</f>
        <v>P1</v>
      </c>
      <c r="H91" s="587" t="s">
        <v>416</v>
      </c>
      <c r="I91" s="448" t="s">
        <v>41</v>
      </c>
      <c r="J91" s="325"/>
      <c r="K91" s="326">
        <v>1</v>
      </c>
      <c r="L91" s="326">
        <v>54</v>
      </c>
      <c r="M91" s="582" t="str">
        <f>VLOOKUP(A91,'Feature Raw Data'!$A$3:$E$3922,5,FALSE)</f>
        <v>New</v>
      </c>
      <c r="N91" s="465">
        <v>1</v>
      </c>
      <c r="O91" s="466">
        <v>54</v>
      </c>
      <c r="P91" s="464">
        <f t="shared" si="12"/>
        <v>1</v>
      </c>
      <c r="Q91" s="448" t="s">
        <v>32</v>
      </c>
      <c r="R91" s="326">
        <v>4</v>
      </c>
      <c r="S91" s="496">
        <f t="shared" si="13"/>
        <v>4</v>
      </c>
      <c r="T91" s="485">
        <v>4</v>
      </c>
      <c r="U91" s="485"/>
      <c r="V91" s="485"/>
      <c r="W91" s="485"/>
      <c r="X91" s="497">
        <f t="shared" si="15"/>
        <v>1</v>
      </c>
      <c r="Y91" s="449"/>
      <c r="Z91" s="484">
        <f t="shared" si="14"/>
        <v>4</v>
      </c>
      <c r="AA91" s="485">
        <v>4</v>
      </c>
      <c r="AB91" s="485"/>
      <c r="AC91" s="485"/>
      <c r="AD91" s="485"/>
      <c r="AE91" s="483">
        <f t="shared" si="16"/>
        <v>7.407407407407407E-2</v>
      </c>
      <c r="AF91" s="325"/>
      <c r="AG91" s="450" t="s">
        <v>346</v>
      </c>
      <c r="AH91" s="327"/>
    </row>
    <row r="92" spans="1:34" ht="15.75" thickBot="1" x14ac:dyDescent="0.3">
      <c r="A92" s="594">
        <v>12.164999999999999</v>
      </c>
      <c r="B92" s="325" t="str">
        <f>VLOOKUP(A92,'Feature Raw Data'!$A$3:$B$3922,2,FALSE)</f>
        <v xml:space="preserve">HiZ/S in SC </v>
      </c>
      <c r="C92" s="325" t="s">
        <v>310</v>
      </c>
      <c r="D92" s="326" t="str">
        <f>VLOOKUP(A92,'Feature Raw Data'!$A$3:$F$3922,6,FALSE)</f>
        <v>PP</v>
      </c>
      <c r="E92" s="325"/>
      <c r="F92" s="325"/>
      <c r="G92" s="244" t="str">
        <f>VLOOKUP(A92,'Feature Summary'!$A$7:$C$4170,3,FALSE)</f>
        <v>P1</v>
      </c>
      <c r="H92" s="417" t="s">
        <v>417</v>
      </c>
      <c r="I92" s="448" t="s">
        <v>41</v>
      </c>
      <c r="J92" s="325"/>
      <c r="K92" s="326">
        <v>1</v>
      </c>
      <c r="L92" s="326">
        <v>1</v>
      </c>
      <c r="M92" s="582" t="str">
        <f>VLOOKUP(A92,'Feature Raw Data'!$A$3:$E$3922,5,FALSE)</f>
        <v>New</v>
      </c>
      <c r="N92" s="465">
        <v>1</v>
      </c>
      <c r="O92" s="466">
        <v>1</v>
      </c>
      <c r="P92" s="464">
        <f t="shared" si="12"/>
        <v>1</v>
      </c>
      <c r="Q92" s="448" t="s">
        <v>43</v>
      </c>
      <c r="R92" s="326">
        <v>1</v>
      </c>
      <c r="S92" s="496">
        <f t="shared" si="13"/>
        <v>1</v>
      </c>
      <c r="T92" s="485">
        <v>1</v>
      </c>
      <c r="U92" s="485"/>
      <c r="V92" s="485"/>
      <c r="W92" s="485"/>
      <c r="X92" s="497">
        <f t="shared" si="15"/>
        <v>1</v>
      </c>
      <c r="Y92" s="449" t="s">
        <v>418</v>
      </c>
      <c r="Z92" s="484">
        <f t="shared" si="14"/>
        <v>0</v>
      </c>
      <c r="AA92" s="485"/>
      <c r="AB92" s="485"/>
      <c r="AC92" s="485"/>
      <c r="AD92" s="485"/>
      <c r="AE92" s="483">
        <f t="shared" si="16"/>
        <v>0</v>
      </c>
      <c r="AF92" s="325"/>
      <c r="AG92" s="450" t="s">
        <v>346</v>
      </c>
      <c r="AH92" s="327"/>
    </row>
    <row r="93" spans="1:34" ht="15.75" thickBot="1" x14ac:dyDescent="0.3">
      <c r="A93" s="576">
        <v>12.167</v>
      </c>
      <c r="B93" s="325" t="str">
        <f>VLOOKUP(A93,'Feature Raw Data'!$A$3:$B$3922,2,FALSE)</f>
        <v xml:space="preserve">CB codec removal/simplifications </v>
      </c>
      <c r="C93" s="325" t="s">
        <v>322</v>
      </c>
      <c r="D93" s="326" t="str">
        <f>VLOOKUP(A93,'Feature Raw Data'!$A$3:$F$3922,6,FALSE)</f>
        <v>PP</v>
      </c>
      <c r="E93" s="325"/>
      <c r="F93" s="325"/>
      <c r="G93" s="244" t="str">
        <f>VLOOKUP(A93,'Feature Summary'!$A$7:$C$4170,3,FALSE)</f>
        <v>P1</v>
      </c>
      <c r="H93" s="417" t="s">
        <v>419</v>
      </c>
      <c r="I93" s="448" t="s">
        <v>41</v>
      </c>
      <c r="J93" s="325"/>
      <c r="K93" s="326">
        <v>1</v>
      </c>
      <c r="L93" s="326">
        <v>2</v>
      </c>
      <c r="M93" s="582" t="str">
        <f>VLOOKUP(A93,'Feature Raw Data'!$A$3:$E$3922,5,FALSE)</f>
        <v>New</v>
      </c>
      <c r="N93" s="465">
        <v>1</v>
      </c>
      <c r="O93" s="466">
        <v>2</v>
      </c>
      <c r="P93" s="464">
        <f t="shared" si="12"/>
        <v>1</v>
      </c>
      <c r="Q93" s="448" t="s">
        <v>32</v>
      </c>
      <c r="R93" s="326">
        <v>1</v>
      </c>
      <c r="S93" s="496">
        <f t="shared" si="13"/>
        <v>0</v>
      </c>
      <c r="T93" s="485"/>
      <c r="U93" s="485"/>
      <c r="V93" s="485"/>
      <c r="W93" s="485"/>
      <c r="X93" s="497">
        <f t="shared" si="15"/>
        <v>0</v>
      </c>
      <c r="Y93" s="449"/>
      <c r="Z93" s="484">
        <f t="shared" si="14"/>
        <v>0</v>
      </c>
      <c r="AA93" s="485"/>
      <c r="AB93" s="485"/>
      <c r="AC93" s="485"/>
      <c r="AD93" s="485"/>
      <c r="AE93" s="483">
        <f t="shared" si="16"/>
        <v>0</v>
      </c>
      <c r="AF93" s="325"/>
      <c r="AG93" s="450" t="s">
        <v>309</v>
      </c>
      <c r="AH93" s="327"/>
    </row>
    <row r="94" spans="1:34" ht="15.75" thickBot="1" x14ac:dyDescent="0.3">
      <c r="A94" s="576">
        <v>12.167999999999999</v>
      </c>
      <c r="B94" s="325" t="str">
        <f>VLOOKUP(A94,'Feature Raw Data'!$A$3:$B$3922,2,FALSE)</f>
        <v xml:space="preserve">VRS fragment compression </v>
      </c>
      <c r="C94" s="325" t="s">
        <v>310</v>
      </c>
      <c r="D94" s="326" t="str">
        <f>VLOOKUP(A94,'Feature Raw Data'!$A$3:$F$3922,6,FALSE)</f>
        <v>PP</v>
      </c>
      <c r="E94" s="325"/>
      <c r="F94" s="325"/>
      <c r="G94" s="244" t="str">
        <f>VLOOKUP(A94,'Feature Summary'!$A$7:$C$4170,3,FALSE)</f>
        <v>P1</v>
      </c>
      <c r="H94" s="417" t="s">
        <v>47</v>
      </c>
      <c r="I94" s="448" t="s">
        <v>47</v>
      </c>
      <c r="J94" s="325"/>
      <c r="K94" s="326">
        <v>1</v>
      </c>
      <c r="L94" s="326">
        <v>0</v>
      </c>
      <c r="M94" s="582" t="str">
        <f>VLOOKUP(A94,'Feature Raw Data'!$A$3:$E$3922,5,FALSE)</f>
        <v>New</v>
      </c>
      <c r="N94" s="465">
        <v>1</v>
      </c>
      <c r="O94" s="466"/>
      <c r="P94" s="464">
        <f t="shared" si="12"/>
        <v>1</v>
      </c>
      <c r="Q94" s="448" t="s">
        <v>47</v>
      </c>
      <c r="R94" s="326">
        <v>0</v>
      </c>
      <c r="S94" s="496">
        <f t="shared" si="13"/>
        <v>0</v>
      </c>
      <c r="T94" s="485"/>
      <c r="U94" s="485"/>
      <c r="V94" s="485"/>
      <c r="W94" s="485"/>
      <c r="X94" s="497">
        <f t="shared" si="15"/>
        <v>1</v>
      </c>
      <c r="Y94" s="449" t="s">
        <v>420</v>
      </c>
      <c r="Z94" s="484">
        <f t="shared" si="14"/>
        <v>0</v>
      </c>
      <c r="AA94" s="485"/>
      <c r="AB94" s="485"/>
      <c r="AC94" s="485"/>
      <c r="AD94" s="485"/>
      <c r="AE94" s="483">
        <f t="shared" si="16"/>
        <v>1</v>
      </c>
      <c r="AF94" s="325"/>
      <c r="AG94" s="450" t="s">
        <v>47</v>
      </c>
      <c r="AH94" s="327"/>
    </row>
    <row r="95" spans="1:34" ht="15.75" thickBot="1" x14ac:dyDescent="0.3">
      <c r="A95" s="576">
        <v>12.173999999999999</v>
      </c>
      <c r="B95" s="325" t="str">
        <f>VLOOKUP(A95,'Feature Raw Data'!$A$3:$B$3922,2,FALSE)</f>
        <v>RS64 64bit Stream Input</v>
      </c>
      <c r="C95" s="325" t="s">
        <v>319</v>
      </c>
      <c r="D95" s="326" t="str">
        <f>VLOOKUP(A95,'Feature Raw Data'!$A$3:$F$3922,6,FALSE)</f>
        <v>CTL</v>
      </c>
      <c r="E95" s="325"/>
      <c r="F95" s="325"/>
      <c r="G95" s="244" t="str">
        <f>VLOOKUP(A95,'Feature Summary'!$A$7:$C$4170,3,FALSE)</f>
        <v>P1</v>
      </c>
      <c r="H95" s="417" t="s">
        <v>47</v>
      </c>
      <c r="I95" s="448" t="s">
        <v>47</v>
      </c>
      <c r="J95" s="325"/>
      <c r="K95" s="326">
        <v>1</v>
      </c>
      <c r="L95" s="326">
        <v>0</v>
      </c>
      <c r="M95" s="582" t="str">
        <f>VLOOKUP(A95,'Feature Raw Data'!$A$3:$E$3922,5,FALSE)</f>
        <v>New</v>
      </c>
      <c r="N95" s="465">
        <v>1</v>
      </c>
      <c r="O95" s="466"/>
      <c r="P95" s="464">
        <f t="shared" si="12"/>
        <v>1</v>
      </c>
      <c r="Q95" s="448" t="s">
        <v>47</v>
      </c>
      <c r="R95" s="326">
        <v>0</v>
      </c>
      <c r="S95" s="496">
        <f t="shared" si="13"/>
        <v>0</v>
      </c>
      <c r="T95" s="485"/>
      <c r="U95" s="485"/>
      <c r="V95" s="485"/>
      <c r="W95" s="485"/>
      <c r="X95" s="497">
        <f t="shared" si="15"/>
        <v>1</v>
      </c>
      <c r="Y95" s="449"/>
      <c r="Z95" s="484">
        <f t="shared" si="14"/>
        <v>0</v>
      </c>
      <c r="AA95" s="485"/>
      <c r="AB95" s="485"/>
      <c r="AC95" s="485"/>
      <c r="AD95" s="485"/>
      <c r="AE95" s="483">
        <f t="shared" si="16"/>
        <v>1</v>
      </c>
      <c r="AF95" s="325"/>
      <c r="AG95" s="450" t="s">
        <v>47</v>
      </c>
      <c r="AH95" s="327"/>
    </row>
    <row r="96" spans="1:34" ht="15.75" thickBot="1" x14ac:dyDescent="0.3">
      <c r="A96" s="576">
        <v>12.175000000000001</v>
      </c>
      <c r="B96" s="325" t="str">
        <f>VLOOKUP(A96,'Feature Raw Data'!$A$3:$B$3922,2,FALSE)</f>
        <v>RS64 Atomic ISA Ext</v>
      </c>
      <c r="C96" s="325" t="s">
        <v>319</v>
      </c>
      <c r="D96" s="326" t="str">
        <f>VLOOKUP(A96,'Feature Raw Data'!$A$3:$F$3922,6,FALSE)</f>
        <v>CTL</v>
      </c>
      <c r="E96" s="325"/>
      <c r="F96" s="325"/>
      <c r="G96" s="244" t="str">
        <f>VLOOKUP(A96,'Feature Summary'!$A$7:$C$4170,3,FALSE)</f>
        <v>P1</v>
      </c>
      <c r="H96" s="417" t="s">
        <v>421</v>
      </c>
      <c r="I96" s="448" t="s">
        <v>41</v>
      </c>
      <c r="J96" s="325"/>
      <c r="K96" s="326">
        <v>1</v>
      </c>
      <c r="L96" s="326">
        <v>1</v>
      </c>
      <c r="M96" s="582" t="str">
        <f>VLOOKUP(A96,'Feature Raw Data'!$A$3:$E$3922,5,FALSE)</f>
        <v>New</v>
      </c>
      <c r="N96" s="465">
        <v>1</v>
      </c>
      <c r="O96" s="466">
        <v>1</v>
      </c>
      <c r="P96" s="464">
        <f t="shared" si="12"/>
        <v>1</v>
      </c>
      <c r="Q96" s="448" t="s">
        <v>32</v>
      </c>
      <c r="R96" s="326">
        <v>1</v>
      </c>
      <c r="S96" s="496">
        <f t="shared" si="13"/>
        <v>1</v>
      </c>
      <c r="T96" s="485"/>
      <c r="U96" s="485"/>
      <c r="V96" s="485">
        <v>1</v>
      </c>
      <c r="W96" s="485"/>
      <c r="X96" s="497">
        <f t="shared" si="15"/>
        <v>0</v>
      </c>
      <c r="Y96" s="449"/>
      <c r="Z96" s="484">
        <f t="shared" si="14"/>
        <v>0</v>
      </c>
      <c r="AA96" s="485"/>
      <c r="AB96" s="485"/>
      <c r="AC96" s="485"/>
      <c r="AD96" s="485"/>
      <c r="AE96" s="483">
        <f t="shared" si="16"/>
        <v>0</v>
      </c>
      <c r="AF96" s="325"/>
      <c r="AG96" s="450" t="s">
        <v>309</v>
      </c>
      <c r="AH96" s="327"/>
    </row>
    <row r="97" spans="1:34" ht="15.75" thickBot="1" x14ac:dyDescent="0.3">
      <c r="A97" s="596">
        <v>12.183999999999999</v>
      </c>
      <c r="B97" s="325" t="str">
        <f>VLOOKUP(A97,'Feature Raw Data'!$A$3:$B$3922,2,FALSE)</f>
        <v>GLx bus widths and configuration</v>
      </c>
      <c r="C97" s="325" t="s">
        <v>337</v>
      </c>
      <c r="D97" s="326" t="str">
        <f>VLOOKUP(A97,'Feature Raw Data'!$A$3:$F$3922,6,FALSE)</f>
        <v>CMM</v>
      </c>
      <c r="E97" s="325"/>
      <c r="F97" s="325"/>
      <c r="G97" s="244" t="str">
        <f>VLOOKUP(A97,'Feature Summary'!$A$7:$C$4170,3,FALSE)</f>
        <v>P1</v>
      </c>
      <c r="H97" s="417" t="s">
        <v>990</v>
      </c>
      <c r="I97" s="448" t="s">
        <v>35</v>
      </c>
      <c r="J97" s="325"/>
      <c r="K97" s="326">
        <v>1</v>
      </c>
      <c r="L97" s="326">
        <v>8</v>
      </c>
      <c r="M97" s="582" t="str">
        <f>VLOOKUP(A97,'Feature Raw Data'!$A$3:$E$3922,5,FALSE)</f>
        <v>New</v>
      </c>
      <c r="N97" s="465">
        <v>1</v>
      </c>
      <c r="O97" s="466">
        <v>8</v>
      </c>
      <c r="P97" s="464">
        <f t="shared" si="12"/>
        <v>1</v>
      </c>
      <c r="Q97" s="448" t="s">
        <v>43</v>
      </c>
      <c r="R97" s="326">
        <v>8</v>
      </c>
      <c r="S97" s="496">
        <f t="shared" si="13"/>
        <v>8</v>
      </c>
      <c r="T97" s="485">
        <v>8</v>
      </c>
      <c r="U97" s="485"/>
      <c r="V97" s="485"/>
      <c r="W97" s="485"/>
      <c r="X97" s="497">
        <f t="shared" si="15"/>
        <v>1</v>
      </c>
      <c r="Y97" s="449"/>
      <c r="Z97" s="484">
        <f t="shared" si="14"/>
        <v>0</v>
      </c>
      <c r="AA97" s="485"/>
      <c r="AB97" s="485"/>
      <c r="AC97" s="485"/>
      <c r="AD97" s="485"/>
      <c r="AE97" s="483">
        <f t="shared" si="16"/>
        <v>0</v>
      </c>
      <c r="AF97" s="325"/>
      <c r="AG97" s="450" t="s">
        <v>346</v>
      </c>
      <c r="AH97" s="327"/>
    </row>
    <row r="98" spans="1:34" ht="30.75" thickBot="1" x14ac:dyDescent="0.3">
      <c r="A98" s="595">
        <v>12.185</v>
      </c>
      <c r="B98" s="325" t="str">
        <f>VLOOKUP(A98,'Feature Raw Data'!$A$3:$B$3922,2,FALSE)</f>
        <v>CH 256B read/write support</v>
      </c>
      <c r="C98" s="325" t="s">
        <v>337</v>
      </c>
      <c r="D98" s="326" t="str">
        <f>VLOOKUP(A98,'Feature Raw Data'!$A$3:$F$3922,6,FALSE)</f>
        <v>CMM</v>
      </c>
      <c r="E98" s="325"/>
      <c r="F98" s="325"/>
      <c r="G98" s="244" t="str">
        <f>VLOOKUP(A98,'Feature Summary'!$A$7:$C$4170,3,FALSE)</f>
        <v>P1</v>
      </c>
      <c r="H98" s="587" t="s">
        <v>422</v>
      </c>
      <c r="I98" s="448" t="s">
        <v>35</v>
      </c>
      <c r="J98" s="325"/>
      <c r="K98" s="326">
        <v>1</v>
      </c>
      <c r="L98" s="326">
        <v>2</v>
      </c>
      <c r="M98" s="582" t="str">
        <f>VLOOKUP(A98,'Feature Raw Data'!$A$3:$E$3922,5,FALSE)</f>
        <v>New</v>
      </c>
      <c r="N98" s="465">
        <v>1</v>
      </c>
      <c r="O98" s="466">
        <v>2</v>
      </c>
      <c r="P98" s="464">
        <f t="shared" si="12"/>
        <v>1</v>
      </c>
      <c r="Q98" s="448" t="s">
        <v>32</v>
      </c>
      <c r="R98" s="326">
        <v>2</v>
      </c>
      <c r="S98" s="496">
        <f t="shared" si="13"/>
        <v>2</v>
      </c>
      <c r="T98" s="485">
        <v>2</v>
      </c>
      <c r="U98" s="485"/>
      <c r="V98" s="485"/>
      <c r="W98" s="485"/>
      <c r="X98" s="497">
        <f t="shared" si="15"/>
        <v>1</v>
      </c>
      <c r="Y98" s="449"/>
      <c r="Z98" s="484">
        <f t="shared" si="14"/>
        <v>0</v>
      </c>
      <c r="AA98" s="485"/>
      <c r="AB98" s="485"/>
      <c r="AC98" s="485"/>
      <c r="AD98" s="485"/>
      <c r="AE98" s="483">
        <f t="shared" si="16"/>
        <v>0</v>
      </c>
      <c r="AF98" s="325"/>
      <c r="AG98" s="450" t="s">
        <v>318</v>
      </c>
      <c r="AH98" s="327"/>
    </row>
    <row r="99" spans="1:34" ht="45.75" thickBot="1" x14ac:dyDescent="0.3">
      <c r="A99" s="576">
        <v>12.186</v>
      </c>
      <c r="B99" s="325" t="str">
        <f>VLOOKUP(A99,'Feature Raw Data'!$A$3:$B$3922,2,FALSE)</f>
        <v>Add SP support for float8 (fp8/bf8) dot products (ieee and/or non-ieee)</v>
      </c>
      <c r="C99" s="325" t="s">
        <v>366</v>
      </c>
      <c r="D99" s="326" t="str">
        <f>VLOOKUP(A99,'Feature Raw Data'!$A$3:$F$3922,6,FALSE)</f>
        <v>SH</v>
      </c>
      <c r="E99" s="325"/>
      <c r="F99" s="325"/>
      <c r="G99" s="244" t="str">
        <f>VLOOKUP(A99,'Feature Summary'!$A$7:$C$4170,3,FALSE)</f>
        <v>P1</v>
      </c>
      <c r="H99" s="587" t="s">
        <v>423</v>
      </c>
      <c r="I99" s="448" t="s">
        <v>35</v>
      </c>
      <c r="J99" s="325"/>
      <c r="K99" s="326">
        <v>1</v>
      </c>
      <c r="L99" s="326">
        <v>15</v>
      </c>
      <c r="M99" s="582" t="str">
        <f>VLOOKUP(A99,'Feature Raw Data'!$A$3:$E$3922,5,FALSE)</f>
        <v>New</v>
      </c>
      <c r="N99" s="465">
        <v>1</v>
      </c>
      <c r="O99" s="466">
        <v>15</v>
      </c>
      <c r="P99" s="464">
        <f t="shared" si="12"/>
        <v>1</v>
      </c>
      <c r="Q99" s="448" t="s">
        <v>32</v>
      </c>
      <c r="R99" s="326">
        <v>15</v>
      </c>
      <c r="S99" s="496">
        <f t="shared" si="13"/>
        <v>15</v>
      </c>
      <c r="T99" s="485">
        <v>15</v>
      </c>
      <c r="U99" s="485"/>
      <c r="V99" s="485"/>
      <c r="W99" s="485"/>
      <c r="X99" s="497">
        <f t="shared" si="15"/>
        <v>1</v>
      </c>
      <c r="Y99" s="589" t="s">
        <v>424</v>
      </c>
      <c r="Z99" s="484">
        <f t="shared" si="14"/>
        <v>15</v>
      </c>
      <c r="AA99" s="485">
        <v>15</v>
      </c>
      <c r="AB99" s="485"/>
      <c r="AC99" s="485"/>
      <c r="AD99" s="485"/>
      <c r="AE99" s="483">
        <f t="shared" si="16"/>
        <v>1</v>
      </c>
      <c r="AF99" s="325"/>
      <c r="AG99" s="450" t="s">
        <v>318</v>
      </c>
      <c r="AH99" s="327"/>
    </row>
    <row r="100" spans="1:34" ht="15.75" thickBot="1" x14ac:dyDescent="0.3">
      <c r="A100" s="576">
        <v>12.188000000000001</v>
      </c>
      <c r="B100" s="325" t="str">
        <f>VLOOKUP(A100,'Feature Raw Data'!$A$3:$B$3922,2,FALSE)</f>
        <v>Make shader round-robin arb in workgroup usable by driver</v>
      </c>
      <c r="C100" s="325" t="s">
        <v>366</v>
      </c>
      <c r="D100" s="326" t="str">
        <f>VLOOKUP(A100,'Feature Raw Data'!$A$3:$F$3922,6,FALSE)</f>
        <v>SH</v>
      </c>
      <c r="E100" s="325"/>
      <c r="F100" s="325"/>
      <c r="G100" s="244" t="str">
        <f>VLOOKUP(A100,'Feature Summary'!$A$7:$C$4170,3,FALSE)</f>
        <v>P1</v>
      </c>
      <c r="H100" s="417" t="s">
        <v>425</v>
      </c>
      <c r="I100" s="448" t="s">
        <v>41</v>
      </c>
      <c r="J100" s="325"/>
      <c r="K100" s="326">
        <v>1</v>
      </c>
      <c r="L100" s="326">
        <v>3</v>
      </c>
      <c r="M100" s="582" t="str">
        <f>VLOOKUP(A100,'Feature Raw Data'!$A$3:$E$3922,5,FALSE)</f>
        <v>New</v>
      </c>
      <c r="N100" s="465">
        <v>1</v>
      </c>
      <c r="O100" s="466">
        <v>3</v>
      </c>
      <c r="P100" s="464">
        <f t="shared" si="12"/>
        <v>1</v>
      </c>
      <c r="Q100" s="448" t="s">
        <v>32</v>
      </c>
      <c r="R100" s="326">
        <v>3</v>
      </c>
      <c r="S100" s="496">
        <f t="shared" si="13"/>
        <v>3</v>
      </c>
      <c r="T100" s="485">
        <v>3</v>
      </c>
      <c r="U100" s="485"/>
      <c r="V100" s="485"/>
      <c r="W100" s="485"/>
      <c r="X100" s="497">
        <f t="shared" si="15"/>
        <v>1</v>
      </c>
      <c r="Y100" s="449"/>
      <c r="Z100" s="484">
        <f t="shared" si="14"/>
        <v>3</v>
      </c>
      <c r="AA100" s="485">
        <v>3</v>
      </c>
      <c r="AB100" s="485"/>
      <c r="AC100" s="485"/>
      <c r="AD100" s="485"/>
      <c r="AE100" s="483">
        <f t="shared" si="16"/>
        <v>1</v>
      </c>
      <c r="AF100" s="325"/>
      <c r="AG100" s="450" t="s">
        <v>312</v>
      </c>
      <c r="AH100" s="327"/>
    </row>
    <row r="101" spans="1:34" ht="15.75" thickBot="1" x14ac:dyDescent="0.3">
      <c r="A101" s="576">
        <v>12.191000000000001</v>
      </c>
      <c r="B101" s="325" t="str">
        <f>VLOOKUP(A101,'Feature Raw Data'!$A$3:$B$3922,2,FALSE)</f>
        <v>Capture shader memviol source to speed up bringup debug</v>
      </c>
      <c r="C101" s="325" t="s">
        <v>366</v>
      </c>
      <c r="D101" s="326" t="str">
        <f>VLOOKUP(A101,'Feature Raw Data'!$A$3:$F$3922,6,FALSE)</f>
        <v>SH</v>
      </c>
      <c r="E101" s="325"/>
      <c r="F101" s="325"/>
      <c r="G101" s="244" t="str">
        <f>VLOOKUP(A101,'Feature Summary'!$A$7:$C$4170,3,FALSE)</f>
        <v>P1</v>
      </c>
      <c r="H101" s="417" t="s">
        <v>426</v>
      </c>
      <c r="I101" s="448" t="s">
        <v>41</v>
      </c>
      <c r="J101" s="325" t="s">
        <v>427</v>
      </c>
      <c r="K101" s="326">
        <v>1</v>
      </c>
      <c r="L101" s="326">
        <v>5</v>
      </c>
      <c r="M101" s="582" t="str">
        <f>VLOOKUP(A101,'Feature Raw Data'!$A$3:$E$3922,5,FALSE)</f>
        <v>New</v>
      </c>
      <c r="N101" s="465">
        <v>1</v>
      </c>
      <c r="O101" s="466">
        <v>5</v>
      </c>
      <c r="P101" s="464">
        <f t="shared" si="12"/>
        <v>1</v>
      </c>
      <c r="Q101" s="448" t="s">
        <v>32</v>
      </c>
      <c r="R101" s="326">
        <v>5</v>
      </c>
      <c r="S101" s="496">
        <f t="shared" si="13"/>
        <v>5</v>
      </c>
      <c r="T101" s="485">
        <v>5</v>
      </c>
      <c r="U101" s="485"/>
      <c r="V101" s="485"/>
      <c r="W101" s="485"/>
      <c r="X101" s="497">
        <f t="shared" si="15"/>
        <v>1</v>
      </c>
      <c r="Y101" s="449"/>
      <c r="Z101" s="484">
        <f t="shared" si="14"/>
        <v>5</v>
      </c>
      <c r="AA101" s="485">
        <v>5</v>
      </c>
      <c r="AB101" s="485"/>
      <c r="AC101" s="485"/>
      <c r="AD101" s="485"/>
      <c r="AE101" s="483">
        <f t="shared" si="16"/>
        <v>1</v>
      </c>
      <c r="AF101" s="325"/>
      <c r="AG101" s="450" t="s">
        <v>309</v>
      </c>
      <c r="AH101" s="327"/>
    </row>
    <row r="102" spans="1:34" ht="15.75" thickBot="1" x14ac:dyDescent="0.3">
      <c r="A102" s="576">
        <v>12.192</v>
      </c>
      <c r="B102" s="325" t="str">
        <f>VLOOKUP(A102,'Feature Raw Data'!$A$3:$B$3922,2,FALSE)</f>
        <v>UTCL2 UTCL1 Dummy INV interface removal</v>
      </c>
      <c r="C102" s="325" t="s">
        <v>379</v>
      </c>
      <c r="D102" s="326" t="str">
        <f>VLOOKUP(A102,'Feature Raw Data'!$A$3:$F$3922,6,FALSE)</f>
        <v>CMM</v>
      </c>
      <c r="E102" s="325"/>
      <c r="F102" s="325"/>
      <c r="G102" s="244" t="str">
        <f>VLOOKUP(A102,'Feature Summary'!$A$7:$C$4170,3,FALSE)</f>
        <v>P2</v>
      </c>
      <c r="H102" s="417" t="s">
        <v>47</v>
      </c>
      <c r="I102" s="448" t="s">
        <v>47</v>
      </c>
      <c r="J102" s="325"/>
      <c r="K102" s="326">
        <v>1</v>
      </c>
      <c r="L102" s="326">
        <v>0</v>
      </c>
      <c r="M102" s="582" t="str">
        <f>VLOOKUP(A102,'Feature Raw Data'!$A$3:$E$3922,5,FALSE)</f>
        <v>New</v>
      </c>
      <c r="N102" s="465">
        <v>1</v>
      </c>
      <c r="O102" s="466"/>
      <c r="P102" s="464">
        <f t="shared" si="12"/>
        <v>1</v>
      </c>
      <c r="Q102" s="448" t="s">
        <v>47</v>
      </c>
      <c r="R102" s="326">
        <v>0</v>
      </c>
      <c r="S102" s="496">
        <f t="shared" si="13"/>
        <v>0</v>
      </c>
      <c r="T102" s="485"/>
      <c r="U102" s="485"/>
      <c r="V102" s="485"/>
      <c r="W102" s="485"/>
      <c r="X102" s="497">
        <f t="shared" si="15"/>
        <v>1</v>
      </c>
      <c r="Y102" s="584" t="s">
        <v>382</v>
      </c>
      <c r="Z102" s="484">
        <f t="shared" si="14"/>
        <v>0</v>
      </c>
      <c r="AA102" s="485"/>
      <c r="AB102" s="485"/>
      <c r="AC102" s="485"/>
      <c r="AD102" s="485"/>
      <c r="AE102" s="483">
        <f t="shared" si="16"/>
        <v>1</v>
      </c>
      <c r="AF102" s="325"/>
      <c r="AG102" s="450" t="s">
        <v>47</v>
      </c>
      <c r="AH102" s="327"/>
    </row>
    <row r="103" spans="1:34" ht="15.75" thickBot="1" x14ac:dyDescent="0.3">
      <c r="A103" s="594">
        <v>12.193</v>
      </c>
      <c r="B103" s="325" t="str">
        <f>VLOOKUP(A103,'Feature Raw Data'!$A$3:$B$3922,2,FALSE)</f>
        <v>Additional SAx client to UTCL1 (from 12.</v>
      </c>
      <c r="C103" s="325" t="s">
        <v>428</v>
      </c>
      <c r="D103" s="326" t="str">
        <f>VLOOKUP(A103,'Feature Raw Data'!$A$3:$F$3922,6,FALSE)</f>
        <v>CMM</v>
      </c>
      <c r="E103" s="325"/>
      <c r="F103" s="325"/>
      <c r="G103" s="244" t="str">
        <f>VLOOKUP(A103,'Feature Summary'!$A$7:$C$4170,3,FALSE)</f>
        <v>P1</v>
      </c>
      <c r="H103" s="417" t="s">
        <v>429</v>
      </c>
      <c r="I103" s="448" t="s">
        <v>35</v>
      </c>
      <c r="J103" s="325"/>
      <c r="K103" s="326">
        <v>1</v>
      </c>
      <c r="L103" s="326">
        <v>1</v>
      </c>
      <c r="M103" s="582" t="str">
        <f>VLOOKUP(A103,'Feature Raw Data'!$A$3:$E$3922,5,FALSE)</f>
        <v>New</v>
      </c>
      <c r="N103" s="465">
        <v>1</v>
      </c>
      <c r="O103" s="466">
        <v>1</v>
      </c>
      <c r="P103" s="464">
        <f t="shared" si="12"/>
        <v>1</v>
      </c>
      <c r="Q103" s="448" t="s">
        <v>43</v>
      </c>
      <c r="R103" s="326">
        <v>1</v>
      </c>
      <c r="S103" s="496">
        <f t="shared" si="13"/>
        <v>1</v>
      </c>
      <c r="T103" s="485">
        <v>1</v>
      </c>
      <c r="U103" s="485"/>
      <c r="V103" s="485"/>
      <c r="W103" s="485"/>
      <c r="X103" s="497">
        <f t="shared" si="15"/>
        <v>1</v>
      </c>
      <c r="Y103" s="449"/>
      <c r="Z103" s="484">
        <f t="shared" si="14"/>
        <v>0</v>
      </c>
      <c r="AA103" s="485"/>
      <c r="AB103" s="485"/>
      <c r="AC103" s="485"/>
      <c r="AD103" s="485"/>
      <c r="AE103" s="483">
        <f t="shared" si="16"/>
        <v>0</v>
      </c>
      <c r="AF103" s="325"/>
      <c r="AG103" s="450" t="s">
        <v>309</v>
      </c>
      <c r="AH103" s="327"/>
    </row>
    <row r="104" spans="1:34" ht="15.75" thickBot="1" x14ac:dyDescent="0.3">
      <c r="A104" s="576">
        <v>12.196999999999999</v>
      </c>
      <c r="B104" s="325" t="str">
        <f>VLOOKUP(A104,'Feature Raw Data'!$A$3:$B$3922,2,FALSE)</f>
        <v>Ping-Pong walking for dispatches</v>
      </c>
      <c r="C104" s="325" t="s">
        <v>313</v>
      </c>
      <c r="D104" s="326" t="str">
        <f>VLOOKUP(A104,'Feature Raw Data'!$A$3:$F$3922,6,FALSE)</f>
        <v>SIO</v>
      </c>
      <c r="E104" s="325"/>
      <c r="F104" s="325"/>
      <c r="G104" s="244" t="str">
        <f>VLOOKUP(A104,'Feature Summary'!$A$7:$C$4170,3,FALSE)</f>
        <v>P2</v>
      </c>
      <c r="H104" s="417" t="s">
        <v>430</v>
      </c>
      <c r="I104" s="448" t="s">
        <v>41</v>
      </c>
      <c r="J104" s="325"/>
      <c r="K104" s="326">
        <v>1</v>
      </c>
      <c r="L104" s="326">
        <v>1</v>
      </c>
      <c r="M104" s="582" t="str">
        <f>VLOOKUP(A104,'Feature Raw Data'!$A$3:$E$3922,5,FALSE)</f>
        <v>New</v>
      </c>
      <c r="N104" s="465">
        <v>1</v>
      </c>
      <c r="O104" s="466">
        <v>1</v>
      </c>
      <c r="P104" s="464">
        <f t="shared" si="12"/>
        <v>1</v>
      </c>
      <c r="Q104" s="448" t="s">
        <v>32</v>
      </c>
      <c r="R104" s="326">
        <v>1</v>
      </c>
      <c r="S104" s="496">
        <f t="shared" si="13"/>
        <v>1</v>
      </c>
      <c r="T104" s="485">
        <v>1</v>
      </c>
      <c r="U104" s="485"/>
      <c r="V104" s="485"/>
      <c r="W104" s="485"/>
      <c r="X104" s="497">
        <f t="shared" si="15"/>
        <v>1</v>
      </c>
      <c r="Y104" s="449"/>
      <c r="Z104" s="484">
        <f t="shared" si="14"/>
        <v>0</v>
      </c>
      <c r="AA104" s="485"/>
      <c r="AB104" s="485"/>
      <c r="AC104" s="485"/>
      <c r="AD104" s="485"/>
      <c r="AE104" s="483">
        <f t="shared" si="16"/>
        <v>0</v>
      </c>
      <c r="AF104" s="325"/>
      <c r="AG104" s="450" t="s">
        <v>354</v>
      </c>
      <c r="AH104" s="327"/>
    </row>
    <row r="105" spans="1:34" ht="15.75" thickBot="1" x14ac:dyDescent="0.3">
      <c r="A105" s="576">
        <v>12.201000000000001</v>
      </c>
      <c r="B105" s="325" t="str">
        <f>VLOOKUP(A105,'Feature Raw Data'!$A$3:$B$3922,2,FALSE)</f>
        <v>Compute Grid Programmable Walk Order (cs_grid_walk_order).   If not doing morton'ish (ex. 2x2) then improving launch rate for existing typewriter (ex 4x1) is P1)</v>
      </c>
      <c r="C105" s="325" t="s">
        <v>313</v>
      </c>
      <c r="D105" s="326" t="str">
        <f>VLOOKUP(A105,'Feature Raw Data'!$A$3:$F$3922,6,FALSE)</f>
        <v>SIO</v>
      </c>
      <c r="E105" s="325"/>
      <c r="F105" s="325"/>
      <c r="G105" s="244" t="str">
        <f>VLOOKUP(A105,'Feature Summary'!$A$7:$C$4170,3,FALSE)</f>
        <v>P1</v>
      </c>
      <c r="H105" s="417" t="s">
        <v>431</v>
      </c>
      <c r="I105" s="448" t="s">
        <v>41</v>
      </c>
      <c r="J105" s="325"/>
      <c r="K105" s="326">
        <v>1</v>
      </c>
      <c r="L105" s="326">
        <v>2</v>
      </c>
      <c r="M105" s="582" t="str">
        <f>VLOOKUP(A105,'Feature Raw Data'!$A$3:$E$3922,5,FALSE)</f>
        <v>New</v>
      </c>
      <c r="N105" s="465">
        <v>1</v>
      </c>
      <c r="O105" s="466">
        <v>2</v>
      </c>
      <c r="P105" s="464">
        <f t="shared" si="12"/>
        <v>1</v>
      </c>
      <c r="Q105" s="448" t="s">
        <v>32</v>
      </c>
      <c r="R105" s="326">
        <v>2</v>
      </c>
      <c r="S105" s="496">
        <f t="shared" si="13"/>
        <v>2</v>
      </c>
      <c r="T105" s="485">
        <v>2</v>
      </c>
      <c r="U105" s="485"/>
      <c r="V105" s="485"/>
      <c r="W105" s="485"/>
      <c r="X105" s="497">
        <f t="shared" si="15"/>
        <v>1</v>
      </c>
      <c r="Y105" s="449"/>
      <c r="Z105" s="484">
        <f t="shared" si="14"/>
        <v>0</v>
      </c>
      <c r="AA105" s="485"/>
      <c r="AB105" s="485"/>
      <c r="AC105" s="485"/>
      <c r="AD105" s="485"/>
      <c r="AE105" s="483">
        <f t="shared" si="16"/>
        <v>0</v>
      </c>
      <c r="AF105" s="325"/>
      <c r="AG105" s="450" t="s">
        <v>309</v>
      </c>
      <c r="AH105" s="327"/>
    </row>
    <row r="106" spans="1:34" ht="15.75" thickBot="1" x14ac:dyDescent="0.3">
      <c r="A106" s="576">
        <v>12.202</v>
      </c>
      <c r="B106" s="325" t="str">
        <f>VLOOKUP(A106,'Feature Raw Data'!$A$3:$B$3922,2,FALSE)</f>
        <v>Compute Thread Walk Order (cs_thread_walk_order)</v>
      </c>
      <c r="C106" s="325" t="s">
        <v>313</v>
      </c>
      <c r="D106" s="326" t="str">
        <f>VLOOKUP(A106,'Feature Raw Data'!$A$3:$F$3922,6,FALSE)</f>
        <v>SIO</v>
      </c>
      <c r="E106" s="325"/>
      <c r="F106" s="325"/>
      <c r="G106" s="244" t="str">
        <f>VLOOKUP(A106,'Feature Summary'!$A$7:$C$4170,3,FALSE)</f>
        <v>P1</v>
      </c>
      <c r="H106" s="417" t="s">
        <v>432</v>
      </c>
      <c r="I106" s="448" t="s">
        <v>41</v>
      </c>
      <c r="J106" s="325"/>
      <c r="K106" s="326">
        <v>1</v>
      </c>
      <c r="L106" s="326">
        <v>2</v>
      </c>
      <c r="M106" s="582" t="str">
        <f>VLOOKUP(A106,'Feature Raw Data'!$A$3:$E$3922,5,FALSE)</f>
        <v>New</v>
      </c>
      <c r="N106" s="465">
        <v>1</v>
      </c>
      <c r="O106" s="466">
        <v>2</v>
      </c>
      <c r="P106" s="464">
        <f t="shared" si="12"/>
        <v>1</v>
      </c>
      <c r="Q106" s="448" t="s">
        <v>32</v>
      </c>
      <c r="R106" s="326">
        <v>2</v>
      </c>
      <c r="S106" s="496">
        <f t="shared" si="13"/>
        <v>2</v>
      </c>
      <c r="T106" s="485">
        <v>2</v>
      </c>
      <c r="U106" s="485"/>
      <c r="V106" s="485"/>
      <c r="W106" s="485"/>
      <c r="X106" s="497">
        <f t="shared" si="15"/>
        <v>1</v>
      </c>
      <c r="Y106" s="449" t="s">
        <v>395</v>
      </c>
      <c r="Z106" s="484">
        <f t="shared" si="14"/>
        <v>0</v>
      </c>
      <c r="AA106" s="485"/>
      <c r="AB106" s="485"/>
      <c r="AC106" s="485"/>
      <c r="AD106" s="485"/>
      <c r="AE106" s="483">
        <f t="shared" si="16"/>
        <v>0</v>
      </c>
      <c r="AF106" s="325"/>
      <c r="AG106" s="450" t="s">
        <v>312</v>
      </c>
      <c r="AH106" s="327"/>
    </row>
    <row r="107" spans="1:34" ht="15.75" thickBot="1" x14ac:dyDescent="0.3">
      <c r="A107" s="576">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1</v>
      </c>
      <c r="L107" s="326">
        <v>0</v>
      </c>
      <c r="M107" s="582" t="str">
        <f>VLOOKUP(A107,'Feature Raw Data'!$A$3:$E$3922,5,FALSE)</f>
        <v>New</v>
      </c>
      <c r="N107" s="465">
        <v>1</v>
      </c>
      <c r="O107" s="466"/>
      <c r="P107" s="464">
        <f t="shared" si="12"/>
        <v>1</v>
      </c>
      <c r="Q107" s="448" t="s">
        <v>47</v>
      </c>
      <c r="R107" s="326">
        <v>0</v>
      </c>
      <c r="S107" s="496">
        <f t="shared" si="13"/>
        <v>0</v>
      </c>
      <c r="T107" s="485"/>
      <c r="U107" s="485"/>
      <c r="V107" s="485"/>
      <c r="W107" s="485"/>
      <c r="X107" s="497">
        <f t="shared" si="15"/>
        <v>1</v>
      </c>
      <c r="Y107" s="449" t="s">
        <v>433</v>
      </c>
      <c r="Z107" s="484">
        <f t="shared" si="14"/>
        <v>0</v>
      </c>
      <c r="AA107" s="485"/>
      <c r="AB107" s="485"/>
      <c r="AC107" s="485"/>
      <c r="AD107" s="485"/>
      <c r="AE107" s="483">
        <f t="shared" si="16"/>
        <v>1</v>
      </c>
      <c r="AF107" s="325"/>
      <c r="AG107" s="450" t="s">
        <v>47</v>
      </c>
      <c r="AH107" s="327"/>
    </row>
    <row r="108" spans="1:34" ht="345.75" thickBot="1" x14ac:dyDescent="0.3">
      <c r="A108" s="576">
        <v>12.208</v>
      </c>
      <c r="B108" s="325" t="str">
        <f>VLOOKUP(A108,'Feature Raw Data'!$A$3:$B$3922,2,FALSE)</f>
        <v>wave64 FMAF32 power reduction (M2 item) -&gt; large area</v>
      </c>
      <c r="C108" s="325" t="s">
        <v>366</v>
      </c>
      <c r="D108" s="326" t="str">
        <f>VLOOKUP(A108,'Feature Raw Data'!$A$3:$F$3922,6,FALSE)</f>
        <v>SH</v>
      </c>
      <c r="E108" s="325"/>
      <c r="F108" s="325"/>
      <c r="G108" s="244" t="str">
        <f>VLOOKUP(A108,'Feature Summary'!$A$7:$C$4170,3,FALSE)</f>
        <v>P2</v>
      </c>
      <c r="H108" s="587" t="s">
        <v>434</v>
      </c>
      <c r="I108" s="448" t="s">
        <v>35</v>
      </c>
      <c r="J108" s="325"/>
      <c r="K108" s="326">
        <v>1</v>
      </c>
      <c r="L108" s="326">
        <v>64</v>
      </c>
      <c r="M108" s="582" t="str">
        <f>VLOOKUP(A108,'Feature Raw Data'!$A$3:$E$3922,5,FALSE)</f>
        <v>New</v>
      </c>
      <c r="N108" s="465">
        <v>1</v>
      </c>
      <c r="O108" s="466">
        <v>64</v>
      </c>
      <c r="P108" s="464">
        <f t="shared" si="12"/>
        <v>1</v>
      </c>
      <c r="Q108" s="448" t="s">
        <v>32</v>
      </c>
      <c r="R108" s="326">
        <v>64</v>
      </c>
      <c r="S108" s="496">
        <f t="shared" si="13"/>
        <v>64</v>
      </c>
      <c r="T108" s="485">
        <v>64</v>
      </c>
      <c r="U108" s="485"/>
      <c r="V108" s="485"/>
      <c r="W108" s="485"/>
      <c r="X108" s="497">
        <f t="shared" si="15"/>
        <v>1</v>
      </c>
      <c r="Y108" s="589" t="s">
        <v>435</v>
      </c>
      <c r="Z108" s="484">
        <f t="shared" si="14"/>
        <v>0</v>
      </c>
      <c r="AA108" s="485"/>
      <c r="AB108" s="485"/>
      <c r="AC108" s="485"/>
      <c r="AD108" s="485"/>
      <c r="AE108" s="483">
        <f t="shared" si="16"/>
        <v>0</v>
      </c>
      <c r="AF108" s="325"/>
      <c r="AG108" s="450" t="s">
        <v>354</v>
      </c>
      <c r="AH108" s="327"/>
    </row>
    <row r="109" spans="1:34" ht="15.75" thickBot="1" x14ac:dyDescent="0.3">
      <c r="A109" s="576">
        <v>12.209</v>
      </c>
      <c r="B109" s="325" t="str">
        <f>VLOOKUP(A109,'Feature Raw Data'!$A$3:$B$3922,2,FALSE)</f>
        <v>Add Structured Sparsity Support</v>
      </c>
      <c r="C109" s="325" t="s">
        <v>436</v>
      </c>
      <c r="D109" s="326" t="str">
        <f>VLOOKUP(A109,'Feature Raw Data'!$A$3:$F$3922,6,FALSE)</f>
        <v>SH</v>
      </c>
      <c r="E109" s="325"/>
      <c r="F109" s="325"/>
      <c r="G109" s="244" t="str">
        <f>VLOOKUP(A109,'Feature Summary'!$A$7:$C$4170,3,FALSE)</f>
        <v>P1</v>
      </c>
      <c r="H109" s="417" t="s">
        <v>437</v>
      </c>
      <c r="I109" s="448" t="s">
        <v>41</v>
      </c>
      <c r="J109" s="325"/>
      <c r="K109" s="326">
        <v>1</v>
      </c>
      <c r="L109" s="326">
        <v>22</v>
      </c>
      <c r="M109" s="582" t="str">
        <f>VLOOKUP(A109,'Feature Raw Data'!$A$3:$E$3922,5,FALSE)</f>
        <v>New</v>
      </c>
      <c r="N109" s="465">
        <v>1</v>
      </c>
      <c r="O109" s="466">
        <v>22</v>
      </c>
      <c r="P109" s="464">
        <f t="shared" si="12"/>
        <v>1</v>
      </c>
      <c r="Q109" s="448" t="s">
        <v>32</v>
      </c>
      <c r="R109" s="326">
        <v>22</v>
      </c>
      <c r="S109" s="496">
        <f t="shared" si="13"/>
        <v>2</v>
      </c>
      <c r="T109" s="485">
        <v>2</v>
      </c>
      <c r="U109" s="485"/>
      <c r="V109" s="485"/>
      <c r="W109" s="485"/>
      <c r="X109" s="497">
        <f t="shared" si="15"/>
        <v>9.0909090909090912E-2</v>
      </c>
      <c r="Y109" s="449"/>
      <c r="Z109" s="484">
        <f t="shared" si="14"/>
        <v>0</v>
      </c>
      <c r="AA109" s="485"/>
      <c r="AB109" s="485"/>
      <c r="AC109" s="485"/>
      <c r="AD109" s="485"/>
      <c r="AE109" s="483">
        <f t="shared" si="16"/>
        <v>0</v>
      </c>
      <c r="AF109" s="325"/>
      <c r="AG109" s="450" t="s">
        <v>318</v>
      </c>
      <c r="AH109" s="327"/>
    </row>
    <row r="110" spans="1:34" ht="15.75" thickBot="1" x14ac:dyDescent="0.3">
      <c r="A110" s="576">
        <v>12.21</v>
      </c>
      <c r="B110" s="325" t="str">
        <f>VLOOKUP(A110,'Feature Raw Data'!$A$3:$B$3922,2,FALSE)</f>
        <v>Fully connect capability to use high and normal MALL reuse hint (child of 12.027/12.041)</v>
      </c>
      <c r="C110" s="325" t="s">
        <v>379</v>
      </c>
      <c r="D110" s="326" t="str">
        <f>VLOOKUP(A110,'Feature Raw Data'!$A$3:$F$3922,6,FALSE)</f>
        <v>CMM</v>
      </c>
      <c r="E110" s="325"/>
      <c r="F110" s="325"/>
      <c r="G110" s="244" t="str">
        <f>VLOOKUP(A110,'Feature Summary'!$A$7:$C$4170,3,FALSE)</f>
        <v>P1</v>
      </c>
      <c r="H110" s="417" t="s">
        <v>438</v>
      </c>
      <c r="I110" s="448" t="s">
        <v>41</v>
      </c>
      <c r="J110" s="325"/>
      <c r="K110" s="326">
        <v>1</v>
      </c>
      <c r="L110" s="326">
        <v>12</v>
      </c>
      <c r="M110" s="582" t="str">
        <f>VLOOKUP(A110,'Feature Raw Data'!$A$3:$E$3922,5,FALSE)</f>
        <v>New</v>
      </c>
      <c r="N110" s="465">
        <v>1</v>
      </c>
      <c r="O110" s="466">
        <v>12</v>
      </c>
      <c r="P110" s="464">
        <f t="shared" si="12"/>
        <v>1</v>
      </c>
      <c r="Q110" s="448" t="s">
        <v>43</v>
      </c>
      <c r="R110" s="326">
        <v>1</v>
      </c>
      <c r="S110" s="496">
        <f t="shared" si="13"/>
        <v>0</v>
      </c>
      <c r="T110" s="485"/>
      <c r="U110" s="485"/>
      <c r="V110" s="485"/>
      <c r="W110" s="485"/>
      <c r="X110" s="497">
        <f t="shared" si="15"/>
        <v>0</v>
      </c>
      <c r="Y110" s="449"/>
      <c r="Z110" s="484">
        <f t="shared" si="14"/>
        <v>0</v>
      </c>
      <c r="AA110" s="485"/>
      <c r="AB110" s="485"/>
      <c r="AC110" s="485"/>
      <c r="AD110" s="485"/>
      <c r="AE110" s="483">
        <f t="shared" si="16"/>
        <v>0</v>
      </c>
      <c r="AF110" s="325"/>
      <c r="AG110" s="450" t="s">
        <v>312</v>
      </c>
      <c r="AH110" s="327"/>
    </row>
    <row r="111" spans="1:34" ht="15.75" thickBot="1" x14ac:dyDescent="0.3">
      <c r="A111" s="576">
        <v>12.211</v>
      </c>
      <c r="B111" s="325" t="str">
        <f>VLOOKUP(A111,'Feature Raw Data'!$A$3:$B$3922,2,FALSE)</f>
        <v>UTCL1_identity_mode  (SED Crest)</v>
      </c>
      <c r="C111" s="325" t="s">
        <v>379</v>
      </c>
      <c r="D111" s="326" t="str">
        <f>VLOOKUP(A111,'Feature Raw Data'!$A$3:$F$3922,6,FALSE)</f>
        <v>CMM</v>
      </c>
      <c r="E111" s="325"/>
      <c r="F111" s="325"/>
      <c r="G111" s="244" t="str">
        <f>VLOOKUP(A111,'Feature Summary'!$A$7:$C$4170,3,FALSE)</f>
        <v>P1</v>
      </c>
      <c r="H111" s="417" t="s">
        <v>47</v>
      </c>
      <c r="I111" s="448" t="s">
        <v>47</v>
      </c>
      <c r="J111" s="325"/>
      <c r="K111" s="326">
        <v>1</v>
      </c>
      <c r="L111" s="326">
        <v>0</v>
      </c>
      <c r="M111" s="582" t="str">
        <f>VLOOKUP(A111,'Feature Raw Data'!$A$3:$E$3922,5,FALSE)</f>
        <v>New</v>
      </c>
      <c r="N111" s="465">
        <v>1</v>
      </c>
      <c r="O111" s="466"/>
      <c r="P111" s="464">
        <f t="shared" si="12"/>
        <v>1</v>
      </c>
      <c r="Q111" s="448" t="s">
        <v>47</v>
      </c>
      <c r="R111" s="326">
        <v>0</v>
      </c>
      <c r="S111" s="496">
        <f t="shared" si="13"/>
        <v>0</v>
      </c>
      <c r="T111" s="485"/>
      <c r="U111" s="485"/>
      <c r="V111" s="485"/>
      <c r="W111" s="485"/>
      <c r="X111" s="497">
        <f t="shared" si="15"/>
        <v>1</v>
      </c>
      <c r="Y111" s="449" t="s">
        <v>439</v>
      </c>
      <c r="Z111" s="484">
        <f t="shared" si="14"/>
        <v>0</v>
      </c>
      <c r="AA111" s="485"/>
      <c r="AB111" s="485"/>
      <c r="AC111" s="485"/>
      <c r="AD111" s="485"/>
      <c r="AE111" s="483">
        <f t="shared" si="16"/>
        <v>1</v>
      </c>
      <c r="AF111" s="325"/>
      <c r="AG111" s="450" t="s">
        <v>47</v>
      </c>
      <c r="AH111" s="327"/>
    </row>
    <row r="112" spans="1:34" ht="15.75" thickBot="1" x14ac:dyDescent="0.3">
      <c r="A112" s="576">
        <v>12.212999999999999</v>
      </c>
      <c r="B112" s="325" t="str">
        <f>VLOOKUP(A112,'Feature Raw Data'!$A$3:$B$3922,2,FALSE)</f>
        <v>deprecate HPG</v>
      </c>
      <c r="C112" s="325" t="s">
        <v>328</v>
      </c>
      <c r="D112" s="326" t="str">
        <f>VLOOKUP(A112,'Feature Raw Data'!$A$3:$F$3922,6,FALSE)</f>
        <v>GEO</v>
      </c>
      <c r="E112" s="325"/>
      <c r="F112" s="325"/>
      <c r="G112" s="244" t="str">
        <f>VLOOKUP(A112,'Feature Summary'!$A$7:$C$4170,3,FALSE)</f>
        <v>P1</v>
      </c>
      <c r="H112" s="417" t="s">
        <v>47</v>
      </c>
      <c r="I112" s="448" t="s">
        <v>47</v>
      </c>
      <c r="J112" s="325"/>
      <c r="K112" s="326">
        <v>1</v>
      </c>
      <c r="L112" s="326">
        <v>0</v>
      </c>
      <c r="M112" s="582" t="str">
        <f>VLOOKUP(A112,'Feature Raw Data'!$A$3:$E$3922,5,FALSE)</f>
        <v>New</v>
      </c>
      <c r="N112" s="465">
        <v>1</v>
      </c>
      <c r="O112" s="466"/>
      <c r="P112" s="464">
        <f t="shared" si="12"/>
        <v>1</v>
      </c>
      <c r="Q112" s="448" t="s">
        <v>47</v>
      </c>
      <c r="R112" s="326">
        <v>0</v>
      </c>
      <c r="S112" s="496">
        <f t="shared" si="13"/>
        <v>0</v>
      </c>
      <c r="T112" s="485"/>
      <c r="U112" s="485"/>
      <c r="V112" s="485"/>
      <c r="W112" s="485"/>
      <c r="X112" s="497">
        <f t="shared" si="15"/>
        <v>1</v>
      </c>
      <c r="Y112" s="584" t="s">
        <v>440</v>
      </c>
      <c r="Z112" s="484">
        <f t="shared" si="14"/>
        <v>0</v>
      </c>
      <c r="AA112" s="485"/>
      <c r="AB112" s="485"/>
      <c r="AC112" s="485"/>
      <c r="AD112" s="485"/>
      <c r="AE112" s="483">
        <f t="shared" si="16"/>
        <v>1</v>
      </c>
      <c r="AF112" s="325"/>
      <c r="AG112" s="450" t="s">
        <v>47</v>
      </c>
      <c r="AH112" s="327"/>
    </row>
    <row r="113" spans="1:34" ht="15.75" thickBot="1" x14ac:dyDescent="0.3">
      <c r="A113" s="576">
        <v>12.214</v>
      </c>
      <c r="B113" s="325" t="str">
        <f>VLOOKUP(A113,'Feature Raw Data'!$A$3:$B$3922,2,FALSE)</f>
        <v>reduce GE_DIST to GE_SE wire count</v>
      </c>
      <c r="C113" s="325" t="s">
        <v>328</v>
      </c>
      <c r="D113" s="326" t="str">
        <f>VLOOKUP(A113,'Feature Raw Data'!$A$3:$F$3922,6,FALSE)</f>
        <v>GEO</v>
      </c>
      <c r="E113" s="325"/>
      <c r="F113" s="325"/>
      <c r="G113" s="244" t="str">
        <f>VLOOKUP(A113,'Feature Summary'!$A$7:$C$4170,3,FALSE)</f>
        <v>P1</v>
      </c>
      <c r="H113" s="417" t="s">
        <v>47</v>
      </c>
      <c r="I113" s="448" t="s">
        <v>47</v>
      </c>
      <c r="J113" s="325"/>
      <c r="K113" s="326">
        <v>1</v>
      </c>
      <c r="L113" s="326">
        <v>0</v>
      </c>
      <c r="M113" s="582" t="str">
        <f>VLOOKUP(A113,'Feature Raw Data'!$A$3:$E$3922,5,FALSE)</f>
        <v>New</v>
      </c>
      <c r="N113" s="465">
        <v>1</v>
      </c>
      <c r="O113" s="466"/>
      <c r="P113" s="464">
        <f t="shared" si="12"/>
        <v>1</v>
      </c>
      <c r="Q113" s="448" t="s">
        <v>47</v>
      </c>
      <c r="R113" s="326">
        <v>0</v>
      </c>
      <c r="S113" s="496">
        <f t="shared" si="13"/>
        <v>0</v>
      </c>
      <c r="T113" s="485"/>
      <c r="U113" s="485"/>
      <c r="V113" s="485"/>
      <c r="W113" s="485"/>
      <c r="X113" s="497">
        <f t="shared" si="15"/>
        <v>1</v>
      </c>
      <c r="Y113" s="449" t="s">
        <v>441</v>
      </c>
      <c r="Z113" s="484">
        <f t="shared" si="14"/>
        <v>0</v>
      </c>
      <c r="AA113" s="485"/>
      <c r="AB113" s="485"/>
      <c r="AC113" s="485"/>
      <c r="AD113" s="485"/>
      <c r="AE113" s="483">
        <f t="shared" si="16"/>
        <v>1</v>
      </c>
      <c r="AF113" s="325"/>
      <c r="AG113" s="450" t="s">
        <v>47</v>
      </c>
      <c r="AH113" s="327"/>
    </row>
    <row r="114" spans="1:34" ht="15.75" thickBot="1" x14ac:dyDescent="0.3">
      <c r="A114" s="576">
        <v>12.215999999999999</v>
      </c>
      <c r="B114" s="325" t="str">
        <f>VLOOKUP(A114,'Feature Raw Data'!$A$3:$B$3922,2,FALSE)</f>
        <v>All debug bus buffers to 4K size</v>
      </c>
      <c r="C114" s="325" t="s">
        <v>398</v>
      </c>
      <c r="D114" s="326" t="str">
        <f>VLOOKUP(A114,'Feature Raw Data'!$A$3:$F$3922,6,FALSE)</f>
        <v>CTL</v>
      </c>
      <c r="E114" s="325"/>
      <c r="F114" s="325"/>
      <c r="G114" s="244" t="str">
        <f>VLOOKUP(A114,'Feature Summary'!$A$7:$C$4170,3,FALSE)</f>
        <v>P1</v>
      </c>
      <c r="H114" s="417" t="s">
        <v>47</v>
      </c>
      <c r="I114" s="448" t="s">
        <v>47</v>
      </c>
      <c r="J114" s="325"/>
      <c r="K114" s="326">
        <v>1</v>
      </c>
      <c r="L114" s="326">
        <v>0</v>
      </c>
      <c r="M114" s="582" t="str">
        <f>VLOOKUP(A114,'Feature Raw Data'!$A$3:$E$3922,5,FALSE)</f>
        <v>New</v>
      </c>
      <c r="N114" s="465">
        <v>1</v>
      </c>
      <c r="O114" s="466"/>
      <c r="P114" s="464">
        <f t="shared" si="12"/>
        <v>1</v>
      </c>
      <c r="Q114" s="448" t="s">
        <v>47</v>
      </c>
      <c r="R114" s="326">
        <v>0</v>
      </c>
      <c r="S114" s="496">
        <v>0</v>
      </c>
      <c r="T114" s="485"/>
      <c r="U114" s="485"/>
      <c r="V114" s="485"/>
      <c r="W114" s="485"/>
      <c r="X114" s="497">
        <f t="shared" si="15"/>
        <v>1</v>
      </c>
      <c r="Y114" s="449" t="s">
        <v>442</v>
      </c>
      <c r="Z114" s="484">
        <f t="shared" si="14"/>
        <v>0</v>
      </c>
      <c r="AA114" s="485"/>
      <c r="AB114" s="485"/>
      <c r="AC114" s="485"/>
      <c r="AD114" s="485"/>
      <c r="AE114" s="483">
        <f t="shared" si="16"/>
        <v>1</v>
      </c>
      <c r="AF114" s="325"/>
      <c r="AG114" s="450" t="s">
        <v>47</v>
      </c>
      <c r="AH114" s="327"/>
    </row>
    <row r="115" spans="1:34" ht="15.75" thickBot="1" x14ac:dyDescent="0.3">
      <c r="A115" s="576">
        <v>12.218999999999999</v>
      </c>
      <c r="B115" s="325" t="str">
        <f>VLOOKUP(A115,'Feature Raw Data'!$A$3:$B$3922,2,FALSE)</f>
        <v>ge_se in sed.  Sub item under basic configuration</v>
      </c>
      <c r="C115" s="325" t="s">
        <v>328</v>
      </c>
      <c r="D115" s="326" t="str">
        <f>VLOOKUP(A115,'Feature Raw Data'!$A$3:$F$3922,6,FALSE)</f>
        <v>GEO</v>
      </c>
      <c r="E115" s="325"/>
      <c r="F115" s="325"/>
      <c r="G115" s="244" t="str">
        <f>VLOOKUP(A115,'Feature Summary'!$A$7:$C$4170,3,FALSE)</f>
        <v>P1</v>
      </c>
      <c r="H115" s="417" t="s">
        <v>443</v>
      </c>
      <c r="I115" s="448" t="s">
        <v>35</v>
      </c>
      <c r="J115" s="325"/>
      <c r="K115" s="326">
        <v>1</v>
      </c>
      <c r="L115" s="326">
        <v>1</v>
      </c>
      <c r="M115" s="582" t="str">
        <f>VLOOKUP(A115,'Feature Raw Data'!$A$3:$E$3922,5,FALSE)</f>
        <v>New</v>
      </c>
      <c r="N115" s="465">
        <v>1</v>
      </c>
      <c r="O115" s="466">
        <v>1</v>
      </c>
      <c r="P115" s="464">
        <f t="shared" si="12"/>
        <v>1</v>
      </c>
      <c r="Q115" s="448" t="s">
        <v>32</v>
      </c>
      <c r="R115" s="326">
        <v>1</v>
      </c>
      <c r="S115" s="496">
        <f t="shared" si="13"/>
        <v>0</v>
      </c>
      <c r="T115" s="485"/>
      <c r="U115" s="485"/>
      <c r="V115" s="485"/>
      <c r="W115" s="485"/>
      <c r="X115" s="497">
        <f t="shared" si="15"/>
        <v>0</v>
      </c>
      <c r="Y115" s="449"/>
      <c r="Z115" s="484">
        <f t="shared" si="14"/>
        <v>0</v>
      </c>
      <c r="AA115" s="485"/>
      <c r="AB115" s="485"/>
      <c r="AC115" s="485"/>
      <c r="AD115" s="485"/>
      <c r="AE115" s="483">
        <f t="shared" si="16"/>
        <v>0</v>
      </c>
      <c r="AF115" s="325"/>
      <c r="AG115" s="450" t="s">
        <v>312</v>
      </c>
      <c r="AH115" s="327"/>
    </row>
    <row r="116" spans="1:34" ht="15.75" thickBot="1" x14ac:dyDescent="0.3">
      <c r="A116" s="576">
        <v>12.22</v>
      </c>
      <c r="B116" s="325" t="str">
        <f>VLOOKUP(A116,'Feature Raw Data'!$A$3:$B$3922,2,FALSE)</f>
        <v>register cleanup</v>
      </c>
      <c r="C116" s="325" t="s">
        <v>328</v>
      </c>
      <c r="D116" s="326" t="str">
        <f>VLOOKUP(A116,'Feature Raw Data'!$A$3:$F$3922,6,FALSE)</f>
        <v>GEO</v>
      </c>
      <c r="E116" s="325"/>
      <c r="F116" s="325"/>
      <c r="G116" s="244" t="str">
        <f>VLOOKUP(A116,'Feature Summary'!$A$7:$C$4170,3,FALSE)</f>
        <v>P1</v>
      </c>
      <c r="H116" s="417" t="s">
        <v>444</v>
      </c>
      <c r="I116" s="448" t="s">
        <v>35</v>
      </c>
      <c r="J116" s="325"/>
      <c r="K116" s="326">
        <v>1</v>
      </c>
      <c r="L116" s="326">
        <v>1</v>
      </c>
      <c r="M116" s="582" t="str">
        <f>VLOOKUP(A116,'Feature Raw Data'!$A$3:$E$3922,5,FALSE)</f>
        <v>New</v>
      </c>
      <c r="N116" s="465">
        <v>1</v>
      </c>
      <c r="O116" s="466">
        <v>1</v>
      </c>
      <c r="P116" s="464">
        <f t="shared" si="12"/>
        <v>1</v>
      </c>
      <c r="Q116" s="448" t="s">
        <v>32</v>
      </c>
      <c r="R116" s="326">
        <v>1</v>
      </c>
      <c r="S116" s="496">
        <f t="shared" si="13"/>
        <v>1</v>
      </c>
      <c r="T116" s="485">
        <v>1</v>
      </c>
      <c r="U116" s="485"/>
      <c r="V116" s="485"/>
      <c r="W116" s="485"/>
      <c r="X116" s="497">
        <f t="shared" si="15"/>
        <v>1</v>
      </c>
      <c r="Y116" s="449"/>
      <c r="Z116" s="484">
        <f t="shared" si="14"/>
        <v>0</v>
      </c>
      <c r="AA116" s="485"/>
      <c r="AB116" s="485"/>
      <c r="AC116" s="485"/>
      <c r="AD116" s="485"/>
      <c r="AE116" s="483">
        <f t="shared" si="16"/>
        <v>0</v>
      </c>
      <c r="AF116" s="325"/>
      <c r="AG116" s="450" t="s">
        <v>312</v>
      </c>
      <c r="AH116" s="327"/>
    </row>
    <row r="117" spans="1:34" ht="15.75" thickBot="1" x14ac:dyDescent="0.3">
      <c r="A117" s="576">
        <v>12.221</v>
      </c>
      <c r="B117" s="325" t="str">
        <f>VLOOKUP(A117,'Feature Raw Data'!$A$3:$B$3922,2,FALSE)</f>
        <v>Add support to the SDMA to dequeue similar to the way the CP does</v>
      </c>
      <c r="C117" s="325" t="s">
        <v>319</v>
      </c>
      <c r="D117" s="326" t="str">
        <f>VLOOKUP(A117,'Feature Raw Data'!$A$3:$F$3922,6,FALSE)</f>
        <v>CTL</v>
      </c>
      <c r="E117" s="325"/>
      <c r="F117" s="325"/>
      <c r="G117" s="244" t="str">
        <f>VLOOKUP(A117,'Feature Summary'!$A$7:$C$4170,3,FALSE)</f>
        <v>P1</v>
      </c>
      <c r="H117" s="417" t="s">
        <v>47</v>
      </c>
      <c r="I117" s="448" t="s">
        <v>47</v>
      </c>
      <c r="J117" s="325"/>
      <c r="K117" s="326">
        <v>1</v>
      </c>
      <c r="L117" s="326">
        <v>0</v>
      </c>
      <c r="M117" s="582" t="str">
        <f>VLOOKUP(A117,'Feature Raw Data'!$A$3:$E$3922,5,FALSE)</f>
        <v>New</v>
      </c>
      <c r="N117" s="465">
        <v>1</v>
      </c>
      <c r="O117" s="466"/>
      <c r="P117" s="464">
        <f t="shared" si="12"/>
        <v>1</v>
      </c>
      <c r="Q117" s="448" t="s">
        <v>47</v>
      </c>
      <c r="R117" s="326">
        <v>0</v>
      </c>
      <c r="S117" s="496">
        <f t="shared" si="13"/>
        <v>0</v>
      </c>
      <c r="T117" s="485"/>
      <c r="U117" s="485"/>
      <c r="V117" s="485"/>
      <c r="W117" s="485"/>
      <c r="X117" s="497">
        <f t="shared" si="15"/>
        <v>1</v>
      </c>
      <c r="Y117" s="449"/>
      <c r="Z117" s="484">
        <f t="shared" si="14"/>
        <v>0</v>
      </c>
      <c r="AA117" s="485"/>
      <c r="AB117" s="485"/>
      <c r="AC117" s="485"/>
      <c r="AD117" s="485"/>
      <c r="AE117" s="483">
        <f t="shared" si="16"/>
        <v>1</v>
      </c>
      <c r="AF117" s="325"/>
      <c r="AG117" s="450" t="s">
        <v>47</v>
      </c>
      <c r="AH117" s="327"/>
    </row>
    <row r="118" spans="1:34" ht="15.75" thickBot="1" x14ac:dyDescent="0.3">
      <c r="A118" s="576">
        <v>12.223000000000001</v>
      </c>
      <c r="B118" s="325" t="str">
        <f>VLOOKUP(A118,'Feature Raw Data'!$A$3:$B$3922,2,FALSE)</f>
        <v>Update PA/SC support for 1 to 9SE and updated pix distribution algorithm</v>
      </c>
      <c r="C118" s="325" t="s">
        <v>322</v>
      </c>
      <c r="D118" s="326" t="str">
        <f>VLOOKUP(A118,'Feature Raw Data'!$A$3:$F$3922,6,FALSE)</f>
        <v>PP</v>
      </c>
      <c r="E118" s="325"/>
      <c r="F118" s="325"/>
      <c r="G118" s="244" t="str">
        <f>VLOOKUP(A118,'Feature Summary'!$A$7:$C$4170,3,FALSE)</f>
        <v>P1</v>
      </c>
      <c r="H118" s="417" t="s">
        <v>445</v>
      </c>
      <c r="I118" s="448" t="s">
        <v>41</v>
      </c>
      <c r="J118" s="325"/>
      <c r="K118" s="326">
        <v>1</v>
      </c>
      <c r="L118" s="326">
        <v>2</v>
      </c>
      <c r="M118" s="582" t="str">
        <f>VLOOKUP(A118,'Feature Raw Data'!$A$3:$E$3922,5,FALSE)</f>
        <v>New</v>
      </c>
      <c r="N118" s="465">
        <v>1</v>
      </c>
      <c r="O118" s="466">
        <v>2</v>
      </c>
      <c r="P118" s="464">
        <f t="shared" si="12"/>
        <v>1</v>
      </c>
      <c r="Q118" s="448" t="s">
        <v>32</v>
      </c>
      <c r="R118" s="326">
        <v>1</v>
      </c>
      <c r="S118" s="496">
        <f t="shared" si="13"/>
        <v>1</v>
      </c>
      <c r="T118" s="485">
        <v>1</v>
      </c>
      <c r="U118" s="485"/>
      <c r="V118" s="485"/>
      <c r="W118" s="485"/>
      <c r="X118" s="497">
        <f t="shared" si="15"/>
        <v>1</v>
      </c>
      <c r="Y118" s="449"/>
      <c r="Z118" s="484">
        <f t="shared" si="14"/>
        <v>0</v>
      </c>
      <c r="AA118" s="485"/>
      <c r="AB118" s="485"/>
      <c r="AC118" s="485"/>
      <c r="AD118" s="485"/>
      <c r="AE118" s="483">
        <f t="shared" si="16"/>
        <v>0</v>
      </c>
      <c r="AF118" s="325"/>
      <c r="AG118" s="450" t="s">
        <v>309</v>
      </c>
      <c r="AH118" s="327"/>
    </row>
    <row r="119" spans="1:34" ht="15.75" thickBot="1" x14ac:dyDescent="0.3">
      <c r="A119" s="576">
        <v>12.224</v>
      </c>
      <c r="B119" s="325" t="str">
        <f>VLOOKUP(A119,'Feature Raw Data'!$A$3:$B$3922,2,FALSE)</f>
        <v>Drop the FSR support from SC PBB implementation</v>
      </c>
      <c r="C119" s="325" t="s">
        <v>310</v>
      </c>
      <c r="D119" s="326" t="str">
        <f>VLOOKUP(A119,'Feature Raw Data'!$A$3:$F$3922,6,FALSE)</f>
        <v>PP</v>
      </c>
      <c r="E119" s="325"/>
      <c r="F119" s="325"/>
      <c r="G119" s="244" t="str">
        <f>VLOOKUP(A119,'Feature Summary'!$A$7:$C$4170,3,FALSE)</f>
        <v>P1</v>
      </c>
      <c r="H119" s="417" t="s">
        <v>47</v>
      </c>
      <c r="I119" s="448" t="s">
        <v>47</v>
      </c>
      <c r="J119" s="325"/>
      <c r="K119" s="326">
        <v>1</v>
      </c>
      <c r="L119" s="326">
        <v>0</v>
      </c>
      <c r="M119" s="582" t="str">
        <f>VLOOKUP(A119,'Feature Raw Data'!$A$3:$E$3922,5,FALSE)</f>
        <v>New</v>
      </c>
      <c r="N119" s="465">
        <v>1</v>
      </c>
      <c r="O119" s="466"/>
      <c r="P119" s="464">
        <f t="shared" si="12"/>
        <v>1</v>
      </c>
      <c r="Q119" s="448" t="s">
        <v>47</v>
      </c>
      <c r="R119" s="326">
        <v>0</v>
      </c>
      <c r="S119" s="496">
        <f t="shared" si="13"/>
        <v>0</v>
      </c>
      <c r="T119" s="485"/>
      <c r="U119" s="485"/>
      <c r="V119" s="485"/>
      <c r="W119" s="485"/>
      <c r="X119" s="497">
        <f t="shared" si="15"/>
        <v>1</v>
      </c>
      <c r="Y119" s="449" t="s">
        <v>446</v>
      </c>
      <c r="Z119" s="484">
        <f t="shared" si="14"/>
        <v>0</v>
      </c>
      <c r="AA119" s="485"/>
      <c r="AB119" s="485"/>
      <c r="AC119" s="485"/>
      <c r="AD119" s="485"/>
      <c r="AE119" s="483">
        <f t="shared" si="16"/>
        <v>1</v>
      </c>
      <c r="AF119" s="325"/>
      <c r="AG119" s="450" t="s">
        <v>47</v>
      </c>
      <c r="AH119" s="327"/>
    </row>
    <row r="120" spans="1:34" ht="15.75" thickBot="1" x14ac:dyDescent="0.3">
      <c r="A120" s="576">
        <v>12.225</v>
      </c>
      <c r="B120" s="325" t="str">
        <f>VLOOKUP(A120,'Feature Raw Data'!$A$3:$B$3922,2,FALSE)</f>
        <v>DB design simplificaitons while updating for hybrid depth compression</v>
      </c>
      <c r="C120" s="325" t="s">
        <v>322</v>
      </c>
      <c r="D120" s="326" t="str">
        <f>VLOOKUP(A120,'Feature Raw Data'!$A$3:$F$3922,6,FALSE)</f>
        <v>PP</v>
      </c>
      <c r="E120" s="325"/>
      <c r="F120" s="325"/>
      <c r="G120" s="244" t="str">
        <f>VLOOKUP(A120,'Feature Summary'!$A$7:$C$4170,3,FALSE)</f>
        <v>P1</v>
      </c>
      <c r="H120" s="417" t="s">
        <v>419</v>
      </c>
      <c r="I120" s="448" t="s">
        <v>41</v>
      </c>
      <c r="J120" s="325"/>
      <c r="K120" s="326">
        <v>1</v>
      </c>
      <c r="L120" s="326">
        <v>2</v>
      </c>
      <c r="M120" s="582" t="str">
        <f>VLOOKUP(A120,'Feature Raw Data'!$A$3:$E$3922,5,FALSE)</f>
        <v>New</v>
      </c>
      <c r="N120" s="465">
        <v>1</v>
      </c>
      <c r="O120" s="466">
        <v>2</v>
      </c>
      <c r="P120" s="464">
        <f t="shared" si="12"/>
        <v>1</v>
      </c>
      <c r="Q120" s="448" t="s">
        <v>32</v>
      </c>
      <c r="R120" s="326">
        <v>1</v>
      </c>
      <c r="S120" s="496">
        <f t="shared" si="13"/>
        <v>0</v>
      </c>
      <c r="T120" s="485"/>
      <c r="U120" s="485"/>
      <c r="V120" s="485"/>
      <c r="W120" s="485"/>
      <c r="X120" s="497">
        <f t="shared" si="15"/>
        <v>0</v>
      </c>
      <c r="Y120" s="449"/>
      <c r="Z120" s="484">
        <f t="shared" si="14"/>
        <v>0</v>
      </c>
      <c r="AA120" s="485"/>
      <c r="AB120" s="485"/>
      <c r="AC120" s="485"/>
      <c r="AD120" s="485"/>
      <c r="AE120" s="483">
        <f t="shared" si="16"/>
        <v>0</v>
      </c>
      <c r="AF120" s="325"/>
      <c r="AG120" s="450" t="s">
        <v>309</v>
      </c>
      <c r="AH120" s="327"/>
    </row>
    <row r="121" spans="1:34" ht="15.75" thickBot="1" x14ac:dyDescent="0.3">
      <c r="A121" s="576">
        <v>12.233000000000001</v>
      </c>
      <c r="B121" s="325" t="str">
        <f>VLOOKUP(A121,'Feature Raw Data'!$A$3:$B$3922,2,FALSE)</f>
        <v>add DRAM logging support for RLC</v>
      </c>
      <c r="C121" s="325" t="s">
        <v>322</v>
      </c>
      <c r="D121" s="326" t="str">
        <f>VLOOKUP(A121,'Feature Raw Data'!$A$3:$F$3922,6,FALSE)</f>
        <v>CTL</v>
      </c>
      <c r="E121" s="325"/>
      <c r="F121" s="325"/>
      <c r="G121" s="244" t="str">
        <f>VLOOKUP(A121,'Feature Summary'!$A$7:$C$4170,3,FALSE)</f>
        <v>P2</v>
      </c>
      <c r="H121" s="417" t="s">
        <v>47</v>
      </c>
      <c r="I121" s="448" t="s">
        <v>47</v>
      </c>
      <c r="J121" s="325"/>
      <c r="K121" s="326">
        <v>1</v>
      </c>
      <c r="L121" s="326">
        <v>0</v>
      </c>
      <c r="M121" s="582" t="str">
        <f>VLOOKUP(A121,'Feature Raw Data'!$A$3:$E$3922,5,FALSE)</f>
        <v>New</v>
      </c>
      <c r="N121" s="465">
        <v>1</v>
      </c>
      <c r="O121" s="466"/>
      <c r="P121" s="464">
        <f t="shared" si="12"/>
        <v>1</v>
      </c>
      <c r="Q121" s="448" t="s">
        <v>47</v>
      </c>
      <c r="R121" s="326">
        <v>0</v>
      </c>
      <c r="S121" s="496">
        <f t="shared" si="13"/>
        <v>0</v>
      </c>
      <c r="T121" s="485"/>
      <c r="U121" s="485"/>
      <c r="V121" s="485"/>
      <c r="W121" s="485"/>
      <c r="X121" s="497">
        <f t="shared" si="15"/>
        <v>1</v>
      </c>
      <c r="Y121" s="449" t="s">
        <v>447</v>
      </c>
      <c r="Z121" s="484">
        <f t="shared" si="14"/>
        <v>0</v>
      </c>
      <c r="AA121" s="485"/>
      <c r="AB121" s="485"/>
      <c r="AC121" s="485"/>
      <c r="AD121" s="485"/>
      <c r="AE121" s="483">
        <f t="shared" si="16"/>
        <v>1</v>
      </c>
      <c r="AF121" s="325"/>
      <c r="AG121" s="450" t="s">
        <v>47</v>
      </c>
      <c r="AH121" s="327"/>
    </row>
    <row r="122" spans="1:34" ht="15.75" thickBot="1" x14ac:dyDescent="0.3">
      <c r="A122" s="576">
        <v>12.234999999999999</v>
      </c>
      <c r="B122" s="325" t="str">
        <f>VLOOKUP(A122,'Feature Raw Data'!$A$3:$B$3922,2,FALSE)</f>
        <v>Add RLC SRM as an RLC_CH client</v>
      </c>
      <c r="C122" s="325" t="s">
        <v>396</v>
      </c>
      <c r="D122" s="326" t="str">
        <f>VLOOKUP(A122,'Feature Raw Data'!$A$3:$F$3922,6,FALSE)</f>
        <v>CTL</v>
      </c>
      <c r="E122" s="325"/>
      <c r="F122" s="325"/>
      <c r="G122" s="244" t="str">
        <f>VLOOKUP(A122,'Feature Summary'!$A$7:$C$4170,3,FALSE)</f>
        <v>P2</v>
      </c>
      <c r="H122" s="417" t="s">
        <v>47</v>
      </c>
      <c r="I122" s="448" t="s">
        <v>47</v>
      </c>
      <c r="J122" s="325"/>
      <c r="K122" s="326">
        <v>1</v>
      </c>
      <c r="L122" s="326">
        <v>0</v>
      </c>
      <c r="M122" s="582" t="str">
        <f>VLOOKUP(A122,'Feature Raw Data'!$A$3:$E$3922,5,FALSE)</f>
        <v>New</v>
      </c>
      <c r="N122" s="465">
        <v>1</v>
      </c>
      <c r="O122" s="466"/>
      <c r="P122" s="464">
        <f t="shared" si="12"/>
        <v>1</v>
      </c>
      <c r="Q122" s="448" t="s">
        <v>47</v>
      </c>
      <c r="R122" s="326">
        <v>0</v>
      </c>
      <c r="S122" s="496">
        <f t="shared" si="13"/>
        <v>0</v>
      </c>
      <c r="T122" s="485"/>
      <c r="U122" s="485"/>
      <c r="V122" s="485"/>
      <c r="W122" s="485"/>
      <c r="X122" s="497">
        <f t="shared" si="15"/>
        <v>1</v>
      </c>
      <c r="Y122" s="449" t="s">
        <v>448</v>
      </c>
      <c r="Z122" s="484">
        <f t="shared" si="14"/>
        <v>0</v>
      </c>
      <c r="AA122" s="485"/>
      <c r="AB122" s="485"/>
      <c r="AC122" s="485"/>
      <c r="AD122" s="485"/>
      <c r="AE122" s="483">
        <f t="shared" si="16"/>
        <v>1</v>
      </c>
      <c r="AF122" s="325"/>
      <c r="AG122" s="450" t="s">
        <v>47</v>
      </c>
      <c r="AH122" s="327"/>
    </row>
    <row r="123" spans="1:34" ht="15.75" thickBot="1" x14ac:dyDescent="0.3">
      <c r="A123" s="576">
        <v>12.236000000000001</v>
      </c>
      <c r="B123" s="325" t="str">
        <f>VLOOKUP(A123,'Feature Raw Data'!$A$3:$B$3922,2,FALSE)</f>
        <v>change RLC LX7 config used for power management</v>
      </c>
      <c r="C123" s="325" t="s">
        <v>396</v>
      </c>
      <c r="D123" s="326" t="str">
        <f>VLOOKUP(A123,'Feature Raw Data'!$A$3:$F$3922,6,FALSE)</f>
        <v>CTL</v>
      </c>
      <c r="E123" s="325"/>
      <c r="F123" s="325"/>
      <c r="G123" s="244" t="str">
        <f>VLOOKUP(A123,'Feature Summary'!$A$7:$C$4170,3,FALSE)</f>
        <v>P1</v>
      </c>
      <c r="H123" s="417" t="s">
        <v>47</v>
      </c>
      <c r="I123" s="448" t="s">
        <v>47</v>
      </c>
      <c r="J123" s="325"/>
      <c r="K123" s="326">
        <v>1</v>
      </c>
      <c r="L123" s="326">
        <v>0</v>
      </c>
      <c r="M123" s="582" t="str">
        <f>VLOOKUP(A123,'Feature Raw Data'!$A$3:$E$3922,5,FALSE)</f>
        <v>New</v>
      </c>
      <c r="N123" s="465">
        <v>1</v>
      </c>
      <c r="O123" s="466"/>
      <c r="P123" s="464">
        <f t="shared" si="12"/>
        <v>1</v>
      </c>
      <c r="Q123" s="448" t="s">
        <v>47</v>
      </c>
      <c r="R123" s="326">
        <v>0</v>
      </c>
      <c r="S123" s="496">
        <f t="shared" si="13"/>
        <v>0</v>
      </c>
      <c r="T123" s="485"/>
      <c r="U123" s="485"/>
      <c r="V123" s="485"/>
      <c r="W123" s="485"/>
      <c r="X123" s="497">
        <f t="shared" si="15"/>
        <v>1</v>
      </c>
      <c r="Y123" s="449" t="s">
        <v>449</v>
      </c>
      <c r="Z123" s="484">
        <f t="shared" si="14"/>
        <v>0</v>
      </c>
      <c r="AA123" s="485"/>
      <c r="AB123" s="485"/>
      <c r="AC123" s="485"/>
      <c r="AD123" s="485"/>
      <c r="AE123" s="483">
        <f t="shared" si="16"/>
        <v>1</v>
      </c>
      <c r="AF123" s="325"/>
      <c r="AG123" s="450" t="s">
        <v>47</v>
      </c>
      <c r="AH123" s="327"/>
    </row>
    <row r="124" spans="1:34" ht="15.75" thickBot="1" x14ac:dyDescent="0.3">
      <c r="A124" s="576">
        <v>12.239000000000001</v>
      </c>
      <c r="B124" s="325" t="str">
        <f>VLOOKUP(A124,'Feature Raw Data'!$A$3:$B$3922,2,FALSE)</f>
        <v>increase adaptive stretch response of GDFLL</v>
      </c>
      <c r="C124" s="325" t="s">
        <v>322</v>
      </c>
      <c r="D124" s="326" t="str">
        <f>VLOOKUP(A124,'Feature Raw Data'!$A$3:$F$3922,6,FALSE)</f>
        <v>CTL</v>
      </c>
      <c r="E124" s="325"/>
      <c r="F124" s="325"/>
      <c r="G124" s="244" t="str">
        <f>VLOOKUP(A124,'Feature Summary'!$A$7:$C$4170,3,FALSE)</f>
        <v>P2</v>
      </c>
      <c r="H124" s="417" t="s">
        <v>47</v>
      </c>
      <c r="I124" s="448" t="s">
        <v>47</v>
      </c>
      <c r="J124" s="325"/>
      <c r="K124" s="326">
        <v>1</v>
      </c>
      <c r="L124" s="326">
        <v>0</v>
      </c>
      <c r="M124" s="582" t="str">
        <f>VLOOKUP(A124,'Feature Raw Data'!$A$3:$E$3922,5,FALSE)</f>
        <v>New</v>
      </c>
      <c r="N124" s="465">
        <v>1</v>
      </c>
      <c r="O124" s="466"/>
      <c r="P124" s="464">
        <f t="shared" si="12"/>
        <v>1</v>
      </c>
      <c r="Q124" s="448" t="s">
        <v>47</v>
      </c>
      <c r="R124" s="326">
        <v>0</v>
      </c>
      <c r="S124" s="496">
        <f t="shared" si="13"/>
        <v>0</v>
      </c>
      <c r="T124" s="485"/>
      <c r="U124" s="485"/>
      <c r="V124" s="485"/>
      <c r="W124" s="485"/>
      <c r="X124" s="497">
        <f t="shared" si="15"/>
        <v>1</v>
      </c>
      <c r="Y124" s="449" t="s">
        <v>450</v>
      </c>
      <c r="Z124" s="484">
        <f t="shared" si="14"/>
        <v>0</v>
      </c>
      <c r="AA124" s="485"/>
      <c r="AB124" s="485"/>
      <c r="AC124" s="485"/>
      <c r="AD124" s="485"/>
      <c r="AE124" s="483">
        <f t="shared" si="16"/>
        <v>1</v>
      </c>
      <c r="AF124" s="325"/>
      <c r="AG124" s="450" t="s">
        <v>47</v>
      </c>
      <c r="AH124" s="327"/>
    </row>
    <row r="125" spans="1:34" ht="15.75" thickBot="1" x14ac:dyDescent="0.3">
      <c r="A125" s="576">
        <v>12.247</v>
      </c>
      <c r="B125" s="325" t="str">
        <f>VLOOKUP(A125,'Feature Raw Data'!$A$3:$B$3922,2,FALSE)</f>
        <v>Register remap to match M1</v>
      </c>
      <c r="C125" s="325" t="s">
        <v>328</v>
      </c>
      <c r="D125" s="326" t="str">
        <f>VLOOKUP(A125,'Feature Raw Data'!$A$3:$F$3922,6,FALSE)</f>
        <v>GEO</v>
      </c>
      <c r="E125" s="325"/>
      <c r="F125" s="325"/>
      <c r="G125" s="244" t="str">
        <f>VLOOKUP(A125,'Feature Summary'!$A$7:$C$4170,3,FALSE)</f>
        <v>P1</v>
      </c>
      <c r="H125" s="417" t="s">
        <v>451</v>
      </c>
      <c r="I125" s="448" t="s">
        <v>35</v>
      </c>
      <c r="J125" s="325"/>
      <c r="K125" s="326">
        <v>1</v>
      </c>
      <c r="L125" s="326">
        <v>3</v>
      </c>
      <c r="M125" s="582" t="str">
        <f>VLOOKUP(A125,'Feature Raw Data'!$A$3:$E$3922,5,FALSE)</f>
        <v>New</v>
      </c>
      <c r="N125" s="465">
        <v>1</v>
      </c>
      <c r="O125" s="466">
        <v>3</v>
      </c>
      <c r="P125" s="464">
        <f t="shared" si="12"/>
        <v>1</v>
      </c>
      <c r="Q125" s="448" t="s">
        <v>32</v>
      </c>
      <c r="R125" s="326">
        <v>1</v>
      </c>
      <c r="S125" s="496">
        <f t="shared" si="13"/>
        <v>1</v>
      </c>
      <c r="T125" s="485">
        <v>1</v>
      </c>
      <c r="U125" s="485"/>
      <c r="V125" s="485"/>
      <c r="W125" s="485"/>
      <c r="X125" s="497">
        <f t="shared" si="15"/>
        <v>1</v>
      </c>
      <c r="Y125" s="449"/>
      <c r="Z125" s="484">
        <f t="shared" si="14"/>
        <v>0</v>
      </c>
      <c r="AA125" s="485"/>
      <c r="AB125" s="485"/>
      <c r="AC125" s="485"/>
      <c r="AD125" s="485"/>
      <c r="AE125" s="483">
        <f t="shared" si="16"/>
        <v>0</v>
      </c>
      <c r="AF125" s="325"/>
      <c r="AG125" s="450" t="s">
        <v>312</v>
      </c>
      <c r="AH125" s="327"/>
    </row>
    <row r="126" spans="1:34" ht="15.75" thickBot="1" x14ac:dyDescent="0.3">
      <c r="A126" s="576">
        <v>12.253</v>
      </c>
      <c r="B126" s="325" t="str">
        <f>VLOOKUP(A126,'Feature Raw Data'!$A$3:$B$3922,2,FALSE)</f>
        <v>GFX12 IMU - Remove CPAXI and send doorbells directly to CP/RLC/SDMA</v>
      </c>
      <c r="C126" s="325" t="s">
        <v>322</v>
      </c>
      <c r="D126" s="326" t="str">
        <f>VLOOKUP(A126,'Feature Raw Data'!$A$3:$F$3922,6,FALSE)</f>
        <v>CTL</v>
      </c>
      <c r="E126" s="325"/>
      <c r="F126" s="325"/>
      <c r="G126" s="244" t="str">
        <f>VLOOKUP(A126,'Feature Summary'!$A$7:$C$4170,3,FALSE)</f>
        <v>P1</v>
      </c>
      <c r="H126" s="417" t="s">
        <v>47</v>
      </c>
      <c r="I126" s="448" t="s">
        <v>47</v>
      </c>
      <c r="J126" s="325"/>
      <c r="K126" s="326">
        <v>1</v>
      </c>
      <c r="L126" s="326">
        <v>0</v>
      </c>
      <c r="M126" s="582" t="str">
        <f>VLOOKUP(A126,'Feature Raw Data'!$A$3:$E$3922,5,FALSE)</f>
        <v>New</v>
      </c>
      <c r="N126" s="465">
        <v>1</v>
      </c>
      <c r="O126" s="466"/>
      <c r="P126" s="464">
        <f t="shared" si="12"/>
        <v>1</v>
      </c>
      <c r="Q126" s="448" t="s">
        <v>47</v>
      </c>
      <c r="R126" s="326">
        <v>0</v>
      </c>
      <c r="S126" s="496">
        <f t="shared" si="13"/>
        <v>0</v>
      </c>
      <c r="T126" s="485"/>
      <c r="U126" s="485"/>
      <c r="V126" s="485"/>
      <c r="W126" s="485"/>
      <c r="X126" s="497">
        <f t="shared" si="15"/>
        <v>1</v>
      </c>
      <c r="Y126" s="449" t="s">
        <v>452</v>
      </c>
      <c r="Z126" s="484">
        <f t="shared" si="14"/>
        <v>0</v>
      </c>
      <c r="AA126" s="485"/>
      <c r="AB126" s="485"/>
      <c r="AC126" s="485"/>
      <c r="AD126" s="485"/>
      <c r="AE126" s="483">
        <f t="shared" si="16"/>
        <v>1</v>
      </c>
      <c r="AF126" s="325"/>
      <c r="AG126" s="450" t="s">
        <v>47</v>
      </c>
      <c r="AH126" s="327"/>
    </row>
    <row r="127" spans="1:34" ht="15.75" thickBot="1" x14ac:dyDescent="0.3">
      <c r="A127" s="576">
        <v>12.255000000000001</v>
      </c>
      <c r="B127" s="325" t="str">
        <f>VLOOKUP(A127,'Feature Raw Data'!$A$3:$B$3922,2,FALSE)</f>
        <v>GFX12 IMU - Modify doorbell interface from Syshub to IMU</v>
      </c>
      <c r="C127" s="325" t="s">
        <v>322</v>
      </c>
      <c r="D127" s="326" t="str">
        <f>VLOOKUP(A127,'Feature Raw Data'!$A$3:$F$3922,6,FALSE)</f>
        <v>CTL</v>
      </c>
      <c r="E127" s="325"/>
      <c r="F127" s="325"/>
      <c r="G127" s="244" t="str">
        <f>VLOOKUP(A127,'Feature Summary'!$A$7:$C$4170,3,FALSE)</f>
        <v>P1</v>
      </c>
      <c r="H127" s="417" t="s">
        <v>47</v>
      </c>
      <c r="I127" s="448" t="s">
        <v>47</v>
      </c>
      <c r="J127" s="325"/>
      <c r="K127" s="326">
        <v>1</v>
      </c>
      <c r="L127" s="326">
        <v>0</v>
      </c>
      <c r="M127" s="582" t="str">
        <f>VLOOKUP(A127,'Feature Raw Data'!$A$3:$E$3922,5,FALSE)</f>
        <v>New</v>
      </c>
      <c r="N127" s="465">
        <v>1</v>
      </c>
      <c r="O127" s="466"/>
      <c r="P127" s="464">
        <f t="shared" si="12"/>
        <v>1</v>
      </c>
      <c r="Q127" s="448" t="s">
        <v>47</v>
      </c>
      <c r="R127" s="326">
        <v>0</v>
      </c>
      <c r="S127" s="496">
        <f t="shared" si="13"/>
        <v>0</v>
      </c>
      <c r="T127" s="485"/>
      <c r="U127" s="485"/>
      <c r="V127" s="485"/>
      <c r="W127" s="485"/>
      <c r="X127" s="497">
        <f t="shared" si="15"/>
        <v>1</v>
      </c>
      <c r="Y127" s="449" t="s">
        <v>452</v>
      </c>
      <c r="Z127" s="484">
        <f t="shared" si="14"/>
        <v>0</v>
      </c>
      <c r="AA127" s="485"/>
      <c r="AB127" s="485"/>
      <c r="AC127" s="485"/>
      <c r="AD127" s="485"/>
      <c r="AE127" s="483">
        <f t="shared" si="16"/>
        <v>1</v>
      </c>
      <c r="AF127" s="325"/>
      <c r="AG127" s="450" t="s">
        <v>47</v>
      </c>
      <c r="AH127" s="327"/>
    </row>
    <row r="128" spans="1:34" ht="15.75" thickBot="1" x14ac:dyDescent="0.3">
      <c r="A128" s="576">
        <v>12.263</v>
      </c>
      <c r="B128" s="325" t="str">
        <f>VLOOKUP(A128,'Feature Raw Data'!$A$3:$B$3922,2,FALSE)</f>
        <v>GFX12 IMU - Add Resets and idle sidebands</v>
      </c>
      <c r="C128" s="325" t="s">
        <v>322</v>
      </c>
      <c r="D128" s="326" t="str">
        <f>VLOOKUP(A128,'Feature Raw Data'!$A$3:$F$3922,6,FALSE)</f>
        <v>CTL</v>
      </c>
      <c r="E128" s="325"/>
      <c r="F128" s="325"/>
      <c r="G128" s="244" t="str">
        <f>VLOOKUP(A128,'Feature Summary'!$A$7:$C$4170,3,FALSE)</f>
        <v>P1</v>
      </c>
      <c r="H128" s="417" t="s">
        <v>47</v>
      </c>
      <c r="I128" s="448" t="s">
        <v>47</v>
      </c>
      <c r="J128" s="325"/>
      <c r="K128" s="326">
        <v>1</v>
      </c>
      <c r="L128" s="326">
        <v>0</v>
      </c>
      <c r="M128" s="582" t="str">
        <f>VLOOKUP(A128,'Feature Raw Data'!$A$3:$E$3922,5,FALSE)</f>
        <v>New</v>
      </c>
      <c r="N128" s="465">
        <v>1</v>
      </c>
      <c r="O128" s="466"/>
      <c r="P128" s="464">
        <f t="shared" si="12"/>
        <v>1</v>
      </c>
      <c r="Q128" s="448" t="s">
        <v>47</v>
      </c>
      <c r="R128" s="326">
        <v>0</v>
      </c>
      <c r="S128" s="496">
        <f t="shared" si="13"/>
        <v>0</v>
      </c>
      <c r="T128" s="485"/>
      <c r="U128" s="485"/>
      <c r="V128" s="485"/>
      <c r="W128" s="485"/>
      <c r="X128" s="497">
        <f t="shared" si="15"/>
        <v>1</v>
      </c>
      <c r="Y128" s="449" t="s">
        <v>452</v>
      </c>
      <c r="Z128" s="484">
        <f t="shared" si="14"/>
        <v>0</v>
      </c>
      <c r="AA128" s="485"/>
      <c r="AB128" s="485"/>
      <c r="AC128" s="485"/>
      <c r="AD128" s="485"/>
      <c r="AE128" s="483">
        <f t="shared" si="16"/>
        <v>1</v>
      </c>
      <c r="AF128" s="325"/>
      <c r="AG128" s="450" t="s">
        <v>47</v>
      </c>
      <c r="AH128" s="327"/>
    </row>
    <row r="129" spans="1:34" ht="30.75" thickBot="1" x14ac:dyDescent="0.3">
      <c r="A129" s="576">
        <v>12.266</v>
      </c>
      <c r="B129" s="325" t="str">
        <f>VLOOKUP(A129,'Feature Raw Data'!$A$3:$B$3922,2,FALSE)</f>
        <v>GFX12 Firewall update for 40 bit address</v>
      </c>
      <c r="C129" s="325" t="s">
        <v>453</v>
      </c>
      <c r="D129" s="326" t="str">
        <f>VLOOKUP(A129,'Feature Raw Data'!$A$3:$F$3922,6,FALSE)</f>
        <v>CTL</v>
      </c>
      <c r="E129" s="325"/>
      <c r="F129" s="325"/>
      <c r="G129" s="244" t="str">
        <f>VLOOKUP(A129,'Feature Summary'!$A$7:$C$4170,3,FALSE)</f>
        <v>P1</v>
      </c>
      <c r="H129" s="587" t="s">
        <v>454</v>
      </c>
      <c r="I129" s="448" t="s">
        <v>41</v>
      </c>
      <c r="J129" s="325"/>
      <c r="K129" s="326">
        <v>1</v>
      </c>
      <c r="L129" s="326">
        <v>2</v>
      </c>
      <c r="M129" s="582" t="str">
        <f>VLOOKUP(A129,'Feature Raw Data'!$A$3:$E$3922,5,FALSE)</f>
        <v>New</v>
      </c>
      <c r="N129" s="465">
        <v>1</v>
      </c>
      <c r="O129" s="466">
        <v>2</v>
      </c>
      <c r="P129" s="464">
        <f t="shared" si="12"/>
        <v>1</v>
      </c>
      <c r="Q129" s="448" t="s">
        <v>32</v>
      </c>
      <c r="R129" s="326">
        <v>1</v>
      </c>
      <c r="S129" s="496">
        <f t="shared" si="13"/>
        <v>0</v>
      </c>
      <c r="T129" s="485"/>
      <c r="U129" s="485"/>
      <c r="V129" s="485"/>
      <c r="W129" s="485"/>
      <c r="X129" s="497">
        <f t="shared" si="15"/>
        <v>0</v>
      </c>
      <c r="Y129" s="449"/>
      <c r="Z129" s="484">
        <f t="shared" si="14"/>
        <v>0</v>
      </c>
      <c r="AA129" s="485"/>
      <c r="AB129" s="485"/>
      <c r="AC129" s="485"/>
      <c r="AD129" s="485"/>
      <c r="AE129" s="483">
        <f t="shared" si="16"/>
        <v>0</v>
      </c>
      <c r="AF129" s="325"/>
      <c r="AG129" s="450" t="s">
        <v>312</v>
      </c>
      <c r="AH129" s="327"/>
    </row>
    <row r="130" spans="1:34" ht="135.75" thickBot="1" x14ac:dyDescent="0.3">
      <c r="A130" s="594">
        <v>12.27</v>
      </c>
      <c r="B130" s="325" t="str">
        <f>VLOOKUP(A130,'Feature Raw Data'!$A$3:$B$3922,2,FALSE)</f>
        <v>Work Graph Scheduler</v>
      </c>
      <c r="C130" s="325" t="s">
        <v>453</v>
      </c>
      <c r="D130" s="326" t="str">
        <f>VLOOKUP(A130,'Feature Raw Data'!$A$3:$F$3922,6,FALSE)</f>
        <v>CTL</v>
      </c>
      <c r="E130" s="325"/>
      <c r="F130" s="325"/>
      <c r="G130" s="244" t="str">
        <f>VLOOKUP(A130,'Feature Summary'!$A$7:$C$4170,3,FALSE)</f>
        <v>P1</v>
      </c>
      <c r="H130" s="587" t="s">
        <v>455</v>
      </c>
      <c r="I130" s="448" t="s">
        <v>41</v>
      </c>
      <c r="J130" s="325"/>
      <c r="K130" s="326">
        <v>1</v>
      </c>
      <c r="L130" s="326">
        <v>8</v>
      </c>
      <c r="M130" s="582" t="str">
        <f>VLOOKUP(A130,'Feature Raw Data'!$A$3:$E$3922,5,FALSE)</f>
        <v>New</v>
      </c>
      <c r="N130" s="465">
        <v>1</v>
      </c>
      <c r="O130" s="466">
        <v>8</v>
      </c>
      <c r="P130" s="464">
        <f t="shared" ref="P130" si="17">IF((L130=0),1,(O130/L130))</f>
        <v>1</v>
      </c>
      <c r="Q130" s="448" t="s">
        <v>43</v>
      </c>
      <c r="R130" s="326">
        <v>6</v>
      </c>
      <c r="S130" s="496">
        <f t="shared" ref="S130" si="18">SUM(T130:W130)</f>
        <v>6</v>
      </c>
      <c r="T130" s="485">
        <v>6</v>
      </c>
      <c r="U130" s="485"/>
      <c r="V130" s="485"/>
      <c r="W130" s="485"/>
      <c r="X130" s="497">
        <f t="shared" ref="X130" si="19">IF((R130=0),1,((T130+U130)/R130*100%))</f>
        <v>1</v>
      </c>
      <c r="Y130" s="587" t="s">
        <v>456</v>
      </c>
      <c r="Z130" s="484">
        <f t="shared" ref="Z130" si="20">SUM(AA130:AD130)</f>
        <v>8</v>
      </c>
      <c r="AA130" s="485">
        <v>6</v>
      </c>
      <c r="AB130" s="485"/>
      <c r="AC130" s="485">
        <v>2</v>
      </c>
      <c r="AD130" s="485"/>
      <c r="AE130" s="483">
        <f t="shared" ref="AE130" si="21">IF((L130=0),1,((AA130+AB130)/L130*100%))</f>
        <v>0.75</v>
      </c>
      <c r="AF130" s="325"/>
      <c r="AG130" s="450" t="s">
        <v>309</v>
      </c>
      <c r="AH130" s="327"/>
    </row>
    <row r="131" spans="1:34" ht="15.75" thickBot="1" x14ac:dyDescent="0.3">
      <c r="A131" s="576">
        <v>12.276</v>
      </c>
      <c r="B131" s="325" t="str">
        <f>VLOOKUP(A131,'Feature Raw Data'!$A$3:$B$3922,2,FALSE)</f>
        <v xml:space="preserve">Remove the data duplication for MLOPS </v>
      </c>
      <c r="C131" s="325" t="s">
        <v>436</v>
      </c>
      <c r="D131" s="326" t="str">
        <f>VLOOKUP(A131,'Feature Raw Data'!$A$3:$F$3922,6,FALSE)</f>
        <v>SH</v>
      </c>
      <c r="E131" s="325"/>
      <c r="F131" s="325"/>
      <c r="G131" s="244" t="str">
        <f>VLOOKUP(A131,'Feature Summary'!$A$7:$C$4170,3,FALSE)</f>
        <v>P1</v>
      </c>
      <c r="H131" s="417" t="s">
        <v>457</v>
      </c>
      <c r="I131" s="448" t="s">
        <v>41</v>
      </c>
      <c r="J131" s="325"/>
      <c r="K131" s="326">
        <v>1</v>
      </c>
      <c r="L131" s="326">
        <v>14</v>
      </c>
      <c r="M131" s="582" t="str">
        <f>VLOOKUP(A131,'Feature Raw Data'!$A$3:$E$3922,5,FALSE)</f>
        <v>New</v>
      </c>
      <c r="N131" s="465">
        <v>1</v>
      </c>
      <c r="O131" s="466">
        <v>14</v>
      </c>
      <c r="P131" s="464">
        <f t="shared" si="12"/>
        <v>1</v>
      </c>
      <c r="Q131" s="448" t="s">
        <v>32</v>
      </c>
      <c r="R131" s="326">
        <v>14</v>
      </c>
      <c r="S131" s="496">
        <f t="shared" si="13"/>
        <v>0</v>
      </c>
      <c r="T131" s="485"/>
      <c r="U131" s="485"/>
      <c r="V131" s="485"/>
      <c r="W131" s="485"/>
      <c r="X131" s="497">
        <f t="shared" si="15"/>
        <v>0</v>
      </c>
      <c r="Y131" s="449"/>
      <c r="Z131" s="484">
        <f t="shared" si="14"/>
        <v>0</v>
      </c>
      <c r="AA131" s="485"/>
      <c r="AB131" s="485"/>
      <c r="AC131" s="485"/>
      <c r="AD131" s="485"/>
      <c r="AE131" s="483">
        <f t="shared" si="16"/>
        <v>0</v>
      </c>
      <c r="AF131" s="325"/>
      <c r="AG131" s="450" t="s">
        <v>309</v>
      </c>
      <c r="AH131" s="327"/>
    </row>
    <row r="132" spans="1:34" ht="75.75" thickBot="1" x14ac:dyDescent="0.3">
      <c r="A132" s="576">
        <v>12.276999999999999</v>
      </c>
      <c r="B132" s="325" t="str">
        <f>VLOOKUP(A132,'Feature Raw Data'!$A$3:$B$3922,2,FALSE)</f>
        <v>Add Conditional-subtract memory atomic for locks</v>
      </c>
      <c r="C132" s="325" t="s">
        <v>366</v>
      </c>
      <c r="D132" s="326" t="str">
        <f>VLOOKUP(A132,'Feature Raw Data'!$A$3:$F$3922,6,FALSE)</f>
        <v>SH</v>
      </c>
      <c r="E132" s="325"/>
      <c r="F132" s="325"/>
      <c r="G132" s="244" t="str">
        <f>VLOOKUP(A132,'Feature Summary'!$A$7:$C$4170,3,FALSE)</f>
        <v>P2</v>
      </c>
      <c r="H132" s="587" t="s">
        <v>458</v>
      </c>
      <c r="I132" s="448" t="s">
        <v>35</v>
      </c>
      <c r="J132" s="325"/>
      <c r="K132" s="326">
        <v>1</v>
      </c>
      <c r="L132" s="326">
        <v>8</v>
      </c>
      <c r="M132" s="582" t="str">
        <f>VLOOKUP(A132,'Feature Raw Data'!$A$3:$E$3922,5,FALSE)</f>
        <v>New</v>
      </c>
      <c r="N132" s="465">
        <v>1</v>
      </c>
      <c r="O132" s="466">
        <v>8</v>
      </c>
      <c r="P132" s="464">
        <f t="shared" si="12"/>
        <v>1</v>
      </c>
      <c r="Q132" s="448" t="s">
        <v>32</v>
      </c>
      <c r="R132" s="326">
        <v>8</v>
      </c>
      <c r="S132" s="496">
        <f t="shared" si="13"/>
        <v>8</v>
      </c>
      <c r="T132" s="485">
        <v>8</v>
      </c>
      <c r="U132" s="485"/>
      <c r="V132" s="485"/>
      <c r="W132" s="485"/>
      <c r="X132" s="497">
        <f t="shared" si="15"/>
        <v>1</v>
      </c>
      <c r="Y132" s="588" t="s">
        <v>459</v>
      </c>
      <c r="Z132" s="484">
        <f t="shared" si="14"/>
        <v>8</v>
      </c>
      <c r="AA132" s="485">
        <v>8</v>
      </c>
      <c r="AB132" s="485"/>
      <c r="AC132" s="485"/>
      <c r="AD132" s="485"/>
      <c r="AE132" s="483">
        <f t="shared" si="16"/>
        <v>1</v>
      </c>
      <c r="AF132" s="325"/>
      <c r="AG132" s="450" t="s">
        <v>354</v>
      </c>
      <c r="AH132" s="327"/>
    </row>
    <row r="133" spans="1:34" ht="15.75" thickBot="1" x14ac:dyDescent="0.3">
      <c r="A133" s="596">
        <v>12.278</v>
      </c>
      <c r="B133" s="325" t="str">
        <f>VLOOKUP(A133,'Feature Raw Data'!$A$3:$B$3922,2,FALSE)</f>
        <v>DCC sector size to increase to 128B</v>
      </c>
      <c r="C133" s="325" t="s">
        <v>337</v>
      </c>
      <c r="D133" s="326" t="str">
        <f>VLOOKUP(A133,'Feature Raw Data'!$A$3:$F$3922,6,FALSE)</f>
        <v>CMM</v>
      </c>
      <c r="E133" s="325"/>
      <c r="F133" s="325"/>
      <c r="G133" s="244" t="str">
        <f>VLOOKUP(A133,'Feature Summary'!$A$7:$C$4170,3,FALSE)</f>
        <v>P1</v>
      </c>
      <c r="H133" s="417" t="s">
        <v>460</v>
      </c>
      <c r="I133" s="448" t="s">
        <v>41</v>
      </c>
      <c r="J133" s="325" t="s">
        <v>356</v>
      </c>
      <c r="K133" s="326">
        <v>1</v>
      </c>
      <c r="L133" s="326">
        <v>1</v>
      </c>
      <c r="M133" s="582" t="str">
        <f>VLOOKUP(A133,'Feature Raw Data'!$A$3:$E$3922,5,FALSE)</f>
        <v>New</v>
      </c>
      <c r="N133" s="465">
        <v>1</v>
      </c>
      <c r="O133" s="466">
        <v>1</v>
      </c>
      <c r="P133" s="464">
        <f t="shared" si="12"/>
        <v>1</v>
      </c>
      <c r="Q133" s="448" t="s">
        <v>43</v>
      </c>
      <c r="R133" s="326">
        <v>1</v>
      </c>
      <c r="S133" s="496">
        <f t="shared" si="13"/>
        <v>1</v>
      </c>
      <c r="T133" s="485">
        <v>1</v>
      </c>
      <c r="U133" s="485"/>
      <c r="V133" s="485"/>
      <c r="W133" s="485"/>
      <c r="X133" s="497">
        <f t="shared" si="15"/>
        <v>1</v>
      </c>
      <c r="Y133" s="449" t="s">
        <v>461</v>
      </c>
      <c r="Z133" s="484">
        <f t="shared" si="14"/>
        <v>1</v>
      </c>
      <c r="AA133" s="485">
        <v>1</v>
      </c>
      <c r="AB133" s="485"/>
      <c r="AC133" s="485"/>
      <c r="AD133" s="485"/>
      <c r="AE133" s="483">
        <f t="shared" si="16"/>
        <v>1</v>
      </c>
      <c r="AF133" s="325"/>
      <c r="AG133" s="450" t="s">
        <v>309</v>
      </c>
      <c r="AH133" s="327"/>
    </row>
    <row r="134" spans="1:34" ht="15.75" thickBot="1" x14ac:dyDescent="0.3">
      <c r="A134" s="596">
        <v>12.28</v>
      </c>
      <c r="B134" s="325" t="str">
        <f>VLOOKUP(A134,'Feature Raw Data'!$A$3:$B$3922,2,FALSE)</f>
        <v>DCC auto-CT detection</v>
      </c>
      <c r="C134" s="325" t="s">
        <v>337</v>
      </c>
      <c r="D134" s="326" t="str">
        <f>VLOOKUP(A134,'Feature Raw Data'!$A$3:$F$3922,6,FALSE)</f>
        <v>CMM</v>
      </c>
      <c r="E134" s="325"/>
      <c r="F134" s="325"/>
      <c r="G134" s="244" t="str">
        <f>VLOOKUP(A134,'Feature Summary'!$A$7:$C$4170,3,FALSE)</f>
        <v>P1</v>
      </c>
      <c r="H134" s="417" t="s">
        <v>462</v>
      </c>
      <c r="I134" s="448" t="s">
        <v>41</v>
      </c>
      <c r="J134" s="325" t="s">
        <v>356</v>
      </c>
      <c r="K134" s="326">
        <v>1</v>
      </c>
      <c r="L134" s="326">
        <v>1</v>
      </c>
      <c r="M134" s="582" t="str">
        <f>VLOOKUP(A134,'Feature Raw Data'!$A$3:$E$3922,5,FALSE)</f>
        <v>New</v>
      </c>
      <c r="N134" s="465">
        <v>1</v>
      </c>
      <c r="O134" s="466">
        <v>1</v>
      </c>
      <c r="P134" s="464">
        <f t="shared" si="12"/>
        <v>1</v>
      </c>
      <c r="Q134" s="448" t="s">
        <v>43</v>
      </c>
      <c r="R134" s="326">
        <v>2</v>
      </c>
      <c r="S134" s="496">
        <f t="shared" si="13"/>
        <v>2</v>
      </c>
      <c r="T134" s="485">
        <v>2</v>
      </c>
      <c r="U134" s="485"/>
      <c r="V134" s="485"/>
      <c r="W134" s="485"/>
      <c r="X134" s="497">
        <f t="shared" si="15"/>
        <v>1</v>
      </c>
      <c r="Y134" s="449"/>
      <c r="Z134" s="484">
        <f t="shared" si="14"/>
        <v>1</v>
      </c>
      <c r="AA134" s="485">
        <v>1</v>
      </c>
      <c r="AB134" s="485"/>
      <c r="AC134" s="485"/>
      <c r="AD134" s="485"/>
      <c r="AE134" s="483">
        <f t="shared" si="16"/>
        <v>1</v>
      </c>
      <c r="AF134" s="325"/>
      <c r="AG134" s="450" t="s">
        <v>309</v>
      </c>
      <c r="AH134" s="327"/>
    </row>
    <row r="135" spans="1:34" ht="15.75" thickBot="1" x14ac:dyDescent="0.3">
      <c r="A135" s="596">
        <v>12.281000000000001</v>
      </c>
      <c r="B135" s="325" t="str">
        <f>VLOOKUP(A135,'Feature Raw Data'!$A$3:$B$3922,2,FALSE)</f>
        <v>Sector-separated DCC compressed data layout</v>
      </c>
      <c r="C135" s="325" t="s">
        <v>337</v>
      </c>
      <c r="D135" s="326" t="str">
        <f>VLOOKUP(A135,'Feature Raw Data'!$A$3:$F$3922,6,FALSE)</f>
        <v>CMM</v>
      </c>
      <c r="E135" s="325"/>
      <c r="F135" s="325"/>
      <c r="G135" s="244" t="str">
        <f>VLOOKUP(A135,'Feature Summary'!$A$7:$C$4170,3,FALSE)</f>
        <v>P1</v>
      </c>
      <c r="H135" s="417" t="s">
        <v>463</v>
      </c>
      <c r="I135" s="448" t="s">
        <v>41</v>
      </c>
      <c r="J135" s="325" t="s">
        <v>356</v>
      </c>
      <c r="K135" s="326">
        <v>1</v>
      </c>
      <c r="L135" s="326">
        <v>1</v>
      </c>
      <c r="M135" s="582" t="str">
        <f>VLOOKUP(A135,'Feature Raw Data'!$A$3:$E$3922,5,FALSE)</f>
        <v>New</v>
      </c>
      <c r="N135" s="465">
        <v>1</v>
      </c>
      <c r="O135" s="466">
        <v>1</v>
      </c>
      <c r="P135" s="464">
        <f t="shared" ref="P135:P198" si="22">IF((L135=0),1,(O135/L135))</f>
        <v>1</v>
      </c>
      <c r="Q135" s="448" t="s">
        <v>43</v>
      </c>
      <c r="R135" s="326">
        <v>1</v>
      </c>
      <c r="S135" s="496">
        <f t="shared" ref="S135:S198" si="23">SUM(T135:W135)</f>
        <v>1</v>
      </c>
      <c r="T135" s="485">
        <v>1</v>
      </c>
      <c r="U135" s="485"/>
      <c r="V135" s="485"/>
      <c r="W135" s="485"/>
      <c r="X135" s="497">
        <f t="shared" si="15"/>
        <v>1</v>
      </c>
      <c r="Y135" s="449"/>
      <c r="Z135" s="484">
        <f t="shared" ref="Z135:Z198" si="24">SUM(AA135:AD135)</f>
        <v>1</v>
      </c>
      <c r="AA135" s="485">
        <v>1</v>
      </c>
      <c r="AB135" s="485"/>
      <c r="AC135" s="485"/>
      <c r="AD135" s="485"/>
      <c r="AE135" s="483">
        <f t="shared" si="16"/>
        <v>1</v>
      </c>
      <c r="AF135" s="325"/>
      <c r="AG135" s="450" t="s">
        <v>309</v>
      </c>
      <c r="AH135" s="327"/>
    </row>
    <row r="136" spans="1:34" ht="15.75" thickBot="1" x14ac:dyDescent="0.3">
      <c r="A136" s="576">
        <v>12.282</v>
      </c>
      <c r="B136" s="325" t="str">
        <f>VLOOKUP(A136,'Feature Raw Data'!$A$3:$B$3922,2,FALSE)</f>
        <v>rename GE BIA containers</v>
      </c>
      <c r="C136" s="325" t="s">
        <v>328</v>
      </c>
      <c r="D136" s="326" t="str">
        <f>VLOOKUP(A136,'Feature Raw Data'!$A$3:$F$3922,6,FALSE)</f>
        <v>GEO</v>
      </c>
      <c r="E136" s="325"/>
      <c r="F136" s="325"/>
      <c r="G136" s="244" t="str">
        <f>VLOOKUP(A136,'Feature Summary'!$A$7:$C$4170,3,FALSE)</f>
        <v>P1</v>
      </c>
      <c r="H136" s="417" t="s">
        <v>444</v>
      </c>
      <c r="I136" s="448" t="s">
        <v>35</v>
      </c>
      <c r="J136" s="325"/>
      <c r="K136" s="326">
        <v>1</v>
      </c>
      <c r="L136" s="326">
        <v>1</v>
      </c>
      <c r="M136" s="582" t="str">
        <f>VLOOKUP(A136,'Feature Raw Data'!$A$3:$E$3922,5,FALSE)</f>
        <v>New</v>
      </c>
      <c r="N136" s="465">
        <v>1</v>
      </c>
      <c r="O136" s="466">
        <v>1</v>
      </c>
      <c r="P136" s="464">
        <f t="shared" si="22"/>
        <v>1</v>
      </c>
      <c r="Q136" s="448" t="s">
        <v>32</v>
      </c>
      <c r="R136" s="326">
        <v>1</v>
      </c>
      <c r="S136" s="496">
        <f t="shared" si="23"/>
        <v>1</v>
      </c>
      <c r="T136" s="485">
        <v>1</v>
      </c>
      <c r="U136" s="485"/>
      <c r="V136" s="485"/>
      <c r="W136" s="485"/>
      <c r="X136" s="497">
        <f t="shared" ref="X136:X199" si="25">IF((R136=0),1,((T136+U136)/R136*100%))</f>
        <v>1</v>
      </c>
      <c r="Y136" s="449"/>
      <c r="Z136" s="484">
        <f t="shared" si="24"/>
        <v>0</v>
      </c>
      <c r="AA136" s="485"/>
      <c r="AB136" s="485"/>
      <c r="AC136" s="485"/>
      <c r="AD136" s="485"/>
      <c r="AE136" s="483">
        <f t="shared" ref="AE136:AE199" si="26">IF((L136=0),1,((AA136+AB136)/L136*100%))</f>
        <v>0</v>
      </c>
      <c r="AF136" s="325"/>
      <c r="AG136" s="450" t="s">
        <v>318</v>
      </c>
      <c r="AH136" s="327"/>
    </row>
    <row r="137" spans="1:34" ht="15.75" thickBot="1" x14ac:dyDescent="0.3">
      <c r="A137" s="576">
        <v>12.284000000000001</v>
      </c>
      <c r="B137" s="325" t="str">
        <f>VLOOKUP(A137,'Feature Raw Data'!$A$3:$B$3922,2,FALSE)</f>
        <v>Data return for clamped PRT is "0" only (no longer needs to be programable)</v>
      </c>
      <c r="C137" s="325" t="s">
        <v>335</v>
      </c>
      <c r="D137" s="326" t="str">
        <f>VLOOKUP(A137,'Feature Raw Data'!$A$3:$F$3922,6,FALSE)</f>
        <v>TEX</v>
      </c>
      <c r="E137" s="325"/>
      <c r="F137" s="325"/>
      <c r="G137" s="244" t="str">
        <f>VLOOKUP(A137,'Feature Summary'!$A$7:$C$4170,3,FALSE)</f>
        <v>P2</v>
      </c>
      <c r="H137" s="417" t="s">
        <v>47</v>
      </c>
      <c r="I137" s="448" t="s">
        <v>47</v>
      </c>
      <c r="J137" s="325"/>
      <c r="K137" s="326">
        <v>1</v>
      </c>
      <c r="L137" s="326">
        <v>0</v>
      </c>
      <c r="M137" s="582" t="str">
        <f>VLOOKUP(A137,'Feature Raw Data'!$A$3:$E$3922,5,FALSE)</f>
        <v>New</v>
      </c>
      <c r="N137" s="465">
        <v>1</v>
      </c>
      <c r="O137" s="466"/>
      <c r="P137" s="464">
        <f t="shared" si="22"/>
        <v>1</v>
      </c>
      <c r="Q137" s="448" t="s">
        <v>47</v>
      </c>
      <c r="R137" s="326">
        <v>0</v>
      </c>
      <c r="S137" s="496">
        <f t="shared" si="23"/>
        <v>0</v>
      </c>
      <c r="T137" s="485"/>
      <c r="U137" s="485"/>
      <c r="V137" s="485"/>
      <c r="W137" s="485"/>
      <c r="X137" s="497">
        <f t="shared" si="25"/>
        <v>1</v>
      </c>
      <c r="Y137" s="584" t="s">
        <v>464</v>
      </c>
      <c r="Z137" s="484">
        <f t="shared" si="24"/>
        <v>0</v>
      </c>
      <c r="AA137" s="485"/>
      <c r="AB137" s="485"/>
      <c r="AC137" s="485"/>
      <c r="AD137" s="485"/>
      <c r="AE137" s="483">
        <f t="shared" si="26"/>
        <v>1</v>
      </c>
      <c r="AF137" s="325"/>
      <c r="AG137" s="450" t="s">
        <v>47</v>
      </c>
      <c r="AH137" s="327"/>
    </row>
    <row r="138" spans="1:34" ht="15.75" thickBot="1" x14ac:dyDescent="0.3">
      <c r="A138" s="576">
        <v>12.285</v>
      </c>
      <c r="B138" s="325" t="str">
        <f>VLOOKUP(A138,'Feature Raw Data'!$A$3:$B$3922,2,FALSE)</f>
        <v>Remove BIG_PAGE control for UTC probing</v>
      </c>
      <c r="C138" s="325" t="s">
        <v>379</v>
      </c>
      <c r="D138" s="326" t="str">
        <f>VLOOKUP(A138,'Feature Raw Data'!$A$3:$F$3922,6,FALSE)</f>
        <v>CMM</v>
      </c>
      <c r="E138" s="325"/>
      <c r="F138" s="325"/>
      <c r="G138" s="244" t="str">
        <f>VLOOKUP(A138,'Feature Summary'!$A$7:$C$4170,3,FALSE)</f>
        <v>P2</v>
      </c>
      <c r="H138" s="417" t="s">
        <v>47</v>
      </c>
      <c r="I138" s="448" t="s">
        <v>47</v>
      </c>
      <c r="J138" s="325"/>
      <c r="K138" s="326">
        <v>1</v>
      </c>
      <c r="L138" s="326">
        <v>0</v>
      </c>
      <c r="M138" s="582" t="str">
        <f>VLOOKUP(A138,'Feature Raw Data'!$A$3:$E$3922,5,FALSE)</f>
        <v>New</v>
      </c>
      <c r="N138" s="465">
        <v>1</v>
      </c>
      <c r="O138" s="466"/>
      <c r="P138" s="464">
        <f t="shared" si="22"/>
        <v>1</v>
      </c>
      <c r="Q138" s="448" t="s">
        <v>47</v>
      </c>
      <c r="R138" s="326">
        <v>0</v>
      </c>
      <c r="S138" s="496">
        <f t="shared" si="23"/>
        <v>0</v>
      </c>
      <c r="T138" s="485"/>
      <c r="U138" s="485"/>
      <c r="V138" s="485"/>
      <c r="W138" s="485"/>
      <c r="X138" s="497">
        <f t="shared" si="25"/>
        <v>1</v>
      </c>
      <c r="Y138" s="584" t="s">
        <v>382</v>
      </c>
      <c r="Z138" s="484">
        <f t="shared" si="24"/>
        <v>0</v>
      </c>
      <c r="AA138" s="485"/>
      <c r="AB138" s="485"/>
      <c r="AC138" s="485"/>
      <c r="AD138" s="485"/>
      <c r="AE138" s="483">
        <f t="shared" si="26"/>
        <v>1</v>
      </c>
      <c r="AF138" s="325"/>
      <c r="AG138" s="450" t="s">
        <v>47</v>
      </c>
      <c r="AH138" s="327"/>
    </row>
    <row r="139" spans="1:34" ht="15.75" thickBot="1" x14ac:dyDescent="0.3">
      <c r="A139" s="576">
        <v>12.286</v>
      </c>
      <c r="B139" s="325" t="str">
        <f>VLOOKUP(A139,'Feature Raw Data'!$A$3:$B$3922,2,FALSE)</f>
        <v>Remove passthru_en/esgs_ring_itemsize/old gs fastlaunch</v>
      </c>
      <c r="C139" s="325" t="s">
        <v>328</v>
      </c>
      <c r="D139" s="326" t="str">
        <f>VLOOKUP(A139,'Feature Raw Data'!$A$3:$F$3922,6,FALSE)</f>
        <v>GEO</v>
      </c>
      <c r="E139" s="325"/>
      <c r="F139" s="325"/>
      <c r="G139" s="244" t="str">
        <f>VLOOKUP(A139,'Feature Summary'!$A$7:$C$4170,3,FALSE)</f>
        <v>P1</v>
      </c>
      <c r="H139" s="417" t="s">
        <v>47</v>
      </c>
      <c r="I139" s="448" t="s">
        <v>47</v>
      </c>
      <c r="J139" s="325"/>
      <c r="K139" s="326">
        <v>1</v>
      </c>
      <c r="L139" s="326">
        <v>0</v>
      </c>
      <c r="M139" s="582" t="str">
        <f>VLOOKUP(A139,'Feature Raw Data'!$A$3:$E$3922,5,FALSE)</f>
        <v>New</v>
      </c>
      <c r="N139" s="465">
        <v>1</v>
      </c>
      <c r="O139" s="466"/>
      <c r="P139" s="464">
        <f t="shared" si="22"/>
        <v>1</v>
      </c>
      <c r="Q139" s="448" t="s">
        <v>47</v>
      </c>
      <c r="R139" s="326">
        <v>0</v>
      </c>
      <c r="S139" s="496">
        <f t="shared" si="23"/>
        <v>0</v>
      </c>
      <c r="T139" s="485"/>
      <c r="U139" s="485"/>
      <c r="V139" s="485"/>
      <c r="W139" s="485"/>
      <c r="X139" s="497">
        <f t="shared" si="25"/>
        <v>1</v>
      </c>
      <c r="Y139" s="584" t="s">
        <v>382</v>
      </c>
      <c r="Z139" s="484">
        <f t="shared" si="24"/>
        <v>0</v>
      </c>
      <c r="AA139" s="485"/>
      <c r="AB139" s="485"/>
      <c r="AC139" s="485"/>
      <c r="AD139" s="485"/>
      <c r="AE139" s="483">
        <f t="shared" si="26"/>
        <v>1</v>
      </c>
      <c r="AF139" s="325"/>
      <c r="AG139" s="450" t="s">
        <v>47</v>
      </c>
      <c r="AH139" s="327"/>
    </row>
    <row r="140" spans="1:34" ht="15.75" thickBot="1" x14ac:dyDescent="0.3">
      <c r="A140" s="595">
        <v>12.287000000000001</v>
      </c>
      <c r="B140" s="325" t="str">
        <f>VLOOKUP(A140,'Feature Raw Data'!$A$3:$B$3922,2,FALSE)</f>
        <v>VRS removal in DCC</v>
      </c>
      <c r="C140" s="325" t="s">
        <v>337</v>
      </c>
      <c r="D140" s="326" t="str">
        <f>VLOOKUP(A140,'Feature Raw Data'!$A$3:$F$3922,6,FALSE)</f>
        <v>CMM</v>
      </c>
      <c r="E140" s="325"/>
      <c r="F140" s="325"/>
      <c r="G140" s="244" t="str">
        <f>VLOOKUP(A140,'Feature Summary'!$A$7:$C$4170,3,FALSE)</f>
        <v>P1</v>
      </c>
      <c r="H140" s="417" t="s">
        <v>47</v>
      </c>
      <c r="I140" s="448" t="s">
        <v>47</v>
      </c>
      <c r="J140" s="325"/>
      <c r="K140" s="326">
        <v>1</v>
      </c>
      <c r="L140" s="326">
        <v>0</v>
      </c>
      <c r="M140" s="582" t="str">
        <f>VLOOKUP(A140,'Feature Raw Data'!$A$3:$E$3922,5,FALSE)</f>
        <v>New</v>
      </c>
      <c r="N140" s="465">
        <v>1</v>
      </c>
      <c r="O140" s="466"/>
      <c r="P140" s="464">
        <f t="shared" si="22"/>
        <v>1</v>
      </c>
      <c r="Q140" s="448" t="s">
        <v>47</v>
      </c>
      <c r="R140" s="326">
        <v>0</v>
      </c>
      <c r="S140" s="496">
        <f t="shared" si="23"/>
        <v>0</v>
      </c>
      <c r="T140" s="485"/>
      <c r="U140" s="485"/>
      <c r="V140" s="485"/>
      <c r="W140" s="485"/>
      <c r="X140" s="497">
        <f t="shared" si="25"/>
        <v>1</v>
      </c>
      <c r="Y140" s="584" t="s">
        <v>382</v>
      </c>
      <c r="Z140" s="484">
        <f t="shared" si="24"/>
        <v>0</v>
      </c>
      <c r="AA140" s="485"/>
      <c r="AB140" s="485"/>
      <c r="AC140" s="485"/>
      <c r="AD140" s="485"/>
      <c r="AE140" s="483">
        <f t="shared" si="26"/>
        <v>1</v>
      </c>
      <c r="AF140" s="325"/>
      <c r="AG140" s="450" t="s">
        <v>47</v>
      </c>
      <c r="AH140" s="327"/>
    </row>
    <row r="141" spans="1:34" ht="15.75" thickBot="1" x14ac:dyDescent="0.3">
      <c r="A141" s="576">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1</v>
      </c>
      <c r="L141" s="326">
        <v>0</v>
      </c>
      <c r="M141" s="582" t="str">
        <f>VLOOKUP(A141,'Feature Raw Data'!$A$3:$E$3922,5,FALSE)</f>
        <v>New</v>
      </c>
      <c r="N141" s="465">
        <v>1</v>
      </c>
      <c r="O141" s="466"/>
      <c r="P141" s="464">
        <f t="shared" si="22"/>
        <v>1</v>
      </c>
      <c r="Q141" s="448" t="s">
        <v>47</v>
      </c>
      <c r="R141" s="326">
        <v>0</v>
      </c>
      <c r="S141" s="496">
        <f t="shared" si="23"/>
        <v>0</v>
      </c>
      <c r="T141" s="485"/>
      <c r="U141" s="485"/>
      <c r="V141" s="485"/>
      <c r="W141" s="485"/>
      <c r="X141" s="497">
        <f t="shared" si="25"/>
        <v>1</v>
      </c>
      <c r="Y141" s="584" t="s">
        <v>382</v>
      </c>
      <c r="Z141" s="484">
        <f t="shared" si="24"/>
        <v>0</v>
      </c>
      <c r="AA141" s="485"/>
      <c r="AB141" s="485"/>
      <c r="AC141" s="485"/>
      <c r="AD141" s="485"/>
      <c r="AE141" s="483">
        <f t="shared" si="26"/>
        <v>1</v>
      </c>
      <c r="AF141" s="325"/>
      <c r="AG141" s="450" t="s">
        <v>47</v>
      </c>
      <c r="AH141" s="327"/>
    </row>
    <row r="142" spans="1:34" ht="15.75" thickBot="1" x14ac:dyDescent="0.3">
      <c r="A142" s="576">
        <v>12.292</v>
      </c>
      <c r="B142" s="325" t="str">
        <f>VLOOKUP(A142,'Feature Raw Data'!$A$3:$B$3922,2,FALSE)</f>
        <v>move offchip lds manager to GE</v>
      </c>
      <c r="C142" s="325" t="s">
        <v>319</v>
      </c>
      <c r="D142" s="326" t="str">
        <f>VLOOKUP(A142,'Feature Raw Data'!$A$3:$F$3922,6,FALSE)</f>
        <v>GEO</v>
      </c>
      <c r="E142" s="325"/>
      <c r="F142" s="325"/>
      <c r="G142" s="244" t="str">
        <f>VLOOKUP(A142,'Feature Summary'!$A$7:$C$4170,3,FALSE)</f>
        <v>P1</v>
      </c>
      <c r="H142" s="417" t="s">
        <v>465</v>
      </c>
      <c r="I142" s="448" t="s">
        <v>41</v>
      </c>
      <c r="J142" s="325"/>
      <c r="K142" s="326">
        <v>1</v>
      </c>
      <c r="L142" s="326">
        <v>2</v>
      </c>
      <c r="M142" s="582" t="str">
        <f>VLOOKUP(A142,'Feature Raw Data'!$A$3:$E$3922,5,FALSE)</f>
        <v>New</v>
      </c>
      <c r="N142" s="465">
        <v>1</v>
      </c>
      <c r="O142" s="466">
        <v>2</v>
      </c>
      <c r="P142" s="464">
        <f t="shared" si="22"/>
        <v>1</v>
      </c>
      <c r="Q142" s="448" t="s">
        <v>32</v>
      </c>
      <c r="R142" s="326">
        <v>2</v>
      </c>
      <c r="S142" s="496">
        <f t="shared" si="23"/>
        <v>2</v>
      </c>
      <c r="T142" s="485">
        <v>1</v>
      </c>
      <c r="U142" s="485"/>
      <c r="V142" s="485">
        <v>1</v>
      </c>
      <c r="W142" s="485"/>
      <c r="X142" s="497">
        <f t="shared" si="25"/>
        <v>0.5</v>
      </c>
      <c r="Y142" s="449" t="s">
        <v>466</v>
      </c>
      <c r="Z142" s="484">
        <f t="shared" si="24"/>
        <v>1</v>
      </c>
      <c r="AA142" s="485">
        <v>1</v>
      </c>
      <c r="AB142" s="485"/>
      <c r="AC142" s="485"/>
      <c r="AD142" s="485"/>
      <c r="AE142" s="483">
        <f t="shared" si="26"/>
        <v>0.5</v>
      </c>
      <c r="AF142" s="325"/>
      <c r="AG142" s="450" t="s">
        <v>309</v>
      </c>
      <c r="AH142" s="327"/>
    </row>
    <row r="143" spans="1:34" ht="15.75" thickBot="1" x14ac:dyDescent="0.3">
      <c r="A143" s="576">
        <v>12.294</v>
      </c>
      <c r="B143" s="325" t="str">
        <f>VLOOKUP(A143,'Feature Raw Data'!$A$3:$B$3922,2,FALSE)</f>
        <v>Improve SPI work limiting controls (spi_work_limit_ctrl)</v>
      </c>
      <c r="C143" s="325" t="s">
        <v>313</v>
      </c>
      <c r="D143" s="326" t="str">
        <f>VLOOKUP(A143,'Feature Raw Data'!$A$3:$F$3922,6,FALSE)</f>
        <v>SIO</v>
      </c>
      <c r="E143" s="325"/>
      <c r="F143" s="325"/>
      <c r="G143" s="244" t="str">
        <f>VLOOKUP(A143,'Feature Summary'!$A$7:$C$4170,3,FALSE)</f>
        <v>P1</v>
      </c>
      <c r="H143" s="417" t="s">
        <v>467</v>
      </c>
      <c r="I143" s="448" t="s">
        <v>41</v>
      </c>
      <c r="J143" s="325"/>
      <c r="K143" s="326">
        <v>1</v>
      </c>
      <c r="L143" s="326">
        <v>2</v>
      </c>
      <c r="M143" s="582" t="str">
        <f>VLOOKUP(A143,'Feature Raw Data'!$A$3:$E$3922,5,FALSE)</f>
        <v>New</v>
      </c>
      <c r="N143" s="465">
        <v>1</v>
      </c>
      <c r="O143" s="466">
        <v>2</v>
      </c>
      <c r="P143" s="464">
        <f t="shared" si="22"/>
        <v>1</v>
      </c>
      <c r="Q143" s="448" t="s">
        <v>32</v>
      </c>
      <c r="R143" s="326">
        <v>2</v>
      </c>
      <c r="S143" s="496">
        <f>SUM(T143:W143)</f>
        <v>2</v>
      </c>
      <c r="T143" s="485">
        <v>2</v>
      </c>
      <c r="U143" s="485"/>
      <c r="V143" s="485"/>
      <c r="W143" s="485"/>
      <c r="X143" s="497">
        <f t="shared" si="25"/>
        <v>1</v>
      </c>
      <c r="Y143" s="449"/>
      <c r="Z143" s="484">
        <f t="shared" si="24"/>
        <v>0</v>
      </c>
      <c r="AA143" s="485"/>
      <c r="AB143" s="485"/>
      <c r="AC143" s="485"/>
      <c r="AD143" s="485"/>
      <c r="AE143" s="483">
        <f t="shared" si="26"/>
        <v>0</v>
      </c>
      <c r="AF143" s="325"/>
      <c r="AG143" s="450" t="s">
        <v>312</v>
      </c>
      <c r="AH143" s="327"/>
    </row>
    <row r="144" spans="1:34" ht="15.75" thickBot="1" x14ac:dyDescent="0.3">
      <c r="A144" s="576">
        <v>12.298999999999999</v>
      </c>
      <c r="B144" s="325" t="str">
        <f>VLOOKUP(A144,'Feature Raw Data'!$A$3:$B$3922,2,FALSE)</f>
        <v>[Navi4x] Move RTAVFS/DLDO/DFLL initialization to after CP is running workloads</v>
      </c>
      <c r="C144" s="325" t="s">
        <v>453</v>
      </c>
      <c r="D144" s="326" t="str">
        <f>VLOOKUP(A144,'Feature Raw Data'!$A$3:$F$3922,6,FALSE)</f>
        <v>CTL</v>
      </c>
      <c r="E144" s="325"/>
      <c r="F144" s="325"/>
      <c r="G144" s="244" t="str">
        <f>VLOOKUP(A144,'Feature Summary'!$A$7:$C$4170,3,FALSE)</f>
        <v>P2</v>
      </c>
      <c r="H144" s="417" t="s">
        <v>47</v>
      </c>
      <c r="I144" s="448" t="s">
        <v>47</v>
      </c>
      <c r="J144" s="325"/>
      <c r="K144" s="326">
        <v>1</v>
      </c>
      <c r="L144" s="326">
        <v>0</v>
      </c>
      <c r="M144" s="582" t="str">
        <f>VLOOKUP(A144,'Feature Raw Data'!$A$3:$E$3922,5,FALSE)</f>
        <v>New</v>
      </c>
      <c r="N144" s="465">
        <v>1</v>
      </c>
      <c r="O144" s="466"/>
      <c r="P144" s="464">
        <f t="shared" si="22"/>
        <v>1</v>
      </c>
      <c r="Q144" s="448" t="s">
        <v>47</v>
      </c>
      <c r="R144" s="326">
        <v>0</v>
      </c>
      <c r="S144" s="496">
        <f t="shared" si="23"/>
        <v>0</v>
      </c>
      <c r="T144" s="485"/>
      <c r="U144" s="485"/>
      <c r="V144" s="485"/>
      <c r="W144" s="485"/>
      <c r="X144" s="497">
        <f t="shared" si="25"/>
        <v>1</v>
      </c>
      <c r="Y144" s="449" t="s">
        <v>468</v>
      </c>
      <c r="Z144" s="484">
        <f t="shared" si="24"/>
        <v>0</v>
      </c>
      <c r="AA144" s="485"/>
      <c r="AB144" s="485"/>
      <c r="AC144" s="485"/>
      <c r="AD144" s="485"/>
      <c r="AE144" s="483">
        <f t="shared" si="26"/>
        <v>1</v>
      </c>
      <c r="AF144" s="325"/>
      <c r="AG144" s="450" t="s">
        <v>47</v>
      </c>
      <c r="AH144" s="327"/>
    </row>
    <row r="145" spans="1:34" ht="15.75" thickBot="1" x14ac:dyDescent="0.3">
      <c r="A145" s="576">
        <v>12.3</v>
      </c>
      <c r="B145" s="325" t="str">
        <f>VLOOKUP(A145,'Feature Raw Data'!$A$3:$B$3922,2,FALSE)</f>
        <v>[Navi4x] SDMA ucode caching</v>
      </c>
      <c r="C145" s="325" t="s">
        <v>319</v>
      </c>
      <c r="D145" s="326" t="str">
        <f>VLOOKUP(A145,'Feature Raw Data'!$A$3:$F$3922,6,FALSE)</f>
        <v>CTL</v>
      </c>
      <c r="E145" s="325"/>
      <c r="F145" s="325"/>
      <c r="G145" s="244" t="str">
        <f>VLOOKUP(A145,'Feature Summary'!$A$7:$C$4170,3,FALSE)</f>
        <v>P2</v>
      </c>
      <c r="H145" s="417" t="s">
        <v>47</v>
      </c>
      <c r="I145" s="448" t="s">
        <v>47</v>
      </c>
      <c r="J145" s="325"/>
      <c r="K145" s="326">
        <v>1</v>
      </c>
      <c r="L145" s="326">
        <v>0</v>
      </c>
      <c r="M145" s="582" t="str">
        <f>VLOOKUP(A145,'Feature Raw Data'!$A$3:$E$3922,5,FALSE)</f>
        <v>New</v>
      </c>
      <c r="N145" s="465">
        <v>1</v>
      </c>
      <c r="O145" s="466"/>
      <c r="P145" s="464">
        <f t="shared" si="22"/>
        <v>1</v>
      </c>
      <c r="Q145" s="448" t="s">
        <v>47</v>
      </c>
      <c r="R145" s="326">
        <v>0</v>
      </c>
      <c r="S145" s="496">
        <f t="shared" si="23"/>
        <v>0</v>
      </c>
      <c r="T145" s="485"/>
      <c r="U145" s="485"/>
      <c r="V145" s="485"/>
      <c r="W145" s="485"/>
      <c r="X145" s="497">
        <f t="shared" si="25"/>
        <v>1</v>
      </c>
      <c r="Y145" s="449"/>
      <c r="Z145" s="484">
        <f t="shared" si="24"/>
        <v>0</v>
      </c>
      <c r="AA145" s="485"/>
      <c r="AB145" s="485"/>
      <c r="AC145" s="485"/>
      <c r="AD145" s="485"/>
      <c r="AE145" s="483">
        <f t="shared" si="26"/>
        <v>1</v>
      </c>
      <c r="AF145" s="325"/>
      <c r="AG145" s="450" t="s">
        <v>47</v>
      </c>
      <c r="AH145" s="327"/>
    </row>
    <row r="146" spans="1:34" ht="15.75" thickBot="1" x14ac:dyDescent="0.3">
      <c r="A146" s="576">
        <v>12.301</v>
      </c>
      <c r="B146" s="325" t="str">
        <f>VLOOKUP(A146,'Feature Raw Data'!$A$3:$B$3922,2,FALSE)</f>
        <v>[Navi4x] CP ucode firmware execution speed-up via cache priming</v>
      </c>
      <c r="C146" s="325" t="s">
        <v>398</v>
      </c>
      <c r="D146" s="326" t="str">
        <f>VLOOKUP(A146,'Feature Raw Data'!$A$3:$F$3922,6,FALSE)</f>
        <v>CTL</v>
      </c>
      <c r="E146" s="325"/>
      <c r="F146" s="325"/>
      <c r="G146" s="244" t="str">
        <f>VLOOKUP(A146,'Feature Summary'!$A$7:$C$4170,3,FALSE)</f>
        <v>P2</v>
      </c>
      <c r="H146" s="417" t="s">
        <v>1000</v>
      </c>
      <c r="I146" s="448" t="s">
        <v>41</v>
      </c>
      <c r="J146" s="325"/>
      <c r="K146" s="326">
        <v>1</v>
      </c>
      <c r="L146" s="326">
        <v>1</v>
      </c>
      <c r="M146" s="582" t="str">
        <f>VLOOKUP(A146,'Feature Raw Data'!$A$3:$E$3922,5,FALSE)</f>
        <v>New</v>
      </c>
      <c r="N146" s="465">
        <v>1</v>
      </c>
      <c r="O146" s="466">
        <v>0</v>
      </c>
      <c r="P146" s="464">
        <f t="shared" si="22"/>
        <v>0</v>
      </c>
      <c r="Q146" s="448" t="s">
        <v>32</v>
      </c>
      <c r="R146" s="326">
        <v>1</v>
      </c>
      <c r="S146" s="496">
        <f t="shared" si="23"/>
        <v>0</v>
      </c>
      <c r="T146" s="485"/>
      <c r="U146" s="485"/>
      <c r="V146" s="485"/>
      <c r="W146" s="485"/>
      <c r="X146" s="497">
        <f t="shared" si="25"/>
        <v>0</v>
      </c>
      <c r="Y146" s="449"/>
      <c r="Z146" s="484">
        <f t="shared" si="24"/>
        <v>0</v>
      </c>
      <c r="AA146" s="485"/>
      <c r="AB146" s="485"/>
      <c r="AC146" s="485"/>
      <c r="AD146" s="485"/>
      <c r="AE146" s="483">
        <f t="shared" si="26"/>
        <v>0</v>
      </c>
      <c r="AF146" s="325"/>
      <c r="AG146" s="450" t="s">
        <v>277</v>
      </c>
      <c r="AH146" s="327"/>
    </row>
    <row r="147" spans="1:34" ht="15.75" thickBot="1" x14ac:dyDescent="0.3">
      <c r="A147" s="576">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1</v>
      </c>
      <c r="L147" s="326">
        <v>0</v>
      </c>
      <c r="M147" s="582" t="str">
        <f>VLOOKUP(A147,'Feature Raw Data'!$A$3:$E$3922,5,FALSE)</f>
        <v>New</v>
      </c>
      <c r="N147" s="465">
        <v>1</v>
      </c>
      <c r="O147" s="466"/>
      <c r="P147" s="464">
        <f t="shared" si="22"/>
        <v>1</v>
      </c>
      <c r="Q147" s="448" t="s">
        <v>47</v>
      </c>
      <c r="R147" s="326">
        <v>0</v>
      </c>
      <c r="S147" s="496">
        <f t="shared" si="23"/>
        <v>0</v>
      </c>
      <c r="T147" s="485"/>
      <c r="U147" s="485"/>
      <c r="V147" s="485"/>
      <c r="W147" s="485"/>
      <c r="X147" s="497">
        <f t="shared" si="25"/>
        <v>1</v>
      </c>
      <c r="Y147" s="584" t="s">
        <v>382</v>
      </c>
      <c r="Z147" s="484">
        <f t="shared" si="24"/>
        <v>0</v>
      </c>
      <c r="AA147" s="485"/>
      <c r="AB147" s="485"/>
      <c r="AC147" s="485"/>
      <c r="AD147" s="485"/>
      <c r="AE147" s="483">
        <f t="shared" si="26"/>
        <v>1</v>
      </c>
      <c r="AF147" s="325"/>
      <c r="AG147" s="450" t="s">
        <v>47</v>
      </c>
      <c r="AH147" s="327"/>
    </row>
    <row r="148" spans="1:34" ht="15.75" thickBot="1" x14ac:dyDescent="0.3">
      <c r="A148" s="576">
        <v>12.308</v>
      </c>
      <c r="B148" s="325" t="str">
        <f>VLOOKUP(A148,'Feature Raw Data'!$A$3:$B$3922,2,FALSE)</f>
        <v>RS64 Debug Enablement</v>
      </c>
      <c r="C148" s="325" t="s">
        <v>398</v>
      </c>
      <c r="D148" s="326" t="str">
        <f>VLOOKUP(A148,'Feature Raw Data'!$A$3:$F$3922,6,FALSE)</f>
        <v>CTL</v>
      </c>
      <c r="E148" s="325"/>
      <c r="F148" s="325"/>
      <c r="G148" s="244" t="str">
        <f>VLOOKUP(A148,'Feature Summary'!$A$7:$C$4170,3,FALSE)</f>
        <v>P1</v>
      </c>
      <c r="H148" s="417" t="s">
        <v>47</v>
      </c>
      <c r="I148" s="448" t="s">
        <v>47</v>
      </c>
      <c r="J148" s="325"/>
      <c r="K148" s="326">
        <v>1</v>
      </c>
      <c r="L148" s="326">
        <v>0</v>
      </c>
      <c r="M148" s="582" t="str">
        <f>VLOOKUP(A148,'Feature Raw Data'!$A$3:$E$3922,5,FALSE)</f>
        <v>New</v>
      </c>
      <c r="N148" s="465">
        <v>1</v>
      </c>
      <c r="O148" s="466"/>
      <c r="P148" s="464">
        <f t="shared" si="22"/>
        <v>1</v>
      </c>
      <c r="Q148" s="448" t="s">
        <v>47</v>
      </c>
      <c r="R148" s="326">
        <v>0</v>
      </c>
      <c r="S148" s="496">
        <f t="shared" si="23"/>
        <v>0</v>
      </c>
      <c r="T148" s="485"/>
      <c r="U148" s="485"/>
      <c r="V148" s="485"/>
      <c r="W148" s="485"/>
      <c r="X148" s="497">
        <f t="shared" si="25"/>
        <v>1</v>
      </c>
      <c r="Y148" s="449" t="s">
        <v>442</v>
      </c>
      <c r="Z148" s="484">
        <f t="shared" si="24"/>
        <v>0</v>
      </c>
      <c r="AA148" s="485"/>
      <c r="AB148" s="485"/>
      <c r="AC148" s="485"/>
      <c r="AD148" s="485"/>
      <c r="AE148" s="483">
        <f t="shared" si="26"/>
        <v>1</v>
      </c>
      <c r="AF148" s="325"/>
      <c r="AG148" s="450" t="s">
        <v>47</v>
      </c>
      <c r="AH148" s="327"/>
    </row>
    <row r="149" spans="1:34" ht="15.75" thickBot="1" x14ac:dyDescent="0.3">
      <c r="A149" s="595">
        <v>12.31</v>
      </c>
      <c r="B149" s="325" t="str">
        <f>VLOOKUP(A149,'Feature Raw Data'!$A$3:$B$3922,2,FALSE)</f>
        <v>SED client to 256B reads</v>
      </c>
      <c r="C149" s="325" t="s">
        <v>337</v>
      </c>
      <c r="D149" s="326" t="str">
        <f>VLOOKUP(A149,'Feature Raw Data'!$A$3:$F$3922,6,FALSE)</f>
        <v>CMM</v>
      </c>
      <c r="E149" s="325"/>
      <c r="F149" s="325"/>
      <c r="G149" s="244" t="str">
        <f>VLOOKUP(A149,'Feature Summary'!$A$7:$C$4170,3,FALSE)</f>
        <v>P1</v>
      </c>
      <c r="H149" s="417" t="s">
        <v>991</v>
      </c>
      <c r="I149" s="448" t="s">
        <v>35</v>
      </c>
      <c r="J149" s="325"/>
      <c r="K149" s="326">
        <v>1</v>
      </c>
      <c r="L149" s="326">
        <v>1</v>
      </c>
      <c r="M149" s="582" t="str">
        <f>VLOOKUP(A149,'Feature Raw Data'!$A$3:$E$3922,5,FALSE)</f>
        <v>New</v>
      </c>
      <c r="N149" s="465">
        <v>1</v>
      </c>
      <c r="O149" s="466">
        <v>1</v>
      </c>
      <c r="P149" s="464">
        <f t="shared" si="22"/>
        <v>1</v>
      </c>
      <c r="Q149" s="448" t="s">
        <v>32</v>
      </c>
      <c r="R149" s="326">
        <v>1</v>
      </c>
      <c r="S149" s="496">
        <f t="shared" si="23"/>
        <v>1</v>
      </c>
      <c r="T149" s="485">
        <v>1</v>
      </c>
      <c r="U149" s="485"/>
      <c r="V149" s="485"/>
      <c r="W149" s="485"/>
      <c r="X149" s="497">
        <f t="shared" si="25"/>
        <v>1</v>
      </c>
      <c r="Y149" s="449"/>
      <c r="Z149" s="484">
        <f t="shared" si="24"/>
        <v>0</v>
      </c>
      <c r="AA149" s="485"/>
      <c r="AB149" s="485"/>
      <c r="AC149" s="485"/>
      <c r="AD149" s="485"/>
      <c r="AE149" s="483">
        <f t="shared" si="26"/>
        <v>0</v>
      </c>
      <c r="AF149" s="325"/>
      <c r="AG149" s="450" t="s">
        <v>346</v>
      </c>
      <c r="AH149" s="327"/>
    </row>
    <row r="150" spans="1:34" ht="15.75" thickBot="1" x14ac:dyDescent="0.3">
      <c r="A150" s="576">
        <v>12.311</v>
      </c>
      <c r="B150" s="325" t="str">
        <f>VLOOKUP(A150,'Feature Raw Data'!$A$3:$B$3922,2,FALSE)</f>
        <v>Shader VALU min/max IEEE compliant</v>
      </c>
      <c r="C150" s="325" t="s">
        <v>366</v>
      </c>
      <c r="D150" s="326" t="str">
        <f>VLOOKUP(A150,'Feature Raw Data'!$A$3:$F$3922,6,FALSE)</f>
        <v>SH</v>
      </c>
      <c r="E150" s="325"/>
      <c r="F150" s="325"/>
      <c r="G150" s="244" t="str">
        <f>VLOOKUP(A150,'Feature Summary'!$A$7:$C$4170,3,FALSE)</f>
        <v>P1</v>
      </c>
      <c r="H150" s="417" t="s">
        <v>469</v>
      </c>
      <c r="I150" s="448" t="s">
        <v>35</v>
      </c>
      <c r="J150" s="325"/>
      <c r="K150" s="326">
        <v>1</v>
      </c>
      <c r="L150" s="326">
        <v>1</v>
      </c>
      <c r="M150" s="582" t="str">
        <f>VLOOKUP(A150,'Feature Raw Data'!$A$3:$E$3922,5,FALSE)</f>
        <v>New</v>
      </c>
      <c r="N150" s="465">
        <v>1</v>
      </c>
      <c r="O150" s="466">
        <v>1</v>
      </c>
      <c r="P150" s="464">
        <f t="shared" si="22"/>
        <v>1</v>
      </c>
      <c r="Q150" s="448" t="s">
        <v>43</v>
      </c>
      <c r="R150" s="326">
        <v>1</v>
      </c>
      <c r="S150" s="496">
        <f t="shared" si="23"/>
        <v>1</v>
      </c>
      <c r="T150" s="485">
        <v>1</v>
      </c>
      <c r="U150" s="485"/>
      <c r="V150" s="485"/>
      <c r="W150" s="485"/>
      <c r="X150" s="497">
        <f t="shared" si="25"/>
        <v>1</v>
      </c>
      <c r="Y150" s="589" t="s">
        <v>470</v>
      </c>
      <c r="Z150" s="484">
        <f t="shared" si="24"/>
        <v>1</v>
      </c>
      <c r="AA150" s="485">
        <v>1</v>
      </c>
      <c r="AB150" s="485"/>
      <c r="AC150" s="485"/>
      <c r="AD150" s="485"/>
      <c r="AE150" s="483">
        <f t="shared" si="26"/>
        <v>1</v>
      </c>
      <c r="AF150" s="325"/>
      <c r="AG150" s="450" t="s">
        <v>377</v>
      </c>
      <c r="AH150" s="327"/>
    </row>
    <row r="151" spans="1:34" ht="15.75" thickBot="1" x14ac:dyDescent="0.3">
      <c r="A151" s="576">
        <v>12.311999999999999</v>
      </c>
      <c r="B151" s="325" t="str">
        <f>VLOOKUP(A151,'Feature Raw Data'!$A$3:$B$3922,2,FALSE)</f>
        <v>Convert PAL implementation of streamout to sw solution enables GDS removal</v>
      </c>
      <c r="C151" s="325" t="s">
        <v>328</v>
      </c>
      <c r="D151" s="326" t="str">
        <f>VLOOKUP(A151,'Feature Raw Data'!$A$3:$F$3922,6,FALSE)</f>
        <v>SIO</v>
      </c>
      <c r="E151" s="325"/>
      <c r="F151" s="325"/>
      <c r="G151" s="244" t="str">
        <f>VLOOKUP(A151,'Feature Summary'!$A$7:$C$4170,3,FALSE)</f>
        <v>P1</v>
      </c>
      <c r="H151" s="417" t="s">
        <v>47</v>
      </c>
      <c r="I151" s="448" t="s">
        <v>47</v>
      </c>
      <c r="J151" s="325"/>
      <c r="K151" s="326">
        <v>1</v>
      </c>
      <c r="L151" s="326">
        <v>0</v>
      </c>
      <c r="M151" s="582" t="str">
        <f>VLOOKUP(A151,'Feature Raw Data'!$A$3:$E$3922,5,FALSE)</f>
        <v>New</v>
      </c>
      <c r="N151" s="465">
        <v>1</v>
      </c>
      <c r="O151" s="466"/>
      <c r="P151" s="464">
        <f t="shared" si="22"/>
        <v>1</v>
      </c>
      <c r="Q151" s="448" t="s">
        <v>47</v>
      </c>
      <c r="R151" s="326">
        <v>0</v>
      </c>
      <c r="S151" s="496">
        <f t="shared" si="23"/>
        <v>0</v>
      </c>
      <c r="T151" s="485"/>
      <c r="U151" s="485"/>
      <c r="V151" s="485"/>
      <c r="W151" s="485"/>
      <c r="X151" s="497">
        <f t="shared" si="25"/>
        <v>1</v>
      </c>
      <c r="Y151" s="584" t="s">
        <v>382</v>
      </c>
      <c r="Z151" s="484">
        <f t="shared" si="24"/>
        <v>0</v>
      </c>
      <c r="AA151" s="485"/>
      <c r="AB151" s="485"/>
      <c r="AC151" s="485"/>
      <c r="AD151" s="485"/>
      <c r="AE151" s="483">
        <f t="shared" si="26"/>
        <v>1</v>
      </c>
      <c r="AF151" s="325"/>
      <c r="AG151" s="450" t="s">
        <v>47</v>
      </c>
      <c r="AH151" s="327"/>
    </row>
    <row r="152" spans="1:34" ht="15.75" thickBot="1" x14ac:dyDescent="0.3">
      <c r="A152" s="576">
        <v>12.318</v>
      </c>
      <c r="B152" s="325" t="str">
        <f>VLOOKUP(A152,'Feature Raw Data'!$A$3:$B$3922,2,FALSE)</f>
        <v>SED&lt;&gt;AID and AID&lt;&gt;AID interfaces must support arbitrary clk deviation, so protocols like valid-only need to be converted.</v>
      </c>
      <c r="C152" s="325" t="s">
        <v>322</v>
      </c>
      <c r="D152" s="326" t="str">
        <f>VLOOKUP(A152,'Feature Raw Data'!$A$3:$F$3922,6,FALSE)</f>
        <v>GC</v>
      </c>
      <c r="E152" s="325"/>
      <c r="F152" s="325"/>
      <c r="G152" s="244" t="str">
        <f>VLOOKUP(A152,'Feature Summary'!$A$7:$C$4170,3,FALSE)</f>
        <v>P1</v>
      </c>
      <c r="H152" s="417" t="s">
        <v>47</v>
      </c>
      <c r="I152" s="448" t="s">
        <v>47</v>
      </c>
      <c r="J152" s="325"/>
      <c r="K152" s="326">
        <v>1</v>
      </c>
      <c r="L152" s="326">
        <v>0</v>
      </c>
      <c r="M152" s="582" t="str">
        <f>VLOOKUP(A152,'Feature Raw Data'!$A$3:$E$3922,5,FALSE)</f>
        <v>New</v>
      </c>
      <c r="N152" s="465">
        <v>1</v>
      </c>
      <c r="O152" s="466"/>
      <c r="P152" s="464">
        <f t="shared" si="22"/>
        <v>1</v>
      </c>
      <c r="Q152" s="448" t="s">
        <v>47</v>
      </c>
      <c r="R152" s="326">
        <v>0</v>
      </c>
      <c r="S152" s="496">
        <f t="shared" si="23"/>
        <v>0</v>
      </c>
      <c r="T152" s="485"/>
      <c r="U152" s="485"/>
      <c r="V152" s="485"/>
      <c r="W152" s="485"/>
      <c r="X152" s="497">
        <f t="shared" si="25"/>
        <v>1</v>
      </c>
      <c r="Y152" s="449" t="s">
        <v>471</v>
      </c>
      <c r="Z152" s="484">
        <f t="shared" si="24"/>
        <v>0</v>
      </c>
      <c r="AA152" s="485"/>
      <c r="AB152" s="485"/>
      <c r="AC152" s="485"/>
      <c r="AD152" s="485"/>
      <c r="AE152" s="483">
        <f t="shared" si="26"/>
        <v>1</v>
      </c>
      <c r="AF152" s="325"/>
      <c r="AG152" s="450" t="s">
        <v>47</v>
      </c>
      <c r="AH152" s="327"/>
    </row>
    <row r="153" spans="1:34" ht="15.75" thickBot="1" x14ac:dyDescent="0.3">
      <c r="A153" s="576">
        <v>12.319000000000001</v>
      </c>
      <c r="B153" s="325" t="str">
        <f>VLOOKUP(A153,'Feature Raw Data'!$A$3:$B$3922,2,FALSE)</f>
        <v>GCRD-&gt;GCR response interface to credit/debit</v>
      </c>
      <c r="C153" s="325" t="s">
        <v>379</v>
      </c>
      <c r="D153" s="326" t="str">
        <f>VLOOKUP(A153,'Feature Raw Data'!$A$3:$F$3922,6,FALSE)</f>
        <v>CMM</v>
      </c>
      <c r="E153" s="325"/>
      <c r="F153" s="325"/>
      <c r="G153" s="244" t="str">
        <f>VLOOKUP(A153,'Feature Summary'!$A$7:$C$4170,3,FALSE)</f>
        <v>P1</v>
      </c>
      <c r="H153" s="417" t="s">
        <v>472</v>
      </c>
      <c r="I153" s="448" t="s">
        <v>41</v>
      </c>
      <c r="J153" s="325"/>
      <c r="K153" s="326">
        <v>1</v>
      </c>
      <c r="L153" s="326">
        <v>1</v>
      </c>
      <c r="M153" s="582" t="str">
        <f>VLOOKUP(A153,'Feature Raw Data'!$A$3:$E$3922,5,FALSE)</f>
        <v>New</v>
      </c>
      <c r="N153" s="465">
        <v>1</v>
      </c>
      <c r="O153" s="466">
        <v>1</v>
      </c>
      <c r="P153" s="464">
        <f t="shared" si="22"/>
        <v>1</v>
      </c>
      <c r="Q153" s="448" t="s">
        <v>32</v>
      </c>
      <c r="R153" s="326">
        <v>1</v>
      </c>
      <c r="S153" s="496">
        <f t="shared" si="23"/>
        <v>0</v>
      </c>
      <c r="T153" s="485"/>
      <c r="U153" s="485"/>
      <c r="V153" s="485"/>
      <c r="W153" s="485"/>
      <c r="X153" s="497">
        <f t="shared" si="25"/>
        <v>0</v>
      </c>
      <c r="Y153" s="449"/>
      <c r="Z153" s="484">
        <f t="shared" si="24"/>
        <v>0</v>
      </c>
      <c r="AA153" s="485"/>
      <c r="AB153" s="485"/>
      <c r="AC153" s="485"/>
      <c r="AD153" s="485"/>
      <c r="AE153" s="483">
        <f t="shared" si="26"/>
        <v>0</v>
      </c>
      <c r="AF153" s="325"/>
      <c r="AG153" s="450" t="s">
        <v>309</v>
      </c>
      <c r="AH153" s="327"/>
    </row>
    <row r="154" spans="1:34" ht="15.75" thickBot="1" x14ac:dyDescent="0.3">
      <c r="A154" s="576">
        <v>12.32</v>
      </c>
      <c r="B154" s="325" t="str">
        <f>VLOOKUP(A154,'Feature Raw Data'!$A$3:$B$3922,2,FALSE)</f>
        <v>GCRD_SE SAX client</v>
      </c>
      <c r="C154" s="325" t="s">
        <v>428</v>
      </c>
      <c r="D154" s="326" t="str">
        <f>VLOOKUP(A154,'Feature Raw Data'!$A$3:$F$3922,6,FALSE)</f>
        <v>CMM</v>
      </c>
      <c r="E154" s="325"/>
      <c r="F154" s="325"/>
      <c r="G154" s="244" t="str">
        <f>VLOOKUP(A154,'Feature Summary'!$A$7:$C$4170,3,FALSE)</f>
        <v>P1</v>
      </c>
      <c r="H154" s="417" t="s">
        <v>473</v>
      </c>
      <c r="I154" s="448" t="s">
        <v>35</v>
      </c>
      <c r="J154" s="325"/>
      <c r="K154" s="326">
        <v>1</v>
      </c>
      <c r="L154" s="326">
        <v>1</v>
      </c>
      <c r="M154" s="582" t="str">
        <f>VLOOKUP(A154,'Feature Raw Data'!$A$3:$E$3922,5,FALSE)</f>
        <v>New</v>
      </c>
      <c r="N154" s="465">
        <v>1</v>
      </c>
      <c r="O154" s="466">
        <v>1</v>
      </c>
      <c r="P154" s="464">
        <f t="shared" si="22"/>
        <v>1</v>
      </c>
      <c r="Q154" s="448" t="s">
        <v>32</v>
      </c>
      <c r="R154" s="326">
        <v>1</v>
      </c>
      <c r="S154" s="496">
        <f t="shared" si="23"/>
        <v>0</v>
      </c>
      <c r="T154" s="485"/>
      <c r="U154" s="485"/>
      <c r="V154" s="485"/>
      <c r="W154" s="485"/>
      <c r="X154" s="497">
        <f t="shared" si="25"/>
        <v>0</v>
      </c>
      <c r="Y154" s="449"/>
      <c r="Z154" s="484">
        <f t="shared" si="24"/>
        <v>0</v>
      </c>
      <c r="AA154" s="485"/>
      <c r="AB154" s="485"/>
      <c r="AC154" s="485"/>
      <c r="AD154" s="485"/>
      <c r="AE154" s="483">
        <f t="shared" si="26"/>
        <v>0</v>
      </c>
      <c r="AF154" s="325"/>
      <c r="AG154" s="450" t="s">
        <v>286</v>
      </c>
      <c r="AH154" s="327"/>
    </row>
    <row r="155" spans="1:34" ht="15.75" thickBot="1" x14ac:dyDescent="0.3">
      <c r="A155" s="595">
        <v>12.321</v>
      </c>
      <c r="B155" s="325" t="str">
        <f>VLOOKUP(A155,'Feature Raw Data'!$A$3:$B$3922,2,FALSE)</f>
        <v>Limit wires SED&lt;-&gt;AID for PMM Ips</v>
      </c>
      <c r="C155" s="325" t="s">
        <v>337</v>
      </c>
      <c r="D155" s="326" t="str">
        <f>VLOOKUP(A155,'Feature Raw Data'!$A$3:$F$3922,6,FALSE)</f>
        <v>CMM</v>
      </c>
      <c r="E155" s="325"/>
      <c r="F155" s="325"/>
      <c r="G155" s="244" t="str">
        <f>VLOOKUP(A155,'Feature Summary'!$A$7:$C$4170,3,FALSE)</f>
        <v>P1</v>
      </c>
      <c r="H155" s="417" t="s">
        <v>47</v>
      </c>
      <c r="I155" s="448" t="s">
        <v>47</v>
      </c>
      <c r="J155" s="325"/>
      <c r="K155" s="326">
        <v>1</v>
      </c>
      <c r="L155" s="326">
        <v>0</v>
      </c>
      <c r="M155" s="582" t="str">
        <f>VLOOKUP(A155,'Feature Raw Data'!$A$3:$E$3922,5,FALSE)</f>
        <v>New</v>
      </c>
      <c r="N155" s="465">
        <v>1</v>
      </c>
      <c r="O155" s="466"/>
      <c r="P155" s="464">
        <f t="shared" si="22"/>
        <v>1</v>
      </c>
      <c r="Q155" s="448" t="s">
        <v>47</v>
      </c>
      <c r="R155" s="326">
        <v>0</v>
      </c>
      <c r="S155" s="496">
        <f t="shared" si="23"/>
        <v>0</v>
      </c>
      <c r="T155" s="485"/>
      <c r="U155" s="485"/>
      <c r="V155" s="485"/>
      <c r="W155" s="485"/>
      <c r="X155" s="497">
        <f t="shared" si="25"/>
        <v>1</v>
      </c>
      <c r="Y155" s="584" t="s">
        <v>464</v>
      </c>
      <c r="Z155" s="484">
        <f t="shared" si="24"/>
        <v>0</v>
      </c>
      <c r="AA155" s="485"/>
      <c r="AB155" s="485"/>
      <c r="AC155" s="485"/>
      <c r="AD155" s="485"/>
      <c r="AE155" s="483">
        <f t="shared" si="26"/>
        <v>1</v>
      </c>
      <c r="AF155" s="325"/>
      <c r="AG155" s="450" t="s">
        <v>47</v>
      </c>
      <c r="AH155" s="327"/>
    </row>
    <row r="156" spans="1:34" ht="15.75" thickBot="1" x14ac:dyDescent="0.3">
      <c r="A156" s="576">
        <v>12.321999999999999</v>
      </c>
      <c r="B156" s="325" t="str">
        <f>VLOOKUP(A156,'Feature Raw Data'!$A$3:$B$3922,2,FALSE)</f>
        <v>GFX12 UTLC2 - Add idle sidebands</v>
      </c>
      <c r="C156" s="325" t="s">
        <v>379</v>
      </c>
      <c r="D156" s="326" t="str">
        <f>VLOOKUP(A156,'Feature Raw Data'!$A$3:$F$3922,6,FALSE)</f>
        <v>CMM</v>
      </c>
      <c r="E156" s="325"/>
      <c r="F156" s="325"/>
      <c r="G156" s="244" t="str">
        <f>VLOOKUP(A156,'Feature Summary'!$A$7:$C$4170,3,FALSE)</f>
        <v>P2</v>
      </c>
      <c r="H156" s="417" t="s">
        <v>47</v>
      </c>
      <c r="I156" s="448" t="s">
        <v>47</v>
      </c>
      <c r="J156" s="325"/>
      <c r="K156" s="326">
        <v>1</v>
      </c>
      <c r="L156" s="326">
        <v>0</v>
      </c>
      <c r="M156" s="582" t="str">
        <f>VLOOKUP(A156,'Feature Raw Data'!$A$3:$E$3922,5,FALSE)</f>
        <v>New</v>
      </c>
      <c r="N156" s="465">
        <v>1</v>
      </c>
      <c r="O156" s="466"/>
      <c r="P156" s="464">
        <f t="shared" si="22"/>
        <v>1</v>
      </c>
      <c r="Q156" s="448" t="s">
        <v>47</v>
      </c>
      <c r="R156" s="326">
        <v>0</v>
      </c>
      <c r="S156" s="496">
        <f t="shared" si="23"/>
        <v>0</v>
      </c>
      <c r="T156" s="485"/>
      <c r="U156" s="485"/>
      <c r="V156" s="485"/>
      <c r="W156" s="485"/>
      <c r="X156" s="497">
        <f t="shared" si="25"/>
        <v>1</v>
      </c>
      <c r="Y156" s="449" t="s">
        <v>474</v>
      </c>
      <c r="Z156" s="484">
        <f t="shared" si="24"/>
        <v>0</v>
      </c>
      <c r="AA156" s="485"/>
      <c r="AB156" s="485"/>
      <c r="AC156" s="485"/>
      <c r="AD156" s="485"/>
      <c r="AE156" s="483">
        <f t="shared" si="26"/>
        <v>1</v>
      </c>
      <c r="AF156" s="325"/>
      <c r="AG156" s="450" t="s">
        <v>47</v>
      </c>
      <c r="AH156" s="327"/>
    </row>
    <row r="157" spans="1:34" ht="15.75" thickBot="1" x14ac:dyDescent="0.3">
      <c r="A157" s="576">
        <v>12.327999999999999</v>
      </c>
      <c r="B157" s="325" t="str">
        <f>VLOOKUP(A157,'Feature Raw Data'!$A$3:$B$3922,2,FALSE)</f>
        <v>GFX12 SDMA - Add sidebands to control Idle request</v>
      </c>
      <c r="C157" s="325" t="s">
        <v>322</v>
      </c>
      <c r="D157" s="326" t="str">
        <f>VLOOKUP(A157,'Feature Raw Data'!$A$3:$F$3922,6,FALSE)</f>
        <v>CTL</v>
      </c>
      <c r="E157" s="325"/>
      <c r="F157" s="325"/>
      <c r="G157" s="244" t="str">
        <f>VLOOKUP(A157,'Feature Summary'!$A$7:$C$4170,3,FALSE)</f>
        <v>P1</v>
      </c>
      <c r="H157" s="417" t="s">
        <v>47</v>
      </c>
      <c r="I157" s="448" t="s">
        <v>47</v>
      </c>
      <c r="J157" s="325"/>
      <c r="K157" s="326">
        <v>1</v>
      </c>
      <c r="L157" s="326">
        <v>0</v>
      </c>
      <c r="M157" s="582" t="str">
        <f>VLOOKUP(A157,'Feature Raw Data'!$A$3:$E$3922,5,FALSE)</f>
        <v>New</v>
      </c>
      <c r="N157" s="465">
        <v>1</v>
      </c>
      <c r="O157" s="466"/>
      <c r="P157" s="464">
        <f t="shared" si="22"/>
        <v>1</v>
      </c>
      <c r="Q157" s="448" t="s">
        <v>47</v>
      </c>
      <c r="R157" s="326">
        <v>0</v>
      </c>
      <c r="S157" s="496">
        <f t="shared" si="23"/>
        <v>0</v>
      </c>
      <c r="T157" s="485"/>
      <c r="U157" s="485"/>
      <c r="V157" s="485"/>
      <c r="W157" s="485"/>
      <c r="X157" s="497">
        <f t="shared" si="25"/>
        <v>1</v>
      </c>
      <c r="Y157" s="449" t="s">
        <v>464</v>
      </c>
      <c r="Z157" s="484">
        <f t="shared" si="24"/>
        <v>0</v>
      </c>
      <c r="AA157" s="485"/>
      <c r="AB157" s="485"/>
      <c r="AC157" s="485"/>
      <c r="AD157" s="485"/>
      <c r="AE157" s="483">
        <f t="shared" si="26"/>
        <v>1</v>
      </c>
      <c r="AF157" s="325"/>
      <c r="AG157" s="450" t="s">
        <v>47</v>
      </c>
      <c r="AH157" s="327"/>
    </row>
    <row r="158" spans="1:34" ht="15.75" thickBot="1" x14ac:dyDescent="0.3">
      <c r="A158" s="576">
        <v>12.329000000000001</v>
      </c>
      <c r="B158" s="325" t="str">
        <f>VLOOKUP(A158,'Feature Raw Data'!$A$3:$B$3922,2,FALSE)</f>
        <v>remove GCR dummy UTCL2 invalidation interface</v>
      </c>
      <c r="C158" s="325" t="s">
        <v>379</v>
      </c>
      <c r="D158" s="326" t="str">
        <f>VLOOKUP(A158,'Feature Raw Data'!$A$3:$F$3922,6,FALSE)</f>
        <v>CMM</v>
      </c>
      <c r="E158" s="325"/>
      <c r="F158" s="325"/>
      <c r="G158" s="244" t="str">
        <f>VLOOKUP(A158,'Feature Summary'!$A$7:$C$4170,3,FALSE)</f>
        <v>P2</v>
      </c>
      <c r="H158" s="417" t="s">
        <v>47</v>
      </c>
      <c r="I158" s="448" t="s">
        <v>47</v>
      </c>
      <c r="J158" s="325"/>
      <c r="K158" s="326">
        <v>1</v>
      </c>
      <c r="L158" s="326">
        <v>0</v>
      </c>
      <c r="M158" s="582" t="str">
        <f>VLOOKUP(A158,'Feature Raw Data'!$A$3:$E$3922,5,FALSE)</f>
        <v>New</v>
      </c>
      <c r="N158" s="465">
        <v>1</v>
      </c>
      <c r="O158" s="466"/>
      <c r="P158" s="464">
        <f t="shared" si="22"/>
        <v>1</v>
      </c>
      <c r="Q158" s="448" t="s">
        <v>47</v>
      </c>
      <c r="R158" s="326">
        <v>0</v>
      </c>
      <c r="S158" s="496">
        <f t="shared" si="23"/>
        <v>0</v>
      </c>
      <c r="T158" s="485"/>
      <c r="U158" s="485"/>
      <c r="V158" s="485"/>
      <c r="W158" s="485"/>
      <c r="X158" s="497">
        <f t="shared" si="25"/>
        <v>1</v>
      </c>
      <c r="Y158" s="584" t="s">
        <v>382</v>
      </c>
      <c r="Z158" s="484">
        <f t="shared" si="24"/>
        <v>0</v>
      </c>
      <c r="AA158" s="485"/>
      <c r="AB158" s="485"/>
      <c r="AC158" s="485"/>
      <c r="AD158" s="485"/>
      <c r="AE158" s="483">
        <f t="shared" si="26"/>
        <v>1</v>
      </c>
      <c r="AF158" s="325"/>
      <c r="AG158" s="450" t="s">
        <v>47</v>
      </c>
      <c r="AH158" s="327"/>
    </row>
    <row r="159" spans="1:34" ht="15.75" thickBot="1" x14ac:dyDescent="0.3">
      <c r="A159" s="595">
        <v>12.332000000000001</v>
      </c>
      <c r="B159" s="325" t="str">
        <f>VLOOKUP(A159,'Feature Raw Data'!$A$3:$B$3922,2,FALSE)</f>
        <v>GFX12 EA - Add idle sidebands</v>
      </c>
      <c r="C159" s="325" t="s">
        <v>337</v>
      </c>
      <c r="D159" s="326" t="str">
        <f>VLOOKUP(A159,'Feature Raw Data'!$A$3:$F$3922,6,FALSE)</f>
        <v>CMM</v>
      </c>
      <c r="E159" s="325"/>
      <c r="F159" s="325"/>
      <c r="G159" s="244" t="str">
        <f>VLOOKUP(A159,'Feature Summary'!$A$7:$C$4170,3,FALSE)</f>
        <v>P2</v>
      </c>
      <c r="H159" s="417" t="s">
        <v>47</v>
      </c>
      <c r="I159" s="448" t="s">
        <v>47</v>
      </c>
      <c r="J159" s="325"/>
      <c r="K159" s="326">
        <v>1</v>
      </c>
      <c r="L159" s="326">
        <v>0</v>
      </c>
      <c r="M159" s="582" t="str">
        <f>VLOOKUP(A159,'Feature Raw Data'!$A$3:$E$3922,5,FALSE)</f>
        <v>New</v>
      </c>
      <c r="N159" s="465">
        <v>1</v>
      </c>
      <c r="O159" s="466"/>
      <c r="P159" s="464">
        <f t="shared" si="22"/>
        <v>1</v>
      </c>
      <c r="Q159" s="448" t="s">
        <v>47</v>
      </c>
      <c r="R159" s="326">
        <v>0</v>
      </c>
      <c r="S159" s="496">
        <f t="shared" si="23"/>
        <v>0</v>
      </c>
      <c r="T159" s="485"/>
      <c r="U159" s="485"/>
      <c r="V159" s="485"/>
      <c r="W159" s="485"/>
      <c r="X159" s="497">
        <f t="shared" si="25"/>
        <v>1</v>
      </c>
      <c r="Y159" s="449" t="s">
        <v>464</v>
      </c>
      <c r="Z159" s="484">
        <f t="shared" si="24"/>
        <v>0</v>
      </c>
      <c r="AA159" s="485"/>
      <c r="AB159" s="485"/>
      <c r="AC159" s="485"/>
      <c r="AD159" s="485"/>
      <c r="AE159" s="483">
        <f t="shared" si="26"/>
        <v>1</v>
      </c>
      <c r="AF159" s="325"/>
      <c r="AG159" s="450" t="s">
        <v>47</v>
      </c>
      <c r="AH159" s="327"/>
    </row>
    <row r="160" spans="1:34" ht="15.75" thickBot="1" x14ac:dyDescent="0.3">
      <c r="A160" s="576">
        <v>12.333</v>
      </c>
      <c r="B160" s="325" t="str">
        <f>VLOOKUP(A160,'Feature Raw Data'!$A$3:$B$3922,2,FALSE)</f>
        <v>Swap PRIM_CONFIG register to SA_UNIT_DISABLE register</v>
      </c>
      <c r="C160" s="325" t="s">
        <v>453</v>
      </c>
      <c r="D160" s="326" t="str">
        <f>VLOOKUP(A160,'Feature Raw Data'!$A$3:$F$3922,6,FALSE)</f>
        <v>GC</v>
      </c>
      <c r="E160" s="325"/>
      <c r="F160" s="325"/>
      <c r="G160" s="244" t="str">
        <f>VLOOKUP(A160,'Feature Summary'!$A$7:$C$4170,3,FALSE)</f>
        <v>P2</v>
      </c>
      <c r="H160" s="417" t="s">
        <v>445</v>
      </c>
      <c r="I160" s="448" t="s">
        <v>35</v>
      </c>
      <c r="J160" s="325"/>
      <c r="K160" s="326">
        <v>1</v>
      </c>
      <c r="L160" s="326">
        <v>4</v>
      </c>
      <c r="M160" s="582" t="str">
        <f>VLOOKUP(A160,'Feature Raw Data'!$A$3:$E$3922,5,FALSE)</f>
        <v>New</v>
      </c>
      <c r="N160" s="465">
        <v>1</v>
      </c>
      <c r="O160" s="466">
        <v>4</v>
      </c>
      <c r="P160" s="464">
        <f t="shared" si="22"/>
        <v>1</v>
      </c>
      <c r="Q160" s="448" t="s">
        <v>32</v>
      </c>
      <c r="R160" s="326">
        <v>4</v>
      </c>
      <c r="S160" s="496">
        <f t="shared" si="23"/>
        <v>4</v>
      </c>
      <c r="T160" s="485">
        <v>4</v>
      </c>
      <c r="U160" s="485"/>
      <c r="V160" s="485"/>
      <c r="W160" s="485"/>
      <c r="X160" s="497">
        <f t="shared" si="25"/>
        <v>1</v>
      </c>
      <c r="Y160" s="449"/>
      <c r="Z160" s="484">
        <f t="shared" si="24"/>
        <v>0</v>
      </c>
      <c r="AA160" s="485"/>
      <c r="AB160" s="485"/>
      <c r="AC160" s="485"/>
      <c r="AD160" s="485"/>
      <c r="AE160" s="483">
        <f t="shared" si="26"/>
        <v>0</v>
      </c>
      <c r="AF160" s="325"/>
      <c r="AG160" s="450" t="s">
        <v>286</v>
      </c>
      <c r="AH160" s="327"/>
    </row>
    <row r="161" spans="1:34" ht="15.75" thickBot="1" x14ac:dyDescent="0.3">
      <c r="A161" s="576">
        <v>12.334</v>
      </c>
      <c r="B161" s="325" t="str">
        <f>VLOOKUP(A161,'Feature Raw Data'!$A$3:$B$3922,2,FALSE)</f>
        <v>GTS support in GFX12</v>
      </c>
      <c r="C161" s="325" t="s">
        <v>453</v>
      </c>
      <c r="D161" s="326" t="str">
        <f>VLOOKUP(A161,'Feature Raw Data'!$A$3:$F$3922,6,FALSE)</f>
        <v>CTL</v>
      </c>
      <c r="E161" s="325"/>
      <c r="F161" s="325"/>
      <c r="G161" s="244" t="str">
        <f>VLOOKUP(A161,'Feature Summary'!$A$7:$C$4170,3,FALSE)</f>
        <v>P1</v>
      </c>
      <c r="H161" s="417" t="s">
        <v>987</v>
      </c>
      <c r="I161" s="448" t="s">
        <v>35</v>
      </c>
      <c r="J161" s="325"/>
      <c r="K161" s="326">
        <v>1</v>
      </c>
      <c r="L161" s="326">
        <v>2</v>
      </c>
      <c r="M161" s="582" t="str">
        <f>VLOOKUP(A161,'Feature Raw Data'!$A$3:$E$3922,5,FALSE)</f>
        <v>New</v>
      </c>
      <c r="N161" s="465">
        <v>1</v>
      </c>
      <c r="O161" s="466">
        <v>0</v>
      </c>
      <c r="P161" s="464">
        <f t="shared" si="22"/>
        <v>0</v>
      </c>
      <c r="Q161" s="448" t="s">
        <v>32</v>
      </c>
      <c r="R161" s="326">
        <v>2</v>
      </c>
      <c r="S161" s="496">
        <f t="shared" si="23"/>
        <v>0</v>
      </c>
      <c r="T161" s="485"/>
      <c r="U161" s="485"/>
      <c r="V161" s="485"/>
      <c r="W161" s="485"/>
      <c r="X161" s="497">
        <f t="shared" si="25"/>
        <v>0</v>
      </c>
      <c r="Y161" s="449"/>
      <c r="Z161" s="484">
        <f t="shared" si="24"/>
        <v>0</v>
      </c>
      <c r="AA161" s="485"/>
      <c r="AB161" s="485"/>
      <c r="AC161" s="485"/>
      <c r="AD161" s="485"/>
      <c r="AE161" s="483">
        <f t="shared" si="26"/>
        <v>0</v>
      </c>
      <c r="AF161" s="325"/>
      <c r="AG161" s="450" t="s">
        <v>312</v>
      </c>
      <c r="AH161" s="327"/>
    </row>
    <row r="162" spans="1:34" ht="15.75" thickBot="1" x14ac:dyDescent="0.3">
      <c r="A162" s="576">
        <v>12.336</v>
      </c>
      <c r="B162" s="325" t="str">
        <f>VLOOKUP(A162,'Feature Raw Data'!$A$3:$B$3922,2,FALSE)</f>
        <v>Remove harvesting connectivity/RTL mux in SP</v>
      </c>
      <c r="C162" s="325" t="s">
        <v>366</v>
      </c>
      <c r="D162" s="326" t="str">
        <f>VLOOKUP(A162,'Feature Raw Data'!$A$3:$F$3922,6,FALSE)</f>
        <v>SH</v>
      </c>
      <c r="E162" s="325"/>
      <c r="F162" s="325"/>
      <c r="G162" s="244" t="str">
        <f>VLOOKUP(A162,'Feature Summary'!$A$7:$C$4170,3,FALSE)</f>
        <v>P2</v>
      </c>
      <c r="H162" s="417" t="s">
        <v>47</v>
      </c>
      <c r="I162" s="448" t="s">
        <v>47</v>
      </c>
      <c r="J162" s="325"/>
      <c r="K162" s="326">
        <v>1</v>
      </c>
      <c r="L162" s="326">
        <v>0</v>
      </c>
      <c r="M162" s="582" t="str">
        <f>VLOOKUP(A162,'Feature Raw Data'!$A$3:$E$3922,5,FALSE)</f>
        <v>New</v>
      </c>
      <c r="N162" s="465">
        <v>1</v>
      </c>
      <c r="O162" s="466"/>
      <c r="P162" s="464">
        <f t="shared" si="22"/>
        <v>1</v>
      </c>
      <c r="Q162" s="448" t="s">
        <v>47</v>
      </c>
      <c r="R162" s="326">
        <v>0</v>
      </c>
      <c r="S162" s="496">
        <f t="shared" si="23"/>
        <v>0</v>
      </c>
      <c r="T162" s="485"/>
      <c r="U162" s="485"/>
      <c r="V162" s="485"/>
      <c r="W162" s="485"/>
      <c r="X162" s="497">
        <f t="shared" si="25"/>
        <v>1</v>
      </c>
      <c r="Y162" s="584" t="s">
        <v>464</v>
      </c>
      <c r="Z162" s="484">
        <f t="shared" si="24"/>
        <v>0</v>
      </c>
      <c r="AA162" s="485"/>
      <c r="AB162" s="485"/>
      <c r="AC162" s="485"/>
      <c r="AD162" s="485"/>
      <c r="AE162" s="483">
        <f t="shared" si="26"/>
        <v>1</v>
      </c>
      <c r="AF162" s="325"/>
      <c r="AG162" s="450" t="s">
        <v>47</v>
      </c>
      <c r="AH162" s="327"/>
    </row>
    <row r="163" spans="1:34" ht="15.75" thickBot="1" x14ac:dyDescent="0.3">
      <c r="A163" s="576">
        <v>12.339</v>
      </c>
      <c r="B163" s="325" t="str">
        <f>VLOOKUP(A163,'Feature Raw Data'!$A$3:$B$3922,2,FALSE)</f>
        <v>GFX12 IH Gasket update for chiplet design</v>
      </c>
      <c r="C163" s="325" t="s">
        <v>475</v>
      </c>
      <c r="D163" s="326" t="str">
        <f>VLOOKUP(A163,'Feature Raw Data'!$A$3:$F$3922,6,FALSE)</f>
        <v>CTL</v>
      </c>
      <c r="E163" s="325"/>
      <c r="F163" s="325"/>
      <c r="G163" s="244" t="str">
        <f>VLOOKUP(A163,'Feature Summary'!$A$7:$C$4170,3,FALSE)</f>
        <v>P1</v>
      </c>
      <c r="H163" s="417" t="s">
        <v>979</v>
      </c>
      <c r="I163" s="448" t="s">
        <v>41</v>
      </c>
      <c r="J163" s="325" t="s">
        <v>980</v>
      </c>
      <c r="K163" s="326">
        <v>1</v>
      </c>
      <c r="L163" s="326">
        <v>1</v>
      </c>
      <c r="M163" s="582" t="str">
        <f>VLOOKUP(A163,'Feature Raw Data'!$A$3:$E$3922,5,FALSE)</f>
        <v>New</v>
      </c>
      <c r="N163" s="465">
        <v>1</v>
      </c>
      <c r="O163" s="466">
        <v>1</v>
      </c>
      <c r="P163" s="464">
        <f t="shared" si="22"/>
        <v>1</v>
      </c>
      <c r="Q163" s="448" t="s">
        <v>50</v>
      </c>
      <c r="R163" s="326">
        <v>1</v>
      </c>
      <c r="S163" s="496">
        <f t="shared" si="23"/>
        <v>1</v>
      </c>
      <c r="T163" s="485">
        <v>1</v>
      </c>
      <c r="U163" s="485"/>
      <c r="V163" s="485"/>
      <c r="W163" s="485"/>
      <c r="X163" s="497">
        <f t="shared" si="25"/>
        <v>1</v>
      </c>
      <c r="Y163" s="449"/>
      <c r="Z163" s="484">
        <f t="shared" si="24"/>
        <v>1</v>
      </c>
      <c r="AA163" s="485">
        <v>1</v>
      </c>
      <c r="AB163" s="485"/>
      <c r="AC163" s="485"/>
      <c r="AD163" s="485"/>
      <c r="AE163" s="483">
        <f t="shared" si="26"/>
        <v>1</v>
      </c>
      <c r="AF163" s="325"/>
      <c r="AG163" s="450" t="s">
        <v>309</v>
      </c>
      <c r="AH163" s="327"/>
    </row>
    <row r="164" spans="1:34" ht="15.75" thickBot="1" x14ac:dyDescent="0.3">
      <c r="A164" s="576">
        <v>12.342000000000001</v>
      </c>
      <c r="B164" s="325" t="str">
        <f>VLOOKUP(A164,'Feature Raw Data'!$A$3:$B$3922,2,FALSE)</f>
        <v>GFX12 IMU - Add FIFO for blocked RSMU writes and keep read outstanding</v>
      </c>
      <c r="C164" s="325" t="s">
        <v>322</v>
      </c>
      <c r="D164" s="326" t="str">
        <f>VLOOKUP(A164,'Feature Raw Data'!$A$3:$F$3922,6,FALSE)</f>
        <v>CTL</v>
      </c>
      <c r="E164" s="325"/>
      <c r="F164" s="325"/>
      <c r="G164" s="244" t="str">
        <f>VLOOKUP(A164,'Feature Summary'!$A$7:$C$4170,3,FALSE)</f>
        <v>P1</v>
      </c>
      <c r="H164" s="417" t="s">
        <v>47</v>
      </c>
      <c r="I164" s="448" t="s">
        <v>47</v>
      </c>
      <c r="J164" s="325"/>
      <c r="K164" s="326">
        <v>1</v>
      </c>
      <c r="L164" s="326">
        <v>0</v>
      </c>
      <c r="M164" s="582" t="str">
        <f>VLOOKUP(A164,'Feature Raw Data'!$A$3:$E$3922,5,FALSE)</f>
        <v>New</v>
      </c>
      <c r="N164" s="465">
        <v>1</v>
      </c>
      <c r="O164" s="466"/>
      <c r="P164" s="464">
        <f t="shared" si="22"/>
        <v>1</v>
      </c>
      <c r="Q164" s="448" t="s">
        <v>47</v>
      </c>
      <c r="R164" s="326">
        <v>0</v>
      </c>
      <c r="S164" s="496">
        <f t="shared" si="23"/>
        <v>0</v>
      </c>
      <c r="T164" s="485"/>
      <c r="U164" s="485"/>
      <c r="V164" s="485"/>
      <c r="W164" s="485"/>
      <c r="X164" s="497">
        <f t="shared" si="25"/>
        <v>1</v>
      </c>
      <c r="Y164" s="449" t="s">
        <v>452</v>
      </c>
      <c r="Z164" s="484">
        <f t="shared" si="24"/>
        <v>0</v>
      </c>
      <c r="AA164" s="485"/>
      <c r="AB164" s="485"/>
      <c r="AC164" s="485"/>
      <c r="AD164" s="485"/>
      <c r="AE164" s="483">
        <f t="shared" si="26"/>
        <v>1</v>
      </c>
      <c r="AF164" s="325"/>
      <c r="AG164" s="450" t="s">
        <v>47</v>
      </c>
      <c r="AH164" s="327"/>
    </row>
    <row r="165" spans="1:34" ht="15.75" thickBot="1" x14ac:dyDescent="0.3">
      <c r="A165" s="576">
        <v>12.343</v>
      </c>
      <c r="B165" s="325" t="str">
        <f>VLOOKUP(A165,'Feature Raw Data'!$A$3:$B$3922,2,FALSE)</f>
        <v>SPM sample sync across AID and GFX to DF</v>
      </c>
      <c r="C165" s="325" t="s">
        <v>319</v>
      </c>
      <c r="D165" s="326" t="str">
        <f>VLOOKUP(A165,'Feature Raw Data'!$A$3:$F$3922,6,FALSE)</f>
        <v>CTL</v>
      </c>
      <c r="E165" s="325"/>
      <c r="F165" s="325"/>
      <c r="G165" s="244" t="str">
        <f>VLOOKUP(A165,'Feature Summary'!$A$7:$C$4170,3,FALSE)</f>
        <v>P1</v>
      </c>
      <c r="H165" s="443" t="s">
        <v>476</v>
      </c>
      <c r="I165" s="448" t="s">
        <v>41</v>
      </c>
      <c r="J165" s="325"/>
      <c r="K165" s="326">
        <v>1</v>
      </c>
      <c r="L165" s="326">
        <v>1</v>
      </c>
      <c r="M165" s="582" t="str">
        <f>VLOOKUP(A165,'Feature Raw Data'!$A$3:$E$3922,5,FALSE)</f>
        <v>New</v>
      </c>
      <c r="N165" s="465">
        <v>1</v>
      </c>
      <c r="O165" s="466">
        <v>1</v>
      </c>
      <c r="P165" s="464">
        <f t="shared" si="22"/>
        <v>1</v>
      </c>
      <c r="Q165" s="448" t="s">
        <v>32</v>
      </c>
      <c r="R165" s="326">
        <v>1</v>
      </c>
      <c r="S165" s="496">
        <f t="shared" si="23"/>
        <v>1</v>
      </c>
      <c r="T165" s="485"/>
      <c r="U165" s="485"/>
      <c r="V165" s="485">
        <v>1</v>
      </c>
      <c r="W165" s="485"/>
      <c r="X165" s="497">
        <f t="shared" si="25"/>
        <v>0</v>
      </c>
      <c r="Y165" s="449"/>
      <c r="Z165" s="484">
        <f t="shared" si="24"/>
        <v>0</v>
      </c>
      <c r="AA165" s="485"/>
      <c r="AB165" s="485"/>
      <c r="AC165" s="485"/>
      <c r="AD165" s="485"/>
      <c r="AE165" s="483">
        <f t="shared" si="26"/>
        <v>0</v>
      </c>
      <c r="AF165" s="325"/>
      <c r="AG165" s="450" t="s">
        <v>309</v>
      </c>
      <c r="AH165" s="327"/>
    </row>
    <row r="166" spans="1:34" ht="15.75" thickBot="1" x14ac:dyDescent="0.3">
      <c r="A166" s="576">
        <v>12.343999999999999</v>
      </c>
      <c r="B166" s="325" t="str">
        <f>VLOOKUP(A166,'Feature Raw Data'!$A$3:$B$3922,2,FALSE)</f>
        <v>Faulting illegal ops to PCIE</v>
      </c>
      <c r="C166" s="325" t="s">
        <v>428</v>
      </c>
      <c r="D166" s="326" t="str">
        <f>VLOOKUP(A166,'Feature Raw Data'!$A$3:$F$3922,6,FALSE)</f>
        <v>CMM</v>
      </c>
      <c r="E166" s="325"/>
      <c r="F166" s="325"/>
      <c r="G166" s="244" t="str">
        <f>VLOOKUP(A166,'Feature Summary'!$A$7:$C$4170,3,FALSE)</f>
        <v>P1</v>
      </c>
      <c r="H166" s="417" t="s">
        <v>477</v>
      </c>
      <c r="I166" s="448" t="s">
        <v>41</v>
      </c>
      <c r="J166" s="325"/>
      <c r="K166" s="326">
        <v>1</v>
      </c>
      <c r="L166" s="326">
        <v>2</v>
      </c>
      <c r="M166" s="582" t="str">
        <f>VLOOKUP(A166,'Feature Raw Data'!$A$3:$E$3922,5,FALSE)</f>
        <v>New</v>
      </c>
      <c r="N166" s="465">
        <v>1</v>
      </c>
      <c r="O166" s="466">
        <v>2</v>
      </c>
      <c r="P166" s="464">
        <f t="shared" si="22"/>
        <v>1</v>
      </c>
      <c r="Q166" s="448" t="s">
        <v>32</v>
      </c>
      <c r="R166" s="326">
        <v>1</v>
      </c>
      <c r="S166" s="496">
        <f t="shared" si="23"/>
        <v>0</v>
      </c>
      <c r="T166" s="485"/>
      <c r="U166" s="485"/>
      <c r="V166" s="485"/>
      <c r="W166" s="485"/>
      <c r="X166" s="497">
        <f t="shared" si="25"/>
        <v>0</v>
      </c>
      <c r="Y166" s="449"/>
      <c r="Z166" s="484">
        <f t="shared" si="24"/>
        <v>0</v>
      </c>
      <c r="AA166" s="485"/>
      <c r="AB166" s="485"/>
      <c r="AC166" s="485"/>
      <c r="AD166" s="485"/>
      <c r="AE166" s="483">
        <f t="shared" si="26"/>
        <v>0</v>
      </c>
      <c r="AF166" s="325"/>
      <c r="AG166" s="450" t="s">
        <v>286</v>
      </c>
      <c r="AH166" s="327"/>
    </row>
    <row r="167" spans="1:34" ht="15.75" thickBot="1" x14ac:dyDescent="0.3">
      <c r="A167" s="576">
        <v>12.349</v>
      </c>
      <c r="B167" s="325" t="str">
        <f>VLOOKUP(A167,'Feature Raw Data'!$A$3:$B$3922,2,FALSE)</f>
        <v>Perfmon: GFX - Convert all counter modules to SPM-only mode</v>
      </c>
      <c r="C167" s="325" t="s">
        <v>319</v>
      </c>
      <c r="D167" s="326" t="str">
        <f>VLOOKUP(A167,'Feature Raw Data'!$A$3:$F$3922,6,FALSE)</f>
        <v>GC</v>
      </c>
      <c r="E167" s="325"/>
      <c r="F167" s="325"/>
      <c r="G167" s="244" t="str">
        <f>VLOOKUP(A167,'Feature Summary'!$A$7:$C$4170,3,FALSE)</f>
        <v>P2</v>
      </c>
      <c r="H167" s="417" t="s">
        <v>478</v>
      </c>
      <c r="I167" s="448" t="s">
        <v>41</v>
      </c>
      <c r="J167" s="325"/>
      <c r="K167" s="326">
        <v>1</v>
      </c>
      <c r="L167" s="326">
        <v>2</v>
      </c>
      <c r="M167" s="582" t="str">
        <f>VLOOKUP(A167,'Feature Raw Data'!$A$3:$E$3922,5,FALSE)</f>
        <v>New</v>
      </c>
      <c r="N167" s="465">
        <v>1</v>
      </c>
      <c r="O167" s="466">
        <v>1.5</v>
      </c>
      <c r="P167" s="464">
        <f t="shared" si="22"/>
        <v>0.75</v>
      </c>
      <c r="Q167" s="448" t="s">
        <v>32</v>
      </c>
      <c r="R167" s="326">
        <v>1</v>
      </c>
      <c r="S167" s="496">
        <f t="shared" si="23"/>
        <v>1</v>
      </c>
      <c r="T167" s="485"/>
      <c r="U167" s="485"/>
      <c r="V167" s="485">
        <v>1</v>
      </c>
      <c r="W167" s="485"/>
      <c r="X167" s="497">
        <f t="shared" si="25"/>
        <v>0</v>
      </c>
      <c r="Y167" s="449"/>
      <c r="Z167" s="484">
        <f t="shared" si="24"/>
        <v>0</v>
      </c>
      <c r="AA167" s="485"/>
      <c r="AB167" s="485"/>
      <c r="AC167" s="485"/>
      <c r="AD167" s="485"/>
      <c r="AE167" s="483">
        <f t="shared" si="26"/>
        <v>0</v>
      </c>
      <c r="AF167" s="325"/>
      <c r="AG167" s="450" t="s">
        <v>354</v>
      </c>
      <c r="AH167" s="327"/>
    </row>
    <row r="168" spans="1:34" ht="15.75" thickBot="1" x14ac:dyDescent="0.3">
      <c r="A168" s="576">
        <v>12.356</v>
      </c>
      <c r="B168" s="325" t="str">
        <f>VLOOKUP(A168,'Feature Raw Data'!$A$3:$B$3922,2,FALSE)</f>
        <v>Perfmon: GFX - GFX SPM sampling window to be driven by REFCLK</v>
      </c>
      <c r="C168" s="325" t="s">
        <v>319</v>
      </c>
      <c r="D168" s="326" t="str">
        <f>VLOOKUP(A168,'Feature Raw Data'!$A$3:$F$3922,6,FALSE)</f>
        <v>GC</v>
      </c>
      <c r="E168" s="325"/>
      <c r="F168" s="325"/>
      <c r="G168" s="244" t="str">
        <f>VLOOKUP(A168,'Feature Summary'!$A$7:$C$4170,3,FALSE)</f>
        <v>P1</v>
      </c>
      <c r="H168" s="417" t="s">
        <v>479</v>
      </c>
      <c r="I168" s="448" t="s">
        <v>41</v>
      </c>
      <c r="J168" s="325"/>
      <c r="K168" s="326">
        <v>1</v>
      </c>
      <c r="L168" s="326">
        <v>1</v>
      </c>
      <c r="M168" s="582" t="str">
        <f>VLOOKUP(A168,'Feature Raw Data'!$A$3:$E$3922,5,FALSE)</f>
        <v>New</v>
      </c>
      <c r="N168" s="465">
        <v>1</v>
      </c>
      <c r="O168" s="466">
        <v>1</v>
      </c>
      <c r="P168" s="464">
        <f t="shared" si="22"/>
        <v>1</v>
      </c>
      <c r="Q168" s="448" t="s">
        <v>43</v>
      </c>
      <c r="R168" s="326">
        <v>1</v>
      </c>
      <c r="S168" s="496">
        <f t="shared" si="23"/>
        <v>1</v>
      </c>
      <c r="T168" s="485">
        <v>1</v>
      </c>
      <c r="U168" s="485"/>
      <c r="V168" s="485"/>
      <c r="W168" s="485"/>
      <c r="X168" s="497">
        <f t="shared" si="25"/>
        <v>1</v>
      </c>
      <c r="Y168" s="449" t="s">
        <v>480</v>
      </c>
      <c r="Z168" s="484">
        <f t="shared" si="24"/>
        <v>0</v>
      </c>
      <c r="AA168" s="485"/>
      <c r="AB168" s="485"/>
      <c r="AC168" s="485"/>
      <c r="AD168" s="485"/>
      <c r="AE168" s="483">
        <f t="shared" si="26"/>
        <v>0</v>
      </c>
      <c r="AF168" s="325"/>
      <c r="AG168" s="450" t="s">
        <v>309</v>
      </c>
      <c r="AH168" s="327"/>
    </row>
    <row r="169" spans="1:34" ht="15.75" thickBot="1" x14ac:dyDescent="0.3">
      <c r="A169" s="576">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c r="G169" s="244" t="str">
        <f>VLOOKUP(A169,'Feature Summary'!$A$7:$C$4170,3,FALSE)</f>
        <v>P1</v>
      </c>
      <c r="H169" s="443" t="s">
        <v>481</v>
      </c>
      <c r="I169" s="448" t="s">
        <v>41</v>
      </c>
      <c r="J169" s="325"/>
      <c r="K169" s="326">
        <v>1</v>
      </c>
      <c r="L169" s="326">
        <v>1</v>
      </c>
      <c r="M169" s="582" t="str">
        <f>VLOOKUP(A169,'Feature Raw Data'!$A$3:$E$3922,5,FALSE)</f>
        <v>New</v>
      </c>
      <c r="N169" s="465">
        <v>1</v>
      </c>
      <c r="O169" s="463">
        <v>1</v>
      </c>
      <c r="P169" s="464">
        <f t="shared" si="22"/>
        <v>1</v>
      </c>
      <c r="Q169" s="448" t="s">
        <v>32</v>
      </c>
      <c r="R169" s="326">
        <v>1</v>
      </c>
      <c r="S169" s="496">
        <f>SUM(T169:W169)</f>
        <v>1</v>
      </c>
      <c r="T169" s="485">
        <v>1</v>
      </c>
      <c r="U169" s="485"/>
      <c r="V169" s="485"/>
      <c r="W169" s="485"/>
      <c r="X169" s="497">
        <f t="shared" si="25"/>
        <v>1</v>
      </c>
      <c r="Y169" s="449"/>
      <c r="Z169" s="484">
        <f t="shared" si="24"/>
        <v>0</v>
      </c>
      <c r="AA169" s="485"/>
      <c r="AB169" s="485"/>
      <c r="AC169" s="485"/>
      <c r="AD169" s="485"/>
      <c r="AE169" s="483">
        <f t="shared" si="26"/>
        <v>0</v>
      </c>
      <c r="AF169" s="325"/>
      <c r="AG169" s="450" t="s">
        <v>309</v>
      </c>
      <c r="AH169" s="327"/>
    </row>
    <row r="170" spans="1:34" ht="15.75" thickBot="1" x14ac:dyDescent="0.3">
      <c r="A170" s="576">
        <v>12.358000000000001</v>
      </c>
      <c r="B170" s="325" t="str">
        <f>VLOOKUP(A170,'Feature Raw Data'!$A$3:$B$3922,2,FALSE)</f>
        <v>Perfmon: GFX - Custom data injection from CP into SPM with delta counters</v>
      </c>
      <c r="C170" s="325" t="s">
        <v>319</v>
      </c>
      <c r="D170" s="326" t="str">
        <f>VLOOKUP(A170,'Feature Raw Data'!$A$3:$F$3922,6,FALSE)</f>
        <v>GC</v>
      </c>
      <c r="E170" s="325"/>
      <c r="F170" s="325"/>
      <c r="G170" s="244" t="str">
        <f>VLOOKUP(A170,'Feature Summary'!$A$7:$C$4170,3,FALSE)</f>
        <v>P2</v>
      </c>
      <c r="H170" s="417" t="s">
        <v>482</v>
      </c>
      <c r="I170" s="448" t="s">
        <v>41</v>
      </c>
      <c r="J170" s="325"/>
      <c r="K170" s="326">
        <v>1</v>
      </c>
      <c r="L170" s="326">
        <v>1</v>
      </c>
      <c r="M170" s="582" t="str">
        <f>VLOOKUP(A170,'Feature Raw Data'!$A$3:$E$3922,5,FALSE)</f>
        <v>New</v>
      </c>
      <c r="N170" s="465">
        <v>1</v>
      </c>
      <c r="O170" s="466">
        <v>1</v>
      </c>
      <c r="P170" s="464">
        <f t="shared" si="22"/>
        <v>1</v>
      </c>
      <c r="Q170" s="448" t="s">
        <v>43</v>
      </c>
      <c r="R170" s="326">
        <v>1</v>
      </c>
      <c r="S170" s="496">
        <f t="shared" si="23"/>
        <v>1</v>
      </c>
      <c r="T170" s="485">
        <v>1</v>
      </c>
      <c r="U170" s="485"/>
      <c r="V170" s="485"/>
      <c r="W170" s="485"/>
      <c r="X170" s="497">
        <f t="shared" si="25"/>
        <v>1</v>
      </c>
      <c r="Y170" s="449" t="s">
        <v>483</v>
      </c>
      <c r="Z170" s="484">
        <f t="shared" si="24"/>
        <v>0</v>
      </c>
      <c r="AA170" s="485"/>
      <c r="AB170" s="485"/>
      <c r="AC170" s="485"/>
      <c r="AD170" s="485"/>
      <c r="AE170" s="483">
        <f t="shared" si="26"/>
        <v>0</v>
      </c>
      <c r="AF170" s="325"/>
      <c r="AG170" s="450" t="s">
        <v>354</v>
      </c>
      <c r="AH170" s="327"/>
    </row>
    <row r="171" spans="1:34" ht="15.75" thickBot="1" x14ac:dyDescent="0.3">
      <c r="A171" s="576">
        <v>12.36</v>
      </c>
      <c r="B171" s="325" t="str">
        <f>VLOOKUP(A171,'Feature Raw Data'!$A$3:$B$3922,2,FALSE)</f>
        <v>WMMA wave level matrix load Instruction</v>
      </c>
      <c r="C171" s="325" t="s">
        <v>366</v>
      </c>
      <c r="D171" s="326" t="str">
        <f>VLOOKUP(A171,'Feature Raw Data'!$A$3:$F$3922,6,FALSE)</f>
        <v>SH</v>
      </c>
      <c r="E171" s="325"/>
      <c r="F171" s="325"/>
      <c r="G171" s="244" t="str">
        <f>VLOOKUP(A171,'Feature Summary'!$A$7:$C$4170,3,FALSE)</f>
        <v>P2</v>
      </c>
      <c r="H171" s="417" t="s">
        <v>484</v>
      </c>
      <c r="I171" s="448" t="s">
        <v>35</v>
      </c>
      <c r="J171" s="325"/>
      <c r="K171" s="326">
        <v>1</v>
      </c>
      <c r="L171" s="326">
        <v>2</v>
      </c>
      <c r="M171" s="582" t="str">
        <f>VLOOKUP(A171,'Feature Raw Data'!$A$3:$E$3922,5,FALSE)</f>
        <v>New</v>
      </c>
      <c r="N171" s="465">
        <v>1</v>
      </c>
      <c r="O171" s="466">
        <v>2</v>
      </c>
      <c r="P171" s="464">
        <f t="shared" si="22"/>
        <v>1</v>
      </c>
      <c r="Q171" s="448" t="s">
        <v>32</v>
      </c>
      <c r="R171" s="326">
        <v>2</v>
      </c>
      <c r="S171" s="496">
        <f t="shared" si="23"/>
        <v>2</v>
      </c>
      <c r="T171" s="485">
        <v>2</v>
      </c>
      <c r="U171" s="485"/>
      <c r="V171" s="485"/>
      <c r="W171" s="485"/>
      <c r="X171" s="497">
        <f t="shared" si="25"/>
        <v>1</v>
      </c>
      <c r="Y171" s="589" t="s">
        <v>485</v>
      </c>
      <c r="Z171" s="484">
        <f t="shared" si="24"/>
        <v>2</v>
      </c>
      <c r="AA171" s="485">
        <v>2</v>
      </c>
      <c r="AB171" s="485"/>
      <c r="AC171" s="485"/>
      <c r="AD171" s="485"/>
      <c r="AE171" s="483">
        <f t="shared" si="26"/>
        <v>1</v>
      </c>
      <c r="AF171" s="325"/>
      <c r="AG171" s="450" t="s">
        <v>286</v>
      </c>
      <c r="AH171" s="327"/>
    </row>
    <row r="172" spans="1:34" ht="15.75" thickBot="1" x14ac:dyDescent="0.3">
      <c r="A172" s="576">
        <v>12.361000000000001</v>
      </c>
      <c r="B172" s="325" t="str">
        <f>VLOOKUP(A172,'Feature Raw Data'!$A$3:$B$3922,2,FALSE)</f>
        <v>Perfmon: GFX - VMID Specific Profiling/Debugging</v>
      </c>
      <c r="C172" s="325" t="s">
        <v>366</v>
      </c>
      <c r="D172" s="326" t="str">
        <f>VLOOKUP(A172,'Feature Raw Data'!$A$3:$F$3922,6,FALSE)</f>
        <v>SH</v>
      </c>
      <c r="E172" s="325"/>
      <c r="F172" s="325"/>
      <c r="G172" s="244" t="str">
        <f>VLOOKUP(A172,'Feature Summary'!$A$7:$C$4170,3,FALSE)</f>
        <v>P2</v>
      </c>
      <c r="H172" s="417" t="s">
        <v>976</v>
      </c>
      <c r="I172" s="448" t="s">
        <v>41</v>
      </c>
      <c r="J172" s="325" t="s">
        <v>977</v>
      </c>
      <c r="K172" s="326">
        <v>2</v>
      </c>
      <c r="L172" s="326">
        <v>2</v>
      </c>
      <c r="M172" s="582" t="str">
        <f>VLOOKUP(A172,'Feature Raw Data'!$A$3:$E$3922,5,FALSE)</f>
        <v>New</v>
      </c>
      <c r="N172" s="465">
        <v>1</v>
      </c>
      <c r="O172" s="466">
        <v>2</v>
      </c>
      <c r="P172" s="464">
        <f t="shared" si="22"/>
        <v>1</v>
      </c>
      <c r="Q172" s="448" t="s">
        <v>43</v>
      </c>
      <c r="R172" s="326">
        <v>1</v>
      </c>
      <c r="S172" s="496">
        <f t="shared" si="23"/>
        <v>1</v>
      </c>
      <c r="T172" s="485">
        <v>1</v>
      </c>
      <c r="U172" s="485"/>
      <c r="V172" s="485"/>
      <c r="W172" s="485"/>
      <c r="X172" s="497">
        <f t="shared" si="25"/>
        <v>1</v>
      </c>
      <c r="Y172" s="449" t="s">
        <v>486</v>
      </c>
      <c r="Z172" s="484">
        <f t="shared" si="24"/>
        <v>2</v>
      </c>
      <c r="AA172" s="485">
        <v>2</v>
      </c>
      <c r="AB172" s="485"/>
      <c r="AC172" s="485"/>
      <c r="AD172" s="485"/>
      <c r="AE172" s="483">
        <f t="shared" si="26"/>
        <v>1</v>
      </c>
      <c r="AF172" s="325"/>
      <c r="AG172" s="450" t="s">
        <v>354</v>
      </c>
      <c r="AH172" s="327"/>
    </row>
    <row r="173" spans="1:34" ht="15.75" thickBot="1" x14ac:dyDescent="0.3">
      <c r="A173" s="576">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8" t="s">
        <v>47</v>
      </c>
      <c r="J173" s="325"/>
      <c r="K173" s="326">
        <v>1</v>
      </c>
      <c r="L173" s="326">
        <v>0</v>
      </c>
      <c r="M173" s="582" t="str">
        <f>VLOOKUP(A173,'Feature Raw Data'!$A$3:$E$3922,5,FALSE)</f>
        <v>New</v>
      </c>
      <c r="N173" s="465">
        <v>1</v>
      </c>
      <c r="O173" s="466"/>
      <c r="P173" s="464">
        <f t="shared" si="22"/>
        <v>1</v>
      </c>
      <c r="Q173" s="448" t="s">
        <v>47</v>
      </c>
      <c r="R173" s="326">
        <v>0</v>
      </c>
      <c r="S173" s="496">
        <f t="shared" si="23"/>
        <v>0</v>
      </c>
      <c r="T173" s="485"/>
      <c r="U173" s="485"/>
      <c r="V173" s="485"/>
      <c r="W173" s="485"/>
      <c r="X173" s="497">
        <f t="shared" si="25"/>
        <v>1</v>
      </c>
      <c r="Y173" s="449" t="s">
        <v>487</v>
      </c>
      <c r="Z173" s="484">
        <f t="shared" si="24"/>
        <v>0</v>
      </c>
      <c r="AA173" s="485"/>
      <c r="AB173" s="485"/>
      <c r="AC173" s="485"/>
      <c r="AD173" s="485"/>
      <c r="AE173" s="483">
        <f t="shared" si="26"/>
        <v>1</v>
      </c>
      <c r="AF173" s="325"/>
      <c r="AG173" s="450" t="s">
        <v>47</v>
      </c>
      <c r="AH173" s="327"/>
    </row>
    <row r="174" spans="1:34" ht="15.75" thickBot="1" x14ac:dyDescent="0.3">
      <c r="A174" s="576">
        <v>12.37</v>
      </c>
      <c r="B174" s="325" t="str">
        <f>VLOOKUP(A174,'Feature Raw Data'!$A$3:$B$3922,2,FALSE)</f>
        <v xml:space="preserve">Fix VOPD dual V_MOV </v>
      </c>
      <c r="C174" s="325" t="s">
        <v>366</v>
      </c>
      <c r="D174" s="326" t="str">
        <f>VLOOKUP(A174,'Feature Raw Data'!$A$3:$F$3922,6,FALSE)</f>
        <v>SH</v>
      </c>
      <c r="E174" s="325"/>
      <c r="F174" s="325"/>
      <c r="G174" s="244" t="str">
        <f>VLOOKUP(A174,'Feature Summary'!$A$7:$C$4170,3,FALSE)</f>
        <v>P2</v>
      </c>
      <c r="H174" s="417" t="s">
        <v>488</v>
      </c>
      <c r="I174" s="448" t="s">
        <v>35</v>
      </c>
      <c r="J174" s="325"/>
      <c r="K174" s="326">
        <v>1</v>
      </c>
      <c r="L174" s="326">
        <v>1</v>
      </c>
      <c r="M174" s="582" t="str">
        <f>VLOOKUP(A174,'Feature Raw Data'!$A$3:$E$3922,5,FALSE)</f>
        <v>New</v>
      </c>
      <c r="N174" s="465">
        <v>1</v>
      </c>
      <c r="O174" s="466">
        <v>1</v>
      </c>
      <c r="P174" s="464">
        <f t="shared" si="22"/>
        <v>1</v>
      </c>
      <c r="Q174" s="448" t="s">
        <v>32</v>
      </c>
      <c r="R174" s="326">
        <v>1</v>
      </c>
      <c r="S174" s="496">
        <f t="shared" si="23"/>
        <v>1</v>
      </c>
      <c r="T174" s="485">
        <v>1</v>
      </c>
      <c r="U174" s="485"/>
      <c r="V174" s="485"/>
      <c r="W174" s="485"/>
      <c r="X174" s="497">
        <f t="shared" si="25"/>
        <v>1</v>
      </c>
      <c r="Y174" s="589" t="s">
        <v>489</v>
      </c>
      <c r="Z174" s="484">
        <f t="shared" si="24"/>
        <v>1</v>
      </c>
      <c r="AA174" s="485">
        <v>1</v>
      </c>
      <c r="AB174" s="485"/>
      <c r="AC174" s="485"/>
      <c r="AD174" s="485"/>
      <c r="AE174" s="483">
        <f t="shared" si="26"/>
        <v>1</v>
      </c>
      <c r="AF174" s="325"/>
      <c r="AG174" s="450" t="s">
        <v>286</v>
      </c>
      <c r="AH174" s="327"/>
    </row>
    <row r="175" spans="1:34" ht="15.75" thickBot="1" x14ac:dyDescent="0.3">
      <c r="A175" s="576">
        <v>12.372999999999999</v>
      </c>
      <c r="B175" s="325" t="str">
        <f>VLOOKUP(A175,'Feature Raw Data'!$A$3:$B$3922,2,FALSE)</f>
        <v>Modification of GS throttle (due to 12.118 ph_memory_queues)</v>
      </c>
      <c r="C175" s="325" t="s">
        <v>313</v>
      </c>
      <c r="D175" s="326" t="str">
        <f>VLOOKUP(A175,'Feature Raw Data'!$A$3:$F$3922,6,FALSE)</f>
        <v>GEO</v>
      </c>
      <c r="E175" s="325"/>
      <c r="F175" s="325"/>
      <c r="G175" s="244" t="str">
        <f>VLOOKUP(A175,'Feature Summary'!$A$7:$C$4170,3,FALSE)</f>
        <v>P1</v>
      </c>
      <c r="H175" s="417" t="s">
        <v>975</v>
      </c>
      <c r="I175" s="448" t="s">
        <v>41</v>
      </c>
      <c r="J175" s="325"/>
      <c r="K175" s="326">
        <v>1</v>
      </c>
      <c r="L175" s="326">
        <v>4</v>
      </c>
      <c r="M175" s="582" t="str">
        <f>VLOOKUP(A175,'Feature Raw Data'!$A$3:$E$3922,5,FALSE)</f>
        <v>New</v>
      </c>
      <c r="N175" s="465">
        <v>1</v>
      </c>
      <c r="O175" s="466">
        <v>4</v>
      </c>
      <c r="P175" s="464">
        <f t="shared" si="22"/>
        <v>1</v>
      </c>
      <c r="Q175" s="448" t="s">
        <v>32</v>
      </c>
      <c r="R175" s="326">
        <v>4</v>
      </c>
      <c r="S175" s="496">
        <f t="shared" si="23"/>
        <v>4</v>
      </c>
      <c r="T175" s="485">
        <v>3</v>
      </c>
      <c r="U175" s="485"/>
      <c r="V175" s="485">
        <v>1</v>
      </c>
      <c r="W175" s="485"/>
      <c r="X175" s="497">
        <f t="shared" si="25"/>
        <v>0.75</v>
      </c>
      <c r="Y175" s="449"/>
      <c r="Z175" s="484">
        <f t="shared" si="24"/>
        <v>4</v>
      </c>
      <c r="AA175" s="485">
        <v>4</v>
      </c>
      <c r="AB175" s="485"/>
      <c r="AC175" s="485"/>
      <c r="AD175" s="485"/>
      <c r="AE175" s="483">
        <f t="shared" si="26"/>
        <v>1</v>
      </c>
      <c r="AF175" s="325"/>
      <c r="AG175" s="450" t="s">
        <v>312</v>
      </c>
      <c r="AH175" s="327"/>
    </row>
    <row r="176" spans="1:34" ht="15.75" thickBot="1" x14ac:dyDescent="0.3">
      <c r="A176" s="576">
        <v>12.374000000000001</v>
      </c>
      <c r="B176" s="325" t="str">
        <f>VLOOKUP(A176,'Feature Raw Data'!$A$3:$B$3922,2,FALSE)</f>
        <v>MEM_PWR_CTRL Bus increase to support FGCG</v>
      </c>
      <c r="C176" s="325" t="s">
        <v>396</v>
      </c>
      <c r="D176" s="326" t="str">
        <f>VLOOKUP(A176,'Feature Raw Data'!$A$3:$F$3922,6,FALSE)</f>
        <v>GC</v>
      </c>
      <c r="E176" s="325"/>
      <c r="F176" s="325"/>
      <c r="G176" s="244" t="str">
        <f>VLOOKUP(A176,'Feature Summary'!$A$7:$C$4170,3,FALSE)</f>
        <v>P1</v>
      </c>
      <c r="H176" s="417" t="s">
        <v>47</v>
      </c>
      <c r="I176" s="448" t="s">
        <v>47</v>
      </c>
      <c r="J176" s="325"/>
      <c r="K176" s="326">
        <v>1</v>
      </c>
      <c r="L176" s="326">
        <v>0</v>
      </c>
      <c r="M176" s="582" t="str">
        <f>VLOOKUP(A176,'Feature Raw Data'!$A$3:$E$3922,5,FALSE)</f>
        <v>New</v>
      </c>
      <c r="N176" s="465">
        <v>1</v>
      </c>
      <c r="O176" s="466"/>
      <c r="P176" s="464">
        <f t="shared" si="22"/>
        <v>1</v>
      </c>
      <c r="Q176" s="448" t="s">
        <v>47</v>
      </c>
      <c r="R176" s="326">
        <v>0</v>
      </c>
      <c r="S176" s="496">
        <f t="shared" si="23"/>
        <v>0</v>
      </c>
      <c r="T176" s="485"/>
      <c r="U176" s="485"/>
      <c r="V176" s="485"/>
      <c r="W176" s="485"/>
      <c r="X176" s="497">
        <f t="shared" si="25"/>
        <v>1</v>
      </c>
      <c r="Y176" s="449" t="s">
        <v>448</v>
      </c>
      <c r="Z176" s="484">
        <f t="shared" si="24"/>
        <v>0</v>
      </c>
      <c r="AA176" s="485"/>
      <c r="AB176" s="485"/>
      <c r="AC176" s="485"/>
      <c r="AD176" s="485"/>
      <c r="AE176" s="483">
        <f t="shared" si="26"/>
        <v>1</v>
      </c>
      <c r="AF176" s="325"/>
      <c r="AG176" s="450" t="s">
        <v>47</v>
      </c>
      <c r="AH176" s="327"/>
    </row>
    <row r="177" spans="1:34" ht="15.75" thickBot="1" x14ac:dyDescent="0.3">
      <c r="A177" s="576">
        <v>12.382</v>
      </c>
      <c r="B177" s="325" t="str">
        <f>VLOOKUP(A177,'Feature Raw Data'!$A$3:$B$3922,2,FALSE)</f>
        <v>[Strix] pbb_tile_order_rev -- from BRP:11.5.017</v>
      </c>
      <c r="C177" s="325" t="s">
        <v>310</v>
      </c>
      <c r="D177" s="326" t="str">
        <f>VLOOKUP(A177,'Feature Raw Data'!$A$3:$F$3922,6,FALSE)</f>
        <v>PP</v>
      </c>
      <c r="E177" s="325"/>
      <c r="F177" s="325"/>
      <c r="G177" s="244" t="str">
        <f>VLOOKUP(A177,'Feature Summary'!$A$7:$C$4170,3,FALSE)</f>
        <v>P2</v>
      </c>
      <c r="H177" s="417" t="s">
        <v>47</v>
      </c>
      <c r="I177" s="448" t="s">
        <v>47</v>
      </c>
      <c r="J177" s="325"/>
      <c r="K177" s="326">
        <v>1</v>
      </c>
      <c r="L177" s="326">
        <v>0</v>
      </c>
      <c r="M177" s="582" t="str">
        <f>VLOOKUP(A177,'Feature Raw Data'!$A$3:$E$3922,5,FALSE)</f>
        <v>Legacy</v>
      </c>
      <c r="N177" s="465">
        <v>1</v>
      </c>
      <c r="O177" s="466"/>
      <c r="P177" s="464">
        <f t="shared" si="22"/>
        <v>1</v>
      </c>
      <c r="Q177" s="448" t="s">
        <v>47</v>
      </c>
      <c r="R177" s="326">
        <v>0</v>
      </c>
      <c r="S177" s="496">
        <f t="shared" si="23"/>
        <v>0</v>
      </c>
      <c r="T177" s="485"/>
      <c r="U177" s="485"/>
      <c r="V177" s="485"/>
      <c r="W177" s="485"/>
      <c r="X177" s="497">
        <f t="shared" si="25"/>
        <v>1</v>
      </c>
      <c r="Y177" s="584" t="s">
        <v>404</v>
      </c>
      <c r="Z177" s="484">
        <f t="shared" si="24"/>
        <v>0</v>
      </c>
      <c r="AA177" s="485"/>
      <c r="AB177" s="485"/>
      <c r="AC177" s="485"/>
      <c r="AD177" s="485"/>
      <c r="AE177" s="483">
        <f t="shared" si="26"/>
        <v>1</v>
      </c>
      <c r="AF177" s="325"/>
      <c r="AG177" s="450" t="s">
        <v>47</v>
      </c>
      <c r="AH177" s="327"/>
    </row>
    <row r="178" spans="1:34" ht="15.75" thickBot="1" x14ac:dyDescent="0.3">
      <c r="A178" s="576">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1</v>
      </c>
      <c r="L178" s="326">
        <v>0</v>
      </c>
      <c r="M178" s="582" t="str">
        <f>VLOOKUP(A178,'Feature Raw Data'!$A$3:$E$3922,5,FALSE)</f>
        <v>New</v>
      </c>
      <c r="N178" s="465">
        <v>1</v>
      </c>
      <c r="O178" s="466"/>
      <c r="P178" s="464">
        <f t="shared" si="22"/>
        <v>1</v>
      </c>
      <c r="Q178" s="448" t="s">
        <v>47</v>
      </c>
      <c r="R178" s="326">
        <v>0</v>
      </c>
      <c r="S178" s="496">
        <f t="shared" si="23"/>
        <v>0</v>
      </c>
      <c r="T178" s="485"/>
      <c r="U178" s="485"/>
      <c r="V178" s="485"/>
      <c r="W178" s="485"/>
      <c r="X178" s="497">
        <f t="shared" si="25"/>
        <v>1</v>
      </c>
      <c r="Y178" s="584" t="s">
        <v>490</v>
      </c>
      <c r="Z178" s="484">
        <f t="shared" si="24"/>
        <v>0</v>
      </c>
      <c r="AA178" s="485"/>
      <c r="AB178" s="485"/>
      <c r="AC178" s="485"/>
      <c r="AD178" s="485"/>
      <c r="AE178" s="483">
        <f t="shared" si="26"/>
        <v>1</v>
      </c>
      <c r="AF178" s="325"/>
      <c r="AG178" s="450" t="s">
        <v>47</v>
      </c>
      <c r="AH178" s="327"/>
    </row>
    <row r="179" spans="1:34" ht="15.75" thickBot="1" x14ac:dyDescent="0.3">
      <c r="A179" s="576">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1</v>
      </c>
      <c r="L179" s="326">
        <v>0</v>
      </c>
      <c r="M179" s="582" t="str">
        <f>VLOOKUP(A179,'Feature Raw Data'!$A$3:$E$3922,5,FALSE)</f>
        <v>New</v>
      </c>
      <c r="N179" s="465">
        <v>1</v>
      </c>
      <c r="O179" s="466"/>
      <c r="P179" s="464">
        <f t="shared" si="22"/>
        <v>1</v>
      </c>
      <c r="Q179" s="448" t="s">
        <v>47</v>
      </c>
      <c r="R179" s="326">
        <v>0</v>
      </c>
      <c r="S179" s="496">
        <f t="shared" si="23"/>
        <v>0</v>
      </c>
      <c r="T179" s="485"/>
      <c r="U179" s="485"/>
      <c r="V179" s="485"/>
      <c r="W179" s="485"/>
      <c r="X179" s="497">
        <f t="shared" si="25"/>
        <v>1</v>
      </c>
      <c r="Y179" s="584" t="s">
        <v>464</v>
      </c>
      <c r="Z179" s="484">
        <f t="shared" si="24"/>
        <v>0</v>
      </c>
      <c r="AA179" s="485"/>
      <c r="AB179" s="485"/>
      <c r="AC179" s="485"/>
      <c r="AD179" s="485"/>
      <c r="AE179" s="483">
        <f t="shared" si="26"/>
        <v>1</v>
      </c>
      <c r="AF179" s="325"/>
      <c r="AG179" s="450" t="s">
        <v>47</v>
      </c>
      <c r="AH179" s="327"/>
    </row>
    <row r="180" spans="1:34" ht="15.75" thickBot="1" x14ac:dyDescent="0.3">
      <c r="A180" s="576">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1</v>
      </c>
      <c r="L180" s="326">
        <v>0</v>
      </c>
      <c r="M180" s="582" t="str">
        <f>VLOOKUP(A180,'Feature Raw Data'!$A$3:$E$3922,5,FALSE)</f>
        <v>New</v>
      </c>
      <c r="N180" s="465">
        <v>1</v>
      </c>
      <c r="O180" s="466"/>
      <c r="P180" s="464">
        <f t="shared" si="22"/>
        <v>1</v>
      </c>
      <c r="Q180" s="448" t="s">
        <v>47</v>
      </c>
      <c r="R180" s="326">
        <v>0</v>
      </c>
      <c r="S180" s="496">
        <f t="shared" si="23"/>
        <v>0</v>
      </c>
      <c r="T180" s="485"/>
      <c r="U180" s="485"/>
      <c r="V180" s="485"/>
      <c r="W180" s="485"/>
      <c r="X180" s="497">
        <f t="shared" si="25"/>
        <v>1</v>
      </c>
      <c r="Y180" s="584" t="s">
        <v>464</v>
      </c>
      <c r="Z180" s="484">
        <f t="shared" si="24"/>
        <v>0</v>
      </c>
      <c r="AA180" s="485"/>
      <c r="AB180" s="485"/>
      <c r="AC180" s="485"/>
      <c r="AD180" s="485"/>
      <c r="AE180" s="483">
        <f t="shared" si="26"/>
        <v>1</v>
      </c>
      <c r="AF180" s="325"/>
      <c r="AG180" s="450" t="s">
        <v>47</v>
      </c>
      <c r="AH180" s="327"/>
    </row>
    <row r="181" spans="1:34" ht="15.75" thickBot="1" x14ac:dyDescent="0.3">
      <c r="A181" s="576">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1</v>
      </c>
      <c r="L181" s="326">
        <v>0</v>
      </c>
      <c r="M181" s="582" t="str">
        <f>VLOOKUP(A181,'Feature Raw Data'!$A$3:$E$3922,5,FALSE)</f>
        <v>New</v>
      </c>
      <c r="N181" s="465">
        <v>1</v>
      </c>
      <c r="O181" s="466"/>
      <c r="P181" s="464">
        <f t="shared" si="22"/>
        <v>1</v>
      </c>
      <c r="Q181" s="448" t="s">
        <v>47</v>
      </c>
      <c r="R181" s="326">
        <v>0</v>
      </c>
      <c r="S181" s="496">
        <f t="shared" si="23"/>
        <v>0</v>
      </c>
      <c r="T181" s="485"/>
      <c r="U181" s="485"/>
      <c r="V181" s="485"/>
      <c r="W181" s="485"/>
      <c r="X181" s="497">
        <f t="shared" si="25"/>
        <v>1</v>
      </c>
      <c r="Y181" s="584" t="s">
        <v>464</v>
      </c>
      <c r="Z181" s="484">
        <f t="shared" si="24"/>
        <v>0</v>
      </c>
      <c r="AA181" s="485"/>
      <c r="AB181" s="485"/>
      <c r="AC181" s="485"/>
      <c r="AD181" s="485"/>
      <c r="AE181" s="483">
        <f t="shared" si="26"/>
        <v>1</v>
      </c>
      <c r="AF181" s="325"/>
      <c r="AG181" s="450" t="s">
        <v>47</v>
      </c>
      <c r="AH181" s="327"/>
    </row>
    <row r="182" spans="1:34" ht="15.75" thickBot="1" x14ac:dyDescent="0.3">
      <c r="A182" s="576">
        <v>12.396000000000001</v>
      </c>
      <c r="B182" s="325" t="str">
        <f>VLOOKUP(A182,'Feature Raw Data'!$A$3:$B$3922,2,FALSE)</f>
        <v>Airtight FIFO Design Robustness</v>
      </c>
      <c r="C182" s="325" t="s">
        <v>328</v>
      </c>
      <c r="D182" s="326" t="str">
        <f>VLOOKUP(A182,'Feature Raw Data'!$A$3:$F$3922,6,FALSE)</f>
        <v>GFX</v>
      </c>
      <c r="E182" s="325"/>
      <c r="F182" s="325"/>
      <c r="G182" s="244" t="str">
        <f>VLOOKUP(A182,'Feature Summary'!$A$7:$C$4170,3,FALSE)</f>
        <v>P1</v>
      </c>
      <c r="H182" s="417" t="s">
        <v>47</v>
      </c>
      <c r="I182" s="448" t="s">
        <v>47</v>
      </c>
      <c r="J182" s="325"/>
      <c r="K182" s="326">
        <v>1</v>
      </c>
      <c r="L182" s="326">
        <v>0</v>
      </c>
      <c r="M182" s="582" t="str">
        <f>VLOOKUP(A182,'Feature Raw Data'!$A$3:$E$3922,5,FALSE)</f>
        <v>New</v>
      </c>
      <c r="N182" s="465">
        <v>1</v>
      </c>
      <c r="O182" s="466"/>
      <c r="P182" s="464">
        <f t="shared" si="22"/>
        <v>1</v>
      </c>
      <c r="Q182" s="448" t="s">
        <v>47</v>
      </c>
      <c r="R182" s="326">
        <v>0</v>
      </c>
      <c r="S182" s="496">
        <f t="shared" si="23"/>
        <v>0</v>
      </c>
      <c r="T182" s="485"/>
      <c r="U182" s="485"/>
      <c r="V182" s="485"/>
      <c r="W182" s="485"/>
      <c r="X182" s="497">
        <f t="shared" si="25"/>
        <v>1</v>
      </c>
      <c r="Y182" s="449" t="s">
        <v>491</v>
      </c>
      <c r="Z182" s="484">
        <f t="shared" si="24"/>
        <v>0</v>
      </c>
      <c r="AA182" s="485"/>
      <c r="AB182" s="485"/>
      <c r="AC182" s="485"/>
      <c r="AD182" s="485"/>
      <c r="AE182" s="483">
        <f t="shared" si="26"/>
        <v>1</v>
      </c>
      <c r="AF182" s="325"/>
      <c r="AG182" s="450" t="s">
        <v>47</v>
      </c>
      <c r="AH182" s="327"/>
    </row>
    <row r="183" spans="1:34" ht="15.75" thickBot="1" x14ac:dyDescent="0.3">
      <c r="A183" s="576">
        <v>12.397</v>
      </c>
      <c r="B183" s="325" t="str">
        <f>VLOOKUP(A183,'Feature Raw Data'!$A$3:$B$3922,2,FALSE)</f>
        <v>Benchmark Stimulus Replay at Block</v>
      </c>
      <c r="C183" s="325" t="s">
        <v>328</v>
      </c>
      <c r="D183" s="326" t="str">
        <f>VLOOKUP(A183,'Feature Raw Data'!$A$3:$F$3922,6,FALSE)</f>
        <v>GFX</v>
      </c>
      <c r="E183" s="325"/>
      <c r="F183" s="325"/>
      <c r="G183" s="244" t="str">
        <f>VLOOKUP(A183,'Feature Summary'!$A$7:$C$4170,3,FALSE)</f>
        <v>P2</v>
      </c>
      <c r="H183" s="417" t="s">
        <v>47</v>
      </c>
      <c r="I183" s="448" t="s">
        <v>47</v>
      </c>
      <c r="J183" s="325"/>
      <c r="K183" s="326">
        <v>1</v>
      </c>
      <c r="L183" s="326">
        <v>0</v>
      </c>
      <c r="M183" s="582" t="str">
        <f>VLOOKUP(A183,'Feature Raw Data'!$A$3:$E$3922,5,FALSE)</f>
        <v>New</v>
      </c>
      <c r="N183" s="465">
        <v>1</v>
      </c>
      <c r="O183" s="466"/>
      <c r="P183" s="464">
        <f t="shared" si="22"/>
        <v>1</v>
      </c>
      <c r="Q183" s="448" t="s">
        <v>47</v>
      </c>
      <c r="R183" s="326">
        <v>0</v>
      </c>
      <c r="S183" s="496">
        <f t="shared" si="23"/>
        <v>0</v>
      </c>
      <c r="T183" s="485"/>
      <c r="U183" s="485"/>
      <c r="V183" s="485"/>
      <c r="W183" s="485"/>
      <c r="X183" s="497">
        <f t="shared" si="25"/>
        <v>1</v>
      </c>
      <c r="Y183" s="449" t="s">
        <v>492</v>
      </c>
      <c r="Z183" s="484">
        <f t="shared" si="24"/>
        <v>0</v>
      </c>
      <c r="AA183" s="485"/>
      <c r="AB183" s="485"/>
      <c r="AC183" s="485"/>
      <c r="AD183" s="485"/>
      <c r="AE183" s="483">
        <f t="shared" si="26"/>
        <v>1</v>
      </c>
      <c r="AF183" s="325"/>
      <c r="AG183" s="450" t="s">
        <v>47</v>
      </c>
      <c r="AH183" s="327"/>
    </row>
    <row r="184" spans="1:34" ht="15.75" thickBot="1" x14ac:dyDescent="0.3">
      <c r="A184" s="576">
        <v>12.398</v>
      </c>
      <c r="B184" s="325" t="str">
        <f>VLOOKUP(A184,'Feature Raw Data'!$A$3:$B$3922,2,FALSE)</f>
        <v xml:space="preserve">Adoption of RDL2RTL </v>
      </c>
      <c r="C184" s="325" t="s">
        <v>328</v>
      </c>
      <c r="D184" s="326" t="str">
        <f>VLOOKUP(A184,'Feature Raw Data'!$A$3:$F$3922,6,FALSE)</f>
        <v>GFX</v>
      </c>
      <c r="E184" s="325"/>
      <c r="F184" s="325"/>
      <c r="G184" s="244" t="str">
        <f>VLOOKUP(A184,'Feature Summary'!$A$7:$C$4170,3,FALSE)</f>
        <v>P2</v>
      </c>
      <c r="H184" s="417" t="s">
        <v>47</v>
      </c>
      <c r="I184" s="448" t="s">
        <v>47</v>
      </c>
      <c r="J184" s="325"/>
      <c r="K184" s="326">
        <v>1</v>
      </c>
      <c r="L184" s="326">
        <v>0</v>
      </c>
      <c r="M184" s="582" t="str">
        <f>VLOOKUP(A184,'Feature Raw Data'!$A$3:$E$3922,5,FALSE)</f>
        <v>New</v>
      </c>
      <c r="N184" s="465">
        <v>1</v>
      </c>
      <c r="O184" s="466"/>
      <c r="P184" s="464">
        <f t="shared" si="22"/>
        <v>1</v>
      </c>
      <c r="Q184" s="448" t="s">
        <v>47</v>
      </c>
      <c r="R184" s="326">
        <v>0</v>
      </c>
      <c r="S184" s="496">
        <f t="shared" si="23"/>
        <v>0</v>
      </c>
      <c r="T184" s="485"/>
      <c r="U184" s="485"/>
      <c r="V184" s="485"/>
      <c r="W184" s="485"/>
      <c r="X184" s="497">
        <f t="shared" si="25"/>
        <v>1</v>
      </c>
      <c r="Y184" s="449" t="s">
        <v>492</v>
      </c>
      <c r="Z184" s="484">
        <f t="shared" si="24"/>
        <v>0</v>
      </c>
      <c r="AA184" s="485"/>
      <c r="AB184" s="485"/>
      <c r="AC184" s="485"/>
      <c r="AD184" s="485"/>
      <c r="AE184" s="483">
        <f t="shared" si="26"/>
        <v>1</v>
      </c>
      <c r="AF184" s="325"/>
      <c r="AG184" s="450" t="s">
        <v>47</v>
      </c>
      <c r="AH184" s="327"/>
    </row>
    <row r="185" spans="1:34" ht="15.75" thickBot="1" x14ac:dyDescent="0.3">
      <c r="A185" s="576">
        <v>12.398999999999999</v>
      </c>
      <c r="B185" s="325" t="str">
        <f>VLOOKUP(A185,'Feature Raw Data'!$A$3:$B$3922,2,FALSE)</f>
        <v>Remove Coverage into Render Targets</v>
      </c>
      <c r="C185" s="325" t="s">
        <v>310</v>
      </c>
      <c r="D185" s="326" t="str">
        <f>VLOOKUP(A185,'Feature Raw Data'!$A$3:$F$3922,6,FALSE)</f>
        <v>PP</v>
      </c>
      <c r="E185" s="325"/>
      <c r="F185" s="325"/>
      <c r="G185" s="244" t="str">
        <f>VLOOKUP(A185,'Feature Summary'!$A$7:$C$4170,3,FALSE)</f>
        <v>P1</v>
      </c>
      <c r="H185" s="417" t="s">
        <v>47</v>
      </c>
      <c r="I185" s="448" t="s">
        <v>47</v>
      </c>
      <c r="J185" s="325"/>
      <c r="K185" s="326">
        <v>1</v>
      </c>
      <c r="L185" s="326">
        <v>0</v>
      </c>
      <c r="M185" s="582" t="str">
        <f>VLOOKUP(A185,'Feature Raw Data'!$A$3:$E$3922,5,FALSE)</f>
        <v>New</v>
      </c>
      <c r="N185" s="465">
        <v>1</v>
      </c>
      <c r="O185" s="466"/>
      <c r="P185" s="464">
        <f t="shared" si="22"/>
        <v>1</v>
      </c>
      <c r="Q185" s="448" t="s">
        <v>47</v>
      </c>
      <c r="R185" s="326">
        <v>0</v>
      </c>
      <c r="S185" s="496">
        <f t="shared" si="23"/>
        <v>0</v>
      </c>
      <c r="T185" s="485"/>
      <c r="U185" s="485"/>
      <c r="V185" s="485"/>
      <c r="W185" s="485"/>
      <c r="X185" s="497">
        <f t="shared" si="25"/>
        <v>1</v>
      </c>
      <c r="Y185" s="449" t="s">
        <v>493</v>
      </c>
      <c r="Z185" s="484">
        <f t="shared" si="24"/>
        <v>0</v>
      </c>
      <c r="AA185" s="485"/>
      <c r="AB185" s="485"/>
      <c r="AC185" s="485"/>
      <c r="AD185" s="485"/>
      <c r="AE185" s="483">
        <f t="shared" si="26"/>
        <v>1</v>
      </c>
      <c r="AF185" s="325"/>
      <c r="AG185" s="450" t="s">
        <v>47</v>
      </c>
      <c r="AH185" s="327"/>
    </row>
    <row r="186" spans="1:34" ht="15.75" thickBot="1" x14ac:dyDescent="0.3">
      <c r="A186" s="576">
        <v>12.4</v>
      </c>
      <c r="B186" s="325" t="str">
        <f>VLOOKUP(A186,'Feature Raw Data'!$A$3:$B$3922,2,FALSE)</f>
        <v>SRAM Bit/byte write enable</v>
      </c>
      <c r="C186" s="325" t="s">
        <v>328</v>
      </c>
      <c r="D186" s="326" t="str">
        <f>VLOOKUP(A186,'Feature Raw Data'!$A$3:$F$3922,6,FALSE)</f>
        <v>GFX</v>
      </c>
      <c r="E186" s="325"/>
      <c r="F186" s="325"/>
      <c r="G186" s="244" t="str">
        <f>VLOOKUP(A186,'Feature Summary'!$A$7:$C$4170,3,FALSE)</f>
        <v>P1</v>
      </c>
      <c r="H186" s="417" t="s">
        <v>47</v>
      </c>
      <c r="I186" s="448" t="s">
        <v>47</v>
      </c>
      <c r="J186" s="325"/>
      <c r="K186" s="326">
        <v>1</v>
      </c>
      <c r="L186" s="326">
        <v>0</v>
      </c>
      <c r="M186" s="582" t="str">
        <f>VLOOKUP(A186,'Feature Raw Data'!$A$3:$E$3922,5,FALSE)</f>
        <v>New</v>
      </c>
      <c r="N186" s="465">
        <v>1</v>
      </c>
      <c r="O186" s="466"/>
      <c r="P186" s="464">
        <f t="shared" si="22"/>
        <v>1</v>
      </c>
      <c r="Q186" s="448" t="s">
        <v>47</v>
      </c>
      <c r="R186" s="326">
        <v>0</v>
      </c>
      <c r="S186" s="496">
        <f t="shared" si="23"/>
        <v>0</v>
      </c>
      <c r="T186" s="485"/>
      <c r="U186" s="485"/>
      <c r="V186" s="485"/>
      <c r="W186" s="485"/>
      <c r="X186" s="497">
        <f t="shared" si="25"/>
        <v>1</v>
      </c>
      <c r="Y186" s="449" t="s">
        <v>494</v>
      </c>
      <c r="Z186" s="484">
        <f t="shared" si="24"/>
        <v>0</v>
      </c>
      <c r="AA186" s="485"/>
      <c r="AB186" s="485"/>
      <c r="AC186" s="485"/>
      <c r="AD186" s="485"/>
      <c r="AE186" s="483">
        <f t="shared" si="26"/>
        <v>1</v>
      </c>
      <c r="AF186" s="325"/>
      <c r="AG186" s="450" t="s">
        <v>47</v>
      </c>
      <c r="AH186" s="327"/>
    </row>
    <row r="187" spans="1:34" ht="15.75" thickBot="1" x14ac:dyDescent="0.3">
      <c r="A187" s="595">
        <v>12.401</v>
      </c>
      <c r="B187" s="325" t="str">
        <f>VLOOKUP(A187,'Feature Raw Data'!$A$3:$B$3922,2,FALSE)</f>
        <v>Improving MBFF ratio (Octa/Hexa Flops)</v>
      </c>
      <c r="C187" s="325" t="s">
        <v>337</v>
      </c>
      <c r="D187" s="326" t="str">
        <f>VLOOKUP(A187,'Feature Raw Data'!$A$3:$F$3922,6,FALSE)</f>
        <v>CMM</v>
      </c>
      <c r="E187" s="325"/>
      <c r="F187" s="325"/>
      <c r="G187" s="244" t="str">
        <f>VLOOKUP(A187,'Feature Summary'!$A$7:$C$4170,3,FALSE)</f>
        <v>P2</v>
      </c>
      <c r="H187" s="417" t="s">
        <v>47</v>
      </c>
      <c r="I187" s="448" t="s">
        <v>47</v>
      </c>
      <c r="J187" s="325"/>
      <c r="K187" s="326">
        <v>1</v>
      </c>
      <c r="L187" s="326">
        <v>0</v>
      </c>
      <c r="M187" s="582" t="str">
        <f>VLOOKUP(A187,'Feature Raw Data'!$A$3:$E$3922,5,FALSE)</f>
        <v>New</v>
      </c>
      <c r="N187" s="465">
        <v>1</v>
      </c>
      <c r="O187" s="466"/>
      <c r="P187" s="464">
        <f t="shared" si="22"/>
        <v>1</v>
      </c>
      <c r="Q187" s="448" t="s">
        <v>47</v>
      </c>
      <c r="R187" s="326">
        <v>0</v>
      </c>
      <c r="S187" s="496">
        <f t="shared" si="23"/>
        <v>0</v>
      </c>
      <c r="T187" s="485"/>
      <c r="U187" s="485"/>
      <c r="V187" s="485"/>
      <c r="W187" s="485"/>
      <c r="X187" s="497">
        <f t="shared" si="25"/>
        <v>1</v>
      </c>
      <c r="Y187" s="449" t="s">
        <v>495</v>
      </c>
      <c r="Z187" s="484">
        <f t="shared" si="24"/>
        <v>0</v>
      </c>
      <c r="AA187" s="485"/>
      <c r="AB187" s="485"/>
      <c r="AC187" s="485"/>
      <c r="AD187" s="485"/>
      <c r="AE187" s="483">
        <f t="shared" si="26"/>
        <v>1</v>
      </c>
      <c r="AF187" s="325"/>
      <c r="AG187" s="450" t="s">
        <v>47</v>
      </c>
      <c r="AH187" s="327"/>
    </row>
    <row r="188" spans="1:34" ht="15.75" thickBot="1" x14ac:dyDescent="0.3">
      <c r="A188" s="576">
        <v>12.401999999999999</v>
      </c>
      <c r="B188" s="325" t="str">
        <f>VLOOKUP(A188,'Feature Raw Data'!$A$3:$B$3922,2,FALSE)</f>
        <v>Repeater Clock Gating (Clock Gating Efficiency focus)</v>
      </c>
      <c r="C188" s="325" t="s">
        <v>396</v>
      </c>
      <c r="D188" s="326" t="str">
        <f>VLOOKUP(A188,'Feature Raw Data'!$A$3:$F$3922,6,FALSE)</f>
        <v>GFX</v>
      </c>
      <c r="E188" s="325"/>
      <c r="F188" s="325"/>
      <c r="G188" s="244" t="str">
        <f>VLOOKUP(A188,'Feature Summary'!$A$7:$C$4170,3,FALSE)</f>
        <v>P1</v>
      </c>
      <c r="H188" s="417" t="s">
        <v>47</v>
      </c>
      <c r="I188" s="448" t="s">
        <v>47</v>
      </c>
      <c r="J188" s="325"/>
      <c r="K188" s="326">
        <v>1</v>
      </c>
      <c r="L188" s="326">
        <v>0</v>
      </c>
      <c r="M188" s="582" t="str">
        <f>VLOOKUP(A188,'Feature Raw Data'!$A$3:$E$3922,5,FALSE)</f>
        <v>New</v>
      </c>
      <c r="N188" s="465">
        <v>1</v>
      </c>
      <c r="O188" s="466"/>
      <c r="P188" s="464">
        <f t="shared" si="22"/>
        <v>1</v>
      </c>
      <c r="Q188" s="448" t="s">
        <v>47</v>
      </c>
      <c r="R188" s="326">
        <v>0</v>
      </c>
      <c r="S188" s="496">
        <f t="shared" si="23"/>
        <v>0</v>
      </c>
      <c r="T188" s="485"/>
      <c r="U188" s="485"/>
      <c r="V188" s="485"/>
      <c r="W188" s="485"/>
      <c r="X188" s="497">
        <f t="shared" si="25"/>
        <v>1</v>
      </c>
      <c r="Y188" s="449" t="s">
        <v>496</v>
      </c>
      <c r="Z188" s="484">
        <f t="shared" si="24"/>
        <v>0</v>
      </c>
      <c r="AA188" s="485"/>
      <c r="AB188" s="485"/>
      <c r="AC188" s="485"/>
      <c r="AD188" s="485"/>
      <c r="AE188" s="483">
        <f t="shared" si="26"/>
        <v>1</v>
      </c>
      <c r="AF188" s="325"/>
      <c r="AG188" s="450" t="s">
        <v>47</v>
      </c>
      <c r="AH188" s="327"/>
    </row>
    <row r="189" spans="1:34" ht="15.75" thickBot="1" x14ac:dyDescent="0.3">
      <c r="A189" s="576">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396</v>
      </c>
      <c r="D189" s="326" t="str">
        <f>VLOOKUP(A189,'Feature Raw Data'!$A$3:$F$3922,6,FALSE)</f>
        <v>GFX</v>
      </c>
      <c r="E189" s="325"/>
      <c r="F189" s="325"/>
      <c r="G189" s="244" t="str">
        <f>VLOOKUP(A189,'Feature Summary'!$A$7:$C$4170,3,FALSE)</f>
        <v>P1</v>
      </c>
      <c r="H189" s="417" t="s">
        <v>47</v>
      </c>
      <c r="I189" s="448" t="s">
        <v>47</v>
      </c>
      <c r="J189" s="325"/>
      <c r="K189" s="326">
        <v>1</v>
      </c>
      <c r="L189" s="326">
        <v>0</v>
      </c>
      <c r="M189" s="582" t="str">
        <f>VLOOKUP(A189,'Feature Raw Data'!$A$3:$E$3922,5,FALSE)</f>
        <v>New</v>
      </c>
      <c r="N189" s="465">
        <v>1</v>
      </c>
      <c r="O189" s="466"/>
      <c r="P189" s="464">
        <f t="shared" si="22"/>
        <v>1</v>
      </c>
      <c r="Q189" s="448" t="s">
        <v>47</v>
      </c>
      <c r="R189" s="326">
        <v>0</v>
      </c>
      <c r="S189" s="496">
        <f t="shared" si="23"/>
        <v>0</v>
      </c>
      <c r="T189" s="485"/>
      <c r="U189" s="485"/>
      <c r="V189" s="485"/>
      <c r="W189" s="485"/>
      <c r="X189" s="497">
        <f t="shared" si="25"/>
        <v>1</v>
      </c>
      <c r="Y189" s="449" t="s">
        <v>497</v>
      </c>
      <c r="Z189" s="484">
        <f t="shared" si="24"/>
        <v>0</v>
      </c>
      <c r="AA189" s="485"/>
      <c r="AB189" s="485"/>
      <c r="AC189" s="485"/>
      <c r="AD189" s="485"/>
      <c r="AE189" s="483">
        <f t="shared" si="26"/>
        <v>1</v>
      </c>
      <c r="AF189" s="325"/>
      <c r="AG189" s="450" t="s">
        <v>47</v>
      </c>
      <c r="AH189" s="327"/>
    </row>
    <row r="190" spans="1:34" ht="15.75" thickBot="1" x14ac:dyDescent="0.3">
      <c r="A190" s="576">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396</v>
      </c>
      <c r="D190" s="326" t="str">
        <f>VLOOKUP(A190,'Feature Raw Data'!$A$3:$F$3922,6,FALSE)</f>
        <v>GFX</v>
      </c>
      <c r="E190" s="325"/>
      <c r="F190" s="325"/>
      <c r="G190" s="244" t="str">
        <f>VLOOKUP(A190,'Feature Summary'!$A$7:$C$4170,3,FALSE)</f>
        <v>P1</v>
      </c>
      <c r="H190" s="417" t="s">
        <v>47</v>
      </c>
      <c r="I190" s="448" t="s">
        <v>47</v>
      </c>
      <c r="J190" s="325"/>
      <c r="K190" s="326">
        <v>1</v>
      </c>
      <c r="L190" s="326">
        <v>0</v>
      </c>
      <c r="M190" s="582" t="str">
        <f>VLOOKUP(A190,'Feature Raw Data'!$A$3:$E$3922,5,FALSE)</f>
        <v>New</v>
      </c>
      <c r="N190" s="465">
        <v>1</v>
      </c>
      <c r="O190" s="466"/>
      <c r="P190" s="464">
        <f t="shared" si="22"/>
        <v>1</v>
      </c>
      <c r="Q190" s="448" t="s">
        <v>47</v>
      </c>
      <c r="R190" s="326">
        <v>0</v>
      </c>
      <c r="S190" s="496">
        <f t="shared" si="23"/>
        <v>0</v>
      </c>
      <c r="T190" s="485"/>
      <c r="U190" s="485"/>
      <c r="V190" s="485"/>
      <c r="W190" s="485"/>
      <c r="X190" s="497">
        <f>IF((R190=0),1,((T190+U190)/R190*100%))</f>
        <v>1</v>
      </c>
      <c r="Y190" s="449" t="s">
        <v>498</v>
      </c>
      <c r="Z190" s="484">
        <f t="shared" si="24"/>
        <v>0</v>
      </c>
      <c r="AA190" s="485"/>
      <c r="AB190" s="485"/>
      <c r="AC190" s="485"/>
      <c r="AD190" s="485"/>
      <c r="AE190" s="483">
        <f t="shared" si="26"/>
        <v>1</v>
      </c>
      <c r="AF190" s="325"/>
      <c r="AG190" s="450" t="s">
        <v>47</v>
      </c>
      <c r="AH190" s="327"/>
    </row>
    <row r="191" spans="1:34" ht="15.75" thickBot="1" x14ac:dyDescent="0.3">
      <c r="A191" s="576">
        <v>12.41</v>
      </c>
      <c r="B191" s="325" t="str">
        <f>VLOOKUP(A191,'Feature Raw Data'!$A$3:$B$3922,2,FALSE)</f>
        <v>User Data Scatter Engine (RS64)</v>
      </c>
      <c r="C191" s="325" t="s">
        <v>396</v>
      </c>
      <c r="D191" s="326" t="str">
        <f>VLOOKUP(A191,'Feature Raw Data'!$A$3:$F$3922,6,FALSE)</f>
        <v>CTL</v>
      </c>
      <c r="E191" s="325"/>
      <c r="F191" s="325"/>
      <c r="G191" s="244" t="str">
        <f>VLOOKUP(A191,'Feature Summary'!$A$7:$C$4170,3,FALSE)</f>
        <v>P1</v>
      </c>
      <c r="H191" s="417" t="s">
        <v>47</v>
      </c>
      <c r="I191" s="448" t="s">
        <v>47</v>
      </c>
      <c r="J191" s="325"/>
      <c r="K191" s="326">
        <v>1</v>
      </c>
      <c r="L191" s="326">
        <v>0</v>
      </c>
      <c r="M191" s="582" t="str">
        <f>VLOOKUP(A191,'Feature Raw Data'!$A$3:$E$3922,5,FALSE)</f>
        <v>New</v>
      </c>
      <c r="N191" s="465">
        <v>1</v>
      </c>
      <c r="O191" s="466"/>
      <c r="P191" s="464">
        <f t="shared" si="22"/>
        <v>1</v>
      </c>
      <c r="Q191" s="448" t="s">
        <v>47</v>
      </c>
      <c r="R191" s="326">
        <v>0</v>
      </c>
      <c r="S191" s="496">
        <f t="shared" si="23"/>
        <v>0</v>
      </c>
      <c r="T191" s="485"/>
      <c r="U191" s="485"/>
      <c r="V191" s="485"/>
      <c r="W191" s="485"/>
      <c r="X191" s="497">
        <f t="shared" si="25"/>
        <v>1</v>
      </c>
      <c r="Y191" s="449" t="s">
        <v>499</v>
      </c>
      <c r="Z191" s="484">
        <f t="shared" si="24"/>
        <v>0</v>
      </c>
      <c r="AA191" s="485"/>
      <c r="AB191" s="485"/>
      <c r="AC191" s="485"/>
      <c r="AD191" s="485"/>
      <c r="AE191" s="483">
        <f t="shared" si="26"/>
        <v>1</v>
      </c>
      <c r="AF191" s="325"/>
      <c r="AG191" s="450" t="s">
        <v>47</v>
      </c>
      <c r="AH191" s="327"/>
    </row>
    <row r="192" spans="1:34" ht="15.75" thickBot="1" x14ac:dyDescent="0.3">
      <c r="A192" s="576">
        <v>12.411</v>
      </c>
      <c r="B192" s="325" t="str">
        <f>VLOOKUP(A192,'Feature Raw Data'!$A$3:$B$3922,2,FALSE)</f>
        <v>Replace SDMA F32 with RS64</v>
      </c>
      <c r="C192" s="325" t="s">
        <v>319</v>
      </c>
      <c r="D192" s="326" t="str">
        <f>VLOOKUP(A192,'Feature Raw Data'!$A$3:$F$3922,6,FALSE)</f>
        <v>CTL</v>
      </c>
      <c r="E192" s="325"/>
      <c r="F192" s="325"/>
      <c r="G192" s="244" t="str">
        <f>VLOOKUP(A192,'Feature Summary'!$A$7:$C$4170,3,FALSE)</f>
        <v>P2</v>
      </c>
      <c r="H192" s="417" t="s">
        <v>47</v>
      </c>
      <c r="I192" s="448" t="s">
        <v>47</v>
      </c>
      <c r="J192" s="325"/>
      <c r="K192" s="326">
        <v>1</v>
      </c>
      <c r="L192" s="326">
        <v>0</v>
      </c>
      <c r="M192" s="582" t="str">
        <f>VLOOKUP(A192,'Feature Raw Data'!$A$3:$E$3922,5,FALSE)</f>
        <v>New</v>
      </c>
      <c r="N192" s="465">
        <v>1</v>
      </c>
      <c r="O192" s="466"/>
      <c r="P192" s="464">
        <f t="shared" si="22"/>
        <v>1</v>
      </c>
      <c r="Q192" s="448" t="s">
        <v>47</v>
      </c>
      <c r="R192" s="326">
        <v>0</v>
      </c>
      <c r="S192" s="496">
        <f t="shared" si="23"/>
        <v>0</v>
      </c>
      <c r="T192" s="485"/>
      <c r="U192" s="485"/>
      <c r="V192" s="485"/>
      <c r="W192" s="485"/>
      <c r="X192" s="497">
        <f t="shared" si="25"/>
        <v>1</v>
      </c>
      <c r="Y192" s="449"/>
      <c r="Z192" s="484">
        <f t="shared" si="24"/>
        <v>0</v>
      </c>
      <c r="AA192" s="485"/>
      <c r="AB192" s="485"/>
      <c r="AC192" s="485"/>
      <c r="AD192" s="485"/>
      <c r="AE192" s="483">
        <f t="shared" si="26"/>
        <v>1</v>
      </c>
      <c r="AF192" s="325"/>
      <c r="AG192" s="450" t="s">
        <v>47</v>
      </c>
      <c r="AH192" s="327"/>
    </row>
    <row r="193" spans="1:34" ht="15.75" thickBot="1" x14ac:dyDescent="0.3">
      <c r="A193" s="576">
        <v>12.412000000000001</v>
      </c>
      <c r="B193" s="325" t="str">
        <f>VLOOKUP(A193,'Feature Raw Data'!$A$3:$B$3922,2,FALSE)</f>
        <v>Enable GPA in UTCL0 of SAx GL1C</v>
      </c>
      <c r="C193" s="325" t="s">
        <v>322</v>
      </c>
      <c r="D193" s="326" t="str">
        <f>VLOOKUP(A193,'Feature Raw Data'!$A$3:$F$3922,6,FALSE)</f>
        <v>CMM</v>
      </c>
      <c r="E193" s="325"/>
      <c r="F193" s="325"/>
      <c r="G193" s="244" t="str">
        <f>VLOOKUP(A193,'Feature Summary'!$A$7:$C$4170,3,FALSE)</f>
        <v>P1</v>
      </c>
      <c r="H193" s="417" t="s">
        <v>500</v>
      </c>
      <c r="I193" s="448" t="s">
        <v>41</v>
      </c>
      <c r="J193" s="325"/>
      <c r="K193" s="326">
        <v>1</v>
      </c>
      <c r="L193" s="326">
        <v>2</v>
      </c>
      <c r="M193" s="582" t="str">
        <f>VLOOKUP(A193,'Feature Raw Data'!$A$3:$E$3922,5,FALSE)</f>
        <v>New</v>
      </c>
      <c r="N193" s="465">
        <v>1</v>
      </c>
      <c r="O193" s="466">
        <v>2</v>
      </c>
      <c r="P193" s="464">
        <f t="shared" si="22"/>
        <v>1</v>
      </c>
      <c r="Q193" s="448" t="s">
        <v>32</v>
      </c>
      <c r="R193" s="326">
        <v>2</v>
      </c>
      <c r="S193" s="496">
        <v>2</v>
      </c>
      <c r="T193" s="485">
        <v>2</v>
      </c>
      <c r="U193" s="485"/>
      <c r="V193" s="485"/>
      <c r="W193" s="485"/>
      <c r="X193" s="497">
        <f t="shared" si="25"/>
        <v>1</v>
      </c>
      <c r="Y193" s="449" t="s">
        <v>501</v>
      </c>
      <c r="Z193" s="484">
        <f t="shared" si="24"/>
        <v>0</v>
      </c>
      <c r="AA193" s="485"/>
      <c r="AB193" s="485"/>
      <c r="AC193" s="485"/>
      <c r="AD193" s="485"/>
      <c r="AE193" s="483">
        <f t="shared" si="26"/>
        <v>0</v>
      </c>
      <c r="AF193" s="325"/>
      <c r="AG193" s="450" t="s">
        <v>309</v>
      </c>
      <c r="AH193" s="327"/>
    </row>
    <row r="194" spans="1:34" ht="15.75" thickBot="1" x14ac:dyDescent="0.3">
      <c r="A194" s="576">
        <v>12.413</v>
      </c>
      <c r="B194" s="325" t="str">
        <f>VLOOKUP(A194,'Feature Raw Data'!$A$3:$B$3922,2,FALSE)</f>
        <v>Switch GFX to Memgen-based SRAM FGCG</v>
      </c>
      <c r="C194" s="325" t="s">
        <v>396</v>
      </c>
      <c r="D194" s="326" t="str">
        <f>VLOOKUP(A194,'Feature Raw Data'!$A$3:$F$3922,6,FALSE)</f>
        <v>GC</v>
      </c>
      <c r="E194" s="325"/>
      <c r="F194" s="325"/>
      <c r="G194" s="244" t="str">
        <f>VLOOKUP(A194,'Feature Summary'!$A$7:$C$4170,3,FALSE)</f>
        <v>P1</v>
      </c>
      <c r="H194" s="417" t="s">
        <v>502</v>
      </c>
      <c r="I194" s="448" t="s">
        <v>47</v>
      </c>
      <c r="J194" s="325"/>
      <c r="K194" s="326">
        <v>1</v>
      </c>
      <c r="L194" s="326">
        <v>0</v>
      </c>
      <c r="M194" s="582" t="str">
        <f>VLOOKUP(A194,'Feature Raw Data'!$A$3:$E$3922,5,FALSE)</f>
        <v>New</v>
      </c>
      <c r="N194" s="465">
        <v>1</v>
      </c>
      <c r="O194" s="466"/>
      <c r="P194" s="464">
        <f>IF((L194=0),1,(O194/L194))</f>
        <v>1</v>
      </c>
      <c r="Q194" s="448" t="s">
        <v>32</v>
      </c>
      <c r="R194" s="326">
        <v>1</v>
      </c>
      <c r="S194" s="496">
        <f t="shared" si="23"/>
        <v>0</v>
      </c>
      <c r="T194" s="485"/>
      <c r="U194" s="485"/>
      <c r="V194" s="485"/>
      <c r="W194" s="485"/>
      <c r="X194" s="497">
        <f t="shared" si="25"/>
        <v>0</v>
      </c>
      <c r="Y194" s="449" t="s">
        <v>503</v>
      </c>
      <c r="Z194" s="484">
        <f t="shared" si="24"/>
        <v>0</v>
      </c>
      <c r="AA194" s="485"/>
      <c r="AB194" s="485"/>
      <c r="AC194" s="485"/>
      <c r="AD194" s="485"/>
      <c r="AE194" s="483">
        <f t="shared" si="26"/>
        <v>1</v>
      </c>
      <c r="AF194" s="325"/>
      <c r="AG194" s="450" t="s">
        <v>309</v>
      </c>
      <c r="AH194" s="327"/>
    </row>
    <row r="195" spans="1:34" ht="15.75" thickBot="1" x14ac:dyDescent="0.3">
      <c r="A195" s="576">
        <v>12.414</v>
      </c>
      <c r="B195" s="325" t="str">
        <f>VLOOKUP(A195,'Feature Raw Data'!$A$3:$B$3922,2,FALSE)</f>
        <v>Add an L1 TLB into the SDMA front-end</v>
      </c>
      <c r="C195" s="325" t="s">
        <v>379</v>
      </c>
      <c r="D195" s="326" t="str">
        <f>VLOOKUP(A195,'Feature Raw Data'!$A$3:$F$3922,6,FALSE)</f>
        <v>UTCL2</v>
      </c>
      <c r="E195" s="325"/>
      <c r="F195" s="325"/>
      <c r="G195" s="244" t="str">
        <f>VLOOKUP(A195,'Feature Summary'!$A$7:$C$4170,3,FALSE)</f>
        <v>P1</v>
      </c>
      <c r="H195" s="417" t="s">
        <v>47</v>
      </c>
      <c r="I195" s="448" t="s">
        <v>47</v>
      </c>
      <c r="J195" s="325"/>
      <c r="K195" s="326">
        <v>1</v>
      </c>
      <c r="L195" s="326">
        <v>0</v>
      </c>
      <c r="M195" s="582" t="str">
        <f>VLOOKUP(A195,'Feature Raw Data'!$A$3:$E$3922,5,FALSE)</f>
        <v>New</v>
      </c>
      <c r="N195" s="465">
        <v>1</v>
      </c>
      <c r="O195" s="466"/>
      <c r="P195" s="464">
        <f t="shared" si="22"/>
        <v>1</v>
      </c>
      <c r="Q195" s="448" t="s">
        <v>47</v>
      </c>
      <c r="R195" s="326">
        <v>0</v>
      </c>
      <c r="S195" s="496">
        <f t="shared" si="23"/>
        <v>0</v>
      </c>
      <c r="T195" s="485"/>
      <c r="U195" s="485"/>
      <c r="V195" s="485"/>
      <c r="W195" s="485"/>
      <c r="X195" s="497">
        <f t="shared" si="25"/>
        <v>1</v>
      </c>
      <c r="Y195" s="449" t="s">
        <v>504</v>
      </c>
      <c r="Z195" s="484">
        <f t="shared" si="24"/>
        <v>0</v>
      </c>
      <c r="AA195" s="485"/>
      <c r="AB195" s="485"/>
      <c r="AC195" s="485"/>
      <c r="AD195" s="485"/>
      <c r="AE195" s="483">
        <f t="shared" si="26"/>
        <v>1</v>
      </c>
      <c r="AF195" s="325"/>
      <c r="AG195" s="450" t="s">
        <v>47</v>
      </c>
      <c r="AH195" s="327"/>
    </row>
    <row r="196" spans="1:34" ht="15.75" thickBot="1" x14ac:dyDescent="0.3">
      <c r="A196" s="576">
        <v>12.417</v>
      </c>
      <c r="B196" s="325" t="str">
        <f>VLOOKUP(A196,'Feature Raw Data'!$A$3:$B$3922,2,FALSE)</f>
        <v>GFX12 IMU - Add light sleep and deep sleep to SRAMs</v>
      </c>
      <c r="C196" s="325" t="s">
        <v>322</v>
      </c>
      <c r="D196" s="326" t="str">
        <f>VLOOKUP(A196,'Feature Raw Data'!$A$3:$F$3922,6,FALSE)</f>
        <v>CTL</v>
      </c>
      <c r="E196" s="325"/>
      <c r="F196" s="325"/>
      <c r="G196" s="244" t="str">
        <f>VLOOKUP(A196,'Feature Summary'!$A$7:$C$4170,3,FALSE)</f>
        <v>P1</v>
      </c>
      <c r="H196" s="417" t="s">
        <v>47</v>
      </c>
      <c r="I196" s="448" t="s">
        <v>47</v>
      </c>
      <c r="J196" s="325"/>
      <c r="K196" s="326">
        <v>1</v>
      </c>
      <c r="L196" s="326">
        <v>0</v>
      </c>
      <c r="M196" s="582" t="str">
        <f>VLOOKUP(A196,'Feature Raw Data'!$A$3:$E$3922,5,FALSE)</f>
        <v>New</v>
      </c>
      <c r="N196" s="465">
        <v>1</v>
      </c>
      <c r="O196" s="466"/>
      <c r="P196" s="464">
        <f t="shared" si="22"/>
        <v>1</v>
      </c>
      <c r="Q196" s="448" t="s">
        <v>47</v>
      </c>
      <c r="R196" s="326">
        <v>0</v>
      </c>
      <c r="S196" s="496">
        <f t="shared" si="23"/>
        <v>0</v>
      </c>
      <c r="T196" s="485"/>
      <c r="U196" s="485"/>
      <c r="V196" s="485"/>
      <c r="W196" s="485"/>
      <c r="X196" s="497">
        <f t="shared" si="25"/>
        <v>1</v>
      </c>
      <c r="Y196" s="449" t="s">
        <v>505</v>
      </c>
      <c r="Z196" s="484">
        <f t="shared" si="24"/>
        <v>0</v>
      </c>
      <c r="AA196" s="485"/>
      <c r="AB196" s="485"/>
      <c r="AC196" s="485"/>
      <c r="AD196" s="485"/>
      <c r="AE196" s="483">
        <f t="shared" si="26"/>
        <v>1</v>
      </c>
      <c r="AF196" s="325"/>
      <c r="AG196" s="450" t="s">
        <v>47</v>
      </c>
      <c r="AH196" s="327"/>
    </row>
    <row r="197" spans="1:34" ht="15.75" thickBot="1" x14ac:dyDescent="0.3">
      <c r="A197" s="576">
        <v>12.417999999999999</v>
      </c>
      <c r="B197" s="325" t="str">
        <f>VLOOKUP(A197,'Feature Raw Data'!$A$3:$B$3922,2,FALSE)</f>
        <v>GFX12 IMU - Add deep sleep support and sideband for IMUCLK</v>
      </c>
      <c r="C197" s="325" t="s">
        <v>322</v>
      </c>
      <c r="D197" s="326" t="str">
        <f>VLOOKUP(A197,'Feature Raw Data'!$A$3:$F$3922,6,FALSE)</f>
        <v>CTL</v>
      </c>
      <c r="E197" s="325"/>
      <c r="F197" s="325"/>
      <c r="G197" s="244" t="str">
        <f>VLOOKUP(A197,'Feature Summary'!$A$7:$C$4170,3,FALSE)</f>
        <v>P1</v>
      </c>
      <c r="H197" s="417" t="s">
        <v>47</v>
      </c>
      <c r="I197" s="448" t="s">
        <v>47</v>
      </c>
      <c r="J197" s="325"/>
      <c r="K197" s="326">
        <v>1</v>
      </c>
      <c r="L197" s="326">
        <v>0</v>
      </c>
      <c r="M197" s="582" t="str">
        <f>VLOOKUP(A197,'Feature Raw Data'!$A$3:$E$3922,5,FALSE)</f>
        <v>New</v>
      </c>
      <c r="N197" s="465">
        <v>1</v>
      </c>
      <c r="O197" s="466"/>
      <c r="P197" s="464">
        <f t="shared" si="22"/>
        <v>1</v>
      </c>
      <c r="Q197" s="448" t="s">
        <v>47</v>
      </c>
      <c r="R197" s="326">
        <v>0</v>
      </c>
      <c r="S197" s="496">
        <f t="shared" si="23"/>
        <v>0</v>
      </c>
      <c r="T197" s="485"/>
      <c r="U197" s="485"/>
      <c r="V197" s="485"/>
      <c r="W197" s="485"/>
      <c r="X197" s="497">
        <f t="shared" si="25"/>
        <v>1</v>
      </c>
      <c r="Y197" s="449" t="s">
        <v>505</v>
      </c>
      <c r="Z197" s="484">
        <f t="shared" si="24"/>
        <v>0</v>
      </c>
      <c r="AA197" s="485"/>
      <c r="AB197" s="485"/>
      <c r="AC197" s="485"/>
      <c r="AD197" s="485"/>
      <c r="AE197" s="483">
        <f t="shared" si="26"/>
        <v>1</v>
      </c>
      <c r="AF197" s="325"/>
      <c r="AG197" s="450" t="s">
        <v>47</v>
      </c>
      <c r="AH197" s="327"/>
    </row>
    <row r="198" spans="1:34" ht="15.75" thickBot="1" x14ac:dyDescent="0.3">
      <c r="A198" s="576">
        <v>12.42</v>
      </c>
      <c r="B198" s="325" t="str">
        <f>VLOOKUP(A198,'Feature Raw Data'!$A$3:$B$3922,2,FALSE)</f>
        <v xml:space="preserve">Increase max scratch allocation </v>
      </c>
      <c r="C198" s="325" t="s">
        <v>506</v>
      </c>
      <c r="D198" s="326" t="str">
        <f>VLOOKUP(A198,'Feature Raw Data'!$A$3:$F$3922,6,FALSE)</f>
        <v>SIO</v>
      </c>
      <c r="E198" s="325"/>
      <c r="F198" s="325"/>
      <c r="G198" s="244" t="str">
        <f>VLOOKUP(A198,'Feature Summary'!$A$7:$C$4170,3,FALSE)</f>
        <v>P2</v>
      </c>
      <c r="H198" s="417" t="s">
        <v>507</v>
      </c>
      <c r="I198" s="448" t="s">
        <v>35</v>
      </c>
      <c r="J198" s="325"/>
      <c r="K198" s="326">
        <v>1</v>
      </c>
      <c r="L198" s="326">
        <v>1</v>
      </c>
      <c r="M198" s="582" t="str">
        <f>VLOOKUP(A198,'Feature Raw Data'!$A$3:$E$3922,5,FALSE)</f>
        <v>New</v>
      </c>
      <c r="N198" s="465">
        <v>1</v>
      </c>
      <c r="O198" s="466">
        <v>1</v>
      </c>
      <c r="P198" s="464">
        <f t="shared" si="22"/>
        <v>1</v>
      </c>
      <c r="Q198" s="448" t="s">
        <v>32</v>
      </c>
      <c r="R198" s="326">
        <v>1</v>
      </c>
      <c r="S198" s="496">
        <f t="shared" si="23"/>
        <v>0</v>
      </c>
      <c r="T198" s="485"/>
      <c r="U198" s="485"/>
      <c r="V198" s="485"/>
      <c r="W198" s="485"/>
      <c r="X198" s="497">
        <f t="shared" si="25"/>
        <v>0</v>
      </c>
      <c r="Y198" s="449"/>
      <c r="Z198" s="484">
        <f t="shared" si="24"/>
        <v>0</v>
      </c>
      <c r="AA198" s="485"/>
      <c r="AB198" s="485"/>
      <c r="AC198" s="485"/>
      <c r="AD198" s="485"/>
      <c r="AE198" s="483">
        <f t="shared" si="26"/>
        <v>0</v>
      </c>
      <c r="AF198" s="325"/>
      <c r="AG198" s="450" t="s">
        <v>277</v>
      </c>
      <c r="AH198" s="327"/>
    </row>
    <row r="199" spans="1:34" ht="15.75" thickBot="1" x14ac:dyDescent="0.3">
      <c r="A199" s="576">
        <v>12.420999999999999</v>
      </c>
      <c r="B199" s="325" t="str">
        <f>VLOOKUP(A199,'Feature Raw Data'!$A$3:$B$3922,2,FALSE)</f>
        <v>TOC updates for RLC FW</v>
      </c>
      <c r="C199" s="325" t="s">
        <v>453</v>
      </c>
      <c r="D199" s="326" t="str">
        <f>VLOOKUP(A199,'Feature Raw Data'!$A$3:$F$3922,6,FALSE)</f>
        <v>CTL</v>
      </c>
      <c r="E199" s="325"/>
      <c r="F199" s="325"/>
      <c r="G199" s="244" t="str">
        <f>VLOOKUP(A199,'Feature Summary'!$A$7:$C$4170,3,FALSE)</f>
        <v>P1</v>
      </c>
      <c r="H199" s="417" t="s">
        <v>47</v>
      </c>
      <c r="I199" s="448" t="s">
        <v>47</v>
      </c>
      <c r="J199" s="325"/>
      <c r="K199" s="326">
        <v>1</v>
      </c>
      <c r="L199" s="326">
        <v>0</v>
      </c>
      <c r="M199" s="582" t="str">
        <f>VLOOKUP(A199,'Feature Raw Data'!$A$3:$E$3922,5,FALSE)</f>
        <v>New</v>
      </c>
      <c r="N199" s="465">
        <v>1</v>
      </c>
      <c r="O199" s="466"/>
      <c r="P199" s="464">
        <f t="shared" ref="P199:P257" si="27">IF((L199=0),1,(O199/L199))</f>
        <v>1</v>
      </c>
      <c r="Q199" s="448" t="s">
        <v>47</v>
      </c>
      <c r="R199" s="326">
        <v>0</v>
      </c>
      <c r="S199" s="496">
        <f t="shared" ref="S199:S236" si="28">SUM(T199:W199)</f>
        <v>0</v>
      </c>
      <c r="T199" s="485"/>
      <c r="U199" s="485"/>
      <c r="V199" s="485"/>
      <c r="W199" s="485"/>
      <c r="X199" s="497">
        <f t="shared" si="25"/>
        <v>1</v>
      </c>
      <c r="Y199" s="449" t="s">
        <v>508</v>
      </c>
      <c r="Z199" s="484">
        <f t="shared" ref="Z199:Z236" si="29">SUM(AA199:AD199)</f>
        <v>0</v>
      </c>
      <c r="AA199" s="485"/>
      <c r="AB199" s="485"/>
      <c r="AC199" s="485"/>
      <c r="AD199" s="485"/>
      <c r="AE199" s="483">
        <f t="shared" si="26"/>
        <v>1</v>
      </c>
      <c r="AF199" s="325"/>
      <c r="AG199" s="450" t="s">
        <v>47</v>
      </c>
      <c r="AH199" s="327"/>
    </row>
    <row r="200" spans="1:34" s="172" customFormat="1" ht="15.75" thickBot="1" x14ac:dyDescent="0.3">
      <c r="A200" s="576">
        <v>12.422000000000001</v>
      </c>
      <c r="B200" s="325" t="str">
        <f>VLOOKUP(A200,'Feature Raw Data'!$A$3:$B$3922,2,FALSE)</f>
        <v>Navi4c (chiplet) GFXIP STA Targets</v>
      </c>
      <c r="C200" s="325" t="s">
        <v>328</v>
      </c>
      <c r="D200" s="326" t="str">
        <f>VLOOKUP(A200,'Feature Raw Data'!$A$3:$F$3922,6,FALSE)</f>
        <v>GFX</v>
      </c>
      <c r="E200" s="325"/>
      <c r="F200" s="325"/>
      <c r="G200" s="244" t="str">
        <f>VLOOKUP(A200,'Feature Summary'!$A$7:$C$4170,3,FALSE)</f>
        <v>P1</v>
      </c>
      <c r="H200" s="417" t="s">
        <v>47</v>
      </c>
      <c r="I200" s="448" t="s">
        <v>47</v>
      </c>
      <c r="J200" s="325"/>
      <c r="K200" s="326">
        <v>1</v>
      </c>
      <c r="L200" s="326">
        <v>0</v>
      </c>
      <c r="M200" s="582" t="str">
        <f>VLOOKUP(A200,'Feature Raw Data'!$A$3:$E$3922,5,FALSE)</f>
        <v>New</v>
      </c>
      <c r="N200" s="465">
        <v>1</v>
      </c>
      <c r="O200" s="466"/>
      <c r="P200" s="464">
        <f t="shared" si="27"/>
        <v>1</v>
      </c>
      <c r="Q200" s="448" t="s">
        <v>47</v>
      </c>
      <c r="R200" s="326">
        <v>0</v>
      </c>
      <c r="S200" s="496">
        <f t="shared" si="28"/>
        <v>0</v>
      </c>
      <c r="T200" s="485"/>
      <c r="U200" s="485"/>
      <c r="V200" s="485"/>
      <c r="W200" s="485"/>
      <c r="X200" s="497">
        <f t="shared" ref="X200:X257" si="30">IF((R200=0),1,((T200+U200)/R200*100%))</f>
        <v>1</v>
      </c>
      <c r="Y200" s="449" t="s">
        <v>509</v>
      </c>
      <c r="Z200" s="484">
        <f t="shared" si="29"/>
        <v>0</v>
      </c>
      <c r="AA200" s="485"/>
      <c r="AB200" s="485"/>
      <c r="AC200" s="485"/>
      <c r="AD200" s="485"/>
      <c r="AE200" s="483">
        <f t="shared" ref="AE200:AE257" si="31">IF((L200=0),1,((AA200+AB200)/L200*100%))</f>
        <v>1</v>
      </c>
      <c r="AF200" s="325"/>
      <c r="AG200" s="450" t="s">
        <v>47</v>
      </c>
      <c r="AH200" s="327"/>
    </row>
    <row r="201" spans="1:34" ht="15.75" thickBot="1" x14ac:dyDescent="0.3">
      <c r="A201" s="576">
        <v>12.425000000000001</v>
      </c>
      <c r="B201" s="325" t="str">
        <f>VLOOKUP(A201,'Feature Raw Data'!$A$3:$B$3922,2,FALSE)</f>
        <v>GE WD_QOS.DRAW_STALL behavior</v>
      </c>
      <c r="C201" s="325" t="s">
        <v>328</v>
      </c>
      <c r="D201" s="326" t="str">
        <f>VLOOKUP(A201,'Feature Raw Data'!$A$3:$F$3922,6,FALSE)</f>
        <v>GEO</v>
      </c>
      <c r="E201" s="325"/>
      <c r="F201" s="325"/>
      <c r="G201" s="244" t="str">
        <f>VLOOKUP(A201,'Feature Summary'!$A$7:$C$4170,3,FALSE)</f>
        <v>P2</v>
      </c>
      <c r="H201" s="417" t="s">
        <v>47</v>
      </c>
      <c r="I201" s="448" t="s">
        <v>47</v>
      </c>
      <c r="J201" s="325"/>
      <c r="K201" s="326">
        <v>1</v>
      </c>
      <c r="L201" s="326">
        <v>0</v>
      </c>
      <c r="M201" s="582" t="str">
        <f>VLOOKUP(A201,'Feature Raw Data'!$A$3:$E$3922,5,FALSE)</f>
        <v>New</v>
      </c>
      <c r="N201" s="465">
        <v>1</v>
      </c>
      <c r="O201" s="466"/>
      <c r="P201" s="464">
        <f t="shared" si="27"/>
        <v>1</v>
      </c>
      <c r="Q201" s="448" t="s">
        <v>47</v>
      </c>
      <c r="R201" s="326">
        <v>0</v>
      </c>
      <c r="S201" s="496">
        <f t="shared" si="28"/>
        <v>0</v>
      </c>
      <c r="T201" s="485"/>
      <c r="U201" s="485"/>
      <c r="V201" s="485"/>
      <c r="W201" s="485"/>
      <c r="X201" s="497">
        <f t="shared" si="30"/>
        <v>1</v>
      </c>
      <c r="Y201" s="449" t="s">
        <v>510</v>
      </c>
      <c r="Z201" s="484">
        <f t="shared" si="29"/>
        <v>0</v>
      </c>
      <c r="AA201" s="485"/>
      <c r="AB201" s="485"/>
      <c r="AC201" s="485"/>
      <c r="AD201" s="485"/>
      <c r="AE201" s="483">
        <f t="shared" si="31"/>
        <v>1</v>
      </c>
      <c r="AF201" s="325"/>
      <c r="AG201" s="450" t="s">
        <v>47</v>
      </c>
      <c r="AH201" s="327"/>
    </row>
    <row r="202" spans="1:34" ht="15.75" thickBot="1" x14ac:dyDescent="0.3">
      <c r="A202" s="576">
        <v>12.429</v>
      </c>
      <c r="B202" s="325" t="str">
        <f>VLOOKUP(A202,'Feature Raw Data'!$A$3:$B$3922,2,FALSE)</f>
        <v>HP64 child reuse</v>
      </c>
      <c r="C202" s="325" t="s">
        <v>335</v>
      </c>
      <c r="D202" s="326" t="str">
        <f>VLOOKUP(A202,'Feature Raw Data'!$A$3:$F$3922,6,FALSE)</f>
        <v>TEX</v>
      </c>
      <c r="E202" s="325"/>
      <c r="F202" s="325"/>
      <c r="G202" s="244" t="str">
        <f>VLOOKUP(A202,'Feature Summary'!$A$7:$C$4170,3,FALSE)</f>
        <v>P1</v>
      </c>
      <c r="H202" s="417" t="s">
        <v>992</v>
      </c>
      <c r="I202" s="448" t="s">
        <v>511</v>
      </c>
      <c r="J202" s="325"/>
      <c r="K202" s="326">
        <v>1</v>
      </c>
      <c r="L202" s="326">
        <v>1</v>
      </c>
      <c r="M202" s="582" t="str">
        <f>VLOOKUP(A202,'Feature Raw Data'!$A$3:$E$3922,5,FALSE)</f>
        <v>New</v>
      </c>
      <c r="N202" s="465">
        <v>1</v>
      </c>
      <c r="O202" s="466">
        <v>1</v>
      </c>
      <c r="P202" s="464">
        <f t="shared" si="27"/>
        <v>1</v>
      </c>
      <c r="Q202" s="448" t="s">
        <v>43</v>
      </c>
      <c r="R202" s="326">
        <v>1</v>
      </c>
      <c r="S202" s="496">
        <f t="shared" si="28"/>
        <v>1</v>
      </c>
      <c r="T202" s="485">
        <v>1</v>
      </c>
      <c r="U202" s="485"/>
      <c r="V202" s="485"/>
      <c r="W202" s="485"/>
      <c r="X202" s="497">
        <f t="shared" si="30"/>
        <v>1</v>
      </c>
      <c r="Y202" s="449" t="s">
        <v>512</v>
      </c>
      <c r="Z202" s="484">
        <f t="shared" si="29"/>
        <v>0</v>
      </c>
      <c r="AA202" s="485"/>
      <c r="AB202" s="485"/>
      <c r="AC202" s="485"/>
      <c r="AD202" s="485"/>
      <c r="AE202" s="483">
        <f t="shared" si="31"/>
        <v>0</v>
      </c>
      <c r="AF202" s="325"/>
      <c r="AG202" s="450" t="s">
        <v>309</v>
      </c>
      <c r="AH202" s="327"/>
    </row>
    <row r="203" spans="1:34" ht="15.75" thickBot="1" x14ac:dyDescent="0.3">
      <c r="A203" s="576">
        <v>12.43</v>
      </c>
      <c r="B203" s="325" t="str">
        <f>VLOOKUP(A203,'Feature Raw Data'!$A$3:$B$3922,2,FALSE)</f>
        <v>Ray Tracing Tri Pair optimization</v>
      </c>
      <c r="C203" s="325" t="s">
        <v>513</v>
      </c>
      <c r="D203" s="326" t="str">
        <f>VLOOKUP(A203,'Feature Raw Data'!$A$3:$F$3922,6,FALSE)</f>
        <v>TEX</v>
      </c>
      <c r="E203" s="325"/>
      <c r="F203" s="325"/>
      <c r="G203" s="244" t="str">
        <f>VLOOKUP(A203,'Feature Summary'!$A$7:$C$4170,3,FALSE)</f>
        <v>P1</v>
      </c>
      <c r="H203" s="417" t="s">
        <v>514</v>
      </c>
      <c r="I203" s="448" t="s">
        <v>41</v>
      </c>
      <c r="J203" s="325"/>
      <c r="K203" s="326">
        <v>1</v>
      </c>
      <c r="L203" s="326">
        <v>2</v>
      </c>
      <c r="M203" s="582" t="str">
        <f>VLOOKUP(A203,'Feature Raw Data'!$A$3:$E$3922,5,FALSE)</f>
        <v>New</v>
      </c>
      <c r="N203" s="465">
        <v>1</v>
      </c>
      <c r="O203" s="466">
        <v>2</v>
      </c>
      <c r="P203" s="464">
        <f t="shared" si="27"/>
        <v>1</v>
      </c>
      <c r="Q203" s="448" t="s">
        <v>43</v>
      </c>
      <c r="R203" s="326">
        <v>2</v>
      </c>
      <c r="S203" s="496">
        <f>SUM(T203:W203)</f>
        <v>2</v>
      </c>
      <c r="T203" s="485">
        <v>2</v>
      </c>
      <c r="U203" s="485"/>
      <c r="V203" s="485"/>
      <c r="W203" s="485"/>
      <c r="X203" s="497">
        <f t="shared" si="30"/>
        <v>1</v>
      </c>
      <c r="Y203" s="449"/>
      <c r="Z203" s="484">
        <f t="shared" si="29"/>
        <v>0</v>
      </c>
      <c r="AA203" s="485"/>
      <c r="AB203" s="485"/>
      <c r="AC203" s="485"/>
      <c r="AD203" s="485"/>
      <c r="AE203" s="483">
        <f t="shared" si="31"/>
        <v>0</v>
      </c>
      <c r="AF203" s="325"/>
      <c r="AG203" s="450" t="s">
        <v>312</v>
      </c>
      <c r="AH203" s="327"/>
    </row>
    <row r="204" spans="1:34" ht="15.75" thickBot="1" x14ac:dyDescent="0.3">
      <c r="A204" s="576">
        <v>12.438000000000001</v>
      </c>
      <c r="B204" s="325" t="str">
        <f>VLOOKUP(A204,'Feature Raw Data'!$A$3:$B$3922,2,FALSE)</f>
        <v>Remove Soft Lock feature</v>
      </c>
      <c r="C204" s="325" t="s">
        <v>328</v>
      </c>
      <c r="D204" s="326" t="str">
        <f>VLOOKUP(A204,'Feature Raw Data'!$A$3:$F$3922,6,FALSE)</f>
        <v>SIO</v>
      </c>
      <c r="E204" s="325"/>
      <c r="F204" s="325"/>
      <c r="G204" s="244" t="str">
        <f>VLOOKUP(A204,'Feature Summary'!$A$7:$C$4170,3,FALSE)</f>
        <v>P2</v>
      </c>
      <c r="H204" s="417" t="s">
        <v>47</v>
      </c>
      <c r="I204" s="448" t="s">
        <v>47</v>
      </c>
      <c r="J204" s="325"/>
      <c r="K204" s="326">
        <v>1</v>
      </c>
      <c r="L204" s="326">
        <v>0</v>
      </c>
      <c r="M204" s="582" t="str">
        <f>VLOOKUP(A204,'Feature Raw Data'!$A$3:$E$3922,5,FALSE)</f>
        <v>New</v>
      </c>
      <c r="N204" s="465">
        <v>1</v>
      </c>
      <c r="O204" s="466"/>
      <c r="P204" s="464">
        <f t="shared" si="27"/>
        <v>1</v>
      </c>
      <c r="Q204" s="448" t="s">
        <v>47</v>
      </c>
      <c r="R204" s="326">
        <v>0</v>
      </c>
      <c r="S204" s="496">
        <f t="shared" si="28"/>
        <v>0</v>
      </c>
      <c r="T204" s="485"/>
      <c r="U204" s="485"/>
      <c r="V204" s="485"/>
      <c r="W204" s="485"/>
      <c r="X204" s="497">
        <f t="shared" si="30"/>
        <v>1</v>
      </c>
      <c r="Y204" s="449" t="s">
        <v>515</v>
      </c>
      <c r="Z204" s="484">
        <f t="shared" si="29"/>
        <v>0</v>
      </c>
      <c r="AA204" s="485"/>
      <c r="AB204" s="485"/>
      <c r="AC204" s="485"/>
      <c r="AD204" s="485"/>
      <c r="AE204" s="483">
        <f t="shared" si="31"/>
        <v>1</v>
      </c>
      <c r="AF204" s="325"/>
      <c r="AG204" s="450" t="s">
        <v>47</v>
      </c>
      <c r="AH204" s="327"/>
    </row>
    <row r="205" spans="1:34" ht="15.75" thickBot="1" x14ac:dyDescent="0.3">
      <c r="A205" s="595">
        <v>12.439</v>
      </c>
      <c r="B205" s="325" t="str">
        <f>VLOOKUP(A205,'Feature Raw Data'!$A$3:$B$3922,2,FALSE)</f>
        <v>Improve register based invalidation</v>
      </c>
      <c r="C205" s="325" t="s">
        <v>516</v>
      </c>
      <c r="D205" s="326" t="str">
        <f>VLOOKUP(A205,'Feature Raw Data'!$A$3:$F$3922,6,FALSE)</f>
        <v>CTL</v>
      </c>
      <c r="E205" s="325"/>
      <c r="F205" s="325"/>
      <c r="G205" s="244" t="str">
        <f>VLOOKUP(A205,'Feature Summary'!$A$7:$C$4170,3,FALSE)</f>
        <v>P2</v>
      </c>
      <c r="H205" s="417" t="s">
        <v>517</v>
      </c>
      <c r="I205" s="448" t="s">
        <v>41</v>
      </c>
      <c r="J205" s="325"/>
      <c r="K205" s="326">
        <v>1</v>
      </c>
      <c r="L205" s="326">
        <v>1</v>
      </c>
      <c r="M205" s="582" t="str">
        <f>VLOOKUP(A205,'Feature Raw Data'!$A$3:$E$3922,5,FALSE)</f>
        <v>New</v>
      </c>
      <c r="N205" s="465">
        <v>1</v>
      </c>
      <c r="O205" s="466">
        <v>1</v>
      </c>
      <c r="P205" s="464">
        <f t="shared" si="27"/>
        <v>1</v>
      </c>
      <c r="Q205" s="448" t="s">
        <v>32</v>
      </c>
      <c r="R205" s="326">
        <v>1</v>
      </c>
      <c r="S205" s="496">
        <f t="shared" si="28"/>
        <v>0</v>
      </c>
      <c r="T205" s="485"/>
      <c r="U205" s="485"/>
      <c r="V205" s="485"/>
      <c r="W205" s="485"/>
      <c r="X205" s="497">
        <f t="shared" si="30"/>
        <v>0</v>
      </c>
      <c r="Y205" s="449"/>
      <c r="Z205" s="484">
        <f t="shared" si="29"/>
        <v>0</v>
      </c>
      <c r="AA205" s="485"/>
      <c r="AB205" s="485"/>
      <c r="AC205" s="485"/>
      <c r="AD205" s="485"/>
      <c r="AE205" s="483">
        <f t="shared" si="31"/>
        <v>0</v>
      </c>
      <c r="AF205" s="325"/>
      <c r="AG205" s="450" t="s">
        <v>354</v>
      </c>
      <c r="AH205" s="327"/>
    </row>
    <row r="206" spans="1:34" ht="15.75" thickBot="1" x14ac:dyDescent="0.3">
      <c r="A206" s="576">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1</v>
      </c>
      <c r="L206" s="326">
        <v>0</v>
      </c>
      <c r="M206" s="582" t="str">
        <f>VLOOKUP(A206,'Feature Raw Data'!$A$3:$E$3922,5,FALSE)</f>
        <v>New</v>
      </c>
      <c r="N206" s="465">
        <v>1</v>
      </c>
      <c r="O206" s="466"/>
      <c r="P206" s="464">
        <f t="shared" si="27"/>
        <v>1</v>
      </c>
      <c r="Q206" s="448" t="s">
        <v>47</v>
      </c>
      <c r="R206" s="326">
        <v>0</v>
      </c>
      <c r="S206" s="496">
        <f t="shared" si="28"/>
        <v>0</v>
      </c>
      <c r="T206" s="485"/>
      <c r="U206" s="485"/>
      <c r="V206" s="485"/>
      <c r="W206" s="485"/>
      <c r="X206" s="497">
        <f t="shared" si="30"/>
        <v>1</v>
      </c>
      <c r="Y206" s="584" t="s">
        <v>442</v>
      </c>
      <c r="Z206" s="484">
        <f t="shared" si="29"/>
        <v>0</v>
      </c>
      <c r="AA206" s="485"/>
      <c r="AB206" s="485"/>
      <c r="AC206" s="485"/>
      <c r="AD206" s="485"/>
      <c r="AE206" s="483">
        <f t="shared" si="31"/>
        <v>1</v>
      </c>
      <c r="AF206" s="325"/>
      <c r="AG206" s="450" t="s">
        <v>47</v>
      </c>
      <c r="AH206" s="327"/>
    </row>
    <row r="207" spans="1:34" ht="15.75" thickBot="1" x14ac:dyDescent="0.3">
      <c r="A207" s="576">
        <v>12.441000000000001</v>
      </c>
      <c r="B207" s="325" t="str">
        <f>VLOOKUP(A207,'Feature Raw Data'!$A$3:$B$3922,2,FALSE)</f>
        <v>reduce VGPRs for LS and ES stages</v>
      </c>
      <c r="C207" s="325" t="s">
        <v>328</v>
      </c>
      <c r="D207" s="326" t="str">
        <f>VLOOKUP(A207,'Feature Raw Data'!$A$3:$F$3922,6,FALSE)</f>
        <v>SIO</v>
      </c>
      <c r="E207" s="325"/>
      <c r="F207" s="325"/>
      <c r="G207" s="244" t="str">
        <f>VLOOKUP(A207,'Feature Summary'!$A$7:$C$4170,3,FALSE)</f>
        <v>P2</v>
      </c>
      <c r="H207" s="417" t="s">
        <v>47</v>
      </c>
      <c r="I207" s="448" t="s">
        <v>47</v>
      </c>
      <c r="J207" s="325"/>
      <c r="K207" s="326">
        <v>1</v>
      </c>
      <c r="L207" s="326">
        <v>0</v>
      </c>
      <c r="M207" s="582" t="str">
        <f>VLOOKUP(A207,'Feature Raw Data'!$A$3:$E$3922,5,FALSE)</f>
        <v>New</v>
      </c>
      <c r="N207" s="465">
        <v>1</v>
      </c>
      <c r="O207" s="466"/>
      <c r="P207" s="464">
        <f t="shared" si="27"/>
        <v>1</v>
      </c>
      <c r="Q207" s="448" t="s">
        <v>47</v>
      </c>
      <c r="R207" s="326">
        <v>0</v>
      </c>
      <c r="S207" s="496">
        <f t="shared" si="28"/>
        <v>0</v>
      </c>
      <c r="T207" s="485"/>
      <c r="U207" s="485"/>
      <c r="V207" s="485"/>
      <c r="W207" s="485"/>
      <c r="X207" s="497">
        <f t="shared" si="30"/>
        <v>1</v>
      </c>
      <c r="Y207" s="449" t="s">
        <v>518</v>
      </c>
      <c r="Z207" s="484">
        <f t="shared" si="29"/>
        <v>0</v>
      </c>
      <c r="AA207" s="485"/>
      <c r="AB207" s="485"/>
      <c r="AC207" s="485"/>
      <c r="AD207" s="485"/>
      <c r="AE207" s="483">
        <f t="shared" si="31"/>
        <v>1</v>
      </c>
      <c r="AF207" s="325"/>
      <c r="AG207" s="450" t="s">
        <v>47</v>
      </c>
      <c r="AH207" s="327"/>
    </row>
    <row r="208" spans="1:34" ht="15.75" thickBot="1" x14ac:dyDescent="0.3">
      <c r="A208" s="595">
        <v>12.442</v>
      </c>
      <c r="B208" s="325" t="str">
        <f>VLOOKUP(A208,'Feature Raw Data'!$A$3:$B$3922,2,FALSE)</f>
        <v>EA and GL2CC move from GRBM to GRBMH</v>
      </c>
      <c r="C208" s="325" t="s">
        <v>516</v>
      </c>
      <c r="D208" s="326" t="str">
        <f>VLOOKUP(A208,'Feature Raw Data'!$A$3:$F$3922,6,FALSE)</f>
        <v>CTL</v>
      </c>
      <c r="E208" s="325"/>
      <c r="F208" s="325"/>
      <c r="G208" s="244" t="str">
        <f>VLOOKUP(A208,'Feature Summary'!$A$7:$C$4170,3,FALSE)</f>
        <v>P2</v>
      </c>
      <c r="H208" s="417" t="s">
        <v>47</v>
      </c>
      <c r="I208" s="448" t="s">
        <v>47</v>
      </c>
      <c r="J208" s="325"/>
      <c r="K208" s="326">
        <v>1</v>
      </c>
      <c r="L208" s="326">
        <v>0</v>
      </c>
      <c r="M208" s="582" t="str">
        <f>VLOOKUP(A208,'Feature Raw Data'!$A$3:$E$3922,5,FALSE)</f>
        <v>New</v>
      </c>
      <c r="N208" s="465">
        <v>1</v>
      </c>
      <c r="O208" s="466"/>
      <c r="P208" s="464">
        <f t="shared" si="27"/>
        <v>1</v>
      </c>
      <c r="Q208" s="448" t="s">
        <v>47</v>
      </c>
      <c r="R208" s="326">
        <v>0</v>
      </c>
      <c r="S208" s="496">
        <f t="shared" si="28"/>
        <v>0</v>
      </c>
      <c r="T208" s="485"/>
      <c r="U208" s="485"/>
      <c r="V208" s="485"/>
      <c r="W208" s="485"/>
      <c r="X208" s="497">
        <f t="shared" si="30"/>
        <v>1</v>
      </c>
      <c r="Y208" s="449" t="s">
        <v>519</v>
      </c>
      <c r="Z208" s="484">
        <f t="shared" si="29"/>
        <v>0</v>
      </c>
      <c r="AA208" s="485"/>
      <c r="AB208" s="485"/>
      <c r="AC208" s="485"/>
      <c r="AD208" s="485"/>
      <c r="AE208" s="483">
        <f t="shared" si="31"/>
        <v>1</v>
      </c>
      <c r="AF208" s="325"/>
      <c r="AG208" s="450" t="s">
        <v>47</v>
      </c>
      <c r="AH208" s="327"/>
    </row>
    <row r="209" spans="1:34" ht="15.75" thickBot="1" x14ac:dyDescent="0.3">
      <c r="A209" s="576">
        <v>12.444000000000001</v>
      </c>
      <c r="B209" s="325" t="str">
        <f>VLOOKUP(A209,'Feature Raw Data'!$A$3:$B$3922,2,FALSE)</f>
        <v>Expand V# const_stride from 14 to 17 bit width</v>
      </c>
      <c r="C209" s="325" t="s">
        <v>335</v>
      </c>
      <c r="D209" s="326" t="str">
        <f>VLOOKUP(A209,'Feature Raw Data'!$A$3:$F$3922,6,FALSE)</f>
        <v>TEX</v>
      </c>
      <c r="E209" s="325"/>
      <c r="F209" s="325"/>
      <c r="G209" s="244" t="str">
        <f>VLOOKUP(A209,'Feature Summary'!$A$7:$C$4170,3,FALSE)</f>
        <v>P2</v>
      </c>
      <c r="H209" s="417" t="s">
        <v>993</v>
      </c>
      <c r="I209" s="448" t="s">
        <v>41</v>
      </c>
      <c r="J209" s="325"/>
      <c r="K209" s="326">
        <v>1</v>
      </c>
      <c r="L209" s="326">
        <v>4</v>
      </c>
      <c r="M209" s="582" t="str">
        <f>VLOOKUP(A209,'Feature Raw Data'!$A$3:$E$3922,5,FALSE)</f>
        <v>New</v>
      </c>
      <c r="N209" s="465">
        <v>1</v>
      </c>
      <c r="O209" s="466">
        <v>4</v>
      </c>
      <c r="P209" s="464">
        <f t="shared" si="27"/>
        <v>1</v>
      </c>
      <c r="Q209" s="448" t="s">
        <v>43</v>
      </c>
      <c r="R209" s="326">
        <v>4</v>
      </c>
      <c r="S209" s="496">
        <f>SUM(T209:W209)</f>
        <v>4</v>
      </c>
      <c r="T209" s="485">
        <v>4</v>
      </c>
      <c r="U209" s="485"/>
      <c r="V209" s="485"/>
      <c r="W209" s="485"/>
      <c r="X209" s="497">
        <f t="shared" si="30"/>
        <v>1</v>
      </c>
      <c r="Y209" s="449"/>
      <c r="Z209" s="484">
        <f t="shared" si="29"/>
        <v>0</v>
      </c>
      <c r="AA209" s="485"/>
      <c r="AB209" s="485"/>
      <c r="AC209" s="485"/>
      <c r="AD209" s="485"/>
      <c r="AE209" s="483">
        <f t="shared" si="31"/>
        <v>0</v>
      </c>
      <c r="AF209" s="325"/>
      <c r="AG209" s="450" t="s">
        <v>354</v>
      </c>
      <c r="AH209" s="327"/>
    </row>
    <row r="210" spans="1:34" ht="15.75" thickBot="1" x14ac:dyDescent="0.3">
      <c r="A210" s="576">
        <v>12.445</v>
      </c>
      <c r="B210" s="325" t="str">
        <f>VLOOKUP(A210,'Feature Raw Data'!$A$3:$B$3922,2,FALSE)</f>
        <v>Improve Thread Trace ExecPopCount bandwidth</v>
      </c>
      <c r="C210" s="325" t="s">
        <v>366</v>
      </c>
      <c r="D210" s="326" t="str">
        <f>VLOOKUP(A210,'Feature Raw Data'!$A$3:$F$3922,6,FALSE)</f>
        <v>SH</v>
      </c>
      <c r="E210" s="325"/>
      <c r="F210" s="325"/>
      <c r="G210" s="244" t="str">
        <f>VLOOKUP(A210,'Feature Summary'!$A$7:$C$4170,3,FALSE)</f>
        <v>P2</v>
      </c>
      <c r="H210" s="417" t="s">
        <v>520</v>
      </c>
      <c r="I210" s="448" t="s">
        <v>41</v>
      </c>
      <c r="J210" s="325" t="s">
        <v>521</v>
      </c>
      <c r="K210" s="326">
        <v>1</v>
      </c>
      <c r="L210" s="326">
        <v>4</v>
      </c>
      <c r="M210" s="582" t="str">
        <f>VLOOKUP(A210,'Feature Raw Data'!$A$3:$E$3922,5,FALSE)</f>
        <v>New</v>
      </c>
      <c r="N210" s="465">
        <v>1</v>
      </c>
      <c r="O210" s="466">
        <v>4</v>
      </c>
      <c r="P210" s="464">
        <f t="shared" si="27"/>
        <v>1</v>
      </c>
      <c r="Q210" s="448" t="s">
        <v>43</v>
      </c>
      <c r="R210" s="326">
        <v>4</v>
      </c>
      <c r="S210" s="496">
        <f t="shared" si="28"/>
        <v>4</v>
      </c>
      <c r="T210" s="485">
        <v>4</v>
      </c>
      <c r="U210" s="485"/>
      <c r="V210" s="485"/>
      <c r="W210" s="485"/>
      <c r="X210" s="497">
        <f t="shared" si="30"/>
        <v>1</v>
      </c>
      <c r="Y210" s="449" t="s">
        <v>486</v>
      </c>
      <c r="Z210" s="484">
        <f t="shared" si="29"/>
        <v>4</v>
      </c>
      <c r="AA210" s="485">
        <v>4</v>
      </c>
      <c r="AB210" s="485"/>
      <c r="AC210" s="485"/>
      <c r="AD210" s="485"/>
      <c r="AE210" s="483">
        <f t="shared" si="31"/>
        <v>1</v>
      </c>
      <c r="AF210" s="325"/>
      <c r="AG210" s="450" t="s">
        <v>354</v>
      </c>
      <c r="AH210" s="327"/>
    </row>
    <row r="211" spans="1:34" ht="15.75" thickBot="1" x14ac:dyDescent="0.3">
      <c r="A211" s="595">
        <v>12.446</v>
      </c>
      <c r="B211" s="325" t="str">
        <f>VLOOKUP(A211,'Feature Raw Data'!$A$3:$B$3922,2,FALSE)</f>
        <v>Load_reserved/store_conditional support in SE$</v>
      </c>
      <c r="C211" s="325" t="s">
        <v>522</v>
      </c>
      <c r="D211" s="326" t="str">
        <f>VLOOKUP(A211,'Feature Raw Data'!$A$3:$F$3922,6,FALSE)</f>
        <v>CMM</v>
      </c>
      <c r="E211" s="325"/>
      <c r="F211" s="325"/>
      <c r="G211" s="244" t="str">
        <f>VLOOKUP(A211,'Feature Summary'!$A$7:$C$4170,3,FALSE)</f>
        <v>P2</v>
      </c>
      <c r="H211" s="417" t="s">
        <v>47</v>
      </c>
      <c r="I211" s="448" t="s">
        <v>47</v>
      </c>
      <c r="J211" s="325"/>
      <c r="K211" s="326">
        <v>1</v>
      </c>
      <c r="L211" s="326">
        <v>0</v>
      </c>
      <c r="M211" s="582" t="str">
        <f>VLOOKUP(A211,'Feature Raw Data'!$A$3:$E$3922,5,FALSE)</f>
        <v>New</v>
      </c>
      <c r="N211" s="465">
        <v>1</v>
      </c>
      <c r="O211" s="466"/>
      <c r="P211" s="464">
        <f t="shared" si="27"/>
        <v>1</v>
      </c>
      <c r="Q211" s="448" t="s">
        <v>47</v>
      </c>
      <c r="R211" s="326">
        <v>0</v>
      </c>
      <c r="S211" s="496">
        <f t="shared" si="28"/>
        <v>0</v>
      </c>
      <c r="T211" s="485"/>
      <c r="U211" s="485"/>
      <c r="V211" s="485"/>
      <c r="W211" s="485"/>
      <c r="X211" s="497">
        <f t="shared" si="30"/>
        <v>1</v>
      </c>
      <c r="Y211" s="449" t="s">
        <v>523</v>
      </c>
      <c r="Z211" s="484">
        <f t="shared" si="29"/>
        <v>0</v>
      </c>
      <c r="AA211" s="485"/>
      <c r="AB211" s="485"/>
      <c r="AC211" s="485"/>
      <c r="AD211" s="485"/>
      <c r="AE211" s="483">
        <f t="shared" si="31"/>
        <v>1</v>
      </c>
      <c r="AF211" s="325"/>
      <c r="AG211" s="450" t="s">
        <v>47</v>
      </c>
      <c r="AH211" s="327"/>
    </row>
    <row r="212" spans="1:34" ht="15.75" thickBot="1" x14ac:dyDescent="0.3">
      <c r="A212" s="595">
        <v>12.446999999999999</v>
      </c>
      <c r="B212" s="325" t="str">
        <f>VLOOKUP(A212,'Feature Raw Data'!$A$3:$B$3922,2,FALSE)</f>
        <v>Load_reserved/store_conditional support in DF</v>
      </c>
      <c r="C212" s="325" t="s">
        <v>522</v>
      </c>
      <c r="D212" s="326" t="str">
        <f>VLOOKUP(A212,'Feature Raw Data'!$A$3:$F$3922,6,FALSE)</f>
        <v>CMM</v>
      </c>
      <c r="E212" s="325"/>
      <c r="F212" s="325"/>
      <c r="G212" s="244" t="str">
        <f>VLOOKUP(A212,'Feature Summary'!$A$7:$C$4170,3,FALSE)</f>
        <v>P2</v>
      </c>
      <c r="H212" s="417" t="s">
        <v>47</v>
      </c>
      <c r="I212" s="448" t="s">
        <v>47</v>
      </c>
      <c r="J212" s="325"/>
      <c r="K212" s="326">
        <v>1</v>
      </c>
      <c r="L212" s="326">
        <v>0</v>
      </c>
      <c r="M212" s="582" t="str">
        <f>VLOOKUP(A212,'Feature Raw Data'!$A$3:$E$3922,5,FALSE)</f>
        <v>New</v>
      </c>
      <c r="N212" s="465">
        <v>1</v>
      </c>
      <c r="O212" s="466"/>
      <c r="P212" s="464">
        <f t="shared" si="27"/>
        <v>1</v>
      </c>
      <c r="Q212" s="448" t="s">
        <v>47</v>
      </c>
      <c r="R212" s="326">
        <v>0</v>
      </c>
      <c r="S212" s="496">
        <f t="shared" si="28"/>
        <v>0</v>
      </c>
      <c r="T212" s="485"/>
      <c r="U212" s="485"/>
      <c r="V212" s="485"/>
      <c r="W212" s="485"/>
      <c r="X212" s="497">
        <f t="shared" si="30"/>
        <v>1</v>
      </c>
      <c r="Y212" s="449" t="s">
        <v>523</v>
      </c>
      <c r="Z212" s="484">
        <f t="shared" si="29"/>
        <v>0</v>
      </c>
      <c r="AA212" s="485"/>
      <c r="AB212" s="485"/>
      <c r="AC212" s="485"/>
      <c r="AD212" s="485"/>
      <c r="AE212" s="483">
        <f t="shared" si="31"/>
        <v>1</v>
      </c>
      <c r="AF212" s="325"/>
      <c r="AG212" s="450" t="s">
        <v>47</v>
      </c>
      <c r="AH212" s="327"/>
    </row>
    <row r="213" spans="1:34" ht="15.75" thickBot="1" x14ac:dyDescent="0.3">
      <c r="A213" s="576">
        <v>12.448</v>
      </c>
      <c r="B213" s="325" t="str">
        <f>VLOOKUP(A213,'Feature Raw Data'!$A$3:$B$3922,2,FALSE)</f>
        <v>Change flags encoded in barycentrics to simplify detection of procedural nodes</v>
      </c>
      <c r="C213" s="325" t="s">
        <v>513</v>
      </c>
      <c r="D213" s="326" t="str">
        <f>VLOOKUP(A213,'Feature Raw Data'!$A$3:$F$3922,6,FALSE)</f>
        <v>TEX</v>
      </c>
      <c r="E213" s="325"/>
      <c r="F213" s="325"/>
      <c r="G213" s="244" t="str">
        <f>VLOOKUP(A213,'Feature Summary'!$A$7:$C$4170,3,FALSE)</f>
        <v>P2</v>
      </c>
      <c r="H213" s="417" t="s">
        <v>524</v>
      </c>
      <c r="I213" s="448" t="s">
        <v>41</v>
      </c>
      <c r="J213" s="325"/>
      <c r="K213" s="326">
        <v>1</v>
      </c>
      <c r="L213" s="326">
        <v>1</v>
      </c>
      <c r="M213" s="582" t="str">
        <f>VLOOKUP(A213,'Feature Raw Data'!$A$3:$E$3922,5,FALSE)</f>
        <v>New</v>
      </c>
      <c r="N213" s="465">
        <v>1</v>
      </c>
      <c r="O213" s="466">
        <v>1</v>
      </c>
      <c r="P213" s="464">
        <f t="shared" si="27"/>
        <v>1</v>
      </c>
      <c r="Q213" s="448" t="s">
        <v>43</v>
      </c>
      <c r="R213" s="326">
        <v>1</v>
      </c>
      <c r="S213" s="496">
        <f t="shared" si="28"/>
        <v>1</v>
      </c>
      <c r="T213" s="485">
        <v>1</v>
      </c>
      <c r="U213" s="485"/>
      <c r="V213" s="485"/>
      <c r="W213" s="485"/>
      <c r="X213" s="497">
        <f t="shared" si="30"/>
        <v>1</v>
      </c>
      <c r="Y213" s="449"/>
      <c r="Z213" s="484">
        <f t="shared" si="29"/>
        <v>0</v>
      </c>
      <c r="AA213" s="485"/>
      <c r="AB213" s="485"/>
      <c r="AC213" s="485"/>
      <c r="AD213" s="485"/>
      <c r="AE213" s="483">
        <f t="shared" si="31"/>
        <v>0</v>
      </c>
      <c r="AF213" s="325"/>
      <c r="AG213" s="450" t="s">
        <v>354</v>
      </c>
      <c r="AH213" s="327"/>
    </row>
    <row r="214" spans="1:34" ht="15.75" thickBot="1" x14ac:dyDescent="0.3">
      <c r="A214" s="576">
        <v>12.449</v>
      </c>
      <c r="B214" s="325" t="str">
        <f>VLOOKUP(A214,'Feature Raw Data'!$A$3:$B$3922,2,FALSE)</f>
        <v>Remove culling with skip_triangles in TA</v>
      </c>
      <c r="C214" s="325" t="s">
        <v>513</v>
      </c>
      <c r="D214" s="326" t="str">
        <f>VLOOKUP(A214,'Feature Raw Data'!$A$3:$F$3922,6,FALSE)</f>
        <v>TEX</v>
      </c>
      <c r="E214" s="325"/>
      <c r="F214" s="325"/>
      <c r="G214" s="244" t="str">
        <f>VLOOKUP(A214,'Feature Summary'!$A$7:$C$4170,3,FALSE)</f>
        <v>P1</v>
      </c>
      <c r="H214" s="417" t="s">
        <v>525</v>
      </c>
      <c r="I214" s="448" t="s">
        <v>41</v>
      </c>
      <c r="J214" s="325"/>
      <c r="K214" s="326">
        <v>1</v>
      </c>
      <c r="L214" s="326">
        <v>2</v>
      </c>
      <c r="M214" s="582" t="str">
        <f>VLOOKUP(A214,'Feature Raw Data'!$A$3:$E$3922,5,FALSE)</f>
        <v>New</v>
      </c>
      <c r="N214" s="465">
        <v>1</v>
      </c>
      <c r="O214" s="466">
        <v>2</v>
      </c>
      <c r="P214" s="464">
        <f t="shared" si="27"/>
        <v>1</v>
      </c>
      <c r="Q214" s="448" t="s">
        <v>43</v>
      </c>
      <c r="R214" s="326">
        <v>2</v>
      </c>
      <c r="S214" s="496">
        <f t="shared" si="28"/>
        <v>2</v>
      </c>
      <c r="T214" s="485">
        <v>2</v>
      </c>
      <c r="U214" s="485"/>
      <c r="V214" s="485"/>
      <c r="W214" s="485"/>
      <c r="X214" s="497">
        <f t="shared" si="30"/>
        <v>1</v>
      </c>
      <c r="Y214" s="449"/>
      <c r="Z214" s="484">
        <f t="shared" si="29"/>
        <v>0</v>
      </c>
      <c r="AA214" s="485"/>
      <c r="AB214" s="485"/>
      <c r="AC214" s="485"/>
      <c r="AD214" s="485"/>
      <c r="AE214" s="483">
        <f t="shared" si="31"/>
        <v>0</v>
      </c>
      <c r="AF214" s="325"/>
      <c r="AG214" s="450" t="s">
        <v>286</v>
      </c>
      <c r="AH214" s="327"/>
    </row>
    <row r="215" spans="1:34" ht="30.75" thickBot="1" x14ac:dyDescent="0.3">
      <c r="A215" s="576">
        <v>12.45</v>
      </c>
      <c r="B215" s="325" t="str">
        <f>VLOOKUP(A215,'Feature Raw Data'!$A$3:$B$3922,2,FALSE)</f>
        <v>Add AtomicAdd packed math for F16</v>
      </c>
      <c r="C215" s="325" t="s">
        <v>366</v>
      </c>
      <c r="D215" s="326" t="str">
        <f>VLOOKUP(A215,'Feature Raw Data'!$A$3:$F$3922,6,FALSE)</f>
        <v>SH</v>
      </c>
      <c r="E215" s="325"/>
      <c r="F215" s="325"/>
      <c r="G215" s="244" t="str">
        <f>VLOOKUP(A215,'Feature Summary'!$A$7:$C$4170,3,FALSE)</f>
        <v>P2</v>
      </c>
      <c r="H215" s="417" t="s">
        <v>526</v>
      </c>
      <c r="I215" s="448" t="s">
        <v>41</v>
      </c>
      <c r="J215" s="325"/>
      <c r="K215" s="326">
        <v>1</v>
      </c>
      <c r="L215" s="326">
        <v>4</v>
      </c>
      <c r="M215" s="582" t="str">
        <f>VLOOKUP(A215,'Feature Raw Data'!$A$3:$E$3922,5,FALSE)</f>
        <v>New</v>
      </c>
      <c r="N215" s="465">
        <v>1</v>
      </c>
      <c r="O215" s="466">
        <v>4</v>
      </c>
      <c r="P215" s="464">
        <f t="shared" si="27"/>
        <v>1</v>
      </c>
      <c r="Q215" s="448" t="s">
        <v>43</v>
      </c>
      <c r="R215" s="326">
        <v>4</v>
      </c>
      <c r="S215" s="496">
        <f t="shared" si="28"/>
        <v>4</v>
      </c>
      <c r="T215" s="485">
        <v>4</v>
      </c>
      <c r="U215" s="485"/>
      <c r="V215" s="485"/>
      <c r="W215" s="485"/>
      <c r="X215" s="497">
        <f t="shared" si="30"/>
        <v>1</v>
      </c>
      <c r="Y215" s="588" t="s">
        <v>527</v>
      </c>
      <c r="Z215" s="484">
        <f t="shared" si="29"/>
        <v>4</v>
      </c>
      <c r="AA215" s="485">
        <v>4</v>
      </c>
      <c r="AB215" s="485"/>
      <c r="AC215" s="485"/>
      <c r="AD215" s="485"/>
      <c r="AE215" s="483">
        <f t="shared" si="31"/>
        <v>1</v>
      </c>
      <c r="AF215" s="325"/>
      <c r="AG215" s="450" t="s">
        <v>277</v>
      </c>
      <c r="AH215" s="327"/>
    </row>
    <row r="216" spans="1:34" ht="15.75" thickBot="1" x14ac:dyDescent="0.3">
      <c r="A216" s="576">
        <v>12.451000000000001</v>
      </c>
      <c r="B216" s="325" t="str">
        <f>VLOOKUP(A216,'Feature Raw Data'!$A$3:$B$3922,2,FALSE)</f>
        <v>Extend compression control support in Texture</v>
      </c>
      <c r="C216" s="325" t="s">
        <v>335</v>
      </c>
      <c r="D216" s="326" t="str">
        <f>VLOOKUP(A216,'Feature Raw Data'!$A$3:$F$3922,6,FALSE)</f>
        <v>TEX</v>
      </c>
      <c r="E216" s="325"/>
      <c r="F216" s="325"/>
      <c r="G216" s="244" t="str">
        <f>VLOOKUP(A216,'Feature Summary'!$A$7:$C$4170,3,FALSE)</f>
        <v>P1</v>
      </c>
      <c r="H216" s="417" t="s">
        <v>994</v>
      </c>
      <c r="I216" s="448" t="s">
        <v>41</v>
      </c>
      <c r="J216" s="325"/>
      <c r="K216" s="326">
        <v>1</v>
      </c>
      <c r="L216" s="326">
        <v>2</v>
      </c>
      <c r="M216" s="582" t="str">
        <f>VLOOKUP(A216,'Feature Raw Data'!$A$3:$E$3922,5,FALSE)</f>
        <v>New</v>
      </c>
      <c r="N216" s="465">
        <v>1</v>
      </c>
      <c r="O216" s="466">
        <v>2</v>
      </c>
      <c r="P216" s="464">
        <f t="shared" si="27"/>
        <v>1</v>
      </c>
      <c r="Q216" s="448" t="s">
        <v>43</v>
      </c>
      <c r="R216" s="326">
        <v>2</v>
      </c>
      <c r="S216" s="496">
        <f t="shared" si="28"/>
        <v>2</v>
      </c>
      <c r="T216" s="485">
        <v>2</v>
      </c>
      <c r="U216" s="485"/>
      <c r="V216" s="485"/>
      <c r="W216" s="485"/>
      <c r="X216" s="497">
        <f t="shared" si="30"/>
        <v>1</v>
      </c>
      <c r="Y216" s="449" t="s">
        <v>528</v>
      </c>
      <c r="Z216" s="484">
        <f t="shared" si="29"/>
        <v>0</v>
      </c>
      <c r="AA216" s="485"/>
      <c r="AB216" s="485"/>
      <c r="AC216" s="485"/>
      <c r="AD216" s="485"/>
      <c r="AE216" s="483">
        <f t="shared" si="31"/>
        <v>0</v>
      </c>
      <c r="AF216" s="325"/>
      <c r="AG216" s="450" t="s">
        <v>286</v>
      </c>
      <c r="AH216" s="327"/>
    </row>
    <row r="217" spans="1:34" ht="15.75" thickBot="1" x14ac:dyDescent="0.3">
      <c r="A217" s="595">
        <v>12.452</v>
      </c>
      <c r="B217" s="325" t="str">
        <f>VLOOKUP(A217,'Feature Raw Data'!$A$3:$B$3922,2,FALSE)</f>
        <v>Breaking SE reuse in Navi48</v>
      </c>
      <c r="C217" s="325" t="s">
        <v>337</v>
      </c>
      <c r="D217" s="326" t="str">
        <f>VLOOKUP(A217,'Feature Raw Data'!$A$3:$F$3922,6,FALSE)</f>
        <v>CMM</v>
      </c>
      <c r="E217" s="325"/>
      <c r="F217" s="325"/>
      <c r="G217" s="244" t="str">
        <f>VLOOKUP(A217,'Feature Summary'!$A$7:$C$4170,3,FALSE)</f>
        <v>P2</v>
      </c>
      <c r="H217" s="417" t="s">
        <v>47</v>
      </c>
      <c r="I217" s="448" t="s">
        <v>47</v>
      </c>
      <c r="J217" s="325"/>
      <c r="K217" s="326">
        <v>1</v>
      </c>
      <c r="L217" s="326">
        <v>0</v>
      </c>
      <c r="M217" s="582" t="str">
        <f>VLOOKUP(A217,'Feature Raw Data'!$A$3:$E$3922,5,FALSE)</f>
        <v>New</v>
      </c>
      <c r="N217" s="465">
        <v>1</v>
      </c>
      <c r="O217" s="466"/>
      <c r="P217" s="464">
        <f t="shared" si="27"/>
        <v>1</v>
      </c>
      <c r="Q217" s="448" t="s">
        <v>47</v>
      </c>
      <c r="R217" s="326">
        <v>0</v>
      </c>
      <c r="S217" s="496">
        <f t="shared" si="28"/>
        <v>0</v>
      </c>
      <c r="T217" s="485"/>
      <c r="U217" s="485"/>
      <c r="V217" s="485"/>
      <c r="W217" s="485"/>
      <c r="X217" s="497">
        <f t="shared" si="30"/>
        <v>1</v>
      </c>
      <c r="Y217" s="449" t="s">
        <v>446</v>
      </c>
      <c r="Z217" s="484">
        <f t="shared" si="29"/>
        <v>0</v>
      </c>
      <c r="AA217" s="485"/>
      <c r="AB217" s="485"/>
      <c r="AC217" s="485"/>
      <c r="AD217" s="485"/>
      <c r="AE217" s="483">
        <f t="shared" si="31"/>
        <v>1</v>
      </c>
      <c r="AF217" s="325"/>
      <c r="AG217" s="450" t="s">
        <v>47</v>
      </c>
      <c r="AH217" s="327"/>
    </row>
    <row r="218" spans="1:34" ht="15.75" thickBot="1" x14ac:dyDescent="0.3">
      <c r="A218" s="576">
        <v>12.452999999999999</v>
      </c>
      <c r="B218" s="325" t="str">
        <f>VLOOKUP(A218,'Feature Raw Data'!$A$3:$B$3922,2,FALSE)</f>
        <v>Add HS and GS Stages to event collection for PS_DONE and PS_PARTIAL_FLUSH</v>
      </c>
      <c r="C218" s="325" t="s">
        <v>313</v>
      </c>
      <c r="D218" s="326" t="str">
        <f>VLOOKUP(A218,'Feature Raw Data'!$A$3:$F$3922,6,FALSE)</f>
        <v>SIO</v>
      </c>
      <c r="E218" s="325"/>
      <c r="F218" s="325"/>
      <c r="G218" s="244" t="str">
        <f>VLOOKUP(A218,'Feature Summary'!$A$7:$C$4170,3,FALSE)</f>
        <v>P2</v>
      </c>
      <c r="H218" s="417" t="s">
        <v>529</v>
      </c>
      <c r="I218" s="448" t="s">
        <v>41</v>
      </c>
      <c r="J218" s="325"/>
      <c r="K218" s="326">
        <v>1</v>
      </c>
      <c r="L218" s="326">
        <v>1</v>
      </c>
      <c r="M218" s="582" t="str">
        <f>VLOOKUP(A218,'Feature Raw Data'!$A$3:$E$3922,5,FALSE)</f>
        <v>New</v>
      </c>
      <c r="N218" s="465">
        <v>1</v>
      </c>
      <c r="O218" s="466">
        <v>1</v>
      </c>
      <c r="P218" s="464">
        <f t="shared" si="27"/>
        <v>1</v>
      </c>
      <c r="Q218" s="448" t="s">
        <v>32</v>
      </c>
      <c r="R218" s="326">
        <v>1</v>
      </c>
      <c r="S218" s="496">
        <f t="shared" si="28"/>
        <v>1</v>
      </c>
      <c r="T218" s="485">
        <v>1</v>
      </c>
      <c r="U218" s="485"/>
      <c r="V218" s="485"/>
      <c r="W218" s="485"/>
      <c r="X218" s="497">
        <f t="shared" si="30"/>
        <v>1</v>
      </c>
      <c r="Y218" s="449"/>
      <c r="Z218" s="484">
        <f t="shared" si="29"/>
        <v>0</v>
      </c>
      <c r="AA218" s="485"/>
      <c r="AB218" s="485"/>
      <c r="AC218" s="485"/>
      <c r="AD218" s="485"/>
      <c r="AE218" s="483">
        <f t="shared" si="31"/>
        <v>0</v>
      </c>
      <c r="AF218" s="325"/>
      <c r="AG218" s="450" t="s">
        <v>286</v>
      </c>
      <c r="AH218" s="327"/>
    </row>
    <row r="219" spans="1:34" ht="15.75" thickBot="1" x14ac:dyDescent="0.3">
      <c r="A219" s="595">
        <v>12.454000000000001</v>
      </c>
      <c r="B219" s="325" t="str">
        <f>VLOOKUP(A219,'Feature Raw Data'!$A$3:$B$3922,2,FALSE)</f>
        <v>Proper Handling of the Force Decompression and Comp Key Read Command on compression-bypassed resources</v>
      </c>
      <c r="C219" s="325" t="s">
        <v>337</v>
      </c>
      <c r="D219" s="326" t="str">
        <f>VLOOKUP(A219,'Feature Raw Data'!$A$3:$F$3922,6,FALSE)</f>
        <v>CMM</v>
      </c>
      <c r="E219" s="325"/>
      <c r="F219" s="325"/>
      <c r="G219" s="244" t="str">
        <f>VLOOKUP(A219,'Feature Summary'!$A$7:$C$4170,3,FALSE)</f>
        <v>P2</v>
      </c>
      <c r="H219" s="417" t="s">
        <v>530</v>
      </c>
      <c r="I219" s="448" t="s">
        <v>41</v>
      </c>
      <c r="J219" s="325" t="s">
        <v>356</v>
      </c>
      <c r="K219" s="326">
        <v>1</v>
      </c>
      <c r="L219" s="326">
        <v>2</v>
      </c>
      <c r="M219" s="582" t="str">
        <f>VLOOKUP(A219,'Feature Raw Data'!$A$3:$E$3922,5,FALSE)</f>
        <v>New</v>
      </c>
      <c r="N219" s="465">
        <v>1</v>
      </c>
      <c r="O219" s="466">
        <v>2</v>
      </c>
      <c r="P219" s="464">
        <f>IF((L219=0),1,(O219/L219))</f>
        <v>1</v>
      </c>
      <c r="Q219" s="448" t="s">
        <v>32</v>
      </c>
      <c r="R219" s="326">
        <v>2</v>
      </c>
      <c r="S219" s="496">
        <f t="shared" si="28"/>
        <v>2</v>
      </c>
      <c r="T219" s="485">
        <v>2</v>
      </c>
      <c r="U219" s="485"/>
      <c r="V219" s="485"/>
      <c r="W219" s="485"/>
      <c r="X219" s="497">
        <f t="shared" si="30"/>
        <v>1</v>
      </c>
      <c r="Y219" s="449"/>
      <c r="Z219" s="484">
        <f t="shared" si="29"/>
        <v>2</v>
      </c>
      <c r="AA219" s="485">
        <v>2</v>
      </c>
      <c r="AB219" s="485"/>
      <c r="AC219" s="485"/>
      <c r="AD219" s="485"/>
      <c r="AE219" s="483">
        <f t="shared" si="31"/>
        <v>1</v>
      </c>
      <c r="AF219" s="325"/>
      <c r="AG219" s="450" t="s">
        <v>354</v>
      </c>
      <c r="AH219" s="327"/>
    </row>
    <row r="220" spans="1:34" ht="15.75" thickBot="1" x14ac:dyDescent="0.3">
      <c r="A220" s="576">
        <v>12.455</v>
      </c>
      <c r="B220" s="325" t="str">
        <f>VLOOKUP(A220,'Feature Raw Data'!$A$3:$B$3922,2,FALSE)</f>
        <v>Decrease CS max grid size support to X,Y,Z = 32b,16b,16b</v>
      </c>
      <c r="C220" s="325" t="s">
        <v>328</v>
      </c>
      <c r="D220" s="326" t="str">
        <f>VLOOKUP(A220,'Feature Raw Data'!$A$3:$F$3922,6,FALSE)</f>
        <v>SIO</v>
      </c>
      <c r="E220" s="325"/>
      <c r="F220" s="325"/>
      <c r="G220" s="244" t="str">
        <f>VLOOKUP(A220,'Feature Summary'!$A$7:$C$4170,3,FALSE)</f>
        <v>P2</v>
      </c>
      <c r="H220" s="417" t="s">
        <v>531</v>
      </c>
      <c r="I220" s="448" t="s">
        <v>35</v>
      </c>
      <c r="J220" s="325"/>
      <c r="K220" s="326">
        <v>1</v>
      </c>
      <c r="L220" s="326">
        <v>1</v>
      </c>
      <c r="M220" s="582" t="str">
        <f>VLOOKUP(A220,'Feature Raw Data'!$A$3:$E$3922,5,FALSE)</f>
        <v>New</v>
      </c>
      <c r="N220" s="465">
        <v>1</v>
      </c>
      <c r="O220" s="466">
        <v>1</v>
      </c>
      <c r="P220" s="464">
        <f t="shared" si="27"/>
        <v>1</v>
      </c>
      <c r="Q220" s="448" t="s">
        <v>32</v>
      </c>
      <c r="R220" s="326">
        <v>1</v>
      </c>
      <c r="S220" s="496">
        <f t="shared" si="28"/>
        <v>0</v>
      </c>
      <c r="T220" s="485"/>
      <c r="U220" s="485"/>
      <c r="V220" s="485"/>
      <c r="W220" s="485"/>
      <c r="X220" s="497">
        <f t="shared" si="30"/>
        <v>0</v>
      </c>
      <c r="Y220" s="449"/>
      <c r="Z220" s="484">
        <f t="shared" si="29"/>
        <v>0</v>
      </c>
      <c r="AA220" s="485"/>
      <c r="AB220" s="485"/>
      <c r="AC220" s="485"/>
      <c r="AD220" s="485"/>
      <c r="AE220" s="483">
        <f t="shared" si="31"/>
        <v>0</v>
      </c>
      <c r="AF220" s="325"/>
      <c r="AG220" s="450" t="s">
        <v>286</v>
      </c>
      <c r="AH220" s="327"/>
    </row>
    <row r="221" spans="1:34" ht="15.75" thickBot="1" x14ac:dyDescent="0.3">
      <c r="A221" s="576">
        <v>12.457000000000001</v>
      </c>
      <c r="B221" s="325" t="str">
        <f>VLOOKUP(A221,'Feature Raw Data'!$A$3:$B$3922,2,FALSE)</f>
        <v>Decrompress BLTs via SDMA</v>
      </c>
      <c r="C221" s="325" t="s">
        <v>319</v>
      </c>
      <c r="D221" s="326" t="str">
        <f>VLOOKUP(A221,'Feature Raw Data'!$A$3:$F$3922,6,FALSE)</f>
        <v>CTL</v>
      </c>
      <c r="E221" s="325"/>
      <c r="F221" s="325"/>
      <c r="G221" s="244" t="str">
        <f>VLOOKUP(A221,'Feature Summary'!$A$7:$C$4170,3,FALSE)</f>
        <v>P2</v>
      </c>
      <c r="H221" s="417" t="s">
        <v>47</v>
      </c>
      <c r="I221" s="448" t="s">
        <v>47</v>
      </c>
      <c r="J221" s="325"/>
      <c r="K221" s="326">
        <v>1</v>
      </c>
      <c r="L221" s="326">
        <v>0</v>
      </c>
      <c r="M221" s="582" t="str">
        <f>VLOOKUP(A221,'Feature Raw Data'!$A$3:$E$3922,5,FALSE)</f>
        <v>New</v>
      </c>
      <c r="N221" s="465">
        <v>1</v>
      </c>
      <c r="O221" s="466"/>
      <c r="P221" s="464">
        <f t="shared" si="27"/>
        <v>1</v>
      </c>
      <c r="Q221" s="448" t="s">
        <v>47</v>
      </c>
      <c r="R221" s="326">
        <v>0</v>
      </c>
      <c r="S221" s="496">
        <f t="shared" si="28"/>
        <v>0</v>
      </c>
      <c r="T221" s="485"/>
      <c r="U221" s="485"/>
      <c r="V221" s="485"/>
      <c r="W221" s="485"/>
      <c r="X221" s="497">
        <f t="shared" si="30"/>
        <v>1</v>
      </c>
      <c r="Y221" s="449"/>
      <c r="Z221" s="484">
        <f t="shared" si="29"/>
        <v>0</v>
      </c>
      <c r="AA221" s="485"/>
      <c r="AB221" s="485"/>
      <c r="AC221" s="485"/>
      <c r="AD221" s="485"/>
      <c r="AE221" s="483">
        <f t="shared" si="31"/>
        <v>1</v>
      </c>
      <c r="AF221" s="325"/>
      <c r="AG221" s="450" t="s">
        <v>47</v>
      </c>
      <c r="AH221" s="327"/>
    </row>
    <row r="222" spans="1:34" ht="15.75" thickBot="1" x14ac:dyDescent="0.3">
      <c r="A222" s="576">
        <v>12.458</v>
      </c>
      <c r="B222" s="325" t="str">
        <f>VLOOKUP(A222,'Feature Raw Data'!$A$3:$B$3922,2,FALSE)</f>
        <v>Descope VRS Compression feature</v>
      </c>
      <c r="C222" s="325" t="s">
        <v>310</v>
      </c>
      <c r="D222" s="326" t="str">
        <f>VLOOKUP(A222,'Feature Raw Data'!$A$3:$F$3922,6,FALSE)</f>
        <v>PP</v>
      </c>
      <c r="E222" s="325"/>
      <c r="F222" s="325"/>
      <c r="G222" s="244" t="str">
        <f>VLOOKUP(A222,'Feature Summary'!$A$7:$C$4170,3,FALSE)</f>
        <v>P2</v>
      </c>
      <c r="H222" s="417" t="s">
        <v>47</v>
      </c>
      <c r="I222" s="448" t="s">
        <v>47</v>
      </c>
      <c r="J222" s="325"/>
      <c r="K222" s="326">
        <v>1</v>
      </c>
      <c r="L222" s="326">
        <v>0</v>
      </c>
      <c r="M222" s="582" t="str">
        <f>VLOOKUP(A222,'Feature Raw Data'!$A$3:$E$3922,5,FALSE)</f>
        <v>New</v>
      </c>
      <c r="N222" s="465">
        <v>1</v>
      </c>
      <c r="O222" s="466"/>
      <c r="P222" s="464">
        <f t="shared" si="27"/>
        <v>1</v>
      </c>
      <c r="Q222" s="448" t="s">
        <v>47</v>
      </c>
      <c r="R222" s="326">
        <v>0</v>
      </c>
      <c r="S222" s="496">
        <f t="shared" si="28"/>
        <v>0</v>
      </c>
      <c r="T222" s="485"/>
      <c r="U222" s="485"/>
      <c r="V222" s="485"/>
      <c r="W222" s="485"/>
      <c r="X222" s="497">
        <f t="shared" si="30"/>
        <v>1</v>
      </c>
      <c r="Y222" s="584" t="s">
        <v>382</v>
      </c>
      <c r="Z222" s="484">
        <f t="shared" si="29"/>
        <v>0</v>
      </c>
      <c r="AA222" s="485"/>
      <c r="AB222" s="485"/>
      <c r="AC222" s="485"/>
      <c r="AD222" s="485"/>
      <c r="AE222" s="483">
        <f t="shared" si="31"/>
        <v>1</v>
      </c>
      <c r="AF222" s="325"/>
      <c r="AG222" s="450" t="s">
        <v>47</v>
      </c>
      <c r="AH222" s="327"/>
    </row>
    <row r="223" spans="1:34" ht="15.75" thickBot="1" x14ac:dyDescent="0.3">
      <c r="A223" s="576">
        <v>12.459</v>
      </c>
      <c r="B223" s="325" t="str">
        <f>VLOOKUP(A223,'Feature Raw Data'!$A$3:$B$3922,2,FALSE)</f>
        <v>Remove support for Shared VGPRs and Subvector Execution</v>
      </c>
      <c r="C223" s="325" t="s">
        <v>366</v>
      </c>
      <c r="D223" s="326" t="str">
        <f>VLOOKUP(A223,'Feature Raw Data'!$A$3:$F$3922,6,FALSE)</f>
        <v>SH</v>
      </c>
      <c r="E223" s="325"/>
      <c r="F223" s="325"/>
      <c r="G223" s="244" t="str">
        <f>VLOOKUP(A223,'Feature Summary'!$A$7:$C$4170,3,FALSE)</f>
        <v>P2</v>
      </c>
      <c r="H223" s="417" t="s">
        <v>47</v>
      </c>
      <c r="I223" s="448" t="s">
        <v>47</v>
      </c>
      <c r="J223" s="325"/>
      <c r="K223" s="326">
        <v>1</v>
      </c>
      <c r="L223" s="326">
        <v>0</v>
      </c>
      <c r="M223" s="582" t="str">
        <f>VLOOKUP(A223,'Feature Raw Data'!$A$3:$E$3922,5,FALSE)</f>
        <v>New</v>
      </c>
      <c r="N223" s="465">
        <v>1</v>
      </c>
      <c r="O223" s="466"/>
      <c r="P223" s="464">
        <f t="shared" si="27"/>
        <v>1</v>
      </c>
      <c r="Q223" s="448" t="s">
        <v>47</v>
      </c>
      <c r="R223" s="326">
        <v>0</v>
      </c>
      <c r="S223" s="496">
        <f t="shared" si="28"/>
        <v>0</v>
      </c>
      <c r="T223" s="485"/>
      <c r="U223" s="485"/>
      <c r="V223" s="485"/>
      <c r="W223" s="485"/>
      <c r="X223" s="497">
        <f t="shared" si="30"/>
        <v>1</v>
      </c>
      <c r="Y223" s="584" t="s">
        <v>464</v>
      </c>
      <c r="Z223" s="484">
        <f t="shared" si="29"/>
        <v>0</v>
      </c>
      <c r="AA223" s="485"/>
      <c r="AB223" s="485"/>
      <c r="AC223" s="485"/>
      <c r="AD223" s="485"/>
      <c r="AE223" s="483">
        <f t="shared" si="31"/>
        <v>1</v>
      </c>
      <c r="AF223" s="325"/>
      <c r="AG223" s="450" t="s">
        <v>47</v>
      </c>
      <c r="AH223" s="327"/>
    </row>
    <row r="224" spans="1:34" ht="15.75" thickBot="1" x14ac:dyDescent="0.3">
      <c r="A224" s="576">
        <v>12.46</v>
      </c>
      <c r="B224" s="325" t="str">
        <f>VLOOKUP(A224,'Feature Raw Data'!$A$3:$B$3922,2,FALSE)</f>
        <v xml:space="preserve">BVH Footprint Improvement
</v>
      </c>
      <c r="C224" s="325" t="s">
        <v>335</v>
      </c>
      <c r="D224" s="326" t="str">
        <f>VLOOKUP(A224,'Feature Raw Data'!$A$3:$F$3922,6,FALSE)</f>
        <v>TEX</v>
      </c>
      <c r="E224" s="325"/>
      <c r="F224" s="325"/>
      <c r="G224" s="244" t="str">
        <f>VLOOKUP(A224,'Feature Summary'!$A$7:$C$4170,3,FALSE)</f>
        <v>P2</v>
      </c>
      <c r="H224" s="417" t="s">
        <v>995</v>
      </c>
      <c r="I224" s="448" t="s">
        <v>41</v>
      </c>
      <c r="J224" s="325"/>
      <c r="K224" s="326">
        <v>1</v>
      </c>
      <c r="L224" s="326">
        <v>8</v>
      </c>
      <c r="M224" s="582" t="str">
        <f>VLOOKUP(A224,'Feature Raw Data'!$A$3:$E$3922,5,FALSE)</f>
        <v>New</v>
      </c>
      <c r="N224" s="465">
        <v>1</v>
      </c>
      <c r="O224" s="466">
        <v>8</v>
      </c>
      <c r="P224" s="464">
        <f t="shared" si="27"/>
        <v>1</v>
      </c>
      <c r="Q224" s="448" t="s">
        <v>43</v>
      </c>
      <c r="R224" s="326">
        <v>4</v>
      </c>
      <c r="S224" s="496">
        <f t="shared" si="28"/>
        <v>4</v>
      </c>
      <c r="T224" s="485">
        <v>4</v>
      </c>
      <c r="U224" s="485"/>
      <c r="V224" s="485"/>
      <c r="W224" s="485"/>
      <c r="X224" s="497">
        <f t="shared" si="30"/>
        <v>1</v>
      </c>
      <c r="Y224" s="449"/>
      <c r="Z224" s="484">
        <f t="shared" si="29"/>
        <v>0</v>
      </c>
      <c r="AA224" s="485"/>
      <c r="AB224" s="485"/>
      <c r="AC224" s="485"/>
      <c r="AD224" s="485"/>
      <c r="AE224" s="483">
        <f t="shared" si="31"/>
        <v>0</v>
      </c>
      <c r="AF224" s="325"/>
      <c r="AG224" s="450" t="s">
        <v>277</v>
      </c>
      <c r="AH224" s="327"/>
    </row>
    <row r="225" spans="1:34" ht="15.75" thickBot="1" x14ac:dyDescent="0.3">
      <c r="A225" s="576">
        <v>12.461</v>
      </c>
      <c r="B225" s="325" t="str">
        <f>VLOOKUP(A225,'Feature Raw Data'!$A$3:$B$3922,2,FALSE)</f>
        <v xml:space="preserve">RT support for OBB and Instance Node Intersection
</v>
      </c>
      <c r="C225" s="325" t="s">
        <v>335</v>
      </c>
      <c r="D225" s="326" t="str">
        <f>VLOOKUP(A225,'Feature Raw Data'!$A$3:$F$3922,6,FALSE)</f>
        <v>TEX</v>
      </c>
      <c r="E225" s="325"/>
      <c r="F225" s="325"/>
      <c r="G225" s="244" t="str">
        <f>VLOOKUP(A225,'Feature Summary'!$A$7:$C$4170,3,FALSE)</f>
        <v>P2</v>
      </c>
      <c r="H225" s="417" t="s">
        <v>981</v>
      </c>
      <c r="I225" s="448" t="s">
        <v>41</v>
      </c>
      <c r="J225" s="325"/>
      <c r="K225" s="326">
        <v>1</v>
      </c>
      <c r="L225" s="326">
        <v>108</v>
      </c>
      <c r="M225" s="582" t="str">
        <f>VLOOKUP(A225,'Feature Raw Data'!$A$3:$E$3922,5,FALSE)</f>
        <v>New</v>
      </c>
      <c r="N225" s="465">
        <v>1</v>
      </c>
      <c r="O225" s="466">
        <v>108</v>
      </c>
      <c r="P225" s="464">
        <f t="shared" si="27"/>
        <v>1</v>
      </c>
      <c r="Q225" s="448" t="s">
        <v>43</v>
      </c>
      <c r="R225" s="326">
        <v>20</v>
      </c>
      <c r="S225" s="496">
        <f t="shared" si="28"/>
        <v>20</v>
      </c>
      <c r="T225" s="485">
        <v>20</v>
      </c>
      <c r="U225" s="485"/>
      <c r="V225" s="485"/>
      <c r="W225" s="485"/>
      <c r="X225" s="497">
        <f t="shared" si="30"/>
        <v>1</v>
      </c>
      <c r="Y225" s="449"/>
      <c r="Z225" s="484">
        <f t="shared" si="29"/>
        <v>0</v>
      </c>
      <c r="AA225" s="485"/>
      <c r="AB225" s="485"/>
      <c r="AC225" s="485"/>
      <c r="AD225" s="485"/>
      <c r="AE225" s="483">
        <f t="shared" si="31"/>
        <v>0</v>
      </c>
      <c r="AF225" s="325"/>
      <c r="AG225" s="450" t="s">
        <v>354</v>
      </c>
      <c r="AH225" s="327"/>
    </row>
    <row r="226" spans="1:34" ht="15.75" thickBot="1" x14ac:dyDescent="0.3">
      <c r="A226" s="576">
        <v>12.462</v>
      </c>
      <c r="B226" s="325" t="str">
        <f>VLOOKUP(A226,'Feature Raw Data'!$A$3:$B$3922,2,FALSE)</f>
        <v xml:space="preserve">Descope Verification of 16xaa for VRS Coarse Rates (1x2, 2x2, 2x1)
</v>
      </c>
      <c r="C226" s="325" t="s">
        <v>310</v>
      </c>
      <c r="D226" s="326" t="str">
        <f>VLOOKUP(A226,'Feature Raw Data'!$A$3:$F$3922,6,FALSE)</f>
        <v>PP</v>
      </c>
      <c r="E226" s="325"/>
      <c r="F226" s="325"/>
      <c r="G226" s="244" t="str">
        <f>VLOOKUP(A226,'Feature Summary'!$A$7:$C$4170,3,FALSE)</f>
        <v>P3</v>
      </c>
      <c r="H226" s="417" t="s">
        <v>47</v>
      </c>
      <c r="I226" s="448" t="s">
        <v>47</v>
      </c>
      <c r="J226" s="325"/>
      <c r="K226" s="326">
        <v>1</v>
      </c>
      <c r="L226" s="326">
        <v>0</v>
      </c>
      <c r="M226" s="582" t="str">
        <f>VLOOKUP(A226,'Feature Raw Data'!$A$3:$E$3922,5,FALSE)</f>
        <v>New</v>
      </c>
      <c r="N226" s="465">
        <v>1</v>
      </c>
      <c r="O226" s="466"/>
      <c r="P226" s="464">
        <f t="shared" si="27"/>
        <v>1</v>
      </c>
      <c r="Q226" s="448" t="s">
        <v>47</v>
      </c>
      <c r="R226" s="326">
        <v>0</v>
      </c>
      <c r="S226" s="496">
        <f t="shared" si="28"/>
        <v>0</v>
      </c>
      <c r="T226" s="485"/>
      <c r="U226" s="485"/>
      <c r="V226" s="485"/>
      <c r="W226" s="485"/>
      <c r="X226" s="497">
        <f t="shared" si="30"/>
        <v>1</v>
      </c>
      <c r="Y226" s="584" t="s">
        <v>382</v>
      </c>
      <c r="Z226" s="484">
        <f t="shared" si="29"/>
        <v>0</v>
      </c>
      <c r="AA226" s="485"/>
      <c r="AB226" s="485"/>
      <c r="AC226" s="485"/>
      <c r="AD226" s="485"/>
      <c r="AE226" s="483">
        <f t="shared" si="31"/>
        <v>1</v>
      </c>
      <c r="AF226" s="325"/>
      <c r="AG226" s="450" t="s">
        <v>47</v>
      </c>
      <c r="AH226" s="327"/>
    </row>
    <row r="227" spans="1:34" ht="15.75" thickBot="1" x14ac:dyDescent="0.3">
      <c r="A227" s="576">
        <v>12.462999999999999</v>
      </c>
      <c r="B227" s="325" t="str">
        <f>VLOOKUP(A227,'Feature Raw Data'!$A$3:$B$3922,2,FALSE)</f>
        <v>GFXCLK Deep Sleep trigger based on XVMIN</v>
      </c>
      <c r="C227" s="325" t="s">
        <v>322</v>
      </c>
      <c r="D227" s="326" t="str">
        <f>VLOOKUP(A227,'Feature Raw Data'!$A$3:$F$3922,6,FALSE)</f>
        <v>CTL</v>
      </c>
      <c r="E227" s="325"/>
      <c r="F227" s="325"/>
      <c r="G227" s="244" t="str">
        <f>VLOOKUP(A227,'Feature Summary'!$A$7:$C$4170,3,FALSE)</f>
        <v>P2</v>
      </c>
      <c r="H227" s="417" t="s">
        <v>47</v>
      </c>
      <c r="I227" s="448" t="s">
        <v>47</v>
      </c>
      <c r="J227" s="325"/>
      <c r="K227" s="326">
        <v>1</v>
      </c>
      <c r="L227" s="326">
        <v>0</v>
      </c>
      <c r="M227" s="582" t="str">
        <f>VLOOKUP(A227,'Feature Raw Data'!$A$3:$E$3922,5,FALSE)</f>
        <v>New</v>
      </c>
      <c r="N227" s="465">
        <v>1</v>
      </c>
      <c r="O227" s="466"/>
      <c r="P227" s="464">
        <f t="shared" si="27"/>
        <v>1</v>
      </c>
      <c r="Q227" s="448" t="s">
        <v>47</v>
      </c>
      <c r="R227" s="326">
        <v>0</v>
      </c>
      <c r="S227" s="496">
        <f t="shared" si="28"/>
        <v>0</v>
      </c>
      <c r="T227" s="485"/>
      <c r="U227" s="485"/>
      <c r="V227" s="485"/>
      <c r="W227" s="485"/>
      <c r="X227" s="497">
        <f t="shared" si="30"/>
        <v>1</v>
      </c>
      <c r="Y227" s="449" t="s">
        <v>532</v>
      </c>
      <c r="Z227" s="484">
        <f t="shared" si="29"/>
        <v>0</v>
      </c>
      <c r="AA227" s="485"/>
      <c r="AB227" s="485"/>
      <c r="AC227" s="485"/>
      <c r="AD227" s="485"/>
      <c r="AE227" s="483">
        <f t="shared" si="31"/>
        <v>1</v>
      </c>
      <c r="AF227" s="325"/>
      <c r="AG227" s="450" t="s">
        <v>47</v>
      </c>
      <c r="AH227" s="327"/>
    </row>
    <row r="228" spans="1:34" ht="15.75" thickBot="1" x14ac:dyDescent="0.3">
      <c r="A228" s="576">
        <v>12.464</v>
      </c>
      <c r="B228" s="325" t="str">
        <f>VLOOKUP(A228,'Feature Raw Data'!$A$3:$B$3922,2,FALSE)</f>
        <v>SP Throttling and the first DIDT droop</v>
      </c>
      <c r="C228" s="325" t="s">
        <v>366</v>
      </c>
      <c r="D228" s="326" t="str">
        <f>VLOOKUP(A228,'Feature Raw Data'!$A$3:$F$3922,6,FALSE)</f>
        <v>SH</v>
      </c>
      <c r="E228" s="325"/>
      <c r="F228" s="325"/>
      <c r="G228" s="244" t="str">
        <f>VLOOKUP(A228,'Feature Summary'!$A$7:$C$4170,3,FALSE)</f>
        <v>P2</v>
      </c>
      <c r="H228" s="417" t="s">
        <v>47</v>
      </c>
      <c r="I228" s="448" t="s">
        <v>47</v>
      </c>
      <c r="J228" s="325"/>
      <c r="K228" s="326">
        <v>1</v>
      </c>
      <c r="L228" s="326">
        <v>0</v>
      </c>
      <c r="M228" s="582" t="str">
        <f>VLOOKUP(A228,'Feature Raw Data'!$A$3:$E$3922,5,FALSE)</f>
        <v>New</v>
      </c>
      <c r="N228" s="465">
        <v>1</v>
      </c>
      <c r="O228" s="466"/>
      <c r="P228" s="464">
        <f t="shared" si="27"/>
        <v>1</v>
      </c>
      <c r="Q228" s="448" t="s">
        <v>47</v>
      </c>
      <c r="R228" s="326">
        <v>0</v>
      </c>
      <c r="S228" s="496">
        <f t="shared" si="28"/>
        <v>0</v>
      </c>
      <c r="T228" s="485"/>
      <c r="U228" s="485"/>
      <c r="V228" s="485"/>
      <c r="W228" s="485"/>
      <c r="X228" s="497">
        <f t="shared" si="30"/>
        <v>1</v>
      </c>
      <c r="Y228" s="449" t="s">
        <v>464</v>
      </c>
      <c r="Z228" s="484">
        <f t="shared" si="29"/>
        <v>0</v>
      </c>
      <c r="AA228" s="485"/>
      <c r="AB228" s="485"/>
      <c r="AC228" s="485"/>
      <c r="AD228" s="485"/>
      <c r="AE228" s="483">
        <f t="shared" si="31"/>
        <v>1</v>
      </c>
      <c r="AF228" s="325"/>
      <c r="AG228" s="450" t="s">
        <v>47</v>
      </c>
      <c r="AH228" s="327"/>
    </row>
    <row r="229" spans="1:34" ht="15.75" thickBot="1" x14ac:dyDescent="0.3">
      <c r="A229" s="576">
        <v>12.465</v>
      </c>
      <c r="B229" s="325" t="str">
        <f>VLOOKUP(A229,'Feature Raw Data'!$A$3:$B$3922,2,FALSE)</f>
        <v>SP src operand invalidated by td/lds return</v>
      </c>
      <c r="C229" s="325" t="s">
        <v>366</v>
      </c>
      <c r="D229" s="326" t="str">
        <f>VLOOKUP(A229,'Feature Raw Data'!$A$3:$F$3922,6,FALSE)</f>
        <v>SH</v>
      </c>
      <c r="E229" s="325"/>
      <c r="F229" s="325"/>
      <c r="G229" s="244" t="str">
        <f>VLOOKUP(A229,'Feature Summary'!$A$7:$C$4170,3,FALSE)</f>
        <v>P2</v>
      </c>
      <c r="H229" s="417" t="s">
        <v>533</v>
      </c>
      <c r="I229" s="448" t="s">
        <v>41</v>
      </c>
      <c r="J229" s="325"/>
      <c r="K229" s="326">
        <v>1</v>
      </c>
      <c r="L229" s="326">
        <v>1</v>
      </c>
      <c r="M229" s="582" t="str">
        <f>VLOOKUP(A229,'Feature Raw Data'!$A$3:$E$3922,5,FALSE)</f>
        <v>New</v>
      </c>
      <c r="N229" s="465">
        <v>1</v>
      </c>
      <c r="O229" s="466">
        <v>1</v>
      </c>
      <c r="P229" s="464">
        <f t="shared" si="27"/>
        <v>1</v>
      </c>
      <c r="Q229" s="448" t="s">
        <v>43</v>
      </c>
      <c r="R229" s="326">
        <v>1</v>
      </c>
      <c r="S229" s="496">
        <f t="shared" si="28"/>
        <v>1</v>
      </c>
      <c r="T229" s="485">
        <v>1</v>
      </c>
      <c r="U229" s="485"/>
      <c r="V229" s="485"/>
      <c r="W229" s="485"/>
      <c r="X229" s="497">
        <f t="shared" si="30"/>
        <v>1</v>
      </c>
      <c r="Y229" s="449"/>
      <c r="Z229" s="484">
        <f t="shared" si="29"/>
        <v>1</v>
      </c>
      <c r="AA229" s="485">
        <v>1</v>
      </c>
      <c r="AB229" s="485"/>
      <c r="AC229" s="485"/>
      <c r="AD229" s="485"/>
      <c r="AE229" s="483">
        <f t="shared" si="31"/>
        <v>1</v>
      </c>
      <c r="AF229" s="325"/>
      <c r="AG229" s="450" t="s">
        <v>286</v>
      </c>
      <c r="AH229" s="327"/>
    </row>
    <row r="230" spans="1:34" ht="15.75" thickBot="1" x14ac:dyDescent="0.3">
      <c r="A230" s="576">
        <v>12.465999999999999</v>
      </c>
      <c r="B230" s="325" t="str">
        <f>VLOOKUP(A230,'Feature Raw Data'!$A$3:$B$3922,2,FALSE)</f>
        <v>Distributed DIDT controller</v>
      </c>
      <c r="C230" s="325" t="s">
        <v>396</v>
      </c>
      <c r="D230" s="326" t="str">
        <f>VLOOKUP(A230,'Feature Raw Data'!$A$3:$F$3922,6,FALSE)</f>
        <v>CTL</v>
      </c>
      <c r="E230" s="325"/>
      <c r="F230" s="325"/>
      <c r="G230" s="244" t="str">
        <f>VLOOKUP(A230,'Feature Summary'!$A$7:$C$4170,3,FALSE)</f>
        <v>P2</v>
      </c>
      <c r="H230" s="417" t="s">
        <v>47</v>
      </c>
      <c r="I230" s="448" t="s">
        <v>47</v>
      </c>
      <c r="J230" s="325"/>
      <c r="K230" s="326">
        <v>1</v>
      </c>
      <c r="L230" s="326">
        <v>0</v>
      </c>
      <c r="M230" s="582" t="str">
        <f>VLOOKUP(A230,'Feature Raw Data'!$A$3:$E$3922,5,FALSE)</f>
        <v>New</v>
      </c>
      <c r="N230" s="465">
        <v>1</v>
      </c>
      <c r="O230" s="466"/>
      <c r="P230" s="464">
        <f t="shared" si="27"/>
        <v>1</v>
      </c>
      <c r="Q230" s="448" t="s">
        <v>32</v>
      </c>
      <c r="R230" s="326">
        <v>1</v>
      </c>
      <c r="S230" s="496">
        <f t="shared" si="28"/>
        <v>0</v>
      </c>
      <c r="T230" s="485"/>
      <c r="U230" s="485"/>
      <c r="V230" s="485"/>
      <c r="W230" s="485"/>
      <c r="X230" s="497">
        <f t="shared" si="30"/>
        <v>0</v>
      </c>
      <c r="Y230" s="449" t="s">
        <v>534</v>
      </c>
      <c r="Z230" s="484">
        <f t="shared" si="29"/>
        <v>0</v>
      </c>
      <c r="AA230" s="485"/>
      <c r="AB230" s="485"/>
      <c r="AC230" s="485"/>
      <c r="AD230" s="485"/>
      <c r="AE230" s="483">
        <f t="shared" si="31"/>
        <v>1</v>
      </c>
      <c r="AF230" s="325"/>
      <c r="AG230" s="450" t="s">
        <v>354</v>
      </c>
      <c r="AH230" s="327"/>
    </row>
    <row r="231" spans="1:34" ht="15.75" thickBot="1" x14ac:dyDescent="0.3">
      <c r="A231" s="576">
        <v>12.467000000000001</v>
      </c>
      <c r="B231" s="325" t="str">
        <f>VLOOKUP(A231,'Feature Raw Data'!$A$3:$B$3922,2,FALSE)</f>
        <v>GRBM/H SYNC registers</v>
      </c>
      <c r="C231" s="325" t="s">
        <v>398</v>
      </c>
      <c r="D231" s="326" t="str">
        <f>VLOOKUP(A231,'Feature Raw Data'!$A$3:$F$3922,6,FALSE)</f>
        <v>CTL</v>
      </c>
      <c r="E231" s="325"/>
      <c r="F231" s="325"/>
      <c r="G231" s="244" t="str">
        <f>VLOOKUP(A231,'Feature Summary'!$A$7:$C$4170,3,FALSE)</f>
        <v>P1</v>
      </c>
      <c r="H231" s="417" t="s">
        <v>535</v>
      </c>
      <c r="I231" s="448" t="s">
        <v>41</v>
      </c>
      <c r="J231" s="325"/>
      <c r="K231" s="326">
        <v>1</v>
      </c>
      <c r="L231" s="326">
        <v>2</v>
      </c>
      <c r="M231" s="582" t="str">
        <f>VLOOKUP(A231,'Feature Raw Data'!$A$3:$E$3922,5,FALSE)</f>
        <v>New</v>
      </c>
      <c r="N231" s="465">
        <v>1</v>
      </c>
      <c r="O231" s="466">
        <v>1</v>
      </c>
      <c r="P231" s="464">
        <f t="shared" si="27"/>
        <v>0.5</v>
      </c>
      <c r="Q231" s="448" t="s">
        <v>32</v>
      </c>
      <c r="R231" s="326">
        <v>2</v>
      </c>
      <c r="S231" s="496">
        <f t="shared" si="28"/>
        <v>0</v>
      </c>
      <c r="T231" s="485"/>
      <c r="U231" s="485"/>
      <c r="V231" s="485"/>
      <c r="W231" s="485"/>
      <c r="X231" s="497">
        <f t="shared" si="30"/>
        <v>0</v>
      </c>
      <c r="Y231" s="449"/>
      <c r="Z231" s="484">
        <f t="shared" si="29"/>
        <v>0</v>
      </c>
      <c r="AA231" s="485"/>
      <c r="AB231" s="485"/>
      <c r="AC231" s="485"/>
      <c r="AD231" s="485"/>
      <c r="AE231" s="483">
        <f t="shared" si="31"/>
        <v>0</v>
      </c>
      <c r="AF231" s="325"/>
      <c r="AG231" s="450" t="s">
        <v>318</v>
      </c>
      <c r="AH231" s="327"/>
    </row>
    <row r="232" spans="1:34" ht="15.75" thickBot="1" x14ac:dyDescent="0.3">
      <c r="A232" s="576">
        <v>12.468</v>
      </c>
      <c r="B232" s="325" t="str">
        <f>VLOOKUP(A232,'Feature Raw Data'!$A$3:$B$3922,2,FALSE)</f>
        <v>RS64: Adding performance features for both Navi4x and MI400</v>
      </c>
      <c r="C232" s="325" t="s">
        <v>398</v>
      </c>
      <c r="D232" s="326" t="str">
        <f>VLOOKUP(A232,'Feature Raw Data'!$A$3:$F$3922,6,FALSE)</f>
        <v>CTL</v>
      </c>
      <c r="E232" s="325"/>
      <c r="F232" s="325"/>
      <c r="G232" s="244" t="str">
        <f>VLOOKUP(A232,'Feature Summary'!$A$7:$C$4170,3,FALSE)</f>
        <v>P2</v>
      </c>
      <c r="H232" s="417" t="s">
        <v>47</v>
      </c>
      <c r="I232" s="448" t="s">
        <v>47</v>
      </c>
      <c r="J232" s="325"/>
      <c r="K232" s="326">
        <v>1</v>
      </c>
      <c r="L232" s="326">
        <v>0</v>
      </c>
      <c r="M232" s="582" t="str">
        <f>VLOOKUP(A232,'Feature Raw Data'!$A$3:$E$3922,5,FALSE)</f>
        <v>New</v>
      </c>
      <c r="N232" s="465">
        <v>1</v>
      </c>
      <c r="O232" s="466"/>
      <c r="P232" s="464">
        <f t="shared" si="27"/>
        <v>1</v>
      </c>
      <c r="Q232" s="448" t="s">
        <v>47</v>
      </c>
      <c r="R232" s="326">
        <v>0</v>
      </c>
      <c r="S232" s="496">
        <f t="shared" si="28"/>
        <v>0</v>
      </c>
      <c r="T232" s="485"/>
      <c r="U232" s="485"/>
      <c r="V232" s="485"/>
      <c r="W232" s="485"/>
      <c r="X232" s="497">
        <f t="shared" si="30"/>
        <v>1</v>
      </c>
      <c r="Y232" s="449" t="s">
        <v>536</v>
      </c>
      <c r="Z232" s="484">
        <f t="shared" si="29"/>
        <v>0</v>
      </c>
      <c r="AA232" s="485"/>
      <c r="AB232" s="485"/>
      <c r="AC232" s="485"/>
      <c r="AD232" s="485"/>
      <c r="AE232" s="483">
        <f t="shared" si="31"/>
        <v>1</v>
      </c>
      <c r="AF232" s="325"/>
      <c r="AG232" s="450" t="s">
        <v>47</v>
      </c>
      <c r="AH232" s="327"/>
    </row>
    <row r="233" spans="1:34" s="172" customFormat="1" ht="15.75" thickBot="1" x14ac:dyDescent="0.3">
      <c r="A233" s="576">
        <v>12.468999999999999</v>
      </c>
      <c r="B233" s="325" t="str">
        <f>VLOOKUP(A233,'Feature Raw Data'!$A$3:$B$3922,2,FALSE)</f>
        <v>F8 1.4.3 IEEE mode behavior change (match with NV)</v>
      </c>
      <c r="C233" s="325" t="s">
        <v>366</v>
      </c>
      <c r="D233" s="326" t="str">
        <f>VLOOKUP(A233,'Feature Raw Data'!$A$3:$F$3922,6,FALSE)</f>
        <v>SH</v>
      </c>
      <c r="E233" s="325"/>
      <c r="F233" s="325"/>
      <c r="G233" s="244" t="str">
        <f>VLOOKUP(A233,'Feature Summary'!$A$7:$C$4170,3,FALSE)</f>
        <v>P2</v>
      </c>
      <c r="H233" s="417" t="s">
        <v>537</v>
      </c>
      <c r="I233" s="448" t="s">
        <v>41</v>
      </c>
      <c r="J233" s="325"/>
      <c r="K233" s="326">
        <v>1</v>
      </c>
      <c r="L233" s="326">
        <v>4</v>
      </c>
      <c r="M233" s="582" t="str">
        <f>VLOOKUP(A233,'Feature Raw Data'!$A$3:$E$3922,5,FALSE)</f>
        <v>New</v>
      </c>
      <c r="N233" s="465">
        <v>1</v>
      </c>
      <c r="O233" s="466">
        <v>4</v>
      </c>
      <c r="P233" s="464">
        <f t="shared" si="27"/>
        <v>1</v>
      </c>
      <c r="Q233" s="448" t="s">
        <v>32</v>
      </c>
      <c r="R233" s="326">
        <v>4</v>
      </c>
      <c r="S233" s="496">
        <f t="shared" si="28"/>
        <v>4</v>
      </c>
      <c r="T233" s="485">
        <v>4</v>
      </c>
      <c r="U233" s="485"/>
      <c r="V233" s="485"/>
      <c r="W233" s="485"/>
      <c r="X233" s="497">
        <f t="shared" si="30"/>
        <v>1</v>
      </c>
      <c r="Y233" s="449"/>
      <c r="Z233" s="484">
        <f t="shared" si="29"/>
        <v>4</v>
      </c>
      <c r="AA233" s="485">
        <v>4</v>
      </c>
      <c r="AB233" s="485"/>
      <c r="AC233" s="485"/>
      <c r="AD233" s="485"/>
      <c r="AE233" s="483">
        <f t="shared" si="31"/>
        <v>1</v>
      </c>
      <c r="AF233" s="325"/>
      <c r="AG233" s="450" t="s">
        <v>277</v>
      </c>
      <c r="AH233" s="327"/>
    </row>
    <row r="234" spans="1:34" ht="15.75" thickBot="1" x14ac:dyDescent="0.3">
      <c r="A234" s="576">
        <v>12.47</v>
      </c>
      <c r="B234" s="325" t="str">
        <f>VLOOKUP(A234,'Feature Raw Data'!$A$3:$B$3922,2,FALSE)</f>
        <v>RS64: No support for OOO IO read and write memory transactions</v>
      </c>
      <c r="C234" s="325" t="s">
        <v>379</v>
      </c>
      <c r="D234" s="326" t="str">
        <f>VLOOKUP(A234,'Feature Raw Data'!$A$3:$F$3922,6,FALSE)</f>
        <v>CMM</v>
      </c>
      <c r="E234" s="325"/>
      <c r="F234" s="325"/>
      <c r="G234" s="244" t="str">
        <f>VLOOKUP(A234,'Feature Summary'!$A$7:$C$4170,3,FALSE)</f>
        <v>P1</v>
      </c>
      <c r="H234" s="417" t="s">
        <v>538</v>
      </c>
      <c r="I234" s="448" t="s">
        <v>35</v>
      </c>
      <c r="J234" s="325"/>
      <c r="K234" s="326">
        <v>1</v>
      </c>
      <c r="L234" s="326">
        <v>1</v>
      </c>
      <c r="M234" s="582" t="str">
        <f>VLOOKUP(A234,'Feature Raw Data'!$A$3:$E$3922,5,FALSE)</f>
        <v>New</v>
      </c>
      <c r="N234" s="465">
        <v>1</v>
      </c>
      <c r="O234" s="466">
        <v>1</v>
      </c>
      <c r="P234" s="464">
        <f t="shared" si="27"/>
        <v>1</v>
      </c>
      <c r="Q234" s="448" t="s">
        <v>50</v>
      </c>
      <c r="R234" s="326">
        <v>1</v>
      </c>
      <c r="S234" s="496">
        <f t="shared" si="28"/>
        <v>0</v>
      </c>
      <c r="T234" s="485"/>
      <c r="U234" s="485"/>
      <c r="V234" s="485"/>
      <c r="W234" s="485"/>
      <c r="X234" s="497">
        <f t="shared" si="30"/>
        <v>0</v>
      </c>
      <c r="Y234" s="449" t="s">
        <v>539</v>
      </c>
      <c r="Z234" s="484">
        <f t="shared" si="29"/>
        <v>0</v>
      </c>
      <c r="AA234" s="485"/>
      <c r="AB234" s="485"/>
      <c r="AC234" s="485"/>
      <c r="AD234" s="485"/>
      <c r="AE234" s="483">
        <f t="shared" si="31"/>
        <v>0</v>
      </c>
      <c r="AF234" s="325"/>
      <c r="AG234" s="450" t="s">
        <v>309</v>
      </c>
      <c r="AH234" s="327"/>
    </row>
    <row r="235" spans="1:34" ht="15.75" thickBot="1" x14ac:dyDescent="0.3">
      <c r="A235" s="576">
        <v>12.471</v>
      </c>
      <c r="B235" s="325" t="str">
        <f>VLOOKUP(A235,'Feature Raw Data'!$A$3:$B$3922,2,FALSE)</f>
        <v>Save and Restore of perfcounter and ttrace enable for GFXOFF/SRIOV</v>
      </c>
      <c r="C235" s="325" t="s">
        <v>328</v>
      </c>
      <c r="D235" s="326" t="str">
        <f>VLOOKUP(A235,'Feature Raw Data'!$A$3:$F$3922,6,FALSE)</f>
        <v>SIO</v>
      </c>
      <c r="E235" s="325"/>
      <c r="F235" s="325"/>
      <c r="G235" s="244" t="str">
        <f>VLOOKUP(A235,'Feature Summary'!$A$7:$C$4170,3,FALSE)</f>
        <v>P2</v>
      </c>
      <c r="H235" s="417" t="s">
        <v>329</v>
      </c>
      <c r="I235" s="448" t="s">
        <v>41</v>
      </c>
      <c r="J235" s="325"/>
      <c r="K235" s="326">
        <v>1</v>
      </c>
      <c r="L235" s="326">
        <v>1</v>
      </c>
      <c r="M235" s="582" t="str">
        <f>VLOOKUP(A235,'Feature Raw Data'!$A$3:$E$3922,5,FALSE)</f>
        <v>New</v>
      </c>
      <c r="N235" s="465">
        <v>1</v>
      </c>
      <c r="O235" s="466">
        <v>0.8</v>
      </c>
      <c r="P235" s="464">
        <f t="shared" si="27"/>
        <v>0.8</v>
      </c>
      <c r="Q235" s="448" t="s">
        <v>32</v>
      </c>
      <c r="R235" s="326">
        <v>1</v>
      </c>
      <c r="S235" s="496">
        <f t="shared" si="28"/>
        <v>0</v>
      </c>
      <c r="T235" s="485"/>
      <c r="U235" s="485"/>
      <c r="V235" s="485"/>
      <c r="W235" s="485"/>
      <c r="X235" s="497">
        <f t="shared" si="30"/>
        <v>0</v>
      </c>
      <c r="Y235" s="449"/>
      <c r="Z235" s="484">
        <f t="shared" si="29"/>
        <v>0</v>
      </c>
      <c r="AA235" s="485"/>
      <c r="AB235" s="485"/>
      <c r="AC235" s="485"/>
      <c r="AD235" s="485"/>
      <c r="AE235" s="483">
        <f t="shared" si="31"/>
        <v>0</v>
      </c>
      <c r="AF235" s="325" t="s">
        <v>540</v>
      </c>
      <c r="AG235" s="450" t="s">
        <v>354</v>
      </c>
      <c r="AH235" s="327"/>
    </row>
    <row r="236" spans="1:34" ht="15.75" thickBot="1" x14ac:dyDescent="0.3">
      <c r="A236" s="595">
        <v>12.473000000000001</v>
      </c>
      <c r="B236" s="325" t="str">
        <f>VLOOKUP(A236,'Feature Raw Data'!$A$3:$B$3922,2,FALSE)</f>
        <v>GL2 shared across all SEs for Navi44/48</v>
      </c>
      <c r="C236" s="325" t="s">
        <v>337</v>
      </c>
      <c r="D236" s="326" t="str">
        <f>VLOOKUP(A236,'Feature Raw Data'!$A$3:$F$3922,6,FALSE)</f>
        <v>CMM</v>
      </c>
      <c r="E236" s="325"/>
      <c r="F236" s="325"/>
      <c r="G236" s="244" t="str">
        <f>VLOOKUP(A236,'Feature Summary'!$A$7:$C$4170,3,FALSE)</f>
        <v>P1</v>
      </c>
      <c r="H236" s="417"/>
      <c r="I236" s="448" t="s">
        <v>35</v>
      </c>
      <c r="J236" s="325"/>
      <c r="K236" s="326">
        <v>1</v>
      </c>
      <c r="L236" s="326">
        <v>0</v>
      </c>
      <c r="M236" s="582" t="str">
        <f>VLOOKUP(A236,'Feature Raw Data'!$A$3:$E$3922,5,FALSE)</f>
        <v>New</v>
      </c>
      <c r="N236" s="465">
        <v>1</v>
      </c>
      <c r="O236" s="466">
        <v>0</v>
      </c>
      <c r="P236" s="464">
        <f t="shared" si="27"/>
        <v>1</v>
      </c>
      <c r="Q236" s="448" t="s">
        <v>32</v>
      </c>
      <c r="R236" s="326">
        <v>1</v>
      </c>
      <c r="S236" s="496">
        <f t="shared" si="28"/>
        <v>0</v>
      </c>
      <c r="T236" s="485"/>
      <c r="U236" s="485"/>
      <c r="V236" s="485"/>
      <c r="W236" s="485"/>
      <c r="X236" s="497">
        <f t="shared" si="30"/>
        <v>0</v>
      </c>
      <c r="Y236" s="449"/>
      <c r="Z236" s="484">
        <f t="shared" si="29"/>
        <v>0</v>
      </c>
      <c r="AA236" s="485"/>
      <c r="AB236" s="485"/>
      <c r="AC236" s="485"/>
      <c r="AD236" s="485"/>
      <c r="AE236" s="483">
        <f t="shared" si="31"/>
        <v>1</v>
      </c>
      <c r="AF236" s="325"/>
      <c r="AG236" s="450" t="s">
        <v>309</v>
      </c>
      <c r="AH236" s="327"/>
    </row>
    <row r="237" spans="1:34" ht="45.75" thickBot="1" x14ac:dyDescent="0.3">
      <c r="A237" s="576">
        <v>12.474</v>
      </c>
      <c r="B237" s="325" t="str">
        <f>VLOOKUP(A237,'Feature Raw Data'!$A$3:$B$3922,2,FALSE)</f>
        <v>2x MLOPs performance</v>
      </c>
      <c r="C237" s="325" t="s">
        <v>366</v>
      </c>
      <c r="D237" s="326" t="str">
        <f>VLOOKUP(A237,'Feature Raw Data'!$A$3:$F$3922,6,FALSE)</f>
        <v>SH</v>
      </c>
      <c r="E237" s="325"/>
      <c r="F237" s="325"/>
      <c r="G237" s="244" t="str">
        <f>VLOOKUP(A237,'Feature Summary'!$A$7:$C$4170,3,FALSE)</f>
        <v>P2</v>
      </c>
      <c r="H237" s="587" t="s">
        <v>541</v>
      </c>
      <c r="I237" s="448" t="s">
        <v>35</v>
      </c>
      <c r="J237" s="325"/>
      <c r="K237" s="326">
        <v>1</v>
      </c>
      <c r="L237" s="326">
        <v>11</v>
      </c>
      <c r="M237" s="582" t="str">
        <f>VLOOKUP(A237,'Feature Raw Data'!$A$3:$E$3922,5,FALSE)</f>
        <v>New</v>
      </c>
      <c r="N237" s="465">
        <v>1</v>
      </c>
      <c r="O237" s="466">
        <v>11</v>
      </c>
      <c r="P237" s="464">
        <f t="shared" si="27"/>
        <v>1</v>
      </c>
      <c r="Q237" s="448" t="s">
        <v>43</v>
      </c>
      <c r="R237" s="326">
        <v>11</v>
      </c>
      <c r="S237" s="496">
        <f>SUM(T237:W237)</f>
        <v>11</v>
      </c>
      <c r="T237" s="485">
        <v>11</v>
      </c>
      <c r="U237" s="485"/>
      <c r="V237" s="485"/>
      <c r="W237" s="485"/>
      <c r="X237" s="497">
        <f t="shared" si="30"/>
        <v>1</v>
      </c>
      <c r="Y237" s="449" t="s">
        <v>542</v>
      </c>
      <c r="Z237" s="484">
        <f t="shared" ref="Z237:Z257" si="32">SUM(AA237:AD237)</f>
        <v>11</v>
      </c>
      <c r="AA237" s="485">
        <v>11</v>
      </c>
      <c r="AB237" s="485"/>
      <c r="AC237" s="485"/>
      <c r="AD237" s="485"/>
      <c r="AE237" s="483">
        <f t="shared" si="31"/>
        <v>1</v>
      </c>
      <c r="AF237" s="325"/>
      <c r="AG237" s="450" t="s">
        <v>286</v>
      </c>
      <c r="AH237" s="327"/>
    </row>
    <row r="238" spans="1:34" ht="15" customHeight="1" thickBot="1" x14ac:dyDescent="0.3">
      <c r="A238" s="595">
        <v>12.475</v>
      </c>
      <c r="B238" s="325" t="str">
        <f>VLOOKUP(A238,'Feature Raw Data'!$A$3:$B$3922,2,FALSE)</f>
        <v>IO traffic can potentially block DRAM traffic</v>
      </c>
      <c r="C238" s="325" t="s">
        <v>337</v>
      </c>
      <c r="D238" s="326" t="str">
        <f>VLOOKUP(A238,'Feature Raw Data'!$A$3:$F$3922,6,FALSE)</f>
        <v>CMM</v>
      </c>
      <c r="E238" s="325"/>
      <c r="F238" s="325"/>
      <c r="G238" s="244" t="str">
        <f>VLOOKUP(A238,'Feature Summary'!$A$7:$C$4170,3,FALSE)</f>
        <v>P1</v>
      </c>
      <c r="H238" s="417" t="s">
        <v>47</v>
      </c>
      <c r="I238" s="448" t="s">
        <v>47</v>
      </c>
      <c r="J238" s="325"/>
      <c r="K238" s="326">
        <v>1</v>
      </c>
      <c r="L238" s="326">
        <v>0</v>
      </c>
      <c r="M238" s="582" t="str">
        <f>VLOOKUP(A238,'Feature Raw Data'!$A$3:$E$3922,5,FALSE)</f>
        <v>New</v>
      </c>
      <c r="N238" s="465">
        <v>1</v>
      </c>
      <c r="O238" s="466"/>
      <c r="P238" s="464">
        <f t="shared" si="27"/>
        <v>1</v>
      </c>
      <c r="Q238" s="448" t="s">
        <v>47</v>
      </c>
      <c r="R238" s="326">
        <v>0</v>
      </c>
      <c r="S238" s="496">
        <f t="shared" ref="S238:S257" si="33">SUM(T238:W238)</f>
        <v>0</v>
      </c>
      <c r="T238" s="485"/>
      <c r="U238" s="485"/>
      <c r="V238" s="485"/>
      <c r="W238" s="485"/>
      <c r="X238" s="497">
        <f t="shared" si="30"/>
        <v>1</v>
      </c>
      <c r="Y238" s="584" t="s">
        <v>543</v>
      </c>
      <c r="Z238" s="484">
        <f t="shared" si="32"/>
        <v>0</v>
      </c>
      <c r="AA238" s="485"/>
      <c r="AB238" s="485"/>
      <c r="AC238" s="485"/>
      <c r="AD238" s="485"/>
      <c r="AE238" s="483">
        <f t="shared" si="31"/>
        <v>1</v>
      </c>
      <c r="AF238" s="325"/>
      <c r="AG238" s="450" t="s">
        <v>47</v>
      </c>
      <c r="AH238" s="327"/>
    </row>
    <row r="239" spans="1:34" ht="15.75" thickBot="1" x14ac:dyDescent="0.3">
      <c r="A239" s="576">
        <v>12.476000000000001</v>
      </c>
      <c r="B239" s="325" t="str">
        <f>VLOOKUP(A239,'Feature Raw Data'!$A$3:$B$3922,2,FALSE)</f>
        <v>Descope 8xaa for VRS coarse rates (1x2, 2x2, 2x1)</v>
      </c>
      <c r="C239" s="325" t="s">
        <v>310</v>
      </c>
      <c r="D239" s="326" t="str">
        <f>VLOOKUP(A239,'Feature Raw Data'!$A$3:$F$3922,6,FALSE)</f>
        <v>PP</v>
      </c>
      <c r="E239" s="325"/>
      <c r="F239" s="325"/>
      <c r="G239" s="244" t="str">
        <f>VLOOKUP(A239,'Feature Summary'!$A$7:$C$4170,3,FALSE)</f>
        <v>P3</v>
      </c>
      <c r="H239" s="417" t="s">
        <v>47</v>
      </c>
      <c r="I239" s="448" t="s">
        <v>47</v>
      </c>
      <c r="J239" s="325"/>
      <c r="K239" s="326">
        <v>1</v>
      </c>
      <c r="L239" s="326">
        <v>0</v>
      </c>
      <c r="M239" s="582" t="str">
        <f>VLOOKUP(A239,'Feature Raw Data'!$A$3:$E$3922,5,FALSE)</f>
        <v>New</v>
      </c>
      <c r="N239" s="465">
        <v>1</v>
      </c>
      <c r="O239" s="466"/>
      <c r="P239" s="464">
        <f t="shared" si="27"/>
        <v>1</v>
      </c>
      <c r="Q239" s="448" t="s">
        <v>47</v>
      </c>
      <c r="R239" s="326">
        <v>0</v>
      </c>
      <c r="S239" s="496">
        <f t="shared" si="33"/>
        <v>0</v>
      </c>
      <c r="T239" s="485"/>
      <c r="U239" s="485"/>
      <c r="V239" s="485"/>
      <c r="W239" s="485"/>
      <c r="X239" s="497">
        <f t="shared" si="30"/>
        <v>1</v>
      </c>
      <c r="Y239" s="449" t="s">
        <v>544</v>
      </c>
      <c r="Z239" s="484">
        <f t="shared" si="32"/>
        <v>0</v>
      </c>
      <c r="AA239" s="485"/>
      <c r="AB239" s="485"/>
      <c r="AC239" s="485"/>
      <c r="AD239" s="485"/>
      <c r="AE239" s="483">
        <f t="shared" si="31"/>
        <v>1</v>
      </c>
      <c r="AF239" s="325"/>
      <c r="AG239" s="450" t="s">
        <v>47</v>
      </c>
      <c r="AH239" s="327"/>
    </row>
    <row r="240" spans="1:34" ht="15.75" thickBot="1" x14ac:dyDescent="0.3">
      <c r="A240" s="576">
        <v>12.477</v>
      </c>
      <c r="B240" s="325" t="str">
        <f>VLOOKUP(A240,'Feature Raw Data'!$A$3:$B$3922,2,FALSE)</f>
        <v>Hook up AVFS debug bus to debug bus chains in 4 gc_2gl2c_1_tiles</v>
      </c>
      <c r="C240" s="325" t="s">
        <v>398</v>
      </c>
      <c r="D240" s="326" t="str">
        <f>VLOOKUP(A240,'Feature Raw Data'!$A$3:$F$3922,6,FALSE)</f>
        <v>CTL</v>
      </c>
      <c r="E240" s="325"/>
      <c r="F240" s="325"/>
      <c r="G240" s="244" t="str">
        <f>VLOOKUP(A240,'Feature Summary'!$A$7:$C$4170,3,FALSE)</f>
        <v>P3</v>
      </c>
      <c r="H240" s="417" t="s">
        <v>47</v>
      </c>
      <c r="I240" s="448" t="s">
        <v>47</v>
      </c>
      <c r="J240" s="325"/>
      <c r="K240" s="326">
        <v>1</v>
      </c>
      <c r="L240" s="326">
        <v>0</v>
      </c>
      <c r="M240" s="582" t="str">
        <f>VLOOKUP(A240,'Feature Raw Data'!$A$3:$E$3922,5,FALSE)</f>
        <v>New</v>
      </c>
      <c r="N240" s="465">
        <v>1</v>
      </c>
      <c r="O240" s="466"/>
      <c r="P240" s="464">
        <f t="shared" si="27"/>
        <v>1</v>
      </c>
      <c r="Q240" s="448" t="s">
        <v>47</v>
      </c>
      <c r="R240" s="326">
        <v>0</v>
      </c>
      <c r="S240" s="496">
        <f t="shared" si="33"/>
        <v>0</v>
      </c>
      <c r="T240" s="485"/>
      <c r="U240" s="485"/>
      <c r="V240" s="485"/>
      <c r="W240" s="485"/>
      <c r="X240" s="497">
        <f t="shared" si="30"/>
        <v>1</v>
      </c>
      <c r="Y240" s="449" t="s">
        <v>442</v>
      </c>
      <c r="Z240" s="484">
        <f t="shared" si="32"/>
        <v>0</v>
      </c>
      <c r="AA240" s="485"/>
      <c r="AB240" s="485"/>
      <c r="AC240" s="485"/>
      <c r="AD240" s="485"/>
      <c r="AE240" s="483">
        <f t="shared" si="31"/>
        <v>1</v>
      </c>
      <c r="AF240" s="325"/>
      <c r="AG240" s="450" t="s">
        <v>47</v>
      </c>
      <c r="AH240" s="327"/>
    </row>
    <row r="241" spans="1:34" ht="15.75" thickBot="1" x14ac:dyDescent="0.3">
      <c r="A241" s="595">
        <v>12.478999999999999</v>
      </c>
      <c r="B241" s="325" t="str">
        <f>VLOOKUP(A241,'Feature Raw Data'!$A$3:$B$3922,2,FALSE)</f>
        <v>Add Ordered-Add memory atomic for faster SW Streamout (global_atomic_ordered_add_b64)</v>
      </c>
      <c r="C241" s="325" t="s">
        <v>349</v>
      </c>
      <c r="D241" s="326" t="str">
        <f>VLOOKUP(A241,'Feature Raw Data'!$A$3:$F$3922,6,FALSE)</f>
        <v>CMM</v>
      </c>
      <c r="E241" s="325"/>
      <c r="F241" s="325"/>
      <c r="G241" s="244" t="str">
        <f>VLOOKUP(A241,'Feature Summary'!$A$7:$C$4170,3,FALSE)</f>
        <v>P2</v>
      </c>
      <c r="H241" s="417" t="s">
        <v>982</v>
      </c>
      <c r="I241" s="448" t="s">
        <v>35</v>
      </c>
      <c r="J241" s="325"/>
      <c r="K241" s="326">
        <v>1</v>
      </c>
      <c r="L241" s="326">
        <v>1</v>
      </c>
      <c r="M241" s="582" t="str">
        <f>VLOOKUP(A241,'Feature Raw Data'!$A$3:$E$3922,5,FALSE)</f>
        <v>New</v>
      </c>
      <c r="N241" s="465">
        <v>1</v>
      </c>
      <c r="O241" s="466">
        <v>1</v>
      </c>
      <c r="P241" s="464">
        <f t="shared" si="27"/>
        <v>1</v>
      </c>
      <c r="Q241" s="448" t="s">
        <v>32</v>
      </c>
      <c r="R241" s="326">
        <v>1</v>
      </c>
      <c r="S241" s="496">
        <f t="shared" si="33"/>
        <v>0</v>
      </c>
      <c r="T241" s="485"/>
      <c r="U241" s="485"/>
      <c r="V241" s="485"/>
      <c r="W241" s="485"/>
      <c r="X241" s="497">
        <f t="shared" si="30"/>
        <v>0</v>
      </c>
      <c r="Y241" s="449"/>
      <c r="Z241" s="484">
        <f t="shared" si="32"/>
        <v>0</v>
      </c>
      <c r="AA241" s="485"/>
      <c r="AB241" s="485"/>
      <c r="AC241" s="485"/>
      <c r="AD241" s="485"/>
      <c r="AE241" s="483">
        <f t="shared" si="31"/>
        <v>0</v>
      </c>
      <c r="AF241" s="325"/>
      <c r="AG241" s="450" t="s">
        <v>354</v>
      </c>
      <c r="AH241" s="327"/>
    </row>
    <row r="242" spans="1:34" ht="15.75" thickBot="1" x14ac:dyDescent="0.3">
      <c r="A242" s="576">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1</v>
      </c>
      <c r="L242" s="326">
        <v>0</v>
      </c>
      <c r="M242" s="582" t="str">
        <f>VLOOKUP(A242,'Feature Raw Data'!$A$3:$E$3922,5,FALSE)</f>
        <v>New</v>
      </c>
      <c r="N242" s="465">
        <v>1</v>
      </c>
      <c r="O242" s="466"/>
      <c r="P242" s="464">
        <f t="shared" si="27"/>
        <v>1</v>
      </c>
      <c r="Q242" s="448" t="s">
        <v>47</v>
      </c>
      <c r="R242" s="326">
        <v>0</v>
      </c>
      <c r="S242" s="496">
        <f t="shared" si="33"/>
        <v>0</v>
      </c>
      <c r="T242" s="485"/>
      <c r="U242" s="485"/>
      <c r="V242" s="485"/>
      <c r="W242" s="485"/>
      <c r="X242" s="497">
        <f t="shared" si="30"/>
        <v>1</v>
      </c>
      <c r="Y242" s="584" t="str">
        <f>VLOOKUP(A242,'Feature Raw Data'!$A$3:$I$3922,9,FALSE)</f>
        <v xml:space="preserve">Waived. PMM Diags, Tools team, and PPA team should cover this. </v>
      </c>
      <c r="Z242" s="484">
        <f t="shared" si="32"/>
        <v>0</v>
      </c>
      <c r="AA242" s="485"/>
      <c r="AB242" s="485"/>
      <c r="AC242" s="485"/>
      <c r="AD242" s="485"/>
      <c r="AE242" s="483">
        <f t="shared" si="31"/>
        <v>1</v>
      </c>
      <c r="AF242" s="325"/>
      <c r="AG242" s="450" t="s">
        <v>47</v>
      </c>
      <c r="AH242" s="327"/>
    </row>
    <row r="243" spans="1:34" ht="15.75" thickBot="1" x14ac:dyDescent="0.3">
      <c r="A243" s="576">
        <v>12.483000000000001</v>
      </c>
      <c r="B243" s="325" t="str">
        <f>VLOOKUP(A243,'Feature Raw Data'!$A$3:$B$3922,2,FALSE)</f>
        <v>Processor controllable performance counters for CP Bottleneck profiling</v>
      </c>
      <c r="C243" s="325" t="s">
        <v>398</v>
      </c>
      <c r="D243" s="326" t="str">
        <f>VLOOKUP(A243,'Feature Raw Data'!$A$3:$F$3922,6,FALSE)</f>
        <v>CTL</v>
      </c>
      <c r="E243" s="325"/>
      <c r="F243" s="325"/>
      <c r="G243" s="244" t="str">
        <f>VLOOKUP(A243,'Feature Summary'!$A$7:$C$4170,3,FALSE)</f>
        <v>P3</v>
      </c>
      <c r="H243" s="417" t="s">
        <v>47</v>
      </c>
      <c r="I243" s="448" t="s">
        <v>47</v>
      </c>
      <c r="J243" s="325"/>
      <c r="K243" s="326">
        <v>1</v>
      </c>
      <c r="L243" s="326">
        <v>0</v>
      </c>
      <c r="M243" s="582" t="str">
        <f>VLOOKUP(A243,'Feature Raw Data'!$A$3:$E$3922,5,FALSE)</f>
        <v>New</v>
      </c>
      <c r="N243" s="465">
        <v>1</v>
      </c>
      <c r="O243" s="466"/>
      <c r="P243" s="464">
        <f t="shared" si="27"/>
        <v>1</v>
      </c>
      <c r="Q243" s="448" t="s">
        <v>47</v>
      </c>
      <c r="R243" s="326">
        <v>0</v>
      </c>
      <c r="S243" s="496">
        <f t="shared" si="33"/>
        <v>0</v>
      </c>
      <c r="T243" s="485"/>
      <c r="U243" s="485"/>
      <c r="V243" s="485"/>
      <c r="W243" s="485"/>
      <c r="X243" s="497">
        <f t="shared" si="30"/>
        <v>1</v>
      </c>
      <c r="Y243" s="449" t="s">
        <v>442</v>
      </c>
      <c r="Z243" s="484">
        <f t="shared" si="32"/>
        <v>0</v>
      </c>
      <c r="AA243" s="485"/>
      <c r="AB243" s="485"/>
      <c r="AC243" s="485"/>
      <c r="AD243" s="485"/>
      <c r="AE243" s="483">
        <f t="shared" si="31"/>
        <v>1</v>
      </c>
      <c r="AF243" s="325"/>
      <c r="AG243" s="450" t="s">
        <v>47</v>
      </c>
      <c r="AH243" s="327"/>
    </row>
    <row r="244" spans="1:34" ht="15.75" thickBot="1" x14ac:dyDescent="0.3">
      <c r="A244" s="576">
        <v>12.484</v>
      </c>
      <c r="B244" s="325" t="str">
        <f>VLOOKUP(A244,'Feature Raw Data'!$A$3:$B$3922,2,FALSE)</f>
        <v>decoding of op ATOMIC_UMAX_8_NO_RTN from EA to SDP is not expected</v>
      </c>
      <c r="C244" s="325" t="s">
        <v>545</v>
      </c>
      <c r="D244" s="326" t="str">
        <f>VLOOKUP(A244,'Feature Raw Data'!$A$3:$F$3922,6,FALSE)</f>
        <v>CMM</v>
      </c>
      <c r="E244" s="325"/>
      <c r="F244" s="325"/>
      <c r="G244" s="244" t="str">
        <f>VLOOKUP(A244,'Feature Summary'!$A$7:$C$4170,3,FALSE)</f>
        <v>P1</v>
      </c>
      <c r="H244" s="417" t="s">
        <v>546</v>
      </c>
      <c r="I244" s="448" t="s">
        <v>41</v>
      </c>
      <c r="J244" s="325"/>
      <c r="K244" s="326">
        <v>1</v>
      </c>
      <c r="L244" s="326">
        <v>1</v>
      </c>
      <c r="M244" s="582" t="str">
        <f>VLOOKUP(A244,'Feature Raw Data'!$A$3:$E$3922,5,FALSE)</f>
        <v>New</v>
      </c>
      <c r="N244" s="465">
        <v>1</v>
      </c>
      <c r="O244" s="466">
        <v>1</v>
      </c>
      <c r="P244" s="464">
        <f t="shared" si="27"/>
        <v>1</v>
      </c>
      <c r="Q244" s="448" t="s">
        <v>32</v>
      </c>
      <c r="R244" s="326">
        <v>1</v>
      </c>
      <c r="S244" s="496">
        <f t="shared" si="33"/>
        <v>0</v>
      </c>
      <c r="T244" s="485"/>
      <c r="U244" s="485"/>
      <c r="V244" s="485"/>
      <c r="W244" s="485"/>
      <c r="X244" s="497">
        <f t="shared" si="30"/>
        <v>0</v>
      </c>
      <c r="Y244" s="449"/>
      <c r="Z244" s="484">
        <f t="shared" si="32"/>
        <v>0</v>
      </c>
      <c r="AA244" s="485"/>
      <c r="AB244" s="485"/>
      <c r="AC244" s="485"/>
      <c r="AD244" s="485"/>
      <c r="AE244" s="483">
        <f t="shared" si="31"/>
        <v>0</v>
      </c>
      <c r="AF244" s="325"/>
      <c r="AG244" s="450" t="s">
        <v>277</v>
      </c>
      <c r="AH244" s="327"/>
    </row>
    <row r="245" spans="1:34" ht="15.75" thickBot="1" x14ac:dyDescent="0.3">
      <c r="A245" s="576">
        <v>12.484999999999999</v>
      </c>
      <c r="B245" s="325" t="str">
        <f>VLOOKUP(A245,'Feature Raw Data'!$A$3:$B$3922,2,FALSE)</f>
        <v>Navi4 GFXIMU Interrupt Capability</v>
      </c>
      <c r="C245" s="325" t="s">
        <v>453</v>
      </c>
      <c r="D245" s="326" t="str">
        <f>VLOOKUP(A245,'Feature Raw Data'!$A$3:$F$3922,6,FALSE)</f>
        <v>CTL</v>
      </c>
      <c r="E245" s="325"/>
      <c r="F245" s="325"/>
      <c r="G245" s="244" t="str">
        <f>VLOOKUP(A245,'Feature Summary'!$A$7:$C$4170,3,FALSE)</f>
        <v>P3</v>
      </c>
      <c r="H245" s="417" t="s">
        <v>47</v>
      </c>
      <c r="I245" s="448" t="s">
        <v>47</v>
      </c>
      <c r="J245" s="325"/>
      <c r="K245" s="326">
        <v>1</v>
      </c>
      <c r="L245" s="326">
        <v>0</v>
      </c>
      <c r="M245" s="582" t="str">
        <f>VLOOKUP(A245,'Feature Raw Data'!$A$3:$E$3922,5,FALSE)</f>
        <v>New</v>
      </c>
      <c r="N245" s="465">
        <v>1</v>
      </c>
      <c r="O245" s="466"/>
      <c r="P245" s="464">
        <f t="shared" si="27"/>
        <v>1</v>
      </c>
      <c r="Q245" s="448" t="s">
        <v>47</v>
      </c>
      <c r="R245" s="326">
        <v>0</v>
      </c>
      <c r="S245" s="496">
        <f t="shared" si="33"/>
        <v>0</v>
      </c>
      <c r="T245" s="485"/>
      <c r="U245" s="485"/>
      <c r="V245" s="485"/>
      <c r="W245" s="485"/>
      <c r="X245" s="497">
        <f t="shared" si="30"/>
        <v>1</v>
      </c>
      <c r="Y245" s="449" t="s">
        <v>452</v>
      </c>
      <c r="Z245" s="484">
        <f t="shared" si="32"/>
        <v>0</v>
      </c>
      <c r="AA245" s="485"/>
      <c r="AB245" s="485"/>
      <c r="AC245" s="485"/>
      <c r="AD245" s="485"/>
      <c r="AE245" s="483">
        <f t="shared" si="31"/>
        <v>1</v>
      </c>
      <c r="AF245" s="325"/>
      <c r="AG245" s="450" t="s">
        <v>47</v>
      </c>
      <c r="AH245" s="327"/>
    </row>
    <row r="246" spans="1:34" ht="15.75" thickBot="1" x14ac:dyDescent="0.3">
      <c r="A246" s="576">
        <v>12.486000000000001</v>
      </c>
      <c r="B246" s="325" t="str">
        <f>VLOOKUP(A246,'Feature Raw Data'!$A$3:$B$3922,2,FALSE)</f>
        <v>Allow GFX doorbells through IMU doorbell fence</v>
      </c>
      <c r="C246" s="325" t="s">
        <v>396</v>
      </c>
      <c r="D246" s="326" t="str">
        <f>VLOOKUP(A246,'Feature Raw Data'!$A$3:$F$3922,6,FALSE)</f>
        <v>CTL</v>
      </c>
      <c r="E246" s="325"/>
      <c r="F246" s="325"/>
      <c r="G246" s="244" t="str">
        <f>VLOOKUP(A246,'Feature Summary'!$A$7:$C$4170,3,FALSE)</f>
        <v>P1</v>
      </c>
      <c r="H246" s="417" t="s">
        <v>547</v>
      </c>
      <c r="I246" s="448" t="s">
        <v>47</v>
      </c>
      <c r="J246" s="325"/>
      <c r="K246" s="326">
        <v>1</v>
      </c>
      <c r="L246" s="326">
        <v>0</v>
      </c>
      <c r="M246" s="582" t="str">
        <f>VLOOKUP(A246,'Feature Raw Data'!$A$3:$E$3922,5,FALSE)</f>
        <v>New</v>
      </c>
      <c r="N246" s="465">
        <v>1</v>
      </c>
      <c r="O246" s="466"/>
      <c r="P246" s="464">
        <f t="shared" si="27"/>
        <v>1</v>
      </c>
      <c r="Q246" s="448" t="s">
        <v>47</v>
      </c>
      <c r="R246" s="326">
        <v>0</v>
      </c>
      <c r="S246" s="496">
        <f t="shared" si="33"/>
        <v>0</v>
      </c>
      <c r="T246" s="485"/>
      <c r="U246" s="485"/>
      <c r="V246" s="485"/>
      <c r="W246" s="485"/>
      <c r="X246" s="497">
        <f t="shared" si="30"/>
        <v>1</v>
      </c>
      <c r="Y246" s="449" t="s">
        <v>548</v>
      </c>
      <c r="Z246" s="484">
        <f t="shared" si="32"/>
        <v>0</v>
      </c>
      <c r="AA246" s="485"/>
      <c r="AB246" s="485"/>
      <c r="AC246" s="485"/>
      <c r="AD246" s="485"/>
      <c r="AE246" s="483">
        <f t="shared" si="31"/>
        <v>1</v>
      </c>
      <c r="AF246" s="325"/>
      <c r="AG246" s="450" t="s">
        <v>47</v>
      </c>
      <c r="AH246" s="327"/>
    </row>
    <row r="247" spans="1:34" ht="15.75" thickBot="1" x14ac:dyDescent="0.3">
      <c r="A247" s="576">
        <v>12.487</v>
      </c>
      <c r="B247" s="325" t="str">
        <f>VLOOKUP(A247,'Feature Raw Data'!$A$3:$B$3922,2,FALSE)</f>
        <v>Increase DB Z cache size for performance</v>
      </c>
      <c r="C247" s="325" t="s">
        <v>310</v>
      </c>
      <c r="D247" s="326" t="str">
        <f>VLOOKUP(A247,'Feature Raw Data'!$A$3:$F$3922,6,FALSE)</f>
        <v>PP</v>
      </c>
      <c r="E247" s="325"/>
      <c r="F247" s="325"/>
      <c r="G247" s="244" t="str">
        <f>VLOOKUP(A247,'Feature Summary'!$A$7:$C$4170,3,FALSE)</f>
        <v>P3</v>
      </c>
      <c r="H247" s="417" t="s">
        <v>47</v>
      </c>
      <c r="I247" s="448" t="s">
        <v>47</v>
      </c>
      <c r="J247" s="325"/>
      <c r="K247" s="326">
        <v>1</v>
      </c>
      <c r="L247" s="326">
        <v>0</v>
      </c>
      <c r="M247" s="582" t="str">
        <f>VLOOKUP(A247,'Feature Raw Data'!$A$3:$E$3922,5,FALSE)</f>
        <v>New</v>
      </c>
      <c r="N247" s="465">
        <v>1</v>
      </c>
      <c r="O247" s="466"/>
      <c r="P247" s="464">
        <f t="shared" si="27"/>
        <v>1</v>
      </c>
      <c r="Q247" s="448" t="s">
        <v>47</v>
      </c>
      <c r="R247" s="326">
        <v>0</v>
      </c>
      <c r="S247" s="496">
        <f t="shared" si="33"/>
        <v>0</v>
      </c>
      <c r="T247" s="485"/>
      <c r="U247" s="485"/>
      <c r="V247" s="485"/>
      <c r="W247" s="485"/>
      <c r="X247" s="497">
        <f t="shared" si="30"/>
        <v>1</v>
      </c>
      <c r="Y247" s="449" t="s">
        <v>549</v>
      </c>
      <c r="Z247" s="484">
        <f t="shared" si="32"/>
        <v>0</v>
      </c>
      <c r="AA247" s="485"/>
      <c r="AB247" s="485"/>
      <c r="AC247" s="485"/>
      <c r="AD247" s="485"/>
      <c r="AE247" s="483">
        <f t="shared" si="31"/>
        <v>1</v>
      </c>
      <c r="AF247" s="325"/>
      <c r="AG247" s="450" t="s">
        <v>47</v>
      </c>
      <c r="AH247" s="327"/>
    </row>
    <row r="248" spans="1:34" ht="15.75" thickBot="1" x14ac:dyDescent="0.3">
      <c r="A248" s="576">
        <v>12.488</v>
      </c>
      <c r="B248" s="325" t="str">
        <f>VLOOKUP(A248,'Feature Raw Data'!$A$3:$B$3922,2,FALSE)</f>
        <v>Reduce PBB maximum batch size from 1024 to 512 and constrain the minimum bin size in the PBB to 128 pixels</v>
      </c>
      <c r="C248" s="325" t="s">
        <v>322</v>
      </c>
      <c r="D248" s="326" t="str">
        <f>VLOOKUP(A248,'Feature Raw Data'!$A$3:$F$3922,6,FALSE)</f>
        <v>PP</v>
      </c>
      <c r="E248" s="325"/>
      <c r="F248" s="325"/>
      <c r="G248" s="244" t="str">
        <f>VLOOKUP(A248,'Feature Summary'!$A$7:$C$4170,3,FALSE)</f>
        <v>P3</v>
      </c>
      <c r="H248" s="417" t="s">
        <v>550</v>
      </c>
      <c r="I248" s="448" t="s">
        <v>41</v>
      </c>
      <c r="J248" s="325"/>
      <c r="K248" s="326">
        <v>1</v>
      </c>
      <c r="L248" s="326">
        <v>1</v>
      </c>
      <c r="M248" s="582" t="str">
        <f>VLOOKUP(A248,'Feature Raw Data'!$A$3:$E$3922,5,FALSE)</f>
        <v>New</v>
      </c>
      <c r="N248" s="465">
        <v>1</v>
      </c>
      <c r="O248" s="466">
        <v>1</v>
      </c>
      <c r="P248" s="464">
        <f t="shared" si="27"/>
        <v>1</v>
      </c>
      <c r="Q248" s="448" t="s">
        <v>32</v>
      </c>
      <c r="R248" s="326">
        <v>1</v>
      </c>
      <c r="S248" s="496">
        <f t="shared" si="33"/>
        <v>0</v>
      </c>
      <c r="T248" s="485"/>
      <c r="U248" s="485"/>
      <c r="V248" s="485"/>
      <c r="W248" s="485"/>
      <c r="X248" s="497">
        <f t="shared" si="30"/>
        <v>0</v>
      </c>
      <c r="Y248" s="449"/>
      <c r="Z248" s="484">
        <f t="shared" si="32"/>
        <v>0</v>
      </c>
      <c r="AA248" s="485"/>
      <c r="AB248" s="485"/>
      <c r="AC248" s="485"/>
      <c r="AD248" s="485"/>
      <c r="AE248" s="483">
        <f t="shared" si="31"/>
        <v>0</v>
      </c>
      <c r="AF248" s="325"/>
      <c r="AG248" s="450" t="s">
        <v>354</v>
      </c>
      <c r="AH248" s="327"/>
    </row>
    <row r="249" spans="1:34" ht="15.75" thickBot="1" x14ac:dyDescent="0.3">
      <c r="A249" s="576">
        <v>12.489000000000001</v>
      </c>
      <c r="B249" s="325" t="str">
        <f>VLOOKUP(A249,'Feature Raw Data'!$A$3:$B$3922,2,FALSE)</f>
        <v>Deprioritize NOT_EOP=1 mode</v>
      </c>
      <c r="C249" s="325" t="s">
        <v>328</v>
      </c>
      <c r="D249" s="326" t="str">
        <f>VLOOKUP(A249,'Feature Raw Data'!$A$3:$F$3922,6,FALSE)</f>
        <v>GEO</v>
      </c>
      <c r="E249" s="325"/>
      <c r="F249" s="325"/>
      <c r="G249" s="244" t="str">
        <f>VLOOKUP(A249,'Feature Summary'!$A$7:$C$4170,3,FALSE)</f>
        <v>P3</v>
      </c>
      <c r="H249" s="417" t="s">
        <v>47</v>
      </c>
      <c r="I249" s="448" t="s">
        <v>47</v>
      </c>
      <c r="J249" s="325"/>
      <c r="K249" s="326">
        <v>1</v>
      </c>
      <c r="L249" s="326">
        <v>0</v>
      </c>
      <c r="M249" s="582" t="str">
        <f>VLOOKUP(A249,'Feature Raw Data'!$A$3:$E$3922,5,FALSE)</f>
        <v>New</v>
      </c>
      <c r="N249" s="465">
        <v>1</v>
      </c>
      <c r="O249" s="466"/>
      <c r="P249" s="464">
        <f t="shared" si="27"/>
        <v>1</v>
      </c>
      <c r="Q249" s="448" t="s">
        <v>47</v>
      </c>
      <c r="R249" s="326">
        <v>0</v>
      </c>
      <c r="S249" s="496">
        <f t="shared" si="33"/>
        <v>0</v>
      </c>
      <c r="T249" s="485"/>
      <c r="U249" s="485"/>
      <c r="V249" s="485"/>
      <c r="W249" s="485"/>
      <c r="X249" s="497">
        <f t="shared" si="30"/>
        <v>1</v>
      </c>
      <c r="Y249" s="449" t="s">
        <v>492</v>
      </c>
      <c r="Z249" s="484">
        <f t="shared" si="32"/>
        <v>0</v>
      </c>
      <c r="AA249" s="485"/>
      <c r="AB249" s="485"/>
      <c r="AC249" s="485"/>
      <c r="AD249" s="485"/>
      <c r="AE249" s="483">
        <f t="shared" si="31"/>
        <v>1</v>
      </c>
      <c r="AF249" s="325"/>
      <c r="AG249" s="450" t="s">
        <v>47</v>
      </c>
      <c r="AH249" s="327"/>
    </row>
    <row r="250" spans="1:34" ht="15.75" thickBot="1" x14ac:dyDescent="0.3">
      <c r="A250" s="576">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1</v>
      </c>
      <c r="L250" s="326">
        <v>0</v>
      </c>
      <c r="M250" s="582" t="str">
        <f>VLOOKUP(A250,'Feature Raw Data'!$A$3:$E$3922,5,FALSE)</f>
        <v>New</v>
      </c>
      <c r="N250" s="465">
        <v>1</v>
      </c>
      <c r="O250" s="466"/>
      <c r="P250" s="464">
        <f t="shared" si="27"/>
        <v>1</v>
      </c>
      <c r="Q250" s="448" t="s">
        <v>47</v>
      </c>
      <c r="R250" s="326">
        <v>0</v>
      </c>
      <c r="S250" s="496">
        <f t="shared" si="33"/>
        <v>0</v>
      </c>
      <c r="T250" s="485"/>
      <c r="U250" s="485"/>
      <c r="V250" s="485"/>
      <c r="W250" s="485"/>
      <c r="X250" s="497">
        <f t="shared" si="30"/>
        <v>1</v>
      </c>
      <c r="Y250" s="584" t="str">
        <f>VLOOKUP(A250,'Feature Raw Data'!$A$3:$I$3922,9,FALSE)</f>
        <v xml:space="preserve">Waived. PMM Diags and PPA team should cover this. </v>
      </c>
      <c r="Z250" s="484">
        <f t="shared" si="32"/>
        <v>0</v>
      </c>
      <c r="AA250" s="485"/>
      <c r="AB250" s="485"/>
      <c r="AC250" s="485"/>
      <c r="AD250" s="485"/>
      <c r="AE250" s="483">
        <f t="shared" si="31"/>
        <v>1</v>
      </c>
      <c r="AF250" s="325"/>
      <c r="AG250" s="450" t="s">
        <v>47</v>
      </c>
      <c r="AH250" s="327"/>
    </row>
    <row r="251" spans="1:34" ht="15.75" thickBot="1" x14ac:dyDescent="0.3">
      <c r="A251" s="576">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8" t="s">
        <v>47</v>
      </c>
      <c r="J251" s="325"/>
      <c r="K251" s="326">
        <v>1</v>
      </c>
      <c r="L251" s="326">
        <v>0</v>
      </c>
      <c r="M251" s="582" t="str">
        <f>VLOOKUP(A251,'Feature Raw Data'!$A$3:$E$3922,5,FALSE)</f>
        <v>New</v>
      </c>
      <c r="N251" s="465">
        <v>1</v>
      </c>
      <c r="O251" s="466"/>
      <c r="P251" s="464">
        <f t="shared" si="27"/>
        <v>1</v>
      </c>
      <c r="Q251" s="448" t="s">
        <v>47</v>
      </c>
      <c r="R251" s="326">
        <v>0</v>
      </c>
      <c r="S251" s="496">
        <f t="shared" si="33"/>
        <v>0</v>
      </c>
      <c r="T251" s="485"/>
      <c r="U251" s="485"/>
      <c r="V251" s="485"/>
      <c r="W251" s="485"/>
      <c r="X251" s="497">
        <f t="shared" si="30"/>
        <v>1</v>
      </c>
      <c r="Y251" s="584" t="str">
        <f>VLOOKUP(A251,'Feature Raw Data'!$A$3:$I$3922,9,FALSE)</f>
        <v>Indirect coverage with updated/correct CP FW</v>
      </c>
      <c r="Z251" s="484">
        <f t="shared" si="32"/>
        <v>0</v>
      </c>
      <c r="AA251" s="485"/>
      <c r="AB251" s="485"/>
      <c r="AC251" s="485"/>
      <c r="AD251" s="485"/>
      <c r="AE251" s="483">
        <f t="shared" si="31"/>
        <v>1</v>
      </c>
      <c r="AF251" s="325"/>
      <c r="AG251" s="450" t="s">
        <v>47</v>
      </c>
      <c r="AH251" s="327"/>
    </row>
    <row r="252" spans="1:34" ht="15.75" thickBot="1" x14ac:dyDescent="0.3">
      <c r="A252" s="576">
        <v>12.494</v>
      </c>
      <c r="B252" s="325" t="str">
        <f>VLOOKUP(A252,'Feature Raw Data'!$A$3:$B$3922,2,FALSE)</f>
        <v>[Navi4m] GRBM Queue to optimize CP processor performance</v>
      </c>
      <c r="C252" s="325" t="s">
        <v>398</v>
      </c>
      <c r="D252" s="326" t="str">
        <f>VLOOKUP(A252,'Feature Raw Data'!$A$3:$F$3922,6,FALSE)</f>
        <v>CTL</v>
      </c>
      <c r="E252" s="325"/>
      <c r="F252" s="325"/>
      <c r="G252" s="244" t="str">
        <f>VLOOKUP(A252,'Feature Summary'!$A$7:$C$4170,3,FALSE)</f>
        <v>P3</v>
      </c>
      <c r="H252" s="417" t="s">
        <v>47</v>
      </c>
      <c r="I252" s="448" t="s">
        <v>47</v>
      </c>
      <c r="J252" s="325"/>
      <c r="K252" s="326">
        <v>1</v>
      </c>
      <c r="L252" s="326">
        <v>0</v>
      </c>
      <c r="M252" s="582" t="str">
        <f>VLOOKUP(A252,'Feature Raw Data'!$A$3:$E$3922,5,FALSE)</f>
        <v>New</v>
      </c>
      <c r="N252" s="465">
        <v>1</v>
      </c>
      <c r="O252" s="466"/>
      <c r="P252" s="464">
        <f t="shared" si="27"/>
        <v>1</v>
      </c>
      <c r="Q252" s="448" t="s">
        <v>47</v>
      </c>
      <c r="R252" s="326">
        <v>0</v>
      </c>
      <c r="S252" s="496">
        <f t="shared" si="33"/>
        <v>0</v>
      </c>
      <c r="T252" s="485"/>
      <c r="U252" s="485"/>
      <c r="V252" s="485"/>
      <c r="W252" s="485"/>
      <c r="X252" s="497">
        <f t="shared" si="30"/>
        <v>1</v>
      </c>
      <c r="Y252" s="584" t="s">
        <v>551</v>
      </c>
      <c r="Z252" s="484">
        <f t="shared" si="32"/>
        <v>0</v>
      </c>
      <c r="AA252" s="485"/>
      <c r="AB252" s="485"/>
      <c r="AC252" s="485"/>
      <c r="AD252" s="485"/>
      <c r="AE252" s="483">
        <f t="shared" si="31"/>
        <v>1</v>
      </c>
      <c r="AF252" s="325"/>
      <c r="AG252" s="450" t="s">
        <v>47</v>
      </c>
      <c r="AH252" s="327"/>
    </row>
    <row r="253" spans="1:34" ht="15.75" thickBot="1" x14ac:dyDescent="0.3">
      <c r="A253" s="576">
        <v>12.494999999999999</v>
      </c>
      <c r="B253" s="325" t="str">
        <f>VLOOKUP(A253,'Feature Raw Data'!$A$3:$B$3922,2,FALSE)</f>
        <v>[RS64] Add Load-IO Custom instruction w/16 CSRs</v>
      </c>
      <c r="C253" s="325" t="s">
        <v>398</v>
      </c>
      <c r="D253" s="326" t="str">
        <f>VLOOKUP(A253,'Feature Raw Data'!$A$3:$F$3922,6,FALSE)</f>
        <v>CTL</v>
      </c>
      <c r="E253" s="325"/>
      <c r="F253" s="325"/>
      <c r="G253" s="244" t="str">
        <f>VLOOKUP(A253,'Feature Summary'!$A$7:$C$4170,3,FALSE)</f>
        <v>P2</v>
      </c>
      <c r="H253" s="417" t="s">
        <v>47</v>
      </c>
      <c r="I253" s="448" t="s">
        <v>47</v>
      </c>
      <c r="J253" s="325"/>
      <c r="K253" s="326">
        <v>1</v>
      </c>
      <c r="L253" s="326">
        <v>0</v>
      </c>
      <c r="M253" s="582" t="str">
        <f>VLOOKUP(A253,'Feature Raw Data'!$A$3:$E$3922,5,FALSE)</f>
        <v>New</v>
      </c>
      <c r="N253" s="465">
        <v>1</v>
      </c>
      <c r="O253" s="466"/>
      <c r="P253" s="464">
        <f t="shared" si="27"/>
        <v>1</v>
      </c>
      <c r="Q253" s="448" t="s">
        <v>47</v>
      </c>
      <c r="R253" s="326">
        <v>0</v>
      </c>
      <c r="S253" s="496">
        <f t="shared" si="33"/>
        <v>0</v>
      </c>
      <c r="T253" s="485"/>
      <c r="U253" s="485"/>
      <c r="V253" s="485"/>
      <c r="W253" s="485"/>
      <c r="X253" s="497">
        <f t="shared" si="30"/>
        <v>1</v>
      </c>
      <c r="Y253" s="584" t="s">
        <v>552</v>
      </c>
      <c r="Z253" s="484">
        <f t="shared" si="32"/>
        <v>0</v>
      </c>
      <c r="AA253" s="485"/>
      <c r="AB253" s="485"/>
      <c r="AC253" s="485"/>
      <c r="AD253" s="485"/>
      <c r="AE253" s="483">
        <f t="shared" si="31"/>
        <v>1</v>
      </c>
      <c r="AF253" s="325"/>
      <c r="AG253" s="450" t="s">
        <v>47</v>
      </c>
      <c r="AH253" s="327"/>
    </row>
    <row r="254" spans="1:34" ht="15.75" thickBot="1" x14ac:dyDescent="0.3">
      <c r="A254" s="595">
        <v>12.497</v>
      </c>
      <c r="B254" s="325" t="str">
        <f>VLOOKUP(A254,'Feature Raw Data'!$A$3:$B$3922,2,FALSE)</f>
        <v>load_reserved store_conditional unitID aliasing requires a change in GFX client unitID values</v>
      </c>
      <c r="C254" s="325" t="s">
        <v>522</v>
      </c>
      <c r="D254" s="326" t="str">
        <f>VLOOKUP(A254,'Feature Raw Data'!$A$3:$F$3922,6,FALSE)</f>
        <v>CMM</v>
      </c>
      <c r="E254" s="325"/>
      <c r="F254" s="325"/>
      <c r="G254" s="244" t="str">
        <f>VLOOKUP(A254,'Feature Summary'!$A$7:$C$4170,3,FALSE)</f>
        <v>P1</v>
      </c>
      <c r="H254" s="417" t="s">
        <v>47</v>
      </c>
      <c r="I254" s="448" t="s">
        <v>47</v>
      </c>
      <c r="J254" s="325"/>
      <c r="K254" s="326">
        <v>1</v>
      </c>
      <c r="L254" s="326">
        <v>0</v>
      </c>
      <c r="M254" s="582" t="str">
        <f>VLOOKUP(A254,'Feature Raw Data'!$A$3:$E$3922,5,FALSE)</f>
        <v>New</v>
      </c>
      <c r="N254" s="465">
        <v>1</v>
      </c>
      <c r="O254" s="466"/>
      <c r="P254" s="464">
        <f t="shared" si="27"/>
        <v>1</v>
      </c>
      <c r="Q254" s="448" t="s">
        <v>47</v>
      </c>
      <c r="R254" s="326">
        <v>0</v>
      </c>
      <c r="S254" s="496">
        <f t="shared" si="33"/>
        <v>0</v>
      </c>
      <c r="T254" s="485"/>
      <c r="U254" s="485"/>
      <c r="V254" s="485"/>
      <c r="W254" s="485"/>
      <c r="X254" s="497">
        <f t="shared" si="30"/>
        <v>1</v>
      </c>
      <c r="Y254" s="584" t="s">
        <v>523</v>
      </c>
      <c r="Z254" s="484">
        <f t="shared" si="32"/>
        <v>0</v>
      </c>
      <c r="AA254" s="485"/>
      <c r="AB254" s="485"/>
      <c r="AC254" s="485"/>
      <c r="AD254" s="485"/>
      <c r="AE254" s="483">
        <f t="shared" si="31"/>
        <v>1</v>
      </c>
      <c r="AF254" s="325"/>
      <c r="AG254" s="450" t="s">
        <v>47</v>
      </c>
      <c r="AH254" s="327"/>
    </row>
    <row r="255" spans="1:34" ht="15.75" thickBot="1" x14ac:dyDescent="0.3">
      <c r="A255" s="576">
        <v>12.497999999999999</v>
      </c>
      <c r="B255" s="325" t="str">
        <f>VLOOKUP(A255,'Feature Raw Data'!$A$3:$B$3922,2,FALSE)</f>
        <v>Increase in DB FIFOs for Write-Only Performance</v>
      </c>
      <c r="C255" s="325" t="s">
        <v>310</v>
      </c>
      <c r="D255" s="326" t="str">
        <f>VLOOKUP(A255,'Feature Raw Data'!$A$3:$F$3922,6,FALSE)</f>
        <v>PP</v>
      </c>
      <c r="E255" s="325"/>
      <c r="F255" s="325"/>
      <c r="G255" s="244" t="str">
        <f>VLOOKUP(A255,'Feature Summary'!$A$7:$C$4170,3,FALSE)</f>
        <v>P1</v>
      </c>
      <c r="H255" s="417" t="s">
        <v>47</v>
      </c>
      <c r="I255" s="448" t="s">
        <v>47</v>
      </c>
      <c r="J255" s="325"/>
      <c r="K255" s="326">
        <v>1</v>
      </c>
      <c r="L255" s="326">
        <v>0</v>
      </c>
      <c r="M255" s="582" t="str">
        <f>VLOOKUP(A255,'Feature Raw Data'!$A$3:$E$3922,5,FALSE)</f>
        <v>New</v>
      </c>
      <c r="N255" s="465">
        <v>1</v>
      </c>
      <c r="O255" s="466"/>
      <c r="P255" s="464">
        <f t="shared" si="27"/>
        <v>1</v>
      </c>
      <c r="Q255" s="448" t="s">
        <v>47</v>
      </c>
      <c r="R255" s="326">
        <v>0</v>
      </c>
      <c r="S255" s="496">
        <f t="shared" si="33"/>
        <v>0</v>
      </c>
      <c r="T255" s="485"/>
      <c r="U255" s="485"/>
      <c r="V255" s="485"/>
      <c r="W255" s="485"/>
      <c r="X255" s="497">
        <f t="shared" si="30"/>
        <v>1</v>
      </c>
      <c r="Y255" s="449" t="s">
        <v>549</v>
      </c>
      <c r="Z255" s="484">
        <f t="shared" si="32"/>
        <v>0</v>
      </c>
      <c r="AA255" s="485"/>
      <c r="AB255" s="485"/>
      <c r="AC255" s="485"/>
      <c r="AD255" s="485"/>
      <c r="AE255" s="483">
        <f t="shared" si="31"/>
        <v>1</v>
      </c>
      <c r="AF255" s="325"/>
      <c r="AG255" s="450" t="s">
        <v>47</v>
      </c>
      <c r="AH255" s="327"/>
    </row>
    <row r="256" spans="1:34" ht="15.75" thickBot="1" x14ac:dyDescent="0.3">
      <c r="A256" s="595">
        <v>12.499000000000001</v>
      </c>
      <c r="B256" s="325" t="str">
        <f>VLOOKUP(A256,'Feature Raw Data'!$A$3:$B$3922,2,FALSE)</f>
        <v>CB/DB compress to clear/single before sending to GLx</v>
      </c>
      <c r="C256" s="325" t="s">
        <v>337</v>
      </c>
      <c r="D256" s="326" t="str">
        <f>VLOOKUP(A256,'Feature Raw Data'!$A$3:$F$3922,6,FALSE)</f>
        <v>CMM</v>
      </c>
      <c r="E256" s="325"/>
      <c r="F256" s="325"/>
      <c r="G256" s="244" t="str">
        <f>VLOOKUP(A256,'Feature Summary'!$A$7:$C$4170,3,FALSE)</f>
        <v>P2</v>
      </c>
      <c r="H256" s="417" t="s">
        <v>983</v>
      </c>
      <c r="I256" s="448" t="s">
        <v>41</v>
      </c>
      <c r="J256" s="325" t="s">
        <v>356</v>
      </c>
      <c r="K256" s="326">
        <v>1</v>
      </c>
      <c r="L256" s="326">
        <v>2</v>
      </c>
      <c r="M256" s="582" t="str">
        <f>VLOOKUP(A256,'Feature Raw Data'!$A$3:$E$3922,5,FALSE)</f>
        <v>New</v>
      </c>
      <c r="N256" s="465">
        <v>1</v>
      </c>
      <c r="O256" s="466">
        <v>1</v>
      </c>
      <c r="P256" s="464">
        <f t="shared" si="27"/>
        <v>0.5</v>
      </c>
      <c r="Q256" s="448" t="s">
        <v>32</v>
      </c>
      <c r="R256" s="326">
        <v>1</v>
      </c>
      <c r="S256" s="496">
        <f t="shared" si="33"/>
        <v>0</v>
      </c>
      <c r="T256" s="485"/>
      <c r="U256" s="485"/>
      <c r="V256" s="485"/>
      <c r="W256" s="485"/>
      <c r="X256" s="497">
        <f t="shared" si="30"/>
        <v>0</v>
      </c>
      <c r="Y256" s="584"/>
      <c r="Z256" s="484">
        <f t="shared" si="32"/>
        <v>0</v>
      </c>
      <c r="AA256" s="485"/>
      <c r="AB256" s="485"/>
      <c r="AC256" s="485"/>
      <c r="AD256" s="485"/>
      <c r="AE256" s="483">
        <f t="shared" si="31"/>
        <v>0</v>
      </c>
      <c r="AF256" s="325"/>
      <c r="AG256" s="450" t="s">
        <v>354</v>
      </c>
      <c r="AH256" s="327"/>
    </row>
    <row r="257" spans="1:34" x14ac:dyDescent="0.25">
      <c r="A257" s="595">
        <v>12.5</v>
      </c>
      <c r="B257" s="325" t="str">
        <f>VLOOKUP(A257,'Feature Raw Data'!$A$3:$B$3922,2,FALSE)</f>
        <v>2ch_cant_saturate_pcie_rdBW</v>
      </c>
      <c r="C257" s="325" t="s">
        <v>337</v>
      </c>
      <c r="D257" s="326" t="str">
        <f>VLOOKUP(A257,'Feature Raw Data'!$A$3:$F$3922,6,FALSE)</f>
        <v>CMM</v>
      </c>
      <c r="E257" s="325"/>
      <c r="F257" s="325"/>
      <c r="G257" s="244" t="str">
        <f>VLOOKUP(A257,'Feature Summary'!$A$7:$C$4170,3,FALSE)</f>
        <v>P2</v>
      </c>
      <c r="H257" s="417" t="s">
        <v>47</v>
      </c>
      <c r="I257" s="448" t="s">
        <v>47</v>
      </c>
      <c r="J257" s="325"/>
      <c r="K257" s="326">
        <v>1</v>
      </c>
      <c r="L257" s="326">
        <v>0</v>
      </c>
      <c r="M257" s="582" t="str">
        <f>VLOOKUP(A257,'Feature Raw Data'!$A$3:$E$3922,5,FALSE)</f>
        <v>New</v>
      </c>
      <c r="N257" s="465">
        <v>1</v>
      </c>
      <c r="O257" s="466"/>
      <c r="P257" s="464">
        <f t="shared" si="27"/>
        <v>1</v>
      </c>
      <c r="Q257" s="448" t="s">
        <v>47</v>
      </c>
      <c r="R257" s="326">
        <v>0</v>
      </c>
      <c r="S257" s="496">
        <f t="shared" si="33"/>
        <v>0</v>
      </c>
      <c r="T257" s="485"/>
      <c r="U257" s="485"/>
      <c r="V257" s="485"/>
      <c r="W257" s="485"/>
      <c r="X257" s="497">
        <f t="shared" si="30"/>
        <v>1</v>
      </c>
      <c r="Y257" s="584" t="s">
        <v>543</v>
      </c>
      <c r="Z257" s="484">
        <f t="shared" si="32"/>
        <v>0</v>
      </c>
      <c r="AA257" s="485"/>
      <c r="AB257" s="485"/>
      <c r="AC257" s="485"/>
      <c r="AD257" s="485"/>
      <c r="AE257" s="483">
        <f t="shared" si="31"/>
        <v>1</v>
      </c>
      <c r="AF257" s="325"/>
      <c r="AG257" s="450" t="s">
        <v>47</v>
      </c>
      <c r="AH257" s="327"/>
    </row>
    <row r="258" spans="1:34" x14ac:dyDescent="0.25">
      <c r="A258" s="324"/>
      <c r="B258" s="325"/>
      <c r="C258" s="325"/>
      <c r="D258" s="326"/>
      <c r="E258" s="325"/>
      <c r="F258" s="325"/>
      <c r="G258" s="244"/>
      <c r="H258" s="417"/>
      <c r="I258" s="448"/>
      <c r="J258" s="325"/>
      <c r="K258" s="326"/>
      <c r="L258" s="326"/>
      <c r="M258" s="420"/>
      <c r="N258" s="465"/>
      <c r="O258" s="466"/>
      <c r="P258" s="467"/>
      <c r="Q258" s="448"/>
      <c r="R258" s="326"/>
      <c r="S258" s="496"/>
      <c r="T258" s="485"/>
      <c r="U258" s="485"/>
      <c r="V258" s="485"/>
      <c r="W258" s="485"/>
      <c r="X258" s="497"/>
      <c r="Y258" s="449"/>
      <c r="Z258" s="484"/>
      <c r="AA258" s="485"/>
      <c r="AB258" s="485"/>
      <c r="AC258" s="485"/>
      <c r="AD258" s="485"/>
      <c r="AE258" s="486"/>
      <c r="AF258" s="325"/>
      <c r="AG258" s="450"/>
      <c r="AH258" s="327"/>
    </row>
    <row r="259" spans="1:34" x14ac:dyDescent="0.25">
      <c r="A259" s="324"/>
      <c r="B259" s="325"/>
      <c r="C259" s="325"/>
      <c r="D259" s="326"/>
      <c r="E259" s="325"/>
      <c r="F259" s="325"/>
      <c r="G259" s="244"/>
      <c r="H259" s="417"/>
      <c r="I259" s="448"/>
      <c r="J259" s="325"/>
      <c r="K259" s="326"/>
      <c r="L259" s="326"/>
      <c r="M259" s="420"/>
      <c r="N259" s="465"/>
      <c r="O259" s="466"/>
      <c r="P259" s="467"/>
      <c r="Q259" s="448"/>
      <c r="R259" s="326"/>
      <c r="S259" s="496"/>
      <c r="T259" s="485"/>
      <c r="U259" s="485"/>
      <c r="V259" s="485"/>
      <c r="W259" s="485"/>
      <c r="X259" s="497"/>
      <c r="Y259" s="449"/>
      <c r="Z259" s="484"/>
      <c r="AA259" s="485"/>
      <c r="AB259" s="485"/>
      <c r="AC259" s="485"/>
      <c r="AD259" s="485"/>
      <c r="AE259" s="486"/>
      <c r="AF259" s="325"/>
      <c r="AG259" s="450"/>
      <c r="AH259" s="327"/>
    </row>
    <row r="260" spans="1:34" x14ac:dyDescent="0.25">
      <c r="A260" s="324"/>
      <c r="B260" s="325"/>
      <c r="C260" s="325"/>
      <c r="D260" s="326"/>
      <c r="E260" s="325"/>
      <c r="F260" s="325"/>
      <c r="G260" s="244"/>
      <c r="H260" s="417"/>
      <c r="I260" s="448"/>
      <c r="J260" s="325"/>
      <c r="K260" s="326"/>
      <c r="L260" s="326"/>
      <c r="M260" s="420"/>
      <c r="N260" s="465"/>
      <c r="O260" s="466"/>
      <c r="P260" s="467"/>
      <c r="Q260" s="448"/>
      <c r="R260" s="326"/>
      <c r="S260" s="496"/>
      <c r="T260" s="485"/>
      <c r="U260" s="485"/>
      <c r="V260" s="485"/>
      <c r="W260" s="485"/>
      <c r="X260" s="497"/>
      <c r="Y260" s="449"/>
      <c r="Z260" s="484"/>
      <c r="AA260" s="485"/>
      <c r="AB260" s="485"/>
      <c r="AC260" s="485"/>
      <c r="AD260" s="485"/>
      <c r="AE260" s="486"/>
      <c r="AF260" s="325"/>
      <c r="AG260" s="450"/>
      <c r="AH260" s="327"/>
    </row>
    <row r="261" spans="1:34" x14ac:dyDescent="0.25">
      <c r="A261" s="324"/>
      <c r="B261" s="325"/>
      <c r="C261" s="325"/>
      <c r="D261" s="326"/>
      <c r="E261" s="325"/>
      <c r="F261" s="325"/>
      <c r="G261" s="244"/>
      <c r="H261" s="417"/>
      <c r="I261" s="448"/>
      <c r="J261" s="325"/>
      <c r="K261" s="326"/>
      <c r="L261" s="326"/>
      <c r="M261" s="420"/>
      <c r="N261" s="465"/>
      <c r="O261" s="466"/>
      <c r="P261" s="467"/>
      <c r="Q261" s="448"/>
      <c r="R261" s="326"/>
      <c r="S261" s="496"/>
      <c r="T261" s="485"/>
      <c r="U261" s="485"/>
      <c r="V261" s="485"/>
      <c r="W261" s="485"/>
      <c r="X261" s="497"/>
      <c r="Y261" s="449"/>
      <c r="Z261" s="484"/>
      <c r="AA261" s="485"/>
      <c r="AB261" s="485"/>
      <c r="AC261" s="485"/>
      <c r="AD261" s="485"/>
      <c r="AE261" s="486"/>
      <c r="AF261" s="325"/>
      <c r="AG261" s="450"/>
      <c r="AH261" s="327"/>
    </row>
    <row r="262" spans="1:34" x14ac:dyDescent="0.25">
      <c r="A262" s="324"/>
      <c r="B262" s="325"/>
      <c r="C262" s="325"/>
      <c r="D262" s="326"/>
      <c r="E262" s="325"/>
      <c r="F262" s="325"/>
      <c r="G262" s="244"/>
      <c r="H262" s="417"/>
      <c r="I262" s="448"/>
      <c r="J262" s="325"/>
      <c r="K262" s="326"/>
      <c r="L262" s="326"/>
      <c r="M262" s="420"/>
      <c r="N262" s="465"/>
      <c r="O262" s="466"/>
      <c r="P262" s="467"/>
      <c r="Q262" s="448"/>
      <c r="R262" s="326"/>
      <c r="S262" s="496"/>
      <c r="T262" s="485"/>
      <c r="U262" s="485"/>
      <c r="V262" s="485"/>
      <c r="W262" s="485"/>
      <c r="X262" s="497"/>
      <c r="Y262" s="449"/>
      <c r="Z262" s="484"/>
      <c r="AA262" s="485"/>
      <c r="AB262" s="485"/>
      <c r="AC262" s="485"/>
      <c r="AD262" s="485"/>
      <c r="AE262" s="486"/>
      <c r="AF262" s="325"/>
      <c r="AG262" s="450"/>
      <c r="AH262" s="327"/>
    </row>
    <row r="263" spans="1:34" x14ac:dyDescent="0.25">
      <c r="A263" s="324"/>
      <c r="B263" s="325"/>
      <c r="C263" s="325"/>
      <c r="D263" s="326"/>
      <c r="E263" s="325"/>
      <c r="F263" s="325"/>
      <c r="G263" s="244"/>
      <c r="H263" s="417"/>
      <c r="I263" s="448"/>
      <c r="J263" s="325"/>
      <c r="K263" s="326"/>
      <c r="L263" s="326"/>
      <c r="M263" s="420"/>
      <c r="N263" s="465"/>
      <c r="O263" s="466"/>
      <c r="P263" s="467"/>
      <c r="Q263" s="448"/>
      <c r="R263" s="326"/>
      <c r="S263" s="496"/>
      <c r="T263" s="485"/>
      <c r="U263" s="485"/>
      <c r="V263" s="485"/>
      <c r="W263" s="485"/>
      <c r="X263" s="497"/>
      <c r="Y263" s="449"/>
      <c r="Z263" s="484"/>
      <c r="AA263" s="485"/>
      <c r="AB263" s="485"/>
      <c r="AC263" s="485"/>
      <c r="AD263" s="485"/>
      <c r="AE263" s="486"/>
      <c r="AF263" s="325"/>
      <c r="AG263" s="450"/>
      <c r="AH263" s="327"/>
    </row>
    <row r="264" spans="1:34" x14ac:dyDescent="0.25">
      <c r="A264" s="324"/>
      <c r="B264" s="325"/>
      <c r="C264" s="325"/>
      <c r="D264" s="326"/>
      <c r="E264" s="325"/>
      <c r="F264" s="325"/>
      <c r="G264" s="244"/>
      <c r="H264" s="417"/>
      <c r="I264" s="448"/>
      <c r="J264" s="325"/>
      <c r="K264" s="326"/>
      <c r="L264" s="326"/>
      <c r="M264" s="420"/>
      <c r="N264" s="465"/>
      <c r="O264" s="466"/>
      <c r="P264" s="467"/>
      <c r="Q264" s="448"/>
      <c r="R264" s="326"/>
      <c r="S264" s="496"/>
      <c r="T264" s="485"/>
      <c r="U264" s="485"/>
      <c r="V264" s="485"/>
      <c r="W264" s="485"/>
      <c r="X264" s="497"/>
      <c r="Y264" s="449"/>
      <c r="Z264" s="484"/>
      <c r="AA264" s="485"/>
      <c r="AB264" s="485"/>
      <c r="AC264" s="485"/>
      <c r="AD264" s="485"/>
      <c r="AE264" s="486"/>
      <c r="AF264" s="325"/>
      <c r="AG264" s="450"/>
      <c r="AH264" s="327"/>
    </row>
    <row r="265" spans="1:34" x14ac:dyDescent="0.25">
      <c r="A265" s="324"/>
      <c r="B265" s="325"/>
      <c r="C265" s="325"/>
      <c r="D265" s="326"/>
      <c r="E265" s="325"/>
      <c r="F265" s="325"/>
      <c r="G265" s="244"/>
      <c r="H265" s="417"/>
      <c r="I265" s="448"/>
      <c r="J265" s="325"/>
      <c r="K265" s="326"/>
      <c r="L265" s="326"/>
      <c r="M265" s="420"/>
      <c r="N265" s="465"/>
      <c r="O265" s="466"/>
      <c r="P265" s="467"/>
      <c r="Q265" s="448"/>
      <c r="R265" s="326"/>
      <c r="S265" s="496"/>
      <c r="T265" s="485"/>
      <c r="U265" s="485"/>
      <c r="V265" s="485"/>
      <c r="W265" s="485"/>
      <c r="X265" s="497"/>
      <c r="Y265" s="449"/>
      <c r="Z265" s="484"/>
      <c r="AA265" s="485"/>
      <c r="AB265" s="485"/>
      <c r="AC265" s="485"/>
      <c r="AD265" s="485"/>
      <c r="AE265" s="486"/>
      <c r="AF265" s="325"/>
      <c r="AG265" s="450"/>
      <c r="AH265" s="327"/>
    </row>
    <row r="266" spans="1:34" x14ac:dyDescent="0.25">
      <c r="A266" s="324"/>
      <c r="B266" s="325"/>
      <c r="C266" s="325"/>
      <c r="D266" s="326"/>
      <c r="E266" s="325"/>
      <c r="F266" s="325"/>
      <c r="G266" s="244"/>
      <c r="H266" s="417"/>
      <c r="I266" s="448"/>
      <c r="J266" s="325"/>
      <c r="K266" s="326"/>
      <c r="L266" s="326"/>
      <c r="M266" s="420"/>
      <c r="N266" s="465"/>
      <c r="O266" s="466"/>
      <c r="P266" s="467"/>
      <c r="Q266" s="448"/>
      <c r="R266" s="326"/>
      <c r="S266" s="496"/>
      <c r="T266" s="485"/>
      <c r="U266" s="485"/>
      <c r="V266" s="485"/>
      <c r="W266" s="485"/>
      <c r="X266" s="497"/>
      <c r="Y266" s="449"/>
      <c r="Z266" s="484"/>
      <c r="AA266" s="485"/>
      <c r="AB266" s="485"/>
      <c r="AC266" s="485"/>
      <c r="AD266" s="485"/>
      <c r="AE266" s="486"/>
      <c r="AF266" s="325"/>
      <c r="AG266" s="450"/>
      <c r="AH266" s="327"/>
    </row>
    <row r="267" spans="1:34" x14ac:dyDescent="0.25">
      <c r="A267" s="324"/>
      <c r="B267" s="325"/>
      <c r="C267" s="325"/>
      <c r="D267" s="326"/>
      <c r="E267" s="325"/>
      <c r="F267" s="325"/>
      <c r="G267" s="244"/>
      <c r="H267" s="417"/>
      <c r="I267" s="448"/>
      <c r="J267" s="325"/>
      <c r="K267" s="326"/>
      <c r="L267" s="326"/>
      <c r="M267" s="420"/>
      <c r="N267" s="465"/>
      <c r="O267" s="466"/>
      <c r="P267" s="467"/>
      <c r="Q267" s="448"/>
      <c r="R267" s="326"/>
      <c r="S267" s="496"/>
      <c r="T267" s="485"/>
      <c r="U267" s="485"/>
      <c r="V267" s="485"/>
      <c r="W267" s="485"/>
      <c r="X267" s="497"/>
      <c r="Y267" s="449"/>
      <c r="Z267" s="484"/>
      <c r="AA267" s="485"/>
      <c r="AB267" s="485"/>
      <c r="AC267" s="485"/>
      <c r="AD267" s="485"/>
      <c r="AE267" s="486"/>
      <c r="AF267" s="325"/>
      <c r="AG267" s="450"/>
      <c r="AH267" s="327"/>
    </row>
    <row r="268" spans="1:34" x14ac:dyDescent="0.25">
      <c r="A268" s="324"/>
      <c r="B268" s="325"/>
      <c r="C268" s="325"/>
      <c r="D268" s="326"/>
      <c r="E268" s="325"/>
      <c r="F268" s="325"/>
      <c r="G268" s="244"/>
      <c r="H268" s="417"/>
      <c r="I268" s="448"/>
      <c r="J268" s="325"/>
      <c r="K268" s="326"/>
      <c r="L268" s="326"/>
      <c r="M268" s="420"/>
      <c r="N268" s="465"/>
      <c r="O268" s="466"/>
      <c r="P268" s="467"/>
      <c r="Q268" s="448"/>
      <c r="R268" s="326"/>
      <c r="S268" s="496"/>
      <c r="T268" s="485"/>
      <c r="U268" s="485"/>
      <c r="V268" s="485"/>
      <c r="W268" s="485"/>
      <c r="X268" s="497"/>
      <c r="Y268" s="449"/>
      <c r="Z268" s="484"/>
      <c r="AA268" s="485"/>
      <c r="AB268" s="485"/>
      <c r="AC268" s="485"/>
      <c r="AD268" s="485"/>
      <c r="AE268" s="486"/>
      <c r="AF268" s="325"/>
      <c r="AG268" s="450"/>
      <c r="AH268" s="327"/>
    </row>
    <row r="269" spans="1:34" x14ac:dyDescent="0.25">
      <c r="A269" s="324"/>
      <c r="B269" s="325"/>
      <c r="C269" s="325"/>
      <c r="D269" s="326"/>
      <c r="E269" s="325"/>
      <c r="F269" s="325"/>
      <c r="G269" s="244"/>
      <c r="H269" s="417"/>
      <c r="I269" s="448"/>
      <c r="J269" s="325"/>
      <c r="K269" s="326"/>
      <c r="L269" s="326"/>
      <c r="M269" s="420"/>
      <c r="N269" s="465"/>
      <c r="O269" s="466"/>
      <c r="P269" s="467"/>
      <c r="Q269" s="448"/>
      <c r="R269" s="326"/>
      <c r="S269" s="496"/>
      <c r="T269" s="485"/>
      <c r="U269" s="485"/>
      <c r="V269" s="485"/>
      <c r="W269" s="485"/>
      <c r="X269" s="497"/>
      <c r="Y269" s="449"/>
      <c r="Z269" s="484"/>
      <c r="AA269" s="485"/>
      <c r="AB269" s="485"/>
      <c r="AC269" s="485"/>
      <c r="AD269" s="485"/>
      <c r="AE269" s="486"/>
      <c r="AF269" s="325"/>
      <c r="AG269" s="450"/>
      <c r="AH269" s="327"/>
    </row>
    <row r="270" spans="1:34" x14ac:dyDescent="0.25">
      <c r="A270" s="324"/>
      <c r="B270" s="325"/>
      <c r="C270" s="325"/>
      <c r="D270" s="326"/>
      <c r="E270" s="325"/>
      <c r="F270" s="325"/>
      <c r="G270" s="244"/>
      <c r="H270" s="417"/>
      <c r="I270" s="448"/>
      <c r="J270" s="325"/>
      <c r="K270" s="326"/>
      <c r="L270" s="326"/>
      <c r="M270" s="420"/>
      <c r="N270" s="465"/>
      <c r="O270" s="466"/>
      <c r="P270" s="467"/>
      <c r="Q270" s="448"/>
      <c r="R270" s="326"/>
      <c r="S270" s="496"/>
      <c r="T270" s="485"/>
      <c r="U270" s="485"/>
      <c r="V270" s="485"/>
      <c r="W270" s="485"/>
      <c r="X270" s="497"/>
      <c r="Y270" s="449"/>
      <c r="Z270" s="484"/>
      <c r="AA270" s="485"/>
      <c r="AB270" s="485"/>
      <c r="AC270" s="485"/>
      <c r="AD270" s="485"/>
      <c r="AE270" s="486"/>
      <c r="AF270" s="325"/>
      <c r="AG270" s="450"/>
      <c r="AH270" s="327"/>
    </row>
    <row r="271" spans="1:34" x14ac:dyDescent="0.25">
      <c r="A271" s="324"/>
      <c r="B271" s="325"/>
      <c r="C271" s="325"/>
      <c r="D271" s="326"/>
      <c r="E271" s="325"/>
      <c r="F271" s="325"/>
      <c r="G271" s="244"/>
      <c r="H271" s="417"/>
      <c r="I271" s="448"/>
      <c r="J271" s="325"/>
      <c r="K271" s="326"/>
      <c r="L271" s="326"/>
      <c r="M271" s="420"/>
      <c r="N271" s="465"/>
      <c r="O271" s="466"/>
      <c r="P271" s="467"/>
      <c r="Q271" s="448"/>
      <c r="R271" s="326"/>
      <c r="S271" s="496"/>
      <c r="T271" s="485"/>
      <c r="U271" s="485"/>
      <c r="V271" s="485"/>
      <c r="W271" s="485"/>
      <c r="X271" s="497"/>
      <c r="Y271" s="449"/>
      <c r="Z271" s="484"/>
      <c r="AA271" s="485"/>
      <c r="AB271" s="485"/>
      <c r="AC271" s="485"/>
      <c r="AD271" s="485"/>
      <c r="AE271" s="486"/>
      <c r="AF271" s="325"/>
      <c r="AG271" s="450"/>
      <c r="AH271" s="327"/>
    </row>
    <row r="272" spans="1:34" x14ac:dyDescent="0.25">
      <c r="A272" s="324"/>
      <c r="B272" s="325"/>
      <c r="C272" s="325"/>
      <c r="D272" s="326"/>
      <c r="E272" s="325"/>
      <c r="F272" s="325"/>
      <c r="G272" s="244"/>
      <c r="H272" s="417"/>
      <c r="I272" s="448"/>
      <c r="J272" s="325"/>
      <c r="K272" s="326"/>
      <c r="L272" s="326"/>
      <c r="M272" s="420"/>
      <c r="N272" s="465"/>
      <c r="O272" s="466"/>
      <c r="P272" s="467"/>
      <c r="Q272" s="448"/>
      <c r="R272" s="326"/>
      <c r="S272" s="496"/>
      <c r="T272" s="485"/>
      <c r="U272" s="485"/>
      <c r="V272" s="485"/>
      <c r="W272" s="485"/>
      <c r="X272" s="497"/>
      <c r="Y272" s="449"/>
      <c r="Z272" s="484"/>
      <c r="AA272" s="485"/>
      <c r="AB272" s="485"/>
      <c r="AC272" s="485"/>
      <c r="AD272" s="485"/>
      <c r="AE272" s="486"/>
      <c r="AF272" s="325"/>
      <c r="AG272" s="450"/>
      <c r="AH272" s="327"/>
    </row>
    <row r="273" spans="1:34" x14ac:dyDescent="0.25">
      <c r="A273" s="324"/>
      <c r="B273" s="325"/>
      <c r="C273" s="325"/>
      <c r="D273" s="326"/>
      <c r="E273" s="325"/>
      <c r="F273" s="325"/>
      <c r="G273" s="244"/>
      <c r="H273" s="417"/>
      <c r="I273" s="448"/>
      <c r="J273" s="325"/>
      <c r="K273" s="326"/>
      <c r="L273" s="326"/>
      <c r="M273" s="420"/>
      <c r="N273" s="465"/>
      <c r="O273" s="466"/>
      <c r="P273" s="467"/>
      <c r="Q273" s="448"/>
      <c r="R273" s="326"/>
      <c r="S273" s="496"/>
      <c r="T273" s="485"/>
      <c r="U273" s="485"/>
      <c r="V273" s="485"/>
      <c r="W273" s="485"/>
      <c r="X273" s="497"/>
      <c r="Y273" s="449"/>
      <c r="Z273" s="484"/>
      <c r="AA273" s="485"/>
      <c r="AB273" s="485"/>
      <c r="AC273" s="485"/>
      <c r="AD273" s="485"/>
      <c r="AE273" s="486"/>
      <c r="AF273" s="325"/>
      <c r="AG273" s="450"/>
      <c r="AH273" s="327"/>
    </row>
    <row r="274" spans="1:34" x14ac:dyDescent="0.25">
      <c r="A274" s="324"/>
      <c r="B274" s="325"/>
      <c r="C274" s="325"/>
      <c r="D274" s="326"/>
      <c r="E274" s="325"/>
      <c r="F274" s="325"/>
      <c r="G274" s="244"/>
      <c r="H274" s="417"/>
      <c r="I274" s="448"/>
      <c r="J274" s="325"/>
      <c r="K274" s="326"/>
      <c r="L274" s="326"/>
      <c r="M274" s="420"/>
      <c r="N274" s="465"/>
      <c r="O274" s="466"/>
      <c r="P274" s="467"/>
      <c r="Q274" s="448"/>
      <c r="R274" s="326"/>
      <c r="S274" s="496"/>
      <c r="T274" s="485"/>
      <c r="U274" s="485"/>
      <c r="V274" s="485"/>
      <c r="W274" s="485"/>
      <c r="X274" s="497"/>
      <c r="Y274" s="449"/>
      <c r="Z274" s="484"/>
      <c r="AA274" s="485"/>
      <c r="AB274" s="485"/>
      <c r="AC274" s="485"/>
      <c r="AD274" s="485"/>
      <c r="AE274" s="486"/>
      <c r="AF274" s="325"/>
      <c r="AG274" s="450"/>
      <c r="AH274" s="327"/>
    </row>
    <row r="275" spans="1:34" x14ac:dyDescent="0.25">
      <c r="A275" s="324"/>
      <c r="B275" s="325"/>
      <c r="C275" s="325"/>
      <c r="D275" s="326"/>
      <c r="E275" s="325"/>
      <c r="F275" s="325"/>
      <c r="G275" s="244"/>
      <c r="H275" s="417"/>
      <c r="I275" s="448"/>
      <c r="J275" s="325"/>
      <c r="K275" s="326"/>
      <c r="L275" s="326"/>
      <c r="M275" s="420"/>
      <c r="N275" s="465"/>
      <c r="O275" s="466"/>
      <c r="P275" s="467"/>
      <c r="Q275" s="448"/>
      <c r="R275" s="326"/>
      <c r="S275" s="496"/>
      <c r="T275" s="485"/>
      <c r="U275" s="485"/>
      <c r="V275" s="485"/>
      <c r="W275" s="485"/>
      <c r="X275" s="497"/>
      <c r="Y275" s="449"/>
      <c r="Z275" s="484"/>
      <c r="AA275" s="485"/>
      <c r="AB275" s="485"/>
      <c r="AC275" s="485"/>
      <c r="AD275" s="485"/>
      <c r="AE275" s="486"/>
      <c r="AF275" s="325"/>
      <c r="AG275" s="450"/>
      <c r="AH275" s="327"/>
    </row>
    <row r="276" spans="1:34" x14ac:dyDescent="0.25">
      <c r="A276" s="324"/>
      <c r="B276" s="325"/>
      <c r="C276" s="325"/>
      <c r="D276" s="326"/>
      <c r="E276" s="325"/>
      <c r="F276" s="325"/>
      <c r="G276" s="244"/>
      <c r="H276" s="417"/>
      <c r="I276" s="448"/>
      <c r="J276" s="325"/>
      <c r="K276" s="326"/>
      <c r="L276" s="326"/>
      <c r="M276" s="420"/>
      <c r="N276" s="465"/>
      <c r="O276" s="466"/>
      <c r="P276" s="467"/>
      <c r="Q276" s="448"/>
      <c r="R276" s="326"/>
      <c r="S276" s="496"/>
      <c r="T276" s="485"/>
      <c r="U276" s="485"/>
      <c r="V276" s="485"/>
      <c r="W276" s="485"/>
      <c r="X276" s="497"/>
      <c r="Y276" s="449"/>
      <c r="Z276" s="484"/>
      <c r="AA276" s="485"/>
      <c r="AB276" s="485"/>
      <c r="AC276" s="485"/>
      <c r="AD276" s="485"/>
      <c r="AE276" s="486"/>
      <c r="AF276" s="325"/>
      <c r="AG276" s="450"/>
      <c r="AH276" s="327"/>
    </row>
    <row r="277" spans="1:34" x14ac:dyDescent="0.25">
      <c r="A277" s="324"/>
      <c r="B277" s="325"/>
      <c r="C277" s="325"/>
      <c r="D277" s="326"/>
      <c r="E277" s="325"/>
      <c r="F277" s="325"/>
      <c r="G277" s="244"/>
      <c r="H277" s="417"/>
      <c r="I277" s="448"/>
      <c r="J277" s="325"/>
      <c r="K277" s="326"/>
      <c r="L277" s="326"/>
      <c r="M277" s="420"/>
      <c r="N277" s="465"/>
      <c r="O277" s="466"/>
      <c r="P277" s="467"/>
      <c r="Q277" s="448"/>
      <c r="R277" s="326"/>
      <c r="S277" s="496"/>
      <c r="T277" s="485"/>
      <c r="U277" s="485"/>
      <c r="V277" s="485"/>
      <c r="W277" s="485"/>
      <c r="X277" s="497"/>
      <c r="Y277" s="449"/>
      <c r="Z277" s="484"/>
      <c r="AA277" s="485"/>
      <c r="AB277" s="485"/>
      <c r="AC277" s="485"/>
      <c r="AD277" s="485"/>
      <c r="AE277" s="486"/>
      <c r="AF277" s="325"/>
      <c r="AG277" s="450"/>
      <c r="AH277" s="327"/>
    </row>
    <row r="278" spans="1:34" x14ac:dyDescent="0.25">
      <c r="A278" s="324"/>
      <c r="B278" s="325"/>
      <c r="C278" s="325"/>
      <c r="D278" s="326"/>
      <c r="E278" s="325"/>
      <c r="F278" s="325"/>
      <c r="G278" s="244"/>
      <c r="H278" s="417"/>
      <c r="I278" s="448"/>
      <c r="J278" s="325"/>
      <c r="K278" s="326"/>
      <c r="L278" s="326"/>
      <c r="M278" s="420"/>
      <c r="N278" s="465"/>
      <c r="O278" s="466"/>
      <c r="P278" s="467"/>
      <c r="Q278" s="448"/>
      <c r="R278" s="326"/>
      <c r="S278" s="496"/>
      <c r="T278" s="485"/>
      <c r="U278" s="485"/>
      <c r="V278" s="485"/>
      <c r="W278" s="485"/>
      <c r="X278" s="497"/>
      <c r="Y278" s="449"/>
      <c r="Z278" s="484"/>
      <c r="AA278" s="485"/>
      <c r="AB278" s="485"/>
      <c r="AC278" s="485"/>
      <c r="AD278" s="485"/>
      <c r="AE278" s="486"/>
      <c r="AF278" s="325"/>
      <c r="AG278" s="450"/>
      <c r="AH278" s="327"/>
    </row>
    <row r="279" spans="1:34" x14ac:dyDescent="0.25">
      <c r="A279" s="324"/>
      <c r="B279" s="325"/>
      <c r="C279" s="325"/>
      <c r="D279" s="326"/>
      <c r="E279" s="325"/>
      <c r="F279" s="325"/>
      <c r="G279" s="244"/>
      <c r="H279" s="417"/>
      <c r="I279" s="448"/>
      <c r="J279" s="325"/>
      <c r="K279" s="326"/>
      <c r="L279" s="326"/>
      <c r="M279" s="420"/>
      <c r="N279" s="465"/>
      <c r="O279" s="466"/>
      <c r="P279" s="467"/>
      <c r="Q279" s="448"/>
      <c r="R279" s="326"/>
      <c r="S279" s="496"/>
      <c r="T279" s="485"/>
      <c r="U279" s="485"/>
      <c r="V279" s="485"/>
      <c r="W279" s="485"/>
      <c r="X279" s="497"/>
      <c r="Y279" s="449"/>
      <c r="Z279" s="484"/>
      <c r="AA279" s="485"/>
      <c r="AB279" s="485"/>
      <c r="AC279" s="485"/>
      <c r="AD279" s="485"/>
      <c r="AE279" s="486"/>
      <c r="AF279" s="325"/>
      <c r="AG279" s="450"/>
      <c r="AH279" s="327"/>
    </row>
    <row r="280" spans="1:34" x14ac:dyDescent="0.25">
      <c r="A280" s="324"/>
      <c r="B280" s="325"/>
      <c r="C280" s="325"/>
      <c r="D280" s="326"/>
      <c r="E280" s="325"/>
      <c r="F280" s="325"/>
      <c r="G280" s="244"/>
      <c r="H280" s="417"/>
      <c r="I280" s="448"/>
      <c r="J280" s="325"/>
      <c r="K280" s="326"/>
      <c r="L280" s="326"/>
      <c r="M280" s="420"/>
      <c r="N280" s="465"/>
      <c r="O280" s="466"/>
      <c r="P280" s="467"/>
      <c r="Q280" s="448"/>
      <c r="R280" s="326"/>
      <c r="S280" s="496"/>
      <c r="T280" s="485"/>
      <c r="U280" s="485"/>
      <c r="V280" s="485"/>
      <c r="W280" s="485"/>
      <c r="X280" s="497"/>
      <c r="Y280" s="449"/>
      <c r="Z280" s="484"/>
      <c r="AA280" s="485"/>
      <c r="AB280" s="485"/>
      <c r="AC280" s="485"/>
      <c r="AD280" s="485"/>
      <c r="AE280" s="486"/>
      <c r="AF280" s="325"/>
      <c r="AG280" s="450"/>
      <c r="AH280" s="327"/>
    </row>
    <row r="281" spans="1:34" x14ac:dyDescent="0.25">
      <c r="A281" s="324"/>
      <c r="B281" s="325"/>
      <c r="C281" s="325"/>
      <c r="D281" s="326"/>
      <c r="E281" s="325"/>
      <c r="F281" s="325"/>
      <c r="G281" s="244"/>
      <c r="H281" s="417"/>
      <c r="I281" s="448"/>
      <c r="J281" s="325"/>
      <c r="K281" s="326"/>
      <c r="L281" s="326"/>
      <c r="M281" s="420"/>
      <c r="N281" s="465"/>
      <c r="O281" s="466"/>
      <c r="P281" s="467"/>
      <c r="Q281" s="448"/>
      <c r="R281" s="326"/>
      <c r="S281" s="496"/>
      <c r="T281" s="485"/>
      <c r="U281" s="485"/>
      <c r="V281" s="485"/>
      <c r="W281" s="485"/>
      <c r="X281" s="497"/>
      <c r="Y281" s="449"/>
      <c r="Z281" s="484"/>
      <c r="AA281" s="485"/>
      <c r="AB281" s="485"/>
      <c r="AC281" s="485"/>
      <c r="AD281" s="485"/>
      <c r="AE281" s="486"/>
      <c r="AF281" s="325"/>
      <c r="AG281" s="450"/>
      <c r="AH281" s="327"/>
    </row>
    <row r="282" spans="1:34" x14ac:dyDescent="0.25">
      <c r="A282" s="324"/>
      <c r="B282" s="325"/>
      <c r="C282" s="325"/>
      <c r="D282" s="326"/>
      <c r="E282" s="325"/>
      <c r="F282" s="325"/>
      <c r="G282" s="244"/>
      <c r="H282" s="417"/>
      <c r="I282" s="448"/>
      <c r="J282" s="325"/>
      <c r="K282" s="326"/>
      <c r="L282" s="326"/>
      <c r="M282" s="420"/>
      <c r="N282" s="465"/>
      <c r="O282" s="466"/>
      <c r="P282" s="467"/>
      <c r="Q282" s="448"/>
      <c r="R282" s="326"/>
      <c r="S282" s="496"/>
      <c r="T282" s="485"/>
      <c r="U282" s="485"/>
      <c r="V282" s="485"/>
      <c r="W282" s="485"/>
      <c r="X282" s="497"/>
      <c r="Y282" s="449"/>
      <c r="Z282" s="484"/>
      <c r="AA282" s="485"/>
      <c r="AB282" s="485"/>
      <c r="AC282" s="485"/>
      <c r="AD282" s="485"/>
      <c r="AE282" s="486"/>
      <c r="AF282" s="325"/>
      <c r="AG282" s="450"/>
      <c r="AH282" s="327"/>
    </row>
    <row r="283" spans="1:34" x14ac:dyDescent="0.25">
      <c r="A283" s="324"/>
      <c r="B283" s="325"/>
      <c r="C283" s="325"/>
      <c r="D283" s="326"/>
      <c r="E283" s="325"/>
      <c r="F283" s="325"/>
      <c r="G283" s="244"/>
      <c r="H283" s="417"/>
      <c r="I283" s="448"/>
      <c r="J283" s="325"/>
      <c r="K283" s="326"/>
      <c r="L283" s="326"/>
      <c r="M283" s="420"/>
      <c r="N283" s="465"/>
      <c r="O283" s="466"/>
      <c r="P283" s="467"/>
      <c r="Q283" s="448"/>
      <c r="R283" s="326"/>
      <c r="S283" s="496"/>
      <c r="T283" s="485"/>
      <c r="U283" s="485"/>
      <c r="V283" s="485"/>
      <c r="W283" s="485"/>
      <c r="X283" s="497"/>
      <c r="Y283" s="449"/>
      <c r="Z283" s="484"/>
      <c r="AA283" s="485"/>
      <c r="AB283" s="485"/>
      <c r="AC283" s="485"/>
      <c r="AD283" s="485"/>
      <c r="AE283" s="486"/>
      <c r="AF283" s="325"/>
      <c r="AG283" s="450"/>
      <c r="AH283" s="327"/>
    </row>
    <row r="284" spans="1:34" x14ac:dyDescent="0.25">
      <c r="A284" s="324"/>
      <c r="B284" s="325"/>
      <c r="C284" s="325"/>
      <c r="D284" s="326"/>
      <c r="E284" s="325"/>
      <c r="F284" s="325"/>
      <c r="G284" s="244"/>
      <c r="H284" s="417"/>
      <c r="I284" s="448"/>
      <c r="J284" s="325"/>
      <c r="K284" s="326"/>
      <c r="L284" s="326"/>
      <c r="M284" s="420"/>
      <c r="N284" s="465"/>
      <c r="O284" s="466"/>
      <c r="P284" s="467"/>
      <c r="Q284" s="448"/>
      <c r="R284" s="326"/>
      <c r="S284" s="496"/>
      <c r="T284" s="485"/>
      <c r="U284" s="485"/>
      <c r="V284" s="485"/>
      <c r="W284" s="485"/>
      <c r="X284" s="497"/>
      <c r="Y284" s="449"/>
      <c r="Z284" s="484"/>
      <c r="AA284" s="485"/>
      <c r="AB284" s="485"/>
      <c r="AC284" s="485"/>
      <c r="AD284" s="485"/>
      <c r="AE284" s="486"/>
      <c r="AF284" s="325"/>
      <c r="AG284" s="450"/>
      <c r="AH284" s="327"/>
    </row>
    <row r="285" spans="1:34" x14ac:dyDescent="0.25">
      <c r="A285" s="324"/>
      <c r="B285" s="325"/>
      <c r="C285" s="325"/>
      <c r="D285" s="326"/>
      <c r="E285" s="325"/>
      <c r="F285" s="325"/>
      <c r="G285" s="244"/>
      <c r="H285" s="417"/>
      <c r="I285" s="448"/>
      <c r="J285" s="325"/>
      <c r="K285" s="326"/>
      <c r="L285" s="326"/>
      <c r="M285" s="420"/>
      <c r="N285" s="465"/>
      <c r="O285" s="466"/>
      <c r="P285" s="467"/>
      <c r="Q285" s="448"/>
      <c r="R285" s="326"/>
      <c r="S285" s="496"/>
      <c r="T285" s="485"/>
      <c r="U285" s="485"/>
      <c r="V285" s="485"/>
      <c r="W285" s="485"/>
      <c r="X285" s="497"/>
      <c r="Y285" s="449"/>
      <c r="Z285" s="484"/>
      <c r="AA285" s="485"/>
      <c r="AB285" s="485"/>
      <c r="AC285" s="485"/>
      <c r="AD285" s="485"/>
      <c r="AE285" s="486"/>
      <c r="AF285" s="325"/>
      <c r="AG285" s="450"/>
      <c r="AH285" s="327"/>
    </row>
    <row r="286" spans="1:34" x14ac:dyDescent="0.25">
      <c r="A286" s="324"/>
      <c r="B286" s="325"/>
      <c r="C286" s="325"/>
      <c r="D286" s="326"/>
      <c r="E286" s="325"/>
      <c r="F286" s="325"/>
      <c r="G286" s="244"/>
      <c r="H286" s="417"/>
      <c r="I286" s="448"/>
      <c r="J286" s="325"/>
      <c r="K286" s="326"/>
      <c r="L286" s="326"/>
      <c r="M286" s="420"/>
      <c r="N286" s="465"/>
      <c r="O286" s="466"/>
      <c r="P286" s="467"/>
      <c r="Q286" s="448"/>
      <c r="R286" s="326"/>
      <c r="S286" s="496"/>
      <c r="T286" s="485"/>
      <c r="U286" s="485"/>
      <c r="V286" s="485"/>
      <c r="W286" s="485"/>
      <c r="X286" s="497"/>
      <c r="Y286" s="449"/>
      <c r="Z286" s="484"/>
      <c r="AA286" s="485"/>
      <c r="AB286" s="485"/>
      <c r="AC286" s="485"/>
      <c r="AD286" s="485"/>
      <c r="AE286" s="486"/>
      <c r="AF286" s="325"/>
      <c r="AG286" s="450"/>
      <c r="AH286" s="327"/>
    </row>
    <row r="287" spans="1:34" x14ac:dyDescent="0.25">
      <c r="A287" s="324"/>
      <c r="B287" s="325"/>
      <c r="C287" s="325"/>
      <c r="D287" s="326"/>
      <c r="E287" s="325"/>
      <c r="F287" s="325"/>
      <c r="G287" s="244"/>
      <c r="H287" s="417"/>
      <c r="I287" s="448"/>
      <c r="J287" s="325"/>
      <c r="K287" s="326"/>
      <c r="L287" s="326"/>
      <c r="M287" s="420"/>
      <c r="N287" s="465"/>
      <c r="O287" s="466"/>
      <c r="P287" s="467"/>
      <c r="Q287" s="448"/>
      <c r="R287" s="326"/>
      <c r="S287" s="496"/>
      <c r="T287" s="485"/>
      <c r="U287" s="485"/>
      <c r="V287" s="485"/>
      <c r="W287" s="485"/>
      <c r="X287" s="497"/>
      <c r="Y287" s="449"/>
      <c r="Z287" s="484"/>
      <c r="AA287" s="485"/>
      <c r="AB287" s="485"/>
      <c r="AC287" s="485"/>
      <c r="AD287" s="485"/>
      <c r="AE287" s="486"/>
      <c r="AF287" s="325"/>
      <c r="AG287" s="450"/>
      <c r="AH287" s="327"/>
    </row>
    <row r="288" spans="1:34" x14ac:dyDescent="0.25">
      <c r="A288" s="324"/>
      <c r="B288" s="325"/>
      <c r="C288" s="325"/>
      <c r="D288" s="326"/>
      <c r="E288" s="325"/>
      <c r="F288" s="325"/>
      <c r="G288" s="244"/>
      <c r="H288" s="417"/>
      <c r="I288" s="448"/>
      <c r="J288" s="325"/>
      <c r="K288" s="326"/>
      <c r="L288" s="326"/>
      <c r="M288" s="420"/>
      <c r="N288" s="465"/>
      <c r="O288" s="466"/>
      <c r="P288" s="467"/>
      <c r="Q288" s="448"/>
      <c r="R288" s="326"/>
      <c r="S288" s="496"/>
      <c r="T288" s="485"/>
      <c r="U288" s="485"/>
      <c r="V288" s="485"/>
      <c r="W288" s="485"/>
      <c r="X288" s="497"/>
      <c r="Y288" s="449"/>
      <c r="Z288" s="484"/>
      <c r="AA288" s="485"/>
      <c r="AB288" s="485"/>
      <c r="AC288" s="485"/>
      <c r="AD288" s="485"/>
      <c r="AE288" s="486"/>
      <c r="AF288" s="325"/>
      <c r="AG288" s="450"/>
      <c r="AH288" s="327"/>
    </row>
    <row r="289" spans="1:34" x14ac:dyDescent="0.25">
      <c r="A289" s="324"/>
      <c r="B289" s="325"/>
      <c r="C289" s="325"/>
      <c r="D289" s="326"/>
      <c r="E289" s="325"/>
      <c r="F289" s="325"/>
      <c r="G289" s="244"/>
      <c r="H289" s="417"/>
      <c r="I289" s="448"/>
      <c r="J289" s="325"/>
      <c r="K289" s="326"/>
      <c r="L289" s="326"/>
      <c r="M289" s="420"/>
      <c r="N289" s="465"/>
      <c r="O289" s="466"/>
      <c r="P289" s="467"/>
      <c r="Q289" s="448"/>
      <c r="R289" s="326"/>
      <c r="S289" s="496"/>
      <c r="T289" s="485"/>
      <c r="U289" s="485"/>
      <c r="V289" s="485"/>
      <c r="W289" s="485"/>
      <c r="X289" s="497"/>
      <c r="Y289" s="449"/>
      <c r="Z289" s="484"/>
      <c r="AA289" s="485"/>
      <c r="AB289" s="485"/>
      <c r="AC289" s="485"/>
      <c r="AD289" s="485"/>
      <c r="AE289" s="486"/>
      <c r="AF289" s="325"/>
      <c r="AG289" s="450"/>
      <c r="AH289" s="327"/>
    </row>
    <row r="290" spans="1:34" x14ac:dyDescent="0.25">
      <c r="A290" s="324"/>
      <c r="B290" s="325"/>
      <c r="C290" s="325"/>
      <c r="D290" s="326"/>
      <c r="E290" s="325"/>
      <c r="F290" s="325"/>
      <c r="G290" s="244"/>
      <c r="H290" s="417"/>
      <c r="I290" s="448"/>
      <c r="J290" s="325"/>
      <c r="K290" s="326"/>
      <c r="L290" s="326"/>
      <c r="M290" s="420"/>
      <c r="N290" s="465"/>
      <c r="O290" s="466"/>
      <c r="P290" s="467"/>
      <c r="Q290" s="448"/>
      <c r="R290" s="326"/>
      <c r="S290" s="496"/>
      <c r="T290" s="485"/>
      <c r="U290" s="485"/>
      <c r="V290" s="485"/>
      <c r="W290" s="485"/>
      <c r="X290" s="497"/>
      <c r="Y290" s="449"/>
      <c r="Z290" s="484"/>
      <c r="AA290" s="485"/>
      <c r="AB290" s="485"/>
      <c r="AC290" s="485"/>
      <c r="AD290" s="485"/>
      <c r="AE290" s="486"/>
      <c r="AF290" s="325"/>
      <c r="AG290" s="450"/>
      <c r="AH290" s="327"/>
    </row>
    <row r="291" spans="1:34" x14ac:dyDescent="0.25">
      <c r="A291" s="324"/>
      <c r="B291" s="325"/>
      <c r="C291" s="325"/>
      <c r="D291" s="326"/>
      <c r="E291" s="325"/>
      <c r="F291" s="325"/>
      <c r="G291" s="244"/>
      <c r="H291" s="417"/>
      <c r="I291" s="448"/>
      <c r="J291" s="325"/>
      <c r="K291" s="326"/>
      <c r="L291" s="326"/>
      <c r="M291" s="420"/>
      <c r="N291" s="465"/>
      <c r="O291" s="466"/>
      <c r="P291" s="467"/>
      <c r="Q291" s="448"/>
      <c r="R291" s="326"/>
      <c r="S291" s="496"/>
      <c r="T291" s="485"/>
      <c r="U291" s="485"/>
      <c r="V291" s="485"/>
      <c r="W291" s="485"/>
      <c r="X291" s="497"/>
      <c r="Y291" s="449"/>
      <c r="Z291" s="484"/>
      <c r="AA291" s="485"/>
      <c r="AB291" s="485"/>
      <c r="AC291" s="485"/>
      <c r="AD291" s="485"/>
      <c r="AE291" s="486"/>
      <c r="AF291" s="325"/>
      <c r="AG291" s="450"/>
      <c r="AH291" s="327"/>
    </row>
    <row r="292" spans="1:34" x14ac:dyDescent="0.25">
      <c r="A292" s="324"/>
      <c r="B292" s="325"/>
      <c r="C292" s="325"/>
      <c r="D292" s="326"/>
      <c r="E292" s="325"/>
      <c r="F292" s="325"/>
      <c r="G292" s="244"/>
      <c r="H292" s="417"/>
      <c r="I292" s="448"/>
      <c r="J292" s="325"/>
      <c r="K292" s="326"/>
      <c r="L292" s="326"/>
      <c r="M292" s="420"/>
      <c r="N292" s="465"/>
      <c r="O292" s="466"/>
      <c r="P292" s="467"/>
      <c r="Q292" s="448"/>
      <c r="R292" s="326"/>
      <c r="S292" s="496"/>
      <c r="T292" s="485"/>
      <c r="U292" s="485"/>
      <c r="V292" s="485"/>
      <c r="W292" s="485"/>
      <c r="X292" s="497"/>
      <c r="Y292" s="449"/>
      <c r="Z292" s="484"/>
      <c r="AA292" s="485"/>
      <c r="AB292" s="485"/>
      <c r="AC292" s="485"/>
      <c r="AD292" s="485"/>
      <c r="AE292" s="486"/>
      <c r="AF292" s="325"/>
      <c r="AG292" s="450"/>
      <c r="AH292" s="327"/>
    </row>
    <row r="293" spans="1:34" x14ac:dyDescent="0.25">
      <c r="A293" s="324"/>
      <c r="B293" s="325"/>
      <c r="C293" s="325"/>
      <c r="D293" s="326"/>
      <c r="E293" s="325"/>
      <c r="F293" s="325"/>
      <c r="G293" s="244"/>
      <c r="H293" s="417"/>
      <c r="I293" s="448"/>
      <c r="J293" s="325"/>
      <c r="K293" s="326"/>
      <c r="L293" s="326"/>
      <c r="M293" s="420"/>
      <c r="N293" s="465"/>
      <c r="O293" s="466"/>
      <c r="P293" s="467"/>
      <c r="Q293" s="448"/>
      <c r="R293" s="326"/>
      <c r="S293" s="496"/>
      <c r="T293" s="485"/>
      <c r="U293" s="485"/>
      <c r="V293" s="485"/>
      <c r="W293" s="485"/>
      <c r="X293" s="497"/>
      <c r="Y293" s="449"/>
      <c r="Z293" s="484"/>
      <c r="AA293" s="485"/>
      <c r="AB293" s="485"/>
      <c r="AC293" s="485"/>
      <c r="AD293" s="485"/>
      <c r="AE293" s="486"/>
      <c r="AF293" s="325"/>
      <c r="AG293" s="450"/>
      <c r="AH293" s="327"/>
    </row>
    <row r="294" spans="1:34" x14ac:dyDescent="0.25">
      <c r="A294" s="324"/>
      <c r="B294" s="325"/>
      <c r="C294" s="325"/>
      <c r="D294" s="326"/>
      <c r="E294" s="325"/>
      <c r="F294" s="325"/>
      <c r="G294" s="244"/>
      <c r="H294" s="417"/>
      <c r="I294" s="448"/>
      <c r="J294" s="325"/>
      <c r="K294" s="326"/>
      <c r="L294" s="326"/>
      <c r="M294" s="420"/>
      <c r="N294" s="465"/>
      <c r="O294" s="466"/>
      <c r="P294" s="467"/>
      <c r="Q294" s="448"/>
      <c r="R294" s="326"/>
      <c r="S294" s="496"/>
      <c r="T294" s="485"/>
      <c r="U294" s="485"/>
      <c r="V294" s="485"/>
      <c r="W294" s="485"/>
      <c r="X294" s="497"/>
      <c r="Y294" s="449"/>
      <c r="Z294" s="484"/>
      <c r="AA294" s="485"/>
      <c r="AB294" s="485"/>
      <c r="AC294" s="485"/>
      <c r="AD294" s="485"/>
      <c r="AE294" s="486"/>
      <c r="AF294" s="325"/>
      <c r="AG294" s="450"/>
      <c r="AH294" s="327"/>
    </row>
    <row r="295" spans="1:34" x14ac:dyDescent="0.25">
      <c r="A295" s="324"/>
      <c r="B295" s="325"/>
      <c r="C295" s="325"/>
      <c r="D295" s="326"/>
      <c r="E295" s="325"/>
      <c r="F295" s="325"/>
      <c r="G295" s="244"/>
      <c r="H295" s="417"/>
      <c r="I295" s="448"/>
      <c r="J295" s="325"/>
      <c r="K295" s="326"/>
      <c r="L295" s="326"/>
      <c r="M295" s="420"/>
      <c r="N295" s="465"/>
      <c r="O295" s="466"/>
      <c r="P295" s="467"/>
      <c r="Q295" s="448"/>
      <c r="R295" s="326"/>
      <c r="S295" s="496"/>
      <c r="T295" s="485"/>
      <c r="U295" s="485"/>
      <c r="V295" s="485"/>
      <c r="W295" s="485"/>
      <c r="X295" s="497"/>
      <c r="Y295" s="449"/>
      <c r="Z295" s="484"/>
      <c r="AA295" s="485"/>
      <c r="AB295" s="485"/>
      <c r="AC295" s="485"/>
      <c r="AD295" s="485"/>
      <c r="AE295" s="486"/>
      <c r="AF295" s="325"/>
      <c r="AG295" s="450"/>
      <c r="AH295" s="327"/>
    </row>
    <row r="296" spans="1:34" x14ac:dyDescent="0.25">
      <c r="A296" s="324"/>
      <c r="B296" s="325"/>
      <c r="C296" s="325"/>
      <c r="D296" s="326"/>
      <c r="E296" s="325"/>
      <c r="F296" s="325"/>
      <c r="G296" s="244"/>
      <c r="H296" s="417"/>
      <c r="I296" s="448"/>
      <c r="J296" s="325"/>
      <c r="K296" s="326"/>
      <c r="L296" s="326"/>
      <c r="M296" s="420"/>
      <c r="N296" s="465"/>
      <c r="O296" s="466"/>
      <c r="P296" s="467"/>
      <c r="Q296" s="448"/>
      <c r="R296" s="326"/>
      <c r="S296" s="496"/>
      <c r="T296" s="485"/>
      <c r="U296" s="485"/>
      <c r="V296" s="485"/>
      <c r="W296" s="485"/>
      <c r="X296" s="497"/>
      <c r="Y296" s="449"/>
      <c r="Z296" s="484"/>
      <c r="AA296" s="485"/>
      <c r="AB296" s="485"/>
      <c r="AC296" s="485"/>
      <c r="AD296" s="485"/>
      <c r="AE296" s="486"/>
      <c r="AF296" s="325"/>
      <c r="AG296" s="450"/>
      <c r="AH296" s="327"/>
    </row>
    <row r="297" spans="1:34" x14ac:dyDescent="0.25">
      <c r="A297" s="324"/>
      <c r="B297" s="325"/>
      <c r="C297" s="325"/>
      <c r="D297" s="326"/>
      <c r="E297" s="325"/>
      <c r="F297" s="325"/>
      <c r="G297" s="244"/>
      <c r="H297" s="417"/>
      <c r="I297" s="448"/>
      <c r="J297" s="325"/>
      <c r="K297" s="326"/>
      <c r="L297" s="326"/>
      <c r="M297" s="420"/>
      <c r="N297" s="465"/>
      <c r="O297" s="466"/>
      <c r="P297" s="467"/>
      <c r="Q297" s="448"/>
      <c r="R297" s="326"/>
      <c r="S297" s="496"/>
      <c r="T297" s="485"/>
      <c r="U297" s="485"/>
      <c r="V297" s="485"/>
      <c r="W297" s="485"/>
      <c r="X297" s="497"/>
      <c r="Y297" s="449"/>
      <c r="Z297" s="484"/>
      <c r="AA297" s="485"/>
      <c r="AB297" s="485"/>
      <c r="AC297" s="485"/>
      <c r="AD297" s="485"/>
      <c r="AE297" s="486"/>
      <c r="AF297" s="325"/>
      <c r="AG297" s="450"/>
      <c r="AH297" s="327"/>
    </row>
    <row r="298" spans="1:34" x14ac:dyDescent="0.25">
      <c r="A298" s="324"/>
      <c r="B298" s="325"/>
      <c r="C298" s="325"/>
      <c r="D298" s="326"/>
      <c r="E298" s="325"/>
      <c r="F298" s="325"/>
      <c r="G298" s="244"/>
      <c r="H298" s="417"/>
      <c r="I298" s="448"/>
      <c r="J298" s="325"/>
      <c r="K298" s="326"/>
      <c r="L298" s="326"/>
      <c r="M298" s="420"/>
      <c r="N298" s="465"/>
      <c r="O298" s="466"/>
      <c r="P298" s="467"/>
      <c r="Q298" s="448"/>
      <c r="R298" s="326"/>
      <c r="S298" s="496"/>
      <c r="T298" s="485"/>
      <c r="U298" s="485"/>
      <c r="V298" s="485"/>
      <c r="W298" s="485"/>
      <c r="X298" s="497"/>
      <c r="Y298" s="449"/>
      <c r="Z298" s="484"/>
      <c r="AA298" s="485"/>
      <c r="AB298" s="485"/>
      <c r="AC298" s="485"/>
      <c r="AD298" s="485"/>
      <c r="AE298" s="486"/>
      <c r="AF298" s="325"/>
      <c r="AG298" s="450"/>
      <c r="AH298" s="327"/>
    </row>
    <row r="299" spans="1:34" x14ac:dyDescent="0.25">
      <c r="A299" s="324"/>
      <c r="B299" s="325"/>
      <c r="C299" s="325"/>
      <c r="D299" s="326"/>
      <c r="E299" s="325"/>
      <c r="F299" s="325"/>
      <c r="G299" s="244"/>
      <c r="H299" s="417"/>
      <c r="I299" s="448"/>
      <c r="J299" s="325"/>
      <c r="K299" s="326"/>
      <c r="L299" s="326"/>
      <c r="M299" s="420"/>
      <c r="N299" s="465"/>
      <c r="O299" s="466"/>
      <c r="P299" s="467"/>
      <c r="Q299" s="448"/>
      <c r="R299" s="326"/>
      <c r="S299" s="496"/>
      <c r="T299" s="485"/>
      <c r="U299" s="485"/>
      <c r="V299" s="485"/>
      <c r="W299" s="485"/>
      <c r="X299" s="497"/>
      <c r="Y299" s="449"/>
      <c r="Z299" s="484"/>
      <c r="AA299" s="485"/>
      <c r="AB299" s="485"/>
      <c r="AC299" s="485"/>
      <c r="AD299" s="485"/>
      <c r="AE299" s="486"/>
      <c r="AF299" s="325"/>
      <c r="AG299" s="450"/>
      <c r="AH299" s="327"/>
    </row>
    <row r="300" spans="1:34" x14ac:dyDescent="0.25">
      <c r="A300" s="324"/>
      <c r="B300" s="325"/>
      <c r="C300" s="325"/>
      <c r="D300" s="326"/>
      <c r="E300" s="325"/>
      <c r="F300" s="325"/>
      <c r="G300" s="244"/>
      <c r="H300" s="417"/>
      <c r="I300" s="448"/>
      <c r="J300" s="325"/>
      <c r="K300" s="326"/>
      <c r="L300" s="326"/>
      <c r="M300" s="420"/>
      <c r="N300" s="465"/>
      <c r="O300" s="466"/>
      <c r="P300" s="467"/>
      <c r="Q300" s="448"/>
      <c r="R300" s="326"/>
      <c r="S300" s="496"/>
      <c r="T300" s="485"/>
      <c r="U300" s="485"/>
      <c r="V300" s="485"/>
      <c r="W300" s="485"/>
      <c r="X300" s="497"/>
      <c r="Y300" s="449"/>
      <c r="Z300" s="484"/>
      <c r="AA300" s="485"/>
      <c r="AB300" s="485"/>
      <c r="AC300" s="485"/>
      <c r="AD300" s="485"/>
      <c r="AE300" s="486"/>
      <c r="AF300" s="325"/>
      <c r="AG300" s="450"/>
      <c r="AH300" s="327"/>
    </row>
    <row r="301" spans="1:34" x14ac:dyDescent="0.25">
      <c r="A301" s="324"/>
      <c r="B301" s="325"/>
      <c r="C301" s="325"/>
      <c r="D301" s="326"/>
      <c r="E301" s="325"/>
      <c r="F301" s="325"/>
      <c r="G301" s="244"/>
      <c r="H301" s="417"/>
      <c r="I301" s="448"/>
      <c r="J301" s="325"/>
      <c r="K301" s="326"/>
      <c r="L301" s="326"/>
      <c r="M301" s="420"/>
      <c r="N301" s="465"/>
      <c r="O301" s="466"/>
      <c r="P301" s="467"/>
      <c r="Q301" s="448"/>
      <c r="R301" s="326"/>
      <c r="S301" s="496"/>
      <c r="T301" s="485"/>
      <c r="U301" s="485"/>
      <c r="V301" s="485"/>
      <c r="W301" s="485"/>
      <c r="X301" s="497"/>
      <c r="Y301" s="449"/>
      <c r="Z301" s="484"/>
      <c r="AA301" s="485"/>
      <c r="AB301" s="485"/>
      <c r="AC301" s="485"/>
      <c r="AD301" s="485"/>
      <c r="AE301" s="486"/>
      <c r="AF301" s="325"/>
      <c r="AG301" s="450"/>
      <c r="AH301" s="327"/>
    </row>
    <row r="302" spans="1:34" x14ac:dyDescent="0.25">
      <c r="A302" s="324"/>
      <c r="B302" s="325"/>
      <c r="C302" s="325"/>
      <c r="D302" s="326"/>
      <c r="E302" s="325"/>
      <c r="F302" s="325"/>
      <c r="G302" s="244"/>
      <c r="H302" s="417"/>
      <c r="I302" s="448"/>
      <c r="J302" s="325"/>
      <c r="K302" s="326"/>
      <c r="L302" s="326"/>
      <c r="M302" s="420"/>
      <c r="N302" s="465"/>
      <c r="O302" s="466"/>
      <c r="P302" s="467"/>
      <c r="Q302" s="448"/>
      <c r="R302" s="326"/>
      <c r="S302" s="496"/>
      <c r="T302" s="485"/>
      <c r="U302" s="485"/>
      <c r="V302" s="485"/>
      <c r="W302" s="485"/>
      <c r="X302" s="497"/>
      <c r="Y302" s="449"/>
      <c r="Z302" s="484"/>
      <c r="AA302" s="485"/>
      <c r="AB302" s="485"/>
      <c r="AC302" s="485"/>
      <c r="AD302" s="485"/>
      <c r="AE302" s="486"/>
      <c r="AF302" s="325"/>
      <c r="AG302" s="450"/>
      <c r="AH302" s="327"/>
    </row>
    <row r="303" spans="1:34" x14ac:dyDescent="0.25">
      <c r="A303" s="324"/>
      <c r="B303" s="325"/>
      <c r="C303" s="325"/>
      <c r="D303" s="326"/>
      <c r="E303" s="325"/>
      <c r="F303" s="325"/>
      <c r="G303" s="244"/>
      <c r="H303" s="417"/>
      <c r="I303" s="448"/>
      <c r="J303" s="325"/>
      <c r="K303" s="326"/>
      <c r="L303" s="326"/>
      <c r="M303" s="420"/>
      <c r="N303" s="465"/>
      <c r="O303" s="466"/>
      <c r="P303" s="467"/>
      <c r="Q303" s="448"/>
      <c r="R303" s="326"/>
      <c r="S303" s="496"/>
      <c r="T303" s="485"/>
      <c r="U303" s="485"/>
      <c r="V303" s="485"/>
      <c r="W303" s="485"/>
      <c r="X303" s="497"/>
      <c r="Y303" s="449"/>
      <c r="Z303" s="484"/>
      <c r="AA303" s="485"/>
      <c r="AB303" s="485"/>
      <c r="AC303" s="485"/>
      <c r="AD303" s="485"/>
      <c r="AE303" s="486"/>
      <c r="AF303" s="325"/>
      <c r="AG303" s="450"/>
      <c r="AH303" s="327"/>
    </row>
    <row r="304" spans="1:34" x14ac:dyDescent="0.25">
      <c r="A304" s="324"/>
      <c r="B304" s="325"/>
      <c r="C304" s="325"/>
      <c r="D304" s="326"/>
      <c r="E304" s="325"/>
      <c r="F304" s="325"/>
      <c r="G304" s="244"/>
      <c r="H304" s="417"/>
      <c r="I304" s="448"/>
      <c r="J304" s="325"/>
      <c r="K304" s="326"/>
      <c r="L304" s="326"/>
      <c r="M304" s="420"/>
      <c r="N304" s="465"/>
      <c r="O304" s="466"/>
      <c r="P304" s="467"/>
      <c r="Q304" s="448"/>
      <c r="R304" s="326"/>
      <c r="S304" s="496"/>
      <c r="T304" s="485"/>
      <c r="U304" s="485"/>
      <c r="V304" s="485"/>
      <c r="W304" s="485"/>
      <c r="X304" s="497"/>
      <c r="Y304" s="449"/>
      <c r="Z304" s="484"/>
      <c r="AA304" s="485"/>
      <c r="AB304" s="485"/>
      <c r="AC304" s="485"/>
      <c r="AD304" s="485"/>
      <c r="AE304" s="486"/>
      <c r="AF304" s="325"/>
      <c r="AG304" s="450"/>
      <c r="AH304" s="327"/>
    </row>
    <row r="305" spans="1:34" x14ac:dyDescent="0.25">
      <c r="A305" s="324"/>
      <c r="B305" s="325"/>
      <c r="C305" s="325"/>
      <c r="D305" s="326"/>
      <c r="E305" s="325"/>
      <c r="F305" s="325"/>
      <c r="G305" s="244"/>
      <c r="H305" s="417"/>
      <c r="I305" s="448"/>
      <c r="J305" s="325"/>
      <c r="K305" s="326"/>
      <c r="L305" s="326"/>
      <c r="M305" s="420"/>
      <c r="N305" s="465"/>
      <c r="O305" s="466"/>
      <c r="P305" s="467"/>
      <c r="Q305" s="448"/>
      <c r="R305" s="326"/>
      <c r="S305" s="496"/>
      <c r="T305" s="485"/>
      <c r="U305" s="485"/>
      <c r="V305" s="485"/>
      <c r="W305" s="485"/>
      <c r="X305" s="497"/>
      <c r="Y305" s="449"/>
      <c r="Z305" s="484"/>
      <c r="AA305" s="485"/>
      <c r="AB305" s="485"/>
      <c r="AC305" s="485"/>
      <c r="AD305" s="485"/>
      <c r="AE305" s="486"/>
      <c r="AF305" s="325"/>
      <c r="AG305" s="450"/>
      <c r="AH305" s="327"/>
    </row>
    <row r="306" spans="1:34" x14ac:dyDescent="0.25">
      <c r="A306" s="324"/>
      <c r="B306" s="325"/>
      <c r="C306" s="325"/>
      <c r="D306" s="326"/>
      <c r="E306" s="325"/>
      <c r="F306" s="325"/>
      <c r="G306" s="244"/>
      <c r="H306" s="417"/>
      <c r="I306" s="448"/>
      <c r="J306" s="325"/>
      <c r="K306" s="326"/>
      <c r="L306" s="326"/>
      <c r="M306" s="420"/>
      <c r="N306" s="465"/>
      <c r="O306" s="466"/>
      <c r="P306" s="467"/>
      <c r="Q306" s="448"/>
      <c r="R306" s="326"/>
      <c r="S306" s="496"/>
      <c r="T306" s="485"/>
      <c r="U306" s="485"/>
      <c r="V306" s="485"/>
      <c r="W306" s="485"/>
      <c r="X306" s="497"/>
      <c r="Y306" s="449"/>
      <c r="Z306" s="484"/>
      <c r="AA306" s="485"/>
      <c r="AB306" s="485"/>
      <c r="AC306" s="485"/>
      <c r="AD306" s="485"/>
      <c r="AE306" s="486"/>
      <c r="AF306" s="325"/>
      <c r="AG306" s="450"/>
      <c r="AH306" s="327"/>
    </row>
    <row r="307" spans="1:34" x14ac:dyDescent="0.25">
      <c r="A307" s="324"/>
      <c r="B307" s="325"/>
      <c r="C307" s="325"/>
      <c r="D307" s="326"/>
      <c r="E307" s="325"/>
      <c r="F307" s="325"/>
      <c r="G307" s="244"/>
      <c r="H307" s="417"/>
      <c r="I307" s="448"/>
      <c r="J307" s="325"/>
      <c r="K307" s="326"/>
      <c r="L307" s="326"/>
      <c r="M307" s="420"/>
      <c r="N307" s="465"/>
      <c r="O307" s="466"/>
      <c r="P307" s="467"/>
      <c r="Q307" s="448"/>
      <c r="R307" s="326"/>
      <c r="S307" s="496"/>
      <c r="T307" s="485"/>
      <c r="U307" s="485"/>
      <c r="V307" s="485"/>
      <c r="W307" s="485"/>
      <c r="X307" s="497"/>
      <c r="Y307" s="449"/>
      <c r="Z307" s="484"/>
      <c r="AA307" s="485"/>
      <c r="AB307" s="485"/>
      <c r="AC307" s="485"/>
      <c r="AD307" s="485"/>
      <c r="AE307" s="486"/>
      <c r="AF307" s="325"/>
      <c r="AG307" s="450"/>
      <c r="AH307" s="327"/>
    </row>
    <row r="308" spans="1:34" x14ac:dyDescent="0.25">
      <c r="A308" s="324"/>
      <c r="B308" s="325"/>
      <c r="C308" s="325"/>
      <c r="D308" s="326"/>
      <c r="E308" s="325"/>
      <c r="F308" s="325"/>
      <c r="G308" s="244"/>
      <c r="H308" s="417"/>
      <c r="I308" s="448"/>
      <c r="J308" s="325"/>
      <c r="K308" s="326"/>
      <c r="L308" s="326"/>
      <c r="M308" s="420"/>
      <c r="N308" s="465"/>
      <c r="O308" s="466"/>
      <c r="P308" s="467"/>
      <c r="Q308" s="448"/>
      <c r="R308" s="326"/>
      <c r="S308" s="496"/>
      <c r="T308" s="485"/>
      <c r="U308" s="485"/>
      <c r="V308" s="485"/>
      <c r="W308" s="485"/>
      <c r="X308" s="497"/>
      <c r="Y308" s="449"/>
      <c r="Z308" s="484"/>
      <c r="AA308" s="485"/>
      <c r="AB308" s="485"/>
      <c r="AC308" s="485"/>
      <c r="AD308" s="485"/>
      <c r="AE308" s="486"/>
      <c r="AF308" s="325"/>
      <c r="AG308" s="450"/>
      <c r="AH308" s="327"/>
    </row>
    <row r="309" spans="1:34" x14ac:dyDescent="0.25">
      <c r="A309" s="324"/>
      <c r="B309" s="325"/>
      <c r="C309" s="325"/>
      <c r="D309" s="326"/>
      <c r="E309" s="325"/>
      <c r="F309" s="325"/>
      <c r="G309" s="244"/>
      <c r="H309" s="417"/>
      <c r="I309" s="448"/>
      <c r="J309" s="325"/>
      <c r="K309" s="326"/>
      <c r="L309" s="326"/>
      <c r="M309" s="420"/>
      <c r="N309" s="465"/>
      <c r="O309" s="466"/>
      <c r="P309" s="467"/>
      <c r="Q309" s="448"/>
      <c r="R309" s="326"/>
      <c r="S309" s="496"/>
      <c r="T309" s="485"/>
      <c r="U309" s="485"/>
      <c r="V309" s="485"/>
      <c r="W309" s="485"/>
      <c r="X309" s="497"/>
      <c r="Y309" s="449"/>
      <c r="Z309" s="484"/>
      <c r="AA309" s="485"/>
      <c r="AB309" s="485"/>
      <c r="AC309" s="485"/>
      <c r="AD309" s="485"/>
      <c r="AE309" s="486"/>
      <c r="AF309" s="325"/>
      <c r="AG309" s="450"/>
      <c r="AH309" s="327"/>
    </row>
    <row r="310" spans="1:34" x14ac:dyDescent="0.25">
      <c r="A310" s="324"/>
      <c r="B310" s="325"/>
      <c r="C310" s="325"/>
      <c r="D310" s="326"/>
      <c r="E310" s="325"/>
      <c r="F310" s="325"/>
      <c r="G310" s="244"/>
      <c r="H310" s="417"/>
      <c r="I310" s="448"/>
      <c r="J310" s="325"/>
      <c r="K310" s="326"/>
      <c r="L310" s="326"/>
      <c r="M310" s="420"/>
      <c r="N310" s="465"/>
      <c r="O310" s="466"/>
      <c r="P310" s="467"/>
      <c r="Q310" s="448"/>
      <c r="R310" s="326"/>
      <c r="S310" s="496"/>
      <c r="T310" s="485"/>
      <c r="U310" s="485"/>
      <c r="V310" s="485"/>
      <c r="W310" s="485"/>
      <c r="X310" s="497"/>
      <c r="Y310" s="449"/>
      <c r="Z310" s="484"/>
      <c r="AA310" s="485"/>
      <c r="AB310" s="485"/>
      <c r="AC310" s="485"/>
      <c r="AD310" s="485"/>
      <c r="AE310" s="486"/>
      <c r="AF310" s="325"/>
      <c r="AG310" s="450"/>
      <c r="AH310" s="327"/>
    </row>
    <row r="311" spans="1:34" x14ac:dyDescent="0.25">
      <c r="A311" s="324"/>
      <c r="B311" s="325"/>
      <c r="C311" s="325"/>
      <c r="D311" s="326"/>
      <c r="E311" s="325"/>
      <c r="F311" s="325"/>
      <c r="G311" s="244"/>
      <c r="H311" s="417"/>
      <c r="I311" s="448"/>
      <c r="J311" s="325"/>
      <c r="K311" s="326"/>
      <c r="L311" s="326"/>
      <c r="M311" s="420"/>
      <c r="N311" s="465"/>
      <c r="O311" s="466"/>
      <c r="P311" s="467"/>
      <c r="Q311" s="448"/>
      <c r="R311" s="326"/>
      <c r="S311" s="496"/>
      <c r="T311" s="485"/>
      <c r="U311" s="485"/>
      <c r="V311" s="485"/>
      <c r="W311" s="485"/>
      <c r="X311" s="497"/>
      <c r="Y311" s="449"/>
      <c r="Z311" s="484"/>
      <c r="AA311" s="485"/>
      <c r="AB311" s="485"/>
      <c r="AC311" s="485"/>
      <c r="AD311" s="485"/>
      <c r="AE311" s="486"/>
      <c r="AF311" s="325"/>
      <c r="AG311" s="450"/>
      <c r="AH311" s="327"/>
    </row>
    <row r="312" spans="1:34" x14ac:dyDescent="0.25">
      <c r="A312" s="324"/>
      <c r="B312" s="325"/>
      <c r="C312" s="325"/>
      <c r="D312" s="326"/>
      <c r="E312" s="325"/>
      <c r="F312" s="325"/>
      <c r="G312" s="244"/>
      <c r="H312" s="417"/>
      <c r="I312" s="448"/>
      <c r="J312" s="325"/>
      <c r="K312" s="326"/>
      <c r="L312" s="326"/>
      <c r="M312" s="420"/>
      <c r="N312" s="465"/>
      <c r="O312" s="466"/>
      <c r="P312" s="467"/>
      <c r="Q312" s="448"/>
      <c r="R312" s="326"/>
      <c r="S312" s="496"/>
      <c r="T312" s="485"/>
      <c r="U312" s="485"/>
      <c r="V312" s="485"/>
      <c r="W312" s="485"/>
      <c r="X312" s="497"/>
      <c r="Y312" s="449"/>
      <c r="Z312" s="484"/>
      <c r="AA312" s="485"/>
      <c r="AB312" s="485"/>
      <c r="AC312" s="485"/>
      <c r="AD312" s="485"/>
      <c r="AE312" s="486"/>
      <c r="AF312" s="325"/>
      <c r="AG312" s="450"/>
      <c r="AH312" s="327"/>
    </row>
    <row r="313" spans="1:34" x14ac:dyDescent="0.25">
      <c r="A313" s="324"/>
      <c r="B313" s="325"/>
      <c r="C313" s="325"/>
      <c r="D313" s="326"/>
      <c r="E313" s="325"/>
      <c r="F313" s="325"/>
      <c r="G313" s="244"/>
      <c r="H313" s="417"/>
      <c r="I313" s="448"/>
      <c r="J313" s="325"/>
      <c r="K313" s="326"/>
      <c r="L313" s="326"/>
      <c r="M313" s="420"/>
      <c r="N313" s="465"/>
      <c r="O313" s="466"/>
      <c r="P313" s="467"/>
      <c r="Q313" s="448"/>
      <c r="R313" s="326"/>
      <c r="S313" s="496"/>
      <c r="T313" s="485"/>
      <c r="U313" s="485"/>
      <c r="V313" s="485"/>
      <c r="W313" s="485"/>
      <c r="X313" s="497"/>
      <c r="Y313" s="449"/>
      <c r="Z313" s="484"/>
      <c r="AA313" s="485"/>
      <c r="AB313" s="485"/>
      <c r="AC313" s="485"/>
      <c r="AD313" s="485"/>
      <c r="AE313" s="486"/>
      <c r="AF313" s="325"/>
      <c r="AG313" s="450"/>
      <c r="AH313" s="327"/>
    </row>
    <row r="314" spans="1:34" x14ac:dyDescent="0.25">
      <c r="A314" s="324"/>
      <c r="B314" s="325"/>
      <c r="C314" s="325"/>
      <c r="D314" s="326"/>
      <c r="E314" s="325"/>
      <c r="F314" s="325"/>
      <c r="G314" s="244"/>
      <c r="H314" s="417"/>
      <c r="I314" s="448"/>
      <c r="J314" s="325"/>
      <c r="K314" s="326"/>
      <c r="L314" s="326"/>
      <c r="M314" s="420"/>
      <c r="N314" s="465"/>
      <c r="O314" s="466"/>
      <c r="P314" s="467"/>
      <c r="Q314" s="448"/>
      <c r="R314" s="326"/>
      <c r="S314" s="496"/>
      <c r="T314" s="485"/>
      <c r="U314" s="485"/>
      <c r="V314" s="485"/>
      <c r="W314" s="485"/>
      <c r="X314" s="497"/>
      <c r="Y314" s="449"/>
      <c r="Z314" s="484"/>
      <c r="AA314" s="485"/>
      <c r="AB314" s="485"/>
      <c r="AC314" s="485"/>
      <c r="AD314" s="485"/>
      <c r="AE314" s="486"/>
      <c r="AF314" s="325"/>
      <c r="AG314" s="450"/>
      <c r="AH314" s="327"/>
    </row>
    <row r="315" spans="1:34" x14ac:dyDescent="0.25">
      <c r="A315" s="324"/>
      <c r="B315" s="325"/>
      <c r="C315" s="325"/>
      <c r="D315" s="326"/>
      <c r="E315" s="325"/>
      <c r="F315" s="325"/>
      <c r="G315" s="244"/>
      <c r="H315" s="417"/>
      <c r="I315" s="448"/>
      <c r="J315" s="325"/>
      <c r="K315" s="326"/>
      <c r="L315" s="326"/>
      <c r="M315" s="420"/>
      <c r="N315" s="465"/>
      <c r="O315" s="466"/>
      <c r="P315" s="467"/>
      <c r="Q315" s="448"/>
      <c r="R315" s="326"/>
      <c r="S315" s="496"/>
      <c r="T315" s="485"/>
      <c r="U315" s="485"/>
      <c r="V315" s="485"/>
      <c r="W315" s="485"/>
      <c r="X315" s="497"/>
      <c r="Y315" s="449"/>
      <c r="Z315" s="484"/>
      <c r="AA315" s="485"/>
      <c r="AB315" s="485"/>
      <c r="AC315" s="485"/>
      <c r="AD315" s="485"/>
      <c r="AE315" s="486"/>
      <c r="AF315" s="325"/>
      <c r="AG315" s="450"/>
      <c r="AH315" s="327"/>
    </row>
    <row r="316" spans="1:34" x14ac:dyDescent="0.25">
      <c r="A316" s="324"/>
      <c r="B316" s="325"/>
      <c r="C316" s="325"/>
      <c r="D316" s="326"/>
      <c r="E316" s="325"/>
      <c r="F316" s="325"/>
      <c r="G316" s="244"/>
      <c r="H316" s="417"/>
      <c r="I316" s="448"/>
      <c r="J316" s="325"/>
      <c r="K316" s="326"/>
      <c r="L316" s="326"/>
      <c r="M316" s="420"/>
      <c r="N316" s="465"/>
      <c r="O316" s="466"/>
      <c r="P316" s="467"/>
      <c r="Q316" s="448"/>
      <c r="R316" s="326"/>
      <c r="S316" s="496"/>
      <c r="T316" s="485"/>
      <c r="U316" s="485"/>
      <c r="V316" s="485"/>
      <c r="W316" s="485"/>
      <c r="X316" s="497"/>
      <c r="Y316" s="449"/>
      <c r="Z316" s="484"/>
      <c r="AA316" s="485"/>
      <c r="AB316" s="485"/>
      <c r="AC316" s="485"/>
      <c r="AD316" s="485"/>
      <c r="AE316" s="486"/>
      <c r="AF316" s="325"/>
      <c r="AG316" s="450"/>
      <c r="AH316" s="327"/>
    </row>
    <row r="317" spans="1:34" x14ac:dyDescent="0.25">
      <c r="A317" s="324"/>
      <c r="B317" s="325"/>
      <c r="C317" s="325"/>
      <c r="D317" s="326"/>
      <c r="E317" s="325"/>
      <c r="F317" s="325"/>
      <c r="G317" s="244"/>
      <c r="H317" s="417"/>
      <c r="I317" s="448"/>
      <c r="J317" s="325"/>
      <c r="K317" s="326"/>
      <c r="L317" s="326"/>
      <c r="M317" s="420"/>
      <c r="N317" s="465"/>
      <c r="O317" s="466"/>
      <c r="P317" s="467"/>
      <c r="Q317" s="448"/>
      <c r="R317" s="326"/>
      <c r="S317" s="496"/>
      <c r="T317" s="485"/>
      <c r="U317" s="485"/>
      <c r="V317" s="485"/>
      <c r="W317" s="485"/>
      <c r="X317" s="497"/>
      <c r="Y317" s="449"/>
      <c r="Z317" s="484"/>
      <c r="AA317" s="485"/>
      <c r="AB317" s="485"/>
      <c r="AC317" s="485"/>
      <c r="AD317" s="485"/>
      <c r="AE317" s="486"/>
      <c r="AF317" s="325"/>
      <c r="AG317" s="450"/>
      <c r="AH317" s="327"/>
    </row>
    <row r="318" spans="1:34" x14ac:dyDescent="0.25">
      <c r="A318" s="324"/>
      <c r="B318" s="325"/>
      <c r="C318" s="325"/>
      <c r="D318" s="326"/>
      <c r="E318" s="325"/>
      <c r="F318" s="325"/>
      <c r="G318" s="244"/>
      <c r="H318" s="417"/>
      <c r="I318" s="448"/>
      <c r="J318" s="325"/>
      <c r="K318" s="326"/>
      <c r="L318" s="326"/>
      <c r="M318" s="420"/>
      <c r="N318" s="465"/>
      <c r="O318" s="466"/>
      <c r="P318" s="467"/>
      <c r="Q318" s="448"/>
      <c r="R318" s="326"/>
      <c r="S318" s="496"/>
      <c r="T318" s="485"/>
      <c r="U318" s="485"/>
      <c r="V318" s="485"/>
      <c r="W318" s="485"/>
      <c r="X318" s="497"/>
      <c r="Y318" s="449"/>
      <c r="Z318" s="484"/>
      <c r="AA318" s="485"/>
      <c r="AB318" s="485"/>
      <c r="AC318" s="485"/>
      <c r="AD318" s="485"/>
      <c r="AE318" s="486"/>
      <c r="AF318" s="325"/>
      <c r="AG318" s="450"/>
      <c r="AH318" s="327"/>
    </row>
    <row r="319" spans="1:34" x14ac:dyDescent="0.25">
      <c r="A319" s="324"/>
      <c r="B319" s="325"/>
      <c r="C319" s="325"/>
      <c r="D319" s="326"/>
      <c r="E319" s="325"/>
      <c r="F319" s="325"/>
      <c r="G319" s="244"/>
      <c r="H319" s="417"/>
      <c r="I319" s="448"/>
      <c r="J319" s="325"/>
      <c r="K319" s="326"/>
      <c r="L319" s="326"/>
      <c r="M319" s="420"/>
      <c r="N319" s="465"/>
      <c r="O319" s="466"/>
      <c r="P319" s="467"/>
      <c r="Q319" s="448"/>
      <c r="R319" s="326"/>
      <c r="S319" s="496"/>
      <c r="T319" s="485"/>
      <c r="U319" s="485"/>
      <c r="V319" s="485"/>
      <c r="W319" s="485"/>
      <c r="X319" s="497"/>
      <c r="Y319" s="449"/>
      <c r="Z319" s="484"/>
      <c r="AA319" s="485"/>
      <c r="AB319" s="485"/>
      <c r="AC319" s="485"/>
      <c r="AD319" s="485"/>
      <c r="AE319" s="486"/>
      <c r="AF319" s="325"/>
      <c r="AG319" s="450"/>
      <c r="AH319" s="327"/>
    </row>
    <row r="320" spans="1:34" x14ac:dyDescent="0.25">
      <c r="A320" s="324"/>
      <c r="B320" s="325"/>
      <c r="C320" s="325"/>
      <c r="D320" s="326"/>
      <c r="E320" s="325"/>
      <c r="F320" s="325"/>
      <c r="G320" s="244"/>
      <c r="H320" s="417"/>
      <c r="I320" s="448"/>
      <c r="J320" s="325"/>
      <c r="K320" s="326"/>
      <c r="L320" s="326"/>
      <c r="M320" s="420"/>
      <c r="N320" s="465"/>
      <c r="O320" s="466"/>
      <c r="P320" s="467"/>
      <c r="Q320" s="448"/>
      <c r="R320" s="326"/>
      <c r="S320" s="496"/>
      <c r="T320" s="485"/>
      <c r="U320" s="485"/>
      <c r="V320" s="485"/>
      <c r="W320" s="485"/>
      <c r="X320" s="497"/>
      <c r="Y320" s="449"/>
      <c r="Z320" s="484"/>
      <c r="AA320" s="485"/>
      <c r="AB320" s="485"/>
      <c r="AC320" s="485"/>
      <c r="AD320" s="485"/>
      <c r="AE320" s="486"/>
      <c r="AF320" s="325"/>
      <c r="AG320" s="450"/>
      <c r="AH320" s="327"/>
    </row>
    <row r="321" spans="1:34" x14ac:dyDescent="0.25">
      <c r="A321" s="324"/>
      <c r="B321" s="325"/>
      <c r="C321" s="325"/>
      <c r="D321" s="326"/>
      <c r="E321" s="325"/>
      <c r="F321" s="325"/>
      <c r="G321" s="244"/>
      <c r="H321" s="417"/>
      <c r="I321" s="448"/>
      <c r="J321" s="325"/>
      <c r="K321" s="326"/>
      <c r="L321" s="326"/>
      <c r="M321" s="420"/>
      <c r="N321" s="465"/>
      <c r="O321" s="466"/>
      <c r="P321" s="467"/>
      <c r="Q321" s="448"/>
      <c r="R321" s="326"/>
      <c r="S321" s="496"/>
      <c r="T321" s="485"/>
      <c r="U321" s="485"/>
      <c r="V321" s="485"/>
      <c r="W321" s="485"/>
      <c r="X321" s="497"/>
      <c r="Y321" s="449"/>
      <c r="Z321" s="484"/>
      <c r="AA321" s="485"/>
      <c r="AB321" s="485"/>
      <c r="AC321" s="485"/>
      <c r="AD321" s="485"/>
      <c r="AE321" s="486"/>
      <c r="AF321" s="325"/>
      <c r="AG321" s="450"/>
      <c r="AH321" s="327"/>
    </row>
    <row r="322" spans="1:34" x14ac:dyDescent="0.25">
      <c r="A322" s="324"/>
      <c r="B322" s="325"/>
      <c r="C322" s="325"/>
      <c r="D322" s="326"/>
      <c r="E322" s="325"/>
      <c r="F322" s="325"/>
      <c r="G322" s="244"/>
      <c r="H322" s="417"/>
      <c r="I322" s="448"/>
      <c r="J322" s="325"/>
      <c r="K322" s="326"/>
      <c r="L322" s="326"/>
      <c r="M322" s="420"/>
      <c r="N322" s="465"/>
      <c r="O322" s="466"/>
      <c r="P322" s="467"/>
      <c r="Q322" s="448"/>
      <c r="R322" s="326"/>
      <c r="S322" s="496"/>
      <c r="T322" s="485"/>
      <c r="U322" s="485"/>
      <c r="V322" s="485"/>
      <c r="W322" s="485"/>
      <c r="X322" s="497"/>
      <c r="Y322" s="449"/>
      <c r="Z322" s="484"/>
      <c r="AA322" s="485"/>
      <c r="AB322" s="485"/>
      <c r="AC322" s="485"/>
      <c r="AD322" s="485"/>
      <c r="AE322" s="486"/>
      <c r="AF322" s="325"/>
      <c r="AG322" s="450"/>
      <c r="AH322" s="327"/>
    </row>
    <row r="323" spans="1:34" x14ac:dyDescent="0.25">
      <c r="A323" s="324"/>
      <c r="B323" s="325"/>
      <c r="C323" s="325"/>
      <c r="D323" s="326"/>
      <c r="E323" s="325"/>
      <c r="F323" s="325"/>
      <c r="G323" s="244"/>
      <c r="H323" s="417"/>
      <c r="I323" s="448"/>
      <c r="J323" s="325"/>
      <c r="K323" s="326"/>
      <c r="L323" s="326"/>
      <c r="M323" s="420"/>
      <c r="N323" s="465"/>
      <c r="O323" s="466"/>
      <c r="P323" s="467"/>
      <c r="Q323" s="448"/>
      <c r="R323" s="326"/>
      <c r="S323" s="496"/>
      <c r="T323" s="485"/>
      <c r="U323" s="485"/>
      <c r="V323" s="485"/>
      <c r="W323" s="485"/>
      <c r="X323" s="497"/>
      <c r="Y323" s="449"/>
      <c r="Z323" s="484"/>
      <c r="AA323" s="485"/>
      <c r="AB323" s="485"/>
      <c r="AC323" s="485"/>
      <c r="AD323" s="485"/>
      <c r="AE323" s="486"/>
      <c r="AF323" s="325"/>
      <c r="AG323" s="450"/>
      <c r="AH323" s="327"/>
    </row>
    <row r="324" spans="1:34" x14ac:dyDescent="0.25">
      <c r="A324" s="324"/>
      <c r="B324" s="325"/>
      <c r="C324" s="325"/>
      <c r="D324" s="326"/>
      <c r="E324" s="325"/>
      <c r="F324" s="325"/>
      <c r="G324" s="244"/>
      <c r="H324" s="417"/>
      <c r="I324" s="448"/>
      <c r="J324" s="325"/>
      <c r="K324" s="326"/>
      <c r="L324" s="326"/>
      <c r="M324" s="420"/>
      <c r="N324" s="465"/>
      <c r="O324" s="466"/>
      <c r="P324" s="467"/>
      <c r="Q324" s="448"/>
      <c r="R324" s="326"/>
      <c r="S324" s="496"/>
      <c r="T324" s="485"/>
      <c r="U324" s="485"/>
      <c r="V324" s="485"/>
      <c r="W324" s="485"/>
      <c r="X324" s="497"/>
      <c r="Y324" s="449"/>
      <c r="Z324" s="484"/>
      <c r="AA324" s="485"/>
      <c r="AB324" s="485"/>
      <c r="AC324" s="485"/>
      <c r="AD324" s="485"/>
      <c r="AE324" s="486"/>
      <c r="AF324" s="325"/>
      <c r="AG324" s="450"/>
      <c r="AH324" s="327"/>
    </row>
    <row r="325" spans="1:34" x14ac:dyDescent="0.25">
      <c r="A325" s="324"/>
      <c r="B325" s="325"/>
      <c r="C325" s="325"/>
      <c r="D325" s="326"/>
      <c r="E325" s="325"/>
      <c r="F325" s="325"/>
      <c r="G325" s="244"/>
      <c r="H325" s="417"/>
      <c r="I325" s="448"/>
      <c r="J325" s="325"/>
      <c r="K325" s="326"/>
      <c r="L325" s="326"/>
      <c r="M325" s="420"/>
      <c r="N325" s="465"/>
      <c r="O325" s="466"/>
      <c r="P325" s="467"/>
      <c r="Q325" s="448"/>
      <c r="R325" s="326"/>
      <c r="S325" s="496"/>
      <c r="T325" s="485"/>
      <c r="U325" s="485"/>
      <c r="V325" s="485"/>
      <c r="W325" s="485"/>
      <c r="X325" s="497"/>
      <c r="Y325" s="449"/>
      <c r="Z325" s="484"/>
      <c r="AA325" s="485"/>
      <c r="AB325" s="485"/>
      <c r="AC325" s="485"/>
      <c r="AD325" s="485"/>
      <c r="AE325" s="486"/>
      <c r="AF325" s="325"/>
      <c r="AG325" s="450"/>
      <c r="AH325" s="327"/>
    </row>
    <row r="326" spans="1:34" x14ac:dyDescent="0.25">
      <c r="A326" s="324"/>
      <c r="B326" s="325"/>
      <c r="C326" s="325"/>
      <c r="D326" s="326"/>
      <c r="E326" s="325"/>
      <c r="F326" s="325"/>
      <c r="G326" s="244"/>
      <c r="H326" s="417"/>
      <c r="I326" s="448"/>
      <c r="J326" s="325"/>
      <c r="K326" s="326"/>
      <c r="L326" s="326"/>
      <c r="M326" s="420"/>
      <c r="N326" s="465"/>
      <c r="O326" s="466"/>
      <c r="P326" s="467"/>
      <c r="Q326" s="448"/>
      <c r="R326" s="326"/>
      <c r="S326" s="496"/>
      <c r="T326" s="485"/>
      <c r="U326" s="485"/>
      <c r="V326" s="485"/>
      <c r="W326" s="485"/>
      <c r="X326" s="497"/>
      <c r="Y326" s="449"/>
      <c r="Z326" s="484"/>
      <c r="AA326" s="485"/>
      <c r="AB326" s="485"/>
      <c r="AC326" s="485"/>
      <c r="AD326" s="485"/>
      <c r="AE326" s="486"/>
      <c r="AF326" s="325"/>
      <c r="AG326" s="450"/>
      <c r="AH326" s="327"/>
    </row>
    <row r="327" spans="1:34" x14ac:dyDescent="0.25">
      <c r="A327" s="324"/>
      <c r="B327" s="325"/>
      <c r="C327" s="325"/>
      <c r="D327" s="326"/>
      <c r="E327" s="325"/>
      <c r="F327" s="325"/>
      <c r="G327" s="244"/>
      <c r="H327" s="417"/>
      <c r="I327" s="448"/>
      <c r="J327" s="325"/>
      <c r="K327" s="326"/>
      <c r="L327" s="326"/>
      <c r="M327" s="420"/>
      <c r="N327" s="465"/>
      <c r="O327" s="466"/>
      <c r="P327" s="467"/>
      <c r="Q327" s="448"/>
      <c r="R327" s="326"/>
      <c r="S327" s="496"/>
      <c r="T327" s="485"/>
      <c r="U327" s="485"/>
      <c r="V327" s="485"/>
      <c r="W327" s="485"/>
      <c r="X327" s="497"/>
      <c r="Y327" s="449"/>
      <c r="Z327" s="484"/>
      <c r="AA327" s="485"/>
      <c r="AB327" s="485"/>
      <c r="AC327" s="485"/>
      <c r="AD327" s="485"/>
      <c r="AE327" s="486"/>
      <c r="AF327" s="325"/>
      <c r="AG327" s="450"/>
      <c r="AH327" s="327"/>
    </row>
    <row r="328" spans="1:34" x14ac:dyDescent="0.25">
      <c r="A328" s="324"/>
      <c r="B328" s="325"/>
      <c r="C328" s="325"/>
      <c r="D328" s="326"/>
      <c r="E328" s="325"/>
      <c r="F328" s="325"/>
      <c r="G328" s="244"/>
      <c r="H328" s="417"/>
      <c r="I328" s="448"/>
      <c r="J328" s="325"/>
      <c r="K328" s="326"/>
      <c r="L328" s="326"/>
      <c r="M328" s="420"/>
      <c r="N328" s="465"/>
      <c r="O328" s="466"/>
      <c r="P328" s="467"/>
      <c r="Q328" s="448"/>
      <c r="R328" s="326"/>
      <c r="S328" s="496"/>
      <c r="T328" s="485"/>
      <c r="U328" s="485"/>
      <c r="V328" s="485"/>
      <c r="W328" s="485"/>
      <c r="X328" s="497"/>
      <c r="Y328" s="449"/>
      <c r="Z328" s="484"/>
      <c r="AA328" s="485"/>
      <c r="AB328" s="485"/>
      <c r="AC328" s="485"/>
      <c r="AD328" s="485"/>
      <c r="AE328" s="486"/>
      <c r="AF328" s="325"/>
      <c r="AG328" s="450"/>
      <c r="AH328" s="327"/>
    </row>
    <row r="329" spans="1:34" x14ac:dyDescent="0.25">
      <c r="A329" s="324"/>
      <c r="B329" s="325"/>
      <c r="C329" s="325"/>
      <c r="D329" s="326"/>
      <c r="E329" s="325"/>
      <c r="F329" s="325"/>
      <c r="G329" s="244"/>
      <c r="H329" s="417"/>
      <c r="I329" s="448"/>
      <c r="J329" s="325"/>
      <c r="K329" s="326"/>
      <c r="L329" s="326"/>
      <c r="M329" s="420"/>
      <c r="N329" s="465"/>
      <c r="O329" s="466"/>
      <c r="P329" s="467"/>
      <c r="Q329" s="448"/>
      <c r="R329" s="326"/>
      <c r="S329" s="496"/>
      <c r="T329" s="485"/>
      <c r="U329" s="485"/>
      <c r="V329" s="485"/>
      <c r="W329" s="485"/>
      <c r="X329" s="497"/>
      <c r="Y329" s="449"/>
      <c r="Z329" s="484"/>
      <c r="AA329" s="485"/>
      <c r="AB329" s="485"/>
      <c r="AC329" s="485"/>
      <c r="AD329" s="485"/>
      <c r="AE329" s="486"/>
      <c r="AF329" s="325"/>
      <c r="AG329" s="450"/>
      <c r="AH329" s="327"/>
    </row>
    <row r="330" spans="1:34" x14ac:dyDescent="0.25">
      <c r="A330" s="324"/>
      <c r="B330" s="325"/>
      <c r="C330" s="325"/>
      <c r="D330" s="326"/>
      <c r="E330" s="325"/>
      <c r="F330" s="325"/>
      <c r="G330" s="244"/>
      <c r="H330" s="417"/>
      <c r="I330" s="448"/>
      <c r="J330" s="325"/>
      <c r="K330" s="326"/>
      <c r="L330" s="326"/>
      <c r="M330" s="420"/>
      <c r="N330" s="465"/>
      <c r="O330" s="466"/>
      <c r="P330" s="467"/>
      <c r="Q330" s="448"/>
      <c r="R330" s="326"/>
      <c r="S330" s="496"/>
      <c r="T330" s="485"/>
      <c r="U330" s="485"/>
      <c r="V330" s="485"/>
      <c r="W330" s="485"/>
      <c r="X330" s="497"/>
      <c r="Y330" s="449"/>
      <c r="Z330" s="484"/>
      <c r="AA330" s="485"/>
      <c r="AB330" s="485"/>
      <c r="AC330" s="485"/>
      <c r="AD330" s="485"/>
      <c r="AE330" s="486"/>
      <c r="AF330" s="325"/>
      <c r="AG330" s="450"/>
      <c r="AH330" s="327"/>
    </row>
    <row r="331" spans="1:34" x14ac:dyDescent="0.25">
      <c r="A331" s="324"/>
      <c r="B331" s="325"/>
      <c r="C331" s="325"/>
      <c r="D331" s="326"/>
      <c r="E331" s="325"/>
      <c r="F331" s="325"/>
      <c r="G331" s="244"/>
      <c r="H331" s="417"/>
      <c r="I331" s="448"/>
      <c r="J331" s="325"/>
      <c r="K331" s="326"/>
      <c r="L331" s="326"/>
      <c r="M331" s="420"/>
      <c r="N331" s="465"/>
      <c r="O331" s="466"/>
      <c r="P331" s="467"/>
      <c r="Q331" s="448"/>
      <c r="R331" s="326"/>
      <c r="S331" s="496"/>
      <c r="T331" s="485"/>
      <c r="U331" s="485"/>
      <c r="V331" s="485"/>
      <c r="W331" s="485"/>
      <c r="X331" s="497"/>
      <c r="Y331" s="449"/>
      <c r="Z331" s="484"/>
      <c r="AA331" s="485"/>
      <c r="AB331" s="485"/>
      <c r="AC331" s="485"/>
      <c r="AD331" s="485"/>
      <c r="AE331" s="486"/>
      <c r="AF331" s="325"/>
      <c r="AG331" s="450"/>
      <c r="AH331" s="327"/>
    </row>
    <row r="332" spans="1:34" x14ac:dyDescent="0.25">
      <c r="A332" s="324"/>
      <c r="B332" s="325"/>
      <c r="C332" s="325"/>
      <c r="D332" s="326"/>
      <c r="E332" s="325"/>
      <c r="F332" s="325"/>
      <c r="G332" s="244"/>
      <c r="H332" s="417"/>
      <c r="I332" s="448"/>
      <c r="J332" s="325"/>
      <c r="K332" s="326"/>
      <c r="L332" s="326"/>
      <c r="M332" s="420"/>
      <c r="N332" s="465"/>
      <c r="O332" s="466"/>
      <c r="P332" s="467"/>
      <c r="Q332" s="448"/>
      <c r="R332" s="326"/>
      <c r="S332" s="496"/>
      <c r="T332" s="485"/>
      <c r="U332" s="485"/>
      <c r="V332" s="485"/>
      <c r="W332" s="485"/>
      <c r="X332" s="497"/>
      <c r="Y332" s="449"/>
      <c r="Z332" s="484"/>
      <c r="AA332" s="485"/>
      <c r="AB332" s="485"/>
      <c r="AC332" s="485"/>
      <c r="AD332" s="485"/>
      <c r="AE332" s="486"/>
      <c r="AF332" s="325"/>
      <c r="AG332" s="450"/>
      <c r="AH332" s="327"/>
    </row>
    <row r="333" spans="1:34" x14ac:dyDescent="0.25">
      <c r="A333" s="324"/>
      <c r="B333" s="325"/>
      <c r="C333" s="325"/>
      <c r="D333" s="326"/>
      <c r="E333" s="325"/>
      <c r="F333" s="325"/>
      <c r="G333" s="244"/>
      <c r="H333" s="417"/>
      <c r="I333" s="448"/>
      <c r="J333" s="325"/>
      <c r="K333" s="326"/>
      <c r="L333" s="326"/>
      <c r="M333" s="420"/>
      <c r="N333" s="465"/>
      <c r="O333" s="466"/>
      <c r="P333" s="467"/>
      <c r="Q333" s="448"/>
      <c r="R333" s="326"/>
      <c r="S333" s="496"/>
      <c r="T333" s="485"/>
      <c r="U333" s="485"/>
      <c r="V333" s="485"/>
      <c r="W333" s="485"/>
      <c r="X333" s="497"/>
      <c r="Y333" s="449"/>
      <c r="Z333" s="484"/>
      <c r="AA333" s="485"/>
      <c r="AB333" s="485"/>
      <c r="AC333" s="485"/>
      <c r="AD333" s="485"/>
      <c r="AE333" s="486"/>
      <c r="AF333" s="325"/>
      <c r="AG333" s="450"/>
      <c r="AH333" s="327"/>
    </row>
    <row r="334" spans="1:34" x14ac:dyDescent="0.25">
      <c r="A334" s="324"/>
      <c r="B334" s="325"/>
      <c r="C334" s="325"/>
      <c r="D334" s="326"/>
      <c r="E334" s="325"/>
      <c r="F334" s="325"/>
      <c r="G334" s="244"/>
      <c r="H334" s="417"/>
      <c r="I334" s="448"/>
      <c r="J334" s="325"/>
      <c r="K334" s="326"/>
      <c r="L334" s="326"/>
      <c r="M334" s="420"/>
      <c r="N334" s="465"/>
      <c r="O334" s="466"/>
      <c r="P334" s="467"/>
      <c r="Q334" s="448"/>
      <c r="R334" s="326"/>
      <c r="S334" s="496"/>
      <c r="T334" s="485"/>
      <c r="U334" s="485"/>
      <c r="V334" s="485"/>
      <c r="W334" s="485"/>
      <c r="X334" s="497"/>
      <c r="Y334" s="449"/>
      <c r="Z334" s="484"/>
      <c r="AA334" s="485"/>
      <c r="AB334" s="485"/>
      <c r="AC334" s="485"/>
      <c r="AD334" s="485"/>
      <c r="AE334" s="486"/>
      <c r="AF334" s="325"/>
      <c r="AG334" s="450"/>
      <c r="AH334" s="327"/>
    </row>
    <row r="335" spans="1:34" x14ac:dyDescent="0.25">
      <c r="A335" s="324"/>
      <c r="B335" s="325"/>
      <c r="C335" s="325"/>
      <c r="D335" s="326"/>
      <c r="E335" s="325"/>
      <c r="F335" s="325"/>
      <c r="G335" s="244"/>
      <c r="H335" s="417"/>
      <c r="I335" s="448"/>
      <c r="J335" s="325"/>
      <c r="K335" s="326"/>
      <c r="L335" s="326"/>
      <c r="M335" s="420"/>
      <c r="N335" s="465"/>
      <c r="O335" s="466"/>
      <c r="P335" s="467"/>
      <c r="Q335" s="448"/>
      <c r="R335" s="326"/>
      <c r="S335" s="496"/>
      <c r="T335" s="485"/>
      <c r="U335" s="485"/>
      <c r="V335" s="485"/>
      <c r="W335" s="485"/>
      <c r="X335" s="497"/>
      <c r="Y335" s="449"/>
      <c r="Z335" s="484"/>
      <c r="AA335" s="485"/>
      <c r="AB335" s="485"/>
      <c r="AC335" s="485"/>
      <c r="AD335" s="485"/>
      <c r="AE335" s="486"/>
      <c r="AF335" s="325"/>
      <c r="AG335" s="450"/>
      <c r="AH335" s="327"/>
    </row>
    <row r="336" spans="1:34" x14ac:dyDescent="0.25">
      <c r="A336" s="324"/>
      <c r="B336" s="325"/>
      <c r="C336" s="325"/>
      <c r="D336" s="326"/>
      <c r="E336" s="325"/>
      <c r="F336" s="325"/>
      <c r="G336" s="244"/>
      <c r="H336" s="417"/>
      <c r="I336" s="448"/>
      <c r="J336" s="325"/>
      <c r="K336" s="326"/>
      <c r="L336" s="326"/>
      <c r="M336" s="420"/>
      <c r="N336" s="465"/>
      <c r="O336" s="466"/>
      <c r="P336" s="467"/>
      <c r="Q336" s="448"/>
      <c r="R336" s="326"/>
      <c r="S336" s="496"/>
      <c r="T336" s="485"/>
      <c r="U336" s="485"/>
      <c r="V336" s="485"/>
      <c r="W336" s="485"/>
      <c r="X336" s="497"/>
      <c r="Y336" s="449"/>
      <c r="Z336" s="484"/>
      <c r="AA336" s="485"/>
      <c r="AB336" s="485"/>
      <c r="AC336" s="485"/>
      <c r="AD336" s="485"/>
      <c r="AE336" s="486"/>
      <c r="AF336" s="325"/>
      <c r="AG336" s="450"/>
      <c r="AH336" s="327"/>
    </row>
    <row r="337" spans="1:34" x14ac:dyDescent="0.25">
      <c r="A337" s="324"/>
      <c r="B337" s="325"/>
      <c r="C337" s="325"/>
      <c r="D337" s="326"/>
      <c r="E337" s="325"/>
      <c r="F337" s="325"/>
      <c r="G337" s="244"/>
      <c r="H337" s="417"/>
      <c r="I337" s="448"/>
      <c r="J337" s="325"/>
      <c r="K337" s="326"/>
      <c r="L337" s="326"/>
      <c r="M337" s="420"/>
      <c r="N337" s="465"/>
      <c r="O337" s="466"/>
      <c r="P337" s="467"/>
      <c r="Q337" s="448"/>
      <c r="R337" s="326"/>
      <c r="S337" s="496"/>
      <c r="T337" s="485"/>
      <c r="U337" s="485"/>
      <c r="V337" s="485"/>
      <c r="W337" s="485"/>
      <c r="X337" s="497"/>
      <c r="Y337" s="449"/>
      <c r="Z337" s="484"/>
      <c r="AA337" s="485"/>
      <c r="AB337" s="485"/>
      <c r="AC337" s="485"/>
      <c r="AD337" s="485"/>
      <c r="AE337" s="486"/>
      <c r="AF337" s="325"/>
      <c r="AG337" s="450"/>
      <c r="AH337" s="327"/>
    </row>
    <row r="338" spans="1:34" x14ac:dyDescent="0.25">
      <c r="A338" s="324"/>
      <c r="B338" s="325"/>
      <c r="C338" s="325"/>
      <c r="D338" s="326"/>
      <c r="E338" s="325"/>
      <c r="F338" s="325"/>
      <c r="G338" s="244"/>
      <c r="H338" s="417"/>
      <c r="I338" s="448"/>
      <c r="J338" s="325"/>
      <c r="K338" s="326"/>
      <c r="L338" s="326"/>
      <c r="M338" s="420"/>
      <c r="N338" s="465"/>
      <c r="O338" s="466"/>
      <c r="P338" s="467"/>
      <c r="Q338" s="448"/>
      <c r="R338" s="326"/>
      <c r="S338" s="496"/>
      <c r="T338" s="485"/>
      <c r="U338" s="485"/>
      <c r="V338" s="485"/>
      <c r="W338" s="485"/>
      <c r="X338" s="497"/>
      <c r="Y338" s="449"/>
      <c r="Z338" s="484"/>
      <c r="AA338" s="485"/>
      <c r="AB338" s="485"/>
      <c r="AC338" s="485"/>
      <c r="AD338" s="485"/>
      <c r="AE338" s="486"/>
      <c r="AF338" s="325"/>
      <c r="AG338" s="450"/>
      <c r="AH338" s="327"/>
    </row>
    <row r="339" spans="1:34" x14ac:dyDescent="0.25">
      <c r="A339" s="324"/>
      <c r="B339" s="325"/>
      <c r="C339" s="325"/>
      <c r="D339" s="326"/>
      <c r="E339" s="325"/>
      <c r="F339" s="325"/>
      <c r="G339" s="244"/>
      <c r="H339" s="417"/>
      <c r="I339" s="448"/>
      <c r="J339" s="325"/>
      <c r="K339" s="326"/>
      <c r="L339" s="326"/>
      <c r="M339" s="420"/>
      <c r="N339" s="465"/>
      <c r="O339" s="466"/>
      <c r="P339" s="467"/>
      <c r="Q339" s="448"/>
      <c r="R339" s="326"/>
      <c r="S339" s="496"/>
      <c r="T339" s="485"/>
      <c r="U339" s="485"/>
      <c r="V339" s="485"/>
      <c r="W339" s="485"/>
      <c r="X339" s="497"/>
      <c r="Y339" s="449"/>
      <c r="Z339" s="484"/>
      <c r="AA339" s="485"/>
      <c r="AB339" s="485"/>
      <c r="AC339" s="485"/>
      <c r="AD339" s="485"/>
      <c r="AE339" s="486"/>
      <c r="AF339" s="325"/>
      <c r="AG339" s="450"/>
      <c r="AH339" s="327"/>
    </row>
    <row r="340" spans="1:34" x14ac:dyDescent="0.25">
      <c r="A340" s="324"/>
      <c r="B340" s="325"/>
      <c r="C340" s="325"/>
      <c r="D340" s="326"/>
      <c r="E340" s="325"/>
      <c r="F340" s="325"/>
      <c r="G340" s="244"/>
      <c r="H340" s="417"/>
      <c r="I340" s="448"/>
      <c r="J340" s="325"/>
      <c r="K340" s="326"/>
      <c r="L340" s="326"/>
      <c r="M340" s="420"/>
      <c r="N340" s="465"/>
      <c r="O340" s="466"/>
      <c r="P340" s="467"/>
      <c r="Q340" s="448"/>
      <c r="R340" s="326"/>
      <c r="S340" s="496"/>
      <c r="T340" s="485"/>
      <c r="U340" s="485"/>
      <c r="V340" s="485"/>
      <c r="W340" s="485"/>
      <c r="X340" s="497"/>
      <c r="Y340" s="449"/>
      <c r="Z340" s="484"/>
      <c r="AA340" s="485"/>
      <c r="AB340" s="485"/>
      <c r="AC340" s="485"/>
      <c r="AD340" s="485"/>
      <c r="AE340" s="486"/>
      <c r="AF340" s="325"/>
      <c r="AG340" s="450"/>
      <c r="AH340" s="327"/>
    </row>
    <row r="341" spans="1:34" x14ac:dyDescent="0.25">
      <c r="A341" s="324"/>
      <c r="B341" s="325"/>
      <c r="C341" s="325"/>
      <c r="D341" s="326"/>
      <c r="E341" s="325"/>
      <c r="F341" s="325"/>
      <c r="G341" s="244"/>
      <c r="H341" s="417"/>
      <c r="I341" s="448"/>
      <c r="J341" s="325"/>
      <c r="K341" s="326"/>
      <c r="L341" s="326"/>
      <c r="M341" s="420"/>
      <c r="N341" s="465"/>
      <c r="O341" s="466"/>
      <c r="P341" s="467"/>
      <c r="Q341" s="448"/>
      <c r="R341" s="326"/>
      <c r="S341" s="496"/>
      <c r="T341" s="485"/>
      <c r="U341" s="485"/>
      <c r="V341" s="485"/>
      <c r="W341" s="485"/>
      <c r="X341" s="497"/>
      <c r="Y341" s="449"/>
      <c r="Z341" s="484"/>
      <c r="AA341" s="485"/>
      <c r="AB341" s="485"/>
      <c r="AC341" s="485"/>
      <c r="AD341" s="485"/>
      <c r="AE341" s="486"/>
      <c r="AF341" s="325"/>
      <c r="AG341" s="450"/>
      <c r="AH341" s="327"/>
    </row>
    <row r="342" spans="1:34" x14ac:dyDescent="0.25">
      <c r="A342" s="324"/>
      <c r="B342" s="325"/>
      <c r="C342" s="325"/>
      <c r="D342" s="326"/>
      <c r="E342" s="325"/>
      <c r="F342" s="325"/>
      <c r="G342" s="244"/>
      <c r="H342" s="417"/>
      <c r="I342" s="448"/>
      <c r="J342" s="325"/>
      <c r="K342" s="326"/>
      <c r="L342" s="326"/>
      <c r="M342" s="420"/>
      <c r="N342" s="465"/>
      <c r="O342" s="466"/>
      <c r="P342" s="467"/>
      <c r="Q342" s="448"/>
      <c r="R342" s="326"/>
      <c r="S342" s="496"/>
      <c r="T342" s="485"/>
      <c r="U342" s="485"/>
      <c r="V342" s="485"/>
      <c r="W342" s="485"/>
      <c r="X342" s="497"/>
      <c r="Y342" s="449"/>
      <c r="Z342" s="484"/>
      <c r="AA342" s="485"/>
      <c r="AB342" s="485"/>
      <c r="AC342" s="485"/>
      <c r="AD342" s="485"/>
      <c r="AE342" s="486"/>
      <c r="AF342" s="325"/>
      <c r="AG342" s="450"/>
      <c r="AH342" s="327"/>
    </row>
    <row r="343" spans="1:34" x14ac:dyDescent="0.25">
      <c r="A343" s="324"/>
      <c r="B343" s="325"/>
      <c r="C343" s="325"/>
      <c r="D343" s="326"/>
      <c r="E343" s="325"/>
      <c r="F343" s="325"/>
      <c r="G343" s="244"/>
      <c r="H343" s="417"/>
      <c r="I343" s="448"/>
      <c r="J343" s="325"/>
      <c r="K343" s="326"/>
      <c r="L343" s="326"/>
      <c r="M343" s="420"/>
      <c r="N343" s="465"/>
      <c r="O343" s="466"/>
      <c r="P343" s="467"/>
      <c r="Q343" s="448"/>
      <c r="R343" s="326"/>
      <c r="S343" s="496"/>
      <c r="T343" s="485"/>
      <c r="U343" s="485"/>
      <c r="V343" s="485"/>
      <c r="W343" s="485"/>
      <c r="X343" s="497"/>
      <c r="Y343" s="449"/>
      <c r="Z343" s="484"/>
      <c r="AA343" s="485"/>
      <c r="AB343" s="485"/>
      <c r="AC343" s="485"/>
      <c r="AD343" s="485"/>
      <c r="AE343" s="486"/>
      <c r="AF343" s="325"/>
      <c r="AG343" s="450"/>
      <c r="AH343" s="327"/>
    </row>
    <row r="344" spans="1:34" x14ac:dyDescent="0.25">
      <c r="A344" s="324"/>
      <c r="B344" s="325"/>
      <c r="C344" s="325"/>
      <c r="D344" s="326"/>
      <c r="E344" s="325"/>
      <c r="F344" s="325"/>
      <c r="G344" s="244"/>
      <c r="H344" s="417"/>
      <c r="I344" s="448"/>
      <c r="J344" s="325"/>
      <c r="K344" s="326"/>
      <c r="L344" s="326"/>
      <c r="M344" s="420"/>
      <c r="N344" s="465"/>
      <c r="O344" s="466"/>
      <c r="P344" s="467"/>
      <c r="Q344" s="448"/>
      <c r="R344" s="326"/>
      <c r="S344" s="496"/>
      <c r="T344" s="485"/>
      <c r="U344" s="485"/>
      <c r="V344" s="485"/>
      <c r="W344" s="485"/>
      <c r="X344" s="497"/>
      <c r="Y344" s="449"/>
      <c r="Z344" s="484"/>
      <c r="AA344" s="485"/>
      <c r="AB344" s="485"/>
      <c r="AC344" s="485"/>
      <c r="AD344" s="485"/>
      <c r="AE344" s="486"/>
      <c r="AF344" s="325"/>
      <c r="AG344" s="450"/>
      <c r="AH344" s="327"/>
    </row>
    <row r="345" spans="1:34" x14ac:dyDescent="0.25">
      <c r="A345" s="324"/>
      <c r="B345" s="325"/>
      <c r="C345" s="325"/>
      <c r="D345" s="326"/>
      <c r="E345" s="325"/>
      <c r="F345" s="325"/>
      <c r="G345" s="244"/>
      <c r="H345" s="417"/>
      <c r="I345" s="448"/>
      <c r="J345" s="325"/>
      <c r="K345" s="326"/>
      <c r="L345" s="326"/>
      <c r="M345" s="420"/>
      <c r="N345" s="465"/>
      <c r="O345" s="466"/>
      <c r="P345" s="467"/>
      <c r="Q345" s="448"/>
      <c r="R345" s="326"/>
      <c r="S345" s="496"/>
      <c r="T345" s="485"/>
      <c r="U345" s="485"/>
      <c r="V345" s="485"/>
      <c r="W345" s="485"/>
      <c r="X345" s="497"/>
      <c r="Y345" s="449"/>
      <c r="Z345" s="484"/>
      <c r="AA345" s="485"/>
      <c r="AB345" s="485"/>
      <c r="AC345" s="485"/>
      <c r="AD345" s="485"/>
      <c r="AE345" s="486"/>
      <c r="AF345" s="325"/>
      <c r="AG345" s="450"/>
      <c r="AH345" s="327"/>
    </row>
    <row r="346" spans="1:34" x14ac:dyDescent="0.25">
      <c r="A346" s="324"/>
      <c r="B346" s="325"/>
      <c r="C346" s="325"/>
      <c r="D346" s="326"/>
      <c r="E346" s="325"/>
      <c r="F346" s="325"/>
      <c r="G346" s="244"/>
      <c r="H346" s="417"/>
      <c r="I346" s="448"/>
      <c r="J346" s="325"/>
      <c r="K346" s="326"/>
      <c r="L346" s="326"/>
      <c r="M346" s="420"/>
      <c r="N346" s="465"/>
      <c r="O346" s="466"/>
      <c r="P346" s="467"/>
      <c r="Q346" s="448"/>
      <c r="R346" s="326"/>
      <c r="S346" s="496"/>
      <c r="T346" s="485"/>
      <c r="U346" s="485"/>
      <c r="V346" s="485"/>
      <c r="W346" s="485"/>
      <c r="X346" s="497"/>
      <c r="Y346" s="449"/>
      <c r="Z346" s="484"/>
      <c r="AA346" s="485"/>
      <c r="AB346" s="485"/>
      <c r="AC346" s="485"/>
      <c r="AD346" s="485"/>
      <c r="AE346" s="486"/>
      <c r="AF346" s="325"/>
      <c r="AG346" s="450"/>
      <c r="AH346" s="327"/>
    </row>
    <row r="347" spans="1:34" x14ac:dyDescent="0.25">
      <c r="A347" s="324"/>
      <c r="B347" s="325"/>
      <c r="C347" s="325"/>
      <c r="D347" s="326"/>
      <c r="E347" s="325"/>
      <c r="F347" s="325"/>
      <c r="G347" s="244"/>
      <c r="H347" s="417"/>
      <c r="I347" s="448"/>
      <c r="J347" s="325"/>
      <c r="K347" s="326"/>
      <c r="L347" s="326"/>
      <c r="M347" s="420"/>
      <c r="N347" s="465"/>
      <c r="O347" s="466"/>
      <c r="P347" s="467"/>
      <c r="Q347" s="448"/>
      <c r="R347" s="326"/>
      <c r="S347" s="496"/>
      <c r="T347" s="485"/>
      <c r="U347" s="485"/>
      <c r="V347" s="485"/>
      <c r="W347" s="485"/>
      <c r="X347" s="497"/>
      <c r="Y347" s="449"/>
      <c r="Z347" s="484"/>
      <c r="AA347" s="485"/>
      <c r="AB347" s="485"/>
      <c r="AC347" s="485"/>
      <c r="AD347" s="485"/>
      <c r="AE347" s="486"/>
      <c r="AF347" s="325"/>
      <c r="AG347" s="450"/>
      <c r="AH347" s="327"/>
    </row>
    <row r="348" spans="1:34" x14ac:dyDescent="0.25">
      <c r="A348" s="324"/>
      <c r="B348" s="325"/>
      <c r="C348" s="325"/>
      <c r="D348" s="326"/>
      <c r="E348" s="325"/>
      <c r="F348" s="325"/>
      <c r="G348" s="244"/>
      <c r="H348" s="417"/>
      <c r="I348" s="448"/>
      <c r="J348" s="325"/>
      <c r="K348" s="326"/>
      <c r="L348" s="326"/>
      <c r="M348" s="420"/>
      <c r="N348" s="465"/>
      <c r="O348" s="466"/>
      <c r="P348" s="467"/>
      <c r="Q348" s="448"/>
      <c r="R348" s="326"/>
      <c r="S348" s="496"/>
      <c r="T348" s="485"/>
      <c r="U348" s="485"/>
      <c r="V348" s="485"/>
      <c r="W348" s="485"/>
      <c r="X348" s="497"/>
      <c r="Y348" s="449"/>
      <c r="Z348" s="484"/>
      <c r="AA348" s="485"/>
      <c r="AB348" s="485"/>
      <c r="AC348" s="485"/>
      <c r="AD348" s="485"/>
      <c r="AE348" s="486"/>
      <c r="AF348" s="325"/>
      <c r="AG348" s="450"/>
      <c r="AH348" s="327"/>
    </row>
    <row r="349" spans="1:34" x14ac:dyDescent="0.25">
      <c r="A349" s="324"/>
      <c r="B349" s="325"/>
      <c r="C349" s="325"/>
      <c r="D349" s="326"/>
      <c r="E349" s="325"/>
      <c r="F349" s="325"/>
      <c r="G349" s="244"/>
      <c r="H349" s="417"/>
      <c r="I349" s="448"/>
      <c r="J349" s="325"/>
      <c r="K349" s="326"/>
      <c r="L349" s="326"/>
      <c r="M349" s="420"/>
      <c r="N349" s="465"/>
      <c r="O349" s="466"/>
      <c r="P349" s="467"/>
      <c r="Q349" s="448"/>
      <c r="R349" s="326"/>
      <c r="S349" s="496"/>
      <c r="T349" s="485"/>
      <c r="U349" s="485"/>
      <c r="V349" s="485"/>
      <c r="W349" s="485"/>
      <c r="X349" s="497"/>
      <c r="Y349" s="449"/>
      <c r="Z349" s="484"/>
      <c r="AA349" s="485"/>
      <c r="AB349" s="485"/>
      <c r="AC349" s="485"/>
      <c r="AD349" s="485"/>
      <c r="AE349" s="486"/>
      <c r="AF349" s="325"/>
      <c r="AG349" s="450"/>
      <c r="AH349" s="327"/>
    </row>
    <row r="350" spans="1:34" x14ac:dyDescent="0.25">
      <c r="A350" s="324"/>
      <c r="B350" s="325"/>
      <c r="C350" s="325"/>
      <c r="D350" s="326"/>
      <c r="E350" s="325"/>
      <c r="F350" s="325"/>
      <c r="G350" s="244"/>
      <c r="H350" s="417"/>
      <c r="I350" s="448"/>
      <c r="J350" s="325"/>
      <c r="K350" s="326"/>
      <c r="L350" s="326"/>
      <c r="M350" s="420"/>
      <c r="N350" s="465"/>
      <c r="O350" s="466"/>
      <c r="P350" s="467"/>
      <c r="Q350" s="448"/>
      <c r="R350" s="326"/>
      <c r="S350" s="496"/>
      <c r="T350" s="485"/>
      <c r="U350" s="485"/>
      <c r="V350" s="485"/>
      <c r="W350" s="485"/>
      <c r="X350" s="497"/>
      <c r="Y350" s="449"/>
      <c r="Z350" s="484"/>
      <c r="AA350" s="485"/>
      <c r="AB350" s="485"/>
      <c r="AC350" s="485"/>
      <c r="AD350" s="485"/>
      <c r="AE350" s="486"/>
      <c r="AF350" s="325"/>
      <c r="AG350" s="450"/>
      <c r="AH350" s="327"/>
    </row>
    <row r="351" spans="1:34" x14ac:dyDescent="0.25">
      <c r="A351" s="324"/>
      <c r="B351" s="325"/>
      <c r="C351" s="325"/>
      <c r="D351" s="326"/>
      <c r="E351" s="325"/>
      <c r="F351" s="325"/>
      <c r="G351" s="244"/>
      <c r="H351" s="417"/>
      <c r="I351" s="448"/>
      <c r="J351" s="325"/>
      <c r="K351" s="326"/>
      <c r="L351" s="326"/>
      <c r="M351" s="420"/>
      <c r="N351" s="465"/>
      <c r="O351" s="466"/>
      <c r="P351" s="467"/>
      <c r="Q351" s="448"/>
      <c r="R351" s="326"/>
      <c r="S351" s="496"/>
      <c r="T351" s="485"/>
      <c r="U351" s="485"/>
      <c r="V351" s="485"/>
      <c r="W351" s="485"/>
      <c r="X351" s="497"/>
      <c r="Y351" s="449"/>
      <c r="Z351" s="484"/>
      <c r="AA351" s="485"/>
      <c r="AB351" s="485"/>
      <c r="AC351" s="485"/>
      <c r="AD351" s="485"/>
      <c r="AE351" s="486"/>
      <c r="AF351" s="325"/>
      <c r="AG351" s="450"/>
      <c r="AH351" s="327"/>
    </row>
    <row r="352" spans="1:34" x14ac:dyDescent="0.25">
      <c r="A352" s="324"/>
      <c r="B352" s="325"/>
      <c r="C352" s="325"/>
      <c r="D352" s="326"/>
      <c r="E352" s="325"/>
      <c r="F352" s="325"/>
      <c r="G352" s="244"/>
      <c r="H352" s="417"/>
      <c r="I352" s="448"/>
      <c r="J352" s="325"/>
      <c r="K352" s="326"/>
      <c r="L352" s="326"/>
      <c r="M352" s="420"/>
      <c r="N352" s="465"/>
      <c r="O352" s="466"/>
      <c r="P352" s="467"/>
      <c r="Q352" s="448"/>
      <c r="R352" s="326"/>
      <c r="S352" s="496"/>
      <c r="T352" s="485"/>
      <c r="U352" s="485"/>
      <c r="V352" s="485"/>
      <c r="W352" s="485"/>
      <c r="X352" s="497"/>
      <c r="Y352" s="449"/>
      <c r="Z352" s="484"/>
      <c r="AA352" s="485"/>
      <c r="AB352" s="485"/>
      <c r="AC352" s="485"/>
      <c r="AD352" s="485"/>
      <c r="AE352" s="486"/>
      <c r="AF352" s="325"/>
      <c r="AG352" s="450"/>
      <c r="AH352" s="327"/>
    </row>
    <row r="353" spans="1:34" x14ac:dyDescent="0.25">
      <c r="A353" s="324"/>
      <c r="B353" s="325"/>
      <c r="C353" s="325"/>
      <c r="D353" s="326"/>
      <c r="E353" s="325"/>
      <c r="F353" s="325"/>
      <c r="G353" s="244"/>
      <c r="H353" s="417"/>
      <c r="I353" s="448"/>
      <c r="J353" s="325"/>
      <c r="K353" s="326"/>
      <c r="L353" s="326"/>
      <c r="M353" s="420"/>
      <c r="N353" s="465"/>
      <c r="O353" s="466"/>
      <c r="P353" s="467"/>
      <c r="Q353" s="448"/>
      <c r="R353" s="326"/>
      <c r="S353" s="496"/>
      <c r="T353" s="485"/>
      <c r="U353" s="485"/>
      <c r="V353" s="485"/>
      <c r="W353" s="485"/>
      <c r="X353" s="497"/>
      <c r="Y353" s="449"/>
      <c r="Z353" s="484"/>
      <c r="AA353" s="485"/>
      <c r="AB353" s="485"/>
      <c r="AC353" s="485"/>
      <c r="AD353" s="485"/>
      <c r="AE353" s="486"/>
      <c r="AF353" s="325"/>
      <c r="AG353" s="450"/>
      <c r="AH353" s="327"/>
    </row>
    <row r="354" spans="1:34" x14ac:dyDescent="0.25">
      <c r="A354" s="324"/>
      <c r="B354" s="325"/>
      <c r="C354" s="325"/>
      <c r="D354" s="326"/>
      <c r="E354" s="325"/>
      <c r="F354" s="325"/>
      <c r="G354" s="244"/>
      <c r="H354" s="417"/>
      <c r="I354" s="448"/>
      <c r="J354" s="325"/>
      <c r="K354" s="326"/>
      <c r="L354" s="326"/>
      <c r="M354" s="420"/>
      <c r="N354" s="465"/>
      <c r="O354" s="466"/>
      <c r="P354" s="467"/>
      <c r="Q354" s="448"/>
      <c r="R354" s="326"/>
      <c r="S354" s="496"/>
      <c r="T354" s="485"/>
      <c r="U354" s="485"/>
      <c r="V354" s="485"/>
      <c r="W354" s="485"/>
      <c r="X354" s="497"/>
      <c r="Y354" s="449"/>
      <c r="Z354" s="484"/>
      <c r="AA354" s="485"/>
      <c r="AB354" s="485"/>
      <c r="AC354" s="485"/>
      <c r="AD354" s="485"/>
      <c r="AE354" s="486"/>
      <c r="AF354" s="325"/>
      <c r="AG354" s="450"/>
      <c r="AH354" s="327"/>
    </row>
    <row r="355" spans="1:34" x14ac:dyDescent="0.25">
      <c r="A355" s="324"/>
      <c r="B355" s="325"/>
      <c r="C355" s="325"/>
      <c r="D355" s="326"/>
      <c r="E355" s="325"/>
      <c r="F355" s="325"/>
      <c r="G355" s="244"/>
      <c r="H355" s="417"/>
      <c r="I355" s="448"/>
      <c r="J355" s="325"/>
      <c r="K355" s="326"/>
      <c r="L355" s="326"/>
      <c r="M355" s="420"/>
      <c r="N355" s="465"/>
      <c r="O355" s="466"/>
      <c r="P355" s="467"/>
      <c r="Q355" s="448"/>
      <c r="R355" s="326"/>
      <c r="S355" s="496"/>
      <c r="T355" s="485"/>
      <c r="U355" s="485"/>
      <c r="V355" s="485"/>
      <c r="W355" s="485"/>
      <c r="X355" s="497"/>
      <c r="Y355" s="449"/>
      <c r="Z355" s="484"/>
      <c r="AA355" s="485"/>
      <c r="AB355" s="485"/>
      <c r="AC355" s="485"/>
      <c r="AD355" s="485"/>
      <c r="AE355" s="486"/>
      <c r="AF355" s="325"/>
      <c r="AG355" s="450"/>
      <c r="AH355" s="327"/>
    </row>
    <row r="356" spans="1:34" x14ac:dyDescent="0.25">
      <c r="A356" s="324"/>
      <c r="B356" s="325"/>
      <c r="C356" s="325"/>
      <c r="D356" s="326"/>
      <c r="E356" s="325"/>
      <c r="F356" s="325"/>
      <c r="G356" s="244"/>
      <c r="H356" s="417"/>
      <c r="I356" s="448"/>
      <c r="J356" s="325"/>
      <c r="K356" s="326"/>
      <c r="L356" s="326"/>
      <c r="M356" s="420"/>
      <c r="N356" s="465"/>
      <c r="O356" s="466"/>
      <c r="P356" s="467"/>
      <c r="Q356" s="448"/>
      <c r="R356" s="326"/>
      <c r="S356" s="496"/>
      <c r="T356" s="485"/>
      <c r="U356" s="485"/>
      <c r="V356" s="485"/>
      <c r="W356" s="485"/>
      <c r="X356" s="497"/>
      <c r="Y356" s="449"/>
      <c r="Z356" s="484"/>
      <c r="AA356" s="485"/>
      <c r="AB356" s="485"/>
      <c r="AC356" s="485"/>
      <c r="AD356" s="485"/>
      <c r="AE356" s="486"/>
      <c r="AF356" s="325"/>
      <c r="AG356" s="450"/>
      <c r="AH356" s="327"/>
    </row>
    <row r="357" spans="1:34" x14ac:dyDescent="0.25">
      <c r="A357" s="324"/>
      <c r="B357" s="325"/>
      <c r="C357" s="325"/>
      <c r="D357" s="326"/>
      <c r="E357" s="325"/>
      <c r="F357" s="325"/>
      <c r="G357" s="244"/>
      <c r="H357" s="417"/>
      <c r="I357" s="448"/>
      <c r="J357" s="325"/>
      <c r="K357" s="326"/>
      <c r="L357" s="326"/>
      <c r="M357" s="420"/>
      <c r="N357" s="465"/>
      <c r="O357" s="466"/>
      <c r="P357" s="467"/>
      <c r="Q357" s="448"/>
      <c r="R357" s="326"/>
      <c r="S357" s="496"/>
      <c r="T357" s="485"/>
      <c r="U357" s="485"/>
      <c r="V357" s="485"/>
      <c r="W357" s="485"/>
      <c r="X357" s="497"/>
      <c r="Y357" s="449"/>
      <c r="Z357" s="484"/>
      <c r="AA357" s="485"/>
      <c r="AB357" s="485"/>
      <c r="AC357" s="485"/>
      <c r="AD357" s="485"/>
      <c r="AE357" s="486"/>
      <c r="AF357" s="325"/>
      <c r="AG357" s="450"/>
      <c r="AH357" s="327"/>
    </row>
    <row r="358" spans="1:34" x14ac:dyDescent="0.25">
      <c r="A358" s="324"/>
      <c r="B358" s="325"/>
      <c r="C358" s="325"/>
      <c r="D358" s="326"/>
      <c r="E358" s="325"/>
      <c r="F358" s="325"/>
      <c r="G358" s="244"/>
      <c r="H358" s="417"/>
      <c r="I358" s="448"/>
      <c r="J358" s="325"/>
      <c r="K358" s="326"/>
      <c r="L358" s="326"/>
      <c r="M358" s="420"/>
      <c r="N358" s="465"/>
      <c r="O358" s="466"/>
      <c r="P358" s="467"/>
      <c r="Q358" s="448"/>
      <c r="R358" s="326"/>
      <c r="S358" s="496"/>
      <c r="T358" s="485"/>
      <c r="U358" s="485"/>
      <c r="V358" s="485"/>
      <c r="W358" s="485"/>
      <c r="X358" s="497"/>
      <c r="Y358" s="449"/>
      <c r="Z358" s="484"/>
      <c r="AA358" s="485"/>
      <c r="AB358" s="485"/>
      <c r="AC358" s="485"/>
      <c r="AD358" s="485"/>
      <c r="AE358" s="486"/>
      <c r="AF358" s="325"/>
      <c r="AG358" s="450"/>
      <c r="AH358" s="327"/>
    </row>
    <row r="359" spans="1:34" x14ac:dyDescent="0.25">
      <c r="A359" s="324"/>
      <c r="B359" s="325"/>
      <c r="C359" s="325"/>
      <c r="D359" s="326"/>
      <c r="E359" s="325"/>
      <c r="F359" s="325"/>
      <c r="G359" s="244"/>
      <c r="H359" s="417"/>
      <c r="I359" s="448"/>
      <c r="J359" s="325"/>
      <c r="K359" s="326"/>
      <c r="L359" s="326"/>
      <c r="M359" s="420"/>
      <c r="N359" s="465"/>
      <c r="O359" s="466"/>
      <c r="P359" s="467"/>
      <c r="Q359" s="448"/>
      <c r="R359" s="326"/>
      <c r="S359" s="496"/>
      <c r="T359" s="485"/>
      <c r="U359" s="485"/>
      <c r="V359" s="485"/>
      <c r="W359" s="485"/>
      <c r="X359" s="497"/>
      <c r="Y359" s="449"/>
      <c r="Z359" s="484"/>
      <c r="AA359" s="485"/>
      <c r="AB359" s="485"/>
      <c r="AC359" s="485"/>
      <c r="AD359" s="485"/>
      <c r="AE359" s="486"/>
      <c r="AF359" s="325"/>
      <c r="AG359" s="450"/>
      <c r="AH359" s="327"/>
    </row>
    <row r="360" spans="1:34" x14ac:dyDescent="0.25">
      <c r="A360" s="324"/>
      <c r="B360" s="325"/>
      <c r="C360" s="325"/>
      <c r="D360" s="326"/>
      <c r="E360" s="325"/>
      <c r="F360" s="325"/>
      <c r="G360" s="244"/>
      <c r="H360" s="417"/>
      <c r="I360" s="448"/>
      <c r="J360" s="325"/>
      <c r="K360" s="326"/>
      <c r="L360" s="326"/>
      <c r="M360" s="420"/>
      <c r="N360" s="465"/>
      <c r="O360" s="466"/>
      <c r="P360" s="467"/>
      <c r="Q360" s="448"/>
      <c r="R360" s="326"/>
      <c r="S360" s="496"/>
      <c r="T360" s="485"/>
      <c r="U360" s="485"/>
      <c r="V360" s="485"/>
      <c r="W360" s="485"/>
      <c r="X360" s="497"/>
      <c r="Y360" s="449"/>
      <c r="Z360" s="484"/>
      <c r="AA360" s="485"/>
      <c r="AB360" s="485"/>
      <c r="AC360" s="485"/>
      <c r="AD360" s="485"/>
      <c r="AE360" s="486"/>
      <c r="AF360" s="325"/>
      <c r="AG360" s="450"/>
      <c r="AH360" s="327"/>
    </row>
    <row r="361" spans="1:34" x14ac:dyDescent="0.25">
      <c r="A361" s="324"/>
      <c r="B361" s="325"/>
      <c r="C361" s="325"/>
      <c r="D361" s="326"/>
      <c r="E361" s="325"/>
      <c r="F361" s="325"/>
      <c r="G361" s="244"/>
      <c r="H361" s="417"/>
      <c r="I361" s="448"/>
      <c r="J361" s="325"/>
      <c r="K361" s="326"/>
      <c r="L361" s="326"/>
      <c r="M361" s="420"/>
      <c r="N361" s="465"/>
      <c r="O361" s="466"/>
      <c r="P361" s="467"/>
      <c r="Q361" s="448"/>
      <c r="R361" s="326"/>
      <c r="S361" s="496"/>
      <c r="T361" s="485"/>
      <c r="U361" s="485"/>
      <c r="V361" s="485"/>
      <c r="W361" s="485"/>
      <c r="X361" s="497"/>
      <c r="Y361" s="449"/>
      <c r="Z361" s="484"/>
      <c r="AA361" s="485"/>
      <c r="AB361" s="485"/>
      <c r="AC361" s="485"/>
      <c r="AD361" s="485"/>
      <c r="AE361" s="486"/>
      <c r="AF361" s="325"/>
      <c r="AG361" s="450"/>
      <c r="AH361" s="327"/>
    </row>
    <row r="362" spans="1:34" x14ac:dyDescent="0.25">
      <c r="A362" s="324"/>
      <c r="B362" s="325"/>
      <c r="C362" s="325"/>
      <c r="D362" s="326"/>
      <c r="E362" s="325"/>
      <c r="F362" s="325"/>
      <c r="G362" s="244"/>
      <c r="H362" s="417"/>
      <c r="I362" s="448"/>
      <c r="J362" s="325"/>
      <c r="K362" s="326"/>
      <c r="L362" s="326"/>
      <c r="M362" s="420"/>
      <c r="N362" s="465"/>
      <c r="O362" s="466"/>
      <c r="P362" s="467"/>
      <c r="Q362" s="448"/>
      <c r="R362" s="326"/>
      <c r="S362" s="496"/>
      <c r="T362" s="485"/>
      <c r="U362" s="485"/>
      <c r="V362" s="485"/>
      <c r="W362" s="485"/>
      <c r="X362" s="497"/>
      <c r="Y362" s="449"/>
      <c r="Z362" s="484"/>
      <c r="AA362" s="485"/>
      <c r="AB362" s="485"/>
      <c r="AC362" s="485"/>
      <c r="AD362" s="485"/>
      <c r="AE362" s="486"/>
      <c r="AF362" s="325"/>
      <c r="AG362" s="450"/>
      <c r="AH362" s="327"/>
    </row>
    <row r="363" spans="1:34" x14ac:dyDescent="0.25">
      <c r="A363" s="324"/>
      <c r="B363" s="325"/>
      <c r="C363" s="325"/>
      <c r="D363" s="326"/>
      <c r="E363" s="325"/>
      <c r="F363" s="325"/>
      <c r="G363" s="244"/>
      <c r="H363" s="417"/>
      <c r="I363" s="448"/>
      <c r="J363" s="325"/>
      <c r="K363" s="326"/>
      <c r="L363" s="326"/>
      <c r="M363" s="420"/>
      <c r="N363" s="465"/>
      <c r="O363" s="466"/>
      <c r="P363" s="467"/>
      <c r="Q363" s="448"/>
      <c r="R363" s="326"/>
      <c r="S363" s="496"/>
      <c r="T363" s="485"/>
      <c r="U363" s="485"/>
      <c r="V363" s="485"/>
      <c r="W363" s="485"/>
      <c r="X363" s="497"/>
      <c r="Y363" s="449"/>
      <c r="Z363" s="484"/>
      <c r="AA363" s="485"/>
      <c r="AB363" s="485"/>
      <c r="AC363" s="485"/>
      <c r="AD363" s="485"/>
      <c r="AE363" s="486"/>
      <c r="AF363" s="325"/>
      <c r="AG363" s="450"/>
      <c r="AH363" s="327"/>
    </row>
    <row r="364" spans="1:34" x14ac:dyDescent="0.25">
      <c r="A364" s="324"/>
      <c r="B364" s="325"/>
      <c r="C364" s="325"/>
      <c r="D364" s="326"/>
      <c r="E364" s="325"/>
      <c r="F364" s="325"/>
      <c r="G364" s="244"/>
      <c r="H364" s="417"/>
      <c r="I364" s="448"/>
      <c r="J364" s="325"/>
      <c r="K364" s="326"/>
      <c r="L364" s="326"/>
      <c r="M364" s="420"/>
      <c r="N364" s="465"/>
      <c r="O364" s="466"/>
      <c r="P364" s="467"/>
      <c r="Q364" s="448"/>
      <c r="R364" s="326"/>
      <c r="S364" s="496"/>
      <c r="T364" s="485"/>
      <c r="U364" s="485"/>
      <c r="V364" s="485"/>
      <c r="W364" s="485"/>
      <c r="X364" s="497"/>
      <c r="Y364" s="449"/>
      <c r="Z364" s="484"/>
      <c r="AA364" s="485"/>
      <c r="AB364" s="485"/>
      <c r="AC364" s="485"/>
      <c r="AD364" s="485"/>
      <c r="AE364" s="486"/>
      <c r="AF364" s="325"/>
      <c r="AG364" s="450"/>
      <c r="AH364" s="327"/>
    </row>
    <row r="365" spans="1:34" x14ac:dyDescent="0.25">
      <c r="A365" s="324"/>
      <c r="B365" s="325"/>
      <c r="C365" s="325"/>
      <c r="D365" s="326"/>
      <c r="E365" s="325"/>
      <c r="F365" s="325"/>
      <c r="G365" s="244"/>
      <c r="H365" s="417"/>
      <c r="I365" s="448"/>
      <c r="J365" s="325"/>
      <c r="K365" s="326"/>
      <c r="L365" s="326"/>
      <c r="M365" s="420"/>
      <c r="N365" s="465"/>
      <c r="O365" s="466"/>
      <c r="P365" s="467"/>
      <c r="Q365" s="448"/>
      <c r="R365" s="326"/>
      <c r="S365" s="496"/>
      <c r="T365" s="485"/>
      <c r="U365" s="485"/>
      <c r="V365" s="485"/>
      <c r="W365" s="485"/>
      <c r="X365" s="497"/>
      <c r="Y365" s="449"/>
      <c r="Z365" s="484"/>
      <c r="AA365" s="485"/>
      <c r="AB365" s="485"/>
      <c r="AC365" s="485"/>
      <c r="AD365" s="485"/>
      <c r="AE365" s="486"/>
      <c r="AF365" s="325"/>
      <c r="AG365" s="450"/>
      <c r="AH365" s="327"/>
    </row>
    <row r="366" spans="1:34" x14ac:dyDescent="0.25">
      <c r="A366" s="324"/>
      <c r="B366" s="325"/>
      <c r="C366" s="325"/>
      <c r="D366" s="326"/>
      <c r="E366" s="325"/>
      <c r="F366" s="325"/>
      <c r="G366" s="244"/>
      <c r="H366" s="417"/>
      <c r="I366" s="448"/>
      <c r="J366" s="325"/>
      <c r="K366" s="326"/>
      <c r="L366" s="326"/>
      <c r="M366" s="420"/>
      <c r="N366" s="465"/>
      <c r="O366" s="466"/>
      <c r="P366" s="467"/>
      <c r="Q366" s="448"/>
      <c r="R366" s="326"/>
      <c r="S366" s="496"/>
      <c r="T366" s="485"/>
      <c r="U366" s="485"/>
      <c r="V366" s="485"/>
      <c r="W366" s="485"/>
      <c r="X366" s="497"/>
      <c r="Y366" s="449"/>
      <c r="Z366" s="484"/>
      <c r="AA366" s="485"/>
      <c r="AB366" s="485"/>
      <c r="AC366" s="485"/>
      <c r="AD366" s="485"/>
      <c r="AE366" s="486"/>
      <c r="AF366" s="325"/>
      <c r="AG366" s="450"/>
      <c r="AH366" s="327"/>
    </row>
    <row r="367" spans="1:34" x14ac:dyDescent="0.25">
      <c r="A367" s="324"/>
      <c r="B367" s="325"/>
      <c r="C367" s="325"/>
      <c r="D367" s="326"/>
      <c r="E367" s="325"/>
      <c r="F367" s="325"/>
      <c r="G367" s="244"/>
      <c r="H367" s="417"/>
      <c r="I367" s="448"/>
      <c r="J367" s="325"/>
      <c r="K367" s="326"/>
      <c r="L367" s="326"/>
      <c r="M367" s="420"/>
      <c r="N367" s="465"/>
      <c r="O367" s="466"/>
      <c r="P367" s="467"/>
      <c r="Q367" s="448"/>
      <c r="R367" s="326"/>
      <c r="S367" s="496"/>
      <c r="T367" s="485"/>
      <c r="U367" s="485"/>
      <c r="V367" s="485"/>
      <c r="W367" s="485"/>
      <c r="X367" s="497"/>
      <c r="Y367" s="449"/>
      <c r="Z367" s="484"/>
      <c r="AA367" s="485"/>
      <c r="AB367" s="485"/>
      <c r="AC367" s="485"/>
      <c r="AD367" s="485"/>
      <c r="AE367" s="486"/>
      <c r="AF367" s="325"/>
      <c r="AG367" s="450"/>
      <c r="AH367" s="327"/>
    </row>
    <row r="368" spans="1:34" x14ac:dyDescent="0.25">
      <c r="A368" s="324"/>
      <c r="B368" s="325"/>
      <c r="C368" s="325"/>
      <c r="D368" s="326"/>
      <c r="E368" s="325"/>
      <c r="F368" s="325"/>
      <c r="G368" s="244"/>
      <c r="H368" s="417"/>
      <c r="I368" s="448"/>
      <c r="J368" s="325"/>
      <c r="K368" s="326"/>
      <c r="L368" s="326"/>
      <c r="M368" s="420"/>
      <c r="N368" s="465"/>
      <c r="O368" s="466"/>
      <c r="P368" s="467"/>
      <c r="Q368" s="448"/>
      <c r="R368" s="326"/>
      <c r="S368" s="496"/>
      <c r="T368" s="485"/>
      <c r="U368" s="485"/>
      <c r="V368" s="485"/>
      <c r="W368" s="485"/>
      <c r="X368" s="497"/>
      <c r="Y368" s="449"/>
      <c r="Z368" s="484"/>
      <c r="AA368" s="485"/>
      <c r="AB368" s="485"/>
      <c r="AC368" s="485"/>
      <c r="AD368" s="485"/>
      <c r="AE368" s="486"/>
      <c r="AF368" s="325"/>
      <c r="AG368" s="450"/>
      <c r="AH368" s="327"/>
    </row>
    <row r="369" spans="1:34" x14ac:dyDescent="0.25">
      <c r="A369" s="324"/>
      <c r="B369" s="325"/>
      <c r="C369" s="325"/>
      <c r="D369" s="326"/>
      <c r="E369" s="325"/>
      <c r="F369" s="325"/>
      <c r="G369" s="244"/>
      <c r="H369" s="417"/>
      <c r="I369" s="448"/>
      <c r="J369" s="325"/>
      <c r="K369" s="326"/>
      <c r="L369" s="326"/>
      <c r="M369" s="420"/>
      <c r="N369" s="465"/>
      <c r="O369" s="466"/>
      <c r="P369" s="467"/>
      <c r="Q369" s="448"/>
      <c r="R369" s="326"/>
      <c r="S369" s="496"/>
      <c r="T369" s="485"/>
      <c r="U369" s="485"/>
      <c r="V369" s="485"/>
      <c r="W369" s="485"/>
      <c r="X369" s="497"/>
      <c r="Y369" s="449"/>
      <c r="Z369" s="484"/>
      <c r="AA369" s="485"/>
      <c r="AB369" s="485"/>
      <c r="AC369" s="485"/>
      <c r="AD369" s="485"/>
      <c r="AE369" s="486"/>
      <c r="AF369" s="325"/>
      <c r="AG369" s="450"/>
      <c r="AH369" s="327"/>
    </row>
    <row r="370" spans="1:34" x14ac:dyDescent="0.25">
      <c r="A370" s="324"/>
      <c r="B370" s="325"/>
      <c r="C370" s="325"/>
      <c r="D370" s="326"/>
      <c r="E370" s="325"/>
      <c r="F370" s="325"/>
      <c r="G370" s="244"/>
      <c r="H370" s="417"/>
      <c r="I370" s="448"/>
      <c r="J370" s="325"/>
      <c r="K370" s="326"/>
      <c r="L370" s="326"/>
      <c r="M370" s="420"/>
      <c r="N370" s="465"/>
      <c r="O370" s="466"/>
      <c r="P370" s="467"/>
      <c r="Q370" s="448"/>
      <c r="R370" s="326"/>
      <c r="S370" s="496"/>
      <c r="T370" s="485"/>
      <c r="U370" s="485"/>
      <c r="V370" s="485"/>
      <c r="W370" s="485"/>
      <c r="X370" s="497"/>
      <c r="Y370" s="449"/>
      <c r="Z370" s="484"/>
      <c r="AA370" s="485"/>
      <c r="AB370" s="485"/>
      <c r="AC370" s="485"/>
      <c r="AD370" s="485"/>
      <c r="AE370" s="486"/>
      <c r="AF370" s="325"/>
      <c r="AG370" s="450"/>
      <c r="AH370" s="327"/>
    </row>
    <row r="371" spans="1:34" x14ac:dyDescent="0.25">
      <c r="A371" s="324"/>
      <c r="B371" s="325"/>
      <c r="C371" s="325"/>
      <c r="D371" s="326"/>
      <c r="E371" s="325"/>
      <c r="F371" s="325"/>
      <c r="G371" s="244"/>
      <c r="H371" s="417"/>
      <c r="I371" s="448"/>
      <c r="J371" s="325"/>
      <c r="K371" s="326"/>
      <c r="L371" s="326"/>
      <c r="M371" s="420"/>
      <c r="N371" s="465"/>
      <c r="O371" s="466"/>
      <c r="P371" s="467"/>
      <c r="Q371" s="448"/>
      <c r="R371" s="326"/>
      <c r="S371" s="496"/>
      <c r="T371" s="485"/>
      <c r="U371" s="485"/>
      <c r="V371" s="485"/>
      <c r="W371" s="485"/>
      <c r="X371" s="497"/>
      <c r="Y371" s="449"/>
      <c r="Z371" s="484"/>
      <c r="AA371" s="485"/>
      <c r="AB371" s="485"/>
      <c r="AC371" s="485"/>
      <c r="AD371" s="485"/>
      <c r="AE371" s="486"/>
      <c r="AF371" s="325"/>
      <c r="AG371" s="450"/>
      <c r="AH371" s="327"/>
    </row>
    <row r="372" spans="1:34" x14ac:dyDescent="0.25">
      <c r="A372" s="324"/>
      <c r="B372" s="325"/>
      <c r="C372" s="325"/>
      <c r="D372" s="326"/>
      <c r="E372" s="325"/>
      <c r="F372" s="325"/>
      <c r="G372" s="244"/>
      <c r="H372" s="417"/>
      <c r="I372" s="448"/>
      <c r="J372" s="325"/>
      <c r="K372" s="326"/>
      <c r="L372" s="326"/>
      <c r="M372" s="420"/>
      <c r="N372" s="465"/>
      <c r="O372" s="466"/>
      <c r="P372" s="467"/>
      <c r="Q372" s="448"/>
      <c r="R372" s="326"/>
      <c r="S372" s="496"/>
      <c r="T372" s="485"/>
      <c r="U372" s="485"/>
      <c r="V372" s="485"/>
      <c r="W372" s="485"/>
      <c r="X372" s="497"/>
      <c r="Y372" s="449"/>
      <c r="Z372" s="484"/>
      <c r="AA372" s="485"/>
      <c r="AB372" s="485"/>
      <c r="AC372" s="485"/>
      <c r="AD372" s="485"/>
      <c r="AE372" s="486"/>
      <c r="AF372" s="325"/>
      <c r="AG372" s="450"/>
      <c r="AH372" s="327"/>
    </row>
    <row r="373" spans="1:34" x14ac:dyDescent="0.25">
      <c r="A373" s="324"/>
      <c r="B373" s="325"/>
      <c r="C373" s="325"/>
      <c r="D373" s="326"/>
      <c r="E373" s="325"/>
      <c r="F373" s="325"/>
      <c r="G373" s="244"/>
      <c r="H373" s="417"/>
      <c r="I373" s="448"/>
      <c r="J373" s="325"/>
      <c r="K373" s="326"/>
      <c r="L373" s="326"/>
      <c r="M373" s="420"/>
      <c r="N373" s="465"/>
      <c r="O373" s="466"/>
      <c r="P373" s="467"/>
      <c r="Q373" s="448"/>
      <c r="R373" s="326"/>
      <c r="S373" s="496"/>
      <c r="T373" s="485"/>
      <c r="U373" s="485"/>
      <c r="V373" s="485"/>
      <c r="W373" s="485"/>
      <c r="X373" s="497"/>
      <c r="Y373" s="449"/>
      <c r="Z373" s="484"/>
      <c r="AA373" s="485"/>
      <c r="AB373" s="485"/>
      <c r="AC373" s="485"/>
      <c r="AD373" s="485"/>
      <c r="AE373" s="486"/>
      <c r="AF373" s="325"/>
      <c r="AG373" s="450"/>
      <c r="AH373" s="327"/>
    </row>
    <row r="374" spans="1:34" x14ac:dyDescent="0.25">
      <c r="A374" s="324"/>
      <c r="B374" s="325"/>
      <c r="C374" s="325"/>
      <c r="D374" s="326"/>
      <c r="E374" s="325"/>
      <c r="F374" s="325"/>
      <c r="G374" s="244"/>
      <c r="H374" s="417"/>
      <c r="I374" s="448"/>
      <c r="J374" s="325"/>
      <c r="K374" s="326"/>
      <c r="L374" s="326"/>
      <c r="M374" s="420"/>
      <c r="N374" s="465"/>
      <c r="O374" s="466"/>
      <c r="P374" s="467"/>
      <c r="Q374" s="448"/>
      <c r="R374" s="326"/>
      <c r="S374" s="496"/>
      <c r="T374" s="485"/>
      <c r="U374" s="485"/>
      <c r="V374" s="485"/>
      <c r="W374" s="485"/>
      <c r="X374" s="497"/>
      <c r="Y374" s="449"/>
      <c r="Z374" s="484"/>
      <c r="AA374" s="485"/>
      <c r="AB374" s="485"/>
      <c r="AC374" s="485"/>
      <c r="AD374" s="485"/>
      <c r="AE374" s="486"/>
      <c r="AF374" s="325"/>
      <c r="AG374" s="450"/>
      <c r="AH374" s="327"/>
    </row>
    <row r="375" spans="1:34" x14ac:dyDescent="0.25">
      <c r="A375" s="324"/>
      <c r="B375" s="325"/>
      <c r="C375" s="325"/>
      <c r="D375" s="326"/>
      <c r="E375" s="325"/>
      <c r="F375" s="325"/>
      <c r="G375" s="244"/>
      <c r="H375" s="417"/>
      <c r="I375" s="448"/>
      <c r="J375" s="325"/>
      <c r="K375" s="326"/>
      <c r="L375" s="326"/>
      <c r="M375" s="420"/>
      <c r="N375" s="465"/>
      <c r="O375" s="466"/>
      <c r="P375" s="467"/>
      <c r="Q375" s="448"/>
      <c r="R375" s="326"/>
      <c r="S375" s="496"/>
      <c r="T375" s="485"/>
      <c r="U375" s="485"/>
      <c r="V375" s="485"/>
      <c r="W375" s="485"/>
      <c r="X375" s="497"/>
      <c r="Y375" s="449"/>
      <c r="Z375" s="484"/>
      <c r="AA375" s="485"/>
      <c r="AB375" s="485"/>
      <c r="AC375" s="485"/>
      <c r="AD375" s="485"/>
      <c r="AE375" s="486"/>
      <c r="AF375" s="325"/>
      <c r="AG375" s="450"/>
      <c r="AH375" s="327"/>
    </row>
    <row r="376" spans="1:34" x14ac:dyDescent="0.25">
      <c r="A376" s="324"/>
      <c r="B376" s="325"/>
      <c r="C376" s="325"/>
      <c r="D376" s="326"/>
      <c r="E376" s="325"/>
      <c r="F376" s="325"/>
      <c r="G376" s="244"/>
      <c r="H376" s="417"/>
      <c r="I376" s="448"/>
      <c r="J376" s="325"/>
      <c r="K376" s="326"/>
      <c r="L376" s="326"/>
      <c r="M376" s="420"/>
      <c r="N376" s="465"/>
      <c r="O376" s="466"/>
      <c r="P376" s="467"/>
      <c r="Q376" s="448"/>
      <c r="R376" s="326"/>
      <c r="S376" s="496"/>
      <c r="T376" s="485"/>
      <c r="U376" s="485"/>
      <c r="V376" s="485"/>
      <c r="W376" s="485"/>
      <c r="X376" s="497"/>
      <c r="Y376" s="449"/>
      <c r="Z376" s="484"/>
      <c r="AA376" s="485"/>
      <c r="AB376" s="485"/>
      <c r="AC376" s="485"/>
      <c r="AD376" s="485"/>
      <c r="AE376" s="486"/>
      <c r="AF376" s="325"/>
      <c r="AG376" s="450"/>
      <c r="AH376" s="327"/>
    </row>
    <row r="377" spans="1:34" x14ac:dyDescent="0.25">
      <c r="A377" s="324"/>
      <c r="B377" s="325"/>
      <c r="C377" s="325"/>
      <c r="D377" s="326"/>
      <c r="E377" s="325"/>
      <c r="F377" s="325"/>
      <c r="G377" s="244"/>
      <c r="H377" s="417"/>
      <c r="I377" s="448"/>
      <c r="J377" s="325"/>
      <c r="K377" s="326"/>
      <c r="L377" s="326"/>
      <c r="M377" s="420"/>
      <c r="N377" s="465"/>
      <c r="O377" s="466"/>
      <c r="P377" s="467"/>
      <c r="Q377" s="448"/>
      <c r="R377" s="326"/>
      <c r="S377" s="496"/>
      <c r="T377" s="485"/>
      <c r="U377" s="485"/>
      <c r="V377" s="485"/>
      <c r="W377" s="485"/>
      <c r="X377" s="497"/>
      <c r="Y377" s="449"/>
      <c r="Z377" s="484"/>
      <c r="AA377" s="485"/>
      <c r="AB377" s="485"/>
      <c r="AC377" s="485"/>
      <c r="AD377" s="485"/>
      <c r="AE377" s="486"/>
      <c r="AF377" s="325"/>
      <c r="AG377" s="450"/>
      <c r="AH377" s="327"/>
    </row>
    <row r="378" spans="1:34" x14ac:dyDescent="0.25">
      <c r="A378" s="324"/>
      <c r="B378" s="325"/>
      <c r="C378" s="325"/>
      <c r="D378" s="326"/>
      <c r="E378" s="325"/>
      <c r="F378" s="325"/>
      <c r="G378" s="244"/>
      <c r="H378" s="417"/>
      <c r="I378" s="448"/>
      <c r="J378" s="325"/>
      <c r="K378" s="326"/>
      <c r="L378" s="326"/>
      <c r="M378" s="420"/>
      <c r="N378" s="465"/>
      <c r="O378" s="466"/>
      <c r="P378" s="467"/>
      <c r="Q378" s="448"/>
      <c r="R378" s="326"/>
      <c r="S378" s="496"/>
      <c r="T378" s="485"/>
      <c r="U378" s="485"/>
      <c r="V378" s="485"/>
      <c r="W378" s="485"/>
      <c r="X378" s="497"/>
      <c r="Y378" s="449"/>
      <c r="Z378" s="484"/>
      <c r="AA378" s="485"/>
      <c r="AB378" s="485"/>
      <c r="AC378" s="485"/>
      <c r="AD378" s="485"/>
      <c r="AE378" s="486"/>
      <c r="AF378" s="325"/>
      <c r="AG378" s="450"/>
      <c r="AH378" s="327"/>
    </row>
    <row r="379" spans="1:34" x14ac:dyDescent="0.25">
      <c r="A379" s="324"/>
      <c r="B379" s="325"/>
      <c r="C379" s="325"/>
      <c r="D379" s="326"/>
      <c r="E379" s="325"/>
      <c r="F379" s="325"/>
      <c r="G379" s="244"/>
      <c r="H379" s="417"/>
      <c r="I379" s="448"/>
      <c r="J379" s="325"/>
      <c r="K379" s="326"/>
      <c r="L379" s="326"/>
      <c r="M379" s="420"/>
      <c r="N379" s="465"/>
      <c r="O379" s="466"/>
      <c r="P379" s="467"/>
      <c r="Q379" s="448"/>
      <c r="R379" s="326"/>
      <c r="S379" s="496"/>
      <c r="T379" s="485"/>
      <c r="U379" s="485"/>
      <c r="V379" s="485"/>
      <c r="W379" s="485"/>
      <c r="X379" s="497"/>
      <c r="Y379" s="449"/>
      <c r="Z379" s="484"/>
      <c r="AA379" s="485"/>
      <c r="AB379" s="485"/>
      <c r="AC379" s="485"/>
      <c r="AD379" s="485"/>
      <c r="AE379" s="486"/>
      <c r="AF379" s="325"/>
      <c r="AG379" s="450"/>
      <c r="AH379" s="327"/>
    </row>
    <row r="380" spans="1:34" x14ac:dyDescent="0.25">
      <c r="A380" s="324"/>
      <c r="B380" s="325"/>
      <c r="C380" s="325"/>
      <c r="D380" s="326"/>
      <c r="E380" s="325"/>
      <c r="F380" s="325"/>
      <c r="G380" s="244"/>
      <c r="H380" s="417"/>
      <c r="I380" s="448"/>
      <c r="J380" s="325"/>
      <c r="K380" s="326"/>
      <c r="L380" s="326"/>
      <c r="M380" s="420"/>
      <c r="N380" s="465"/>
      <c r="O380" s="466"/>
      <c r="P380" s="467"/>
      <c r="Q380" s="448"/>
      <c r="R380" s="326"/>
      <c r="S380" s="496"/>
      <c r="T380" s="485"/>
      <c r="U380" s="485"/>
      <c r="V380" s="485"/>
      <c r="W380" s="485"/>
      <c r="X380" s="497"/>
      <c r="Y380" s="449"/>
      <c r="Z380" s="484"/>
      <c r="AA380" s="485"/>
      <c r="AB380" s="485"/>
      <c r="AC380" s="485"/>
      <c r="AD380" s="485"/>
      <c r="AE380" s="486"/>
      <c r="AF380" s="325"/>
      <c r="AG380" s="450"/>
      <c r="AH380" s="327"/>
    </row>
    <row r="381" spans="1:34" x14ac:dyDescent="0.25">
      <c r="A381" s="324"/>
      <c r="B381" s="325"/>
      <c r="C381" s="325"/>
      <c r="D381" s="326"/>
      <c r="E381" s="325"/>
      <c r="F381" s="325"/>
      <c r="G381" s="244"/>
      <c r="H381" s="417"/>
      <c r="I381" s="448"/>
      <c r="J381" s="325"/>
      <c r="K381" s="326"/>
      <c r="L381" s="326"/>
      <c r="M381" s="420"/>
      <c r="N381" s="465"/>
      <c r="O381" s="466"/>
      <c r="P381" s="467"/>
      <c r="Q381" s="448"/>
      <c r="R381" s="326"/>
      <c r="S381" s="496"/>
      <c r="T381" s="485"/>
      <c r="U381" s="485"/>
      <c r="V381" s="485"/>
      <c r="W381" s="485"/>
      <c r="X381" s="497"/>
      <c r="Y381" s="449"/>
      <c r="Z381" s="484"/>
      <c r="AA381" s="485"/>
      <c r="AB381" s="485"/>
      <c r="AC381" s="485"/>
      <c r="AD381" s="485"/>
      <c r="AE381" s="486"/>
      <c r="AF381" s="325"/>
      <c r="AG381" s="450"/>
      <c r="AH381" s="327"/>
    </row>
    <row r="382" spans="1:34" x14ac:dyDescent="0.25">
      <c r="A382" s="324"/>
      <c r="B382" s="325"/>
      <c r="C382" s="325"/>
      <c r="D382" s="326"/>
      <c r="E382" s="325"/>
      <c r="F382" s="325"/>
      <c r="G382" s="244"/>
      <c r="H382" s="417"/>
      <c r="I382" s="448"/>
      <c r="J382" s="325"/>
      <c r="K382" s="326"/>
      <c r="L382" s="326"/>
      <c r="M382" s="420"/>
      <c r="N382" s="465"/>
      <c r="O382" s="466"/>
      <c r="P382" s="467"/>
      <c r="Q382" s="448"/>
      <c r="R382" s="326"/>
      <c r="S382" s="496"/>
      <c r="T382" s="485"/>
      <c r="U382" s="485"/>
      <c r="V382" s="485"/>
      <c r="W382" s="485"/>
      <c r="X382" s="497"/>
      <c r="Y382" s="449"/>
      <c r="Z382" s="484"/>
      <c r="AA382" s="485"/>
      <c r="AB382" s="485"/>
      <c r="AC382" s="485"/>
      <c r="AD382" s="485"/>
      <c r="AE382" s="486"/>
      <c r="AF382" s="325"/>
      <c r="AG382" s="450"/>
      <c r="AH382" s="327"/>
    </row>
    <row r="383" spans="1:34" x14ac:dyDescent="0.25">
      <c r="A383" s="324"/>
      <c r="B383" s="325"/>
      <c r="C383" s="325"/>
      <c r="D383" s="326"/>
      <c r="E383" s="325"/>
      <c r="F383" s="325"/>
      <c r="G383" s="244"/>
      <c r="H383" s="417"/>
      <c r="I383" s="448"/>
      <c r="J383" s="325"/>
      <c r="K383" s="326"/>
      <c r="L383" s="326"/>
      <c r="M383" s="420"/>
      <c r="N383" s="465"/>
      <c r="O383" s="466"/>
      <c r="P383" s="467"/>
      <c r="Q383" s="448"/>
      <c r="R383" s="326"/>
      <c r="S383" s="496"/>
      <c r="T383" s="485"/>
      <c r="U383" s="485"/>
      <c r="V383" s="485"/>
      <c r="W383" s="485"/>
      <c r="X383" s="497"/>
      <c r="Y383" s="449"/>
      <c r="Z383" s="484"/>
      <c r="AA383" s="485"/>
      <c r="AB383" s="485"/>
      <c r="AC383" s="485"/>
      <c r="AD383" s="485"/>
      <c r="AE383" s="486"/>
      <c r="AF383" s="325"/>
      <c r="AG383" s="450"/>
      <c r="AH383" s="327"/>
    </row>
    <row r="384" spans="1:34" x14ac:dyDescent="0.25">
      <c r="A384" s="324"/>
      <c r="B384" s="325"/>
      <c r="C384" s="325"/>
      <c r="D384" s="326"/>
      <c r="E384" s="325"/>
      <c r="F384" s="325"/>
      <c r="G384" s="244"/>
      <c r="H384" s="417"/>
      <c r="I384" s="448"/>
      <c r="J384" s="325"/>
      <c r="K384" s="326"/>
      <c r="L384" s="326"/>
      <c r="M384" s="420"/>
      <c r="N384" s="465"/>
      <c r="O384" s="466"/>
      <c r="P384" s="467"/>
      <c r="Q384" s="448"/>
      <c r="R384" s="326"/>
      <c r="S384" s="496"/>
      <c r="T384" s="485"/>
      <c r="U384" s="485"/>
      <c r="V384" s="485"/>
      <c r="W384" s="485"/>
      <c r="X384" s="497"/>
      <c r="Y384" s="449"/>
      <c r="Z384" s="484"/>
      <c r="AA384" s="485"/>
      <c r="AB384" s="485"/>
      <c r="AC384" s="485"/>
      <c r="AD384" s="485"/>
      <c r="AE384" s="486"/>
      <c r="AF384" s="325"/>
      <c r="AG384" s="450"/>
      <c r="AH384" s="327"/>
    </row>
    <row r="385" spans="1:34" x14ac:dyDescent="0.25">
      <c r="A385" s="324"/>
      <c r="B385" s="325"/>
      <c r="C385" s="325"/>
      <c r="D385" s="326"/>
      <c r="E385" s="325"/>
      <c r="F385" s="325"/>
      <c r="G385" s="244"/>
      <c r="H385" s="417"/>
      <c r="I385" s="448"/>
      <c r="J385" s="325"/>
      <c r="K385" s="326"/>
      <c r="L385" s="326"/>
      <c r="M385" s="420"/>
      <c r="N385" s="465"/>
      <c r="O385" s="466"/>
      <c r="P385" s="467"/>
      <c r="Q385" s="448"/>
      <c r="R385" s="326"/>
      <c r="S385" s="496"/>
      <c r="T385" s="485"/>
      <c r="U385" s="485"/>
      <c r="V385" s="485"/>
      <c r="W385" s="485"/>
      <c r="X385" s="497"/>
      <c r="Y385" s="449"/>
      <c r="Z385" s="484"/>
      <c r="AA385" s="485"/>
      <c r="AB385" s="485"/>
      <c r="AC385" s="485"/>
      <c r="AD385" s="485"/>
      <c r="AE385" s="486"/>
      <c r="AF385" s="325"/>
      <c r="AG385" s="450"/>
      <c r="AH385" s="327"/>
    </row>
    <row r="386" spans="1:34" x14ac:dyDescent="0.25">
      <c r="A386" s="324"/>
      <c r="B386" s="325"/>
      <c r="C386" s="325"/>
      <c r="D386" s="326"/>
      <c r="E386" s="325"/>
      <c r="F386" s="325"/>
      <c r="G386" s="244"/>
      <c r="H386" s="417"/>
      <c r="I386" s="448"/>
      <c r="J386" s="325"/>
      <c r="K386" s="326"/>
      <c r="L386" s="326"/>
      <c r="M386" s="420"/>
      <c r="N386" s="465"/>
      <c r="O386" s="466"/>
      <c r="P386" s="467"/>
      <c r="Q386" s="448"/>
      <c r="R386" s="326"/>
      <c r="S386" s="496"/>
      <c r="T386" s="485"/>
      <c r="U386" s="485"/>
      <c r="V386" s="485"/>
      <c r="W386" s="485"/>
      <c r="X386" s="497"/>
      <c r="Y386" s="449"/>
      <c r="Z386" s="484"/>
      <c r="AA386" s="485"/>
      <c r="AB386" s="485"/>
      <c r="AC386" s="485"/>
      <c r="AD386" s="485"/>
      <c r="AE386" s="486"/>
      <c r="AF386" s="325"/>
      <c r="AG386" s="450"/>
      <c r="AH386" s="327"/>
    </row>
    <row r="387" spans="1:34" x14ac:dyDescent="0.25">
      <c r="A387" s="324"/>
      <c r="B387" s="325"/>
      <c r="C387" s="325"/>
      <c r="D387" s="326"/>
      <c r="E387" s="325"/>
      <c r="F387" s="325"/>
      <c r="G387" s="244"/>
      <c r="H387" s="417"/>
      <c r="I387" s="448"/>
      <c r="J387" s="325"/>
      <c r="K387" s="326"/>
      <c r="L387" s="326"/>
      <c r="M387" s="420"/>
      <c r="N387" s="465"/>
      <c r="O387" s="466"/>
      <c r="P387" s="467"/>
      <c r="Q387" s="448"/>
      <c r="R387" s="326"/>
      <c r="S387" s="496"/>
      <c r="T387" s="485"/>
      <c r="U387" s="485"/>
      <c r="V387" s="485"/>
      <c r="W387" s="485"/>
      <c r="X387" s="497"/>
      <c r="Y387" s="449"/>
      <c r="Z387" s="484"/>
      <c r="AA387" s="485"/>
      <c r="AB387" s="485"/>
      <c r="AC387" s="485"/>
      <c r="AD387" s="485"/>
      <c r="AE387" s="486"/>
      <c r="AF387" s="325"/>
      <c r="AG387" s="450"/>
      <c r="AH387" s="327"/>
    </row>
    <row r="388" spans="1:34" x14ac:dyDescent="0.25">
      <c r="A388" s="368"/>
      <c r="B388" s="369"/>
      <c r="C388" s="369"/>
      <c r="D388" s="370"/>
      <c r="E388" s="369"/>
      <c r="F388" s="369"/>
      <c r="G388" s="370"/>
      <c r="H388" s="418"/>
      <c r="I388" s="574"/>
      <c r="J388" s="369"/>
      <c r="K388" s="369"/>
      <c r="L388" s="371"/>
      <c r="M388" s="372"/>
      <c r="N388" s="468"/>
      <c r="O388" s="469"/>
      <c r="P388" s="467"/>
      <c r="Q388" s="378"/>
      <c r="R388" s="379"/>
      <c r="S388" s="498"/>
      <c r="T388" s="499"/>
      <c r="U388" s="499"/>
      <c r="V388" s="499"/>
      <c r="W388" s="499"/>
      <c r="X388" s="500"/>
      <c r="Y388" s="380"/>
      <c r="Z388" s="487"/>
      <c r="AA388" s="488"/>
      <c r="AB388" s="488"/>
      <c r="AC388" s="488"/>
      <c r="AD388" s="488"/>
      <c r="AE388" s="489"/>
      <c r="AF388" s="384"/>
      <c r="AG388" s="384"/>
      <c r="AH388" s="388"/>
    </row>
    <row r="389" spans="1:34" x14ac:dyDescent="0.25">
      <c r="A389" s="368"/>
      <c r="B389" s="369"/>
      <c r="C389" s="369"/>
      <c r="D389" s="370"/>
      <c r="E389" s="369"/>
      <c r="F389" s="369"/>
      <c r="G389" s="370"/>
      <c r="H389" s="418"/>
      <c r="I389" s="574"/>
      <c r="J389" s="369"/>
      <c r="K389" s="369"/>
      <c r="L389" s="371"/>
      <c r="M389" s="372"/>
      <c r="N389" s="468"/>
      <c r="O389" s="469"/>
      <c r="P389" s="467"/>
      <c r="Q389" s="378"/>
      <c r="R389" s="379"/>
      <c r="S389" s="498"/>
      <c r="T389" s="499"/>
      <c r="U389" s="499"/>
      <c r="V389" s="499"/>
      <c r="W389" s="499"/>
      <c r="X389" s="500"/>
      <c r="Y389" s="380"/>
      <c r="Z389" s="487"/>
      <c r="AA389" s="488"/>
      <c r="AB389" s="488"/>
      <c r="AC389" s="488"/>
      <c r="AD389" s="488"/>
      <c r="AE389" s="489"/>
      <c r="AF389" s="384"/>
      <c r="AG389" s="384"/>
      <c r="AH389" s="388"/>
    </row>
    <row r="390" spans="1:34" ht="15.75" thickBot="1" x14ac:dyDescent="0.3">
      <c r="A390" s="373"/>
      <c r="B390" s="374"/>
      <c r="C390" s="374"/>
      <c r="D390" s="375"/>
      <c r="E390" s="374"/>
      <c r="F390" s="374"/>
      <c r="G390" s="375"/>
      <c r="H390" s="419"/>
      <c r="I390" s="574"/>
      <c r="J390" s="374"/>
      <c r="K390" s="374"/>
      <c r="L390" s="376"/>
      <c r="M390" s="377"/>
      <c r="N390" s="470"/>
      <c r="O390" s="471"/>
      <c r="P390" s="472"/>
      <c r="Q390" s="381"/>
      <c r="R390" s="382"/>
      <c r="S390" s="501"/>
      <c r="T390" s="502"/>
      <c r="U390" s="502"/>
      <c r="V390" s="502"/>
      <c r="W390" s="502"/>
      <c r="X390" s="503"/>
      <c r="Y390" s="383"/>
      <c r="Z390" s="490"/>
      <c r="AA390" s="491"/>
      <c r="AB390" s="491"/>
      <c r="AC390" s="491"/>
      <c r="AD390" s="491"/>
      <c r="AE390" s="492"/>
      <c r="AF390" s="385"/>
      <c r="AG390" s="385"/>
      <c r="AH390" s="389"/>
    </row>
    <row r="391" spans="1:34" x14ac:dyDescent="0.25">
      <c r="A391" s="651" t="s">
        <v>553</v>
      </c>
      <c r="B391" s="652"/>
      <c r="C391" s="652"/>
      <c r="D391" s="652"/>
      <c r="E391" s="652"/>
      <c r="F391" s="652"/>
      <c r="G391" s="652"/>
      <c r="H391" s="652"/>
      <c r="I391" s="652"/>
      <c r="J391" s="652"/>
      <c r="K391" s="652"/>
      <c r="L391" s="652"/>
      <c r="M391" s="652"/>
      <c r="N391" s="652"/>
      <c r="O391" s="652"/>
      <c r="P391" s="652"/>
      <c r="Q391" s="652"/>
      <c r="R391" s="652"/>
      <c r="S391" s="652"/>
      <c r="T391" s="652"/>
      <c r="U391" s="652"/>
      <c r="V391" s="652"/>
      <c r="W391" s="652"/>
      <c r="X391" s="652"/>
      <c r="Y391" s="652"/>
      <c r="Z391" s="652"/>
      <c r="AA391" s="652"/>
      <c r="AB391" s="652"/>
      <c r="AC391" s="652"/>
      <c r="AD391" s="652"/>
      <c r="AE391" s="652"/>
      <c r="AF391" s="652"/>
      <c r="AG391" s="652"/>
      <c r="AH391" s="653"/>
    </row>
    <row r="392" spans="1:34" ht="15.75" thickBot="1" x14ac:dyDescent="0.3">
      <c r="A392" s="654"/>
      <c r="B392" s="655"/>
      <c r="C392" s="655"/>
      <c r="D392" s="655"/>
      <c r="E392" s="655"/>
      <c r="F392" s="655"/>
      <c r="G392" s="655"/>
      <c r="H392" s="655"/>
      <c r="I392" s="655"/>
      <c r="J392" s="655"/>
      <c r="K392" s="655"/>
      <c r="L392" s="655"/>
      <c r="M392" s="655"/>
      <c r="N392" s="655"/>
      <c r="O392" s="655"/>
      <c r="P392" s="655"/>
      <c r="Q392" s="655"/>
      <c r="R392" s="655"/>
      <c r="S392" s="655"/>
      <c r="T392" s="655"/>
      <c r="U392" s="655"/>
      <c r="V392" s="655"/>
      <c r="W392" s="655"/>
      <c r="X392" s="655"/>
      <c r="Y392" s="655"/>
      <c r="Z392" s="655"/>
      <c r="AA392" s="655"/>
      <c r="AB392" s="655"/>
      <c r="AC392" s="655"/>
      <c r="AD392" s="655"/>
      <c r="AE392" s="655"/>
      <c r="AF392" s="655"/>
      <c r="AG392" s="655"/>
      <c r="AH392" s="656"/>
    </row>
    <row r="393" spans="1:34" ht="19.5" thickBot="1" x14ac:dyDescent="0.3">
      <c r="A393" s="661" t="s">
        <v>302</v>
      </c>
      <c r="B393" s="662"/>
      <c r="C393" s="662"/>
      <c r="D393" s="662"/>
      <c r="E393" s="662"/>
      <c r="F393" s="662"/>
      <c r="G393" s="662"/>
      <c r="H393" s="662"/>
      <c r="I393" s="662"/>
      <c r="J393" s="663"/>
      <c r="K393" s="401">
        <f>SUM(K6:K390)</f>
        <v>253</v>
      </c>
      <c r="L393" s="401">
        <f>SUM(L6:L390)</f>
        <v>718</v>
      </c>
      <c r="M393" s="402"/>
      <c r="N393" s="473">
        <f>SUMPRODUCT(K6:K390,N6:N390)/K393</f>
        <v>1</v>
      </c>
      <c r="O393" s="474">
        <f>SUM(O6:O390)</f>
        <v>707.09999999999991</v>
      </c>
      <c r="P393" s="475">
        <f>SUMPRODUCT(K6:K390,P6:P390)/K393</f>
        <v>0.96620553359683803</v>
      </c>
      <c r="Q393" s="403"/>
      <c r="R393" s="404">
        <f>SUM(R6:R390)</f>
        <v>535</v>
      </c>
      <c r="S393" s="476">
        <f>SUM(S6:S390)</f>
        <v>450</v>
      </c>
      <c r="T393" s="476">
        <f>SUM(T6:T390)</f>
        <v>438</v>
      </c>
      <c r="U393" s="404">
        <f t="shared" ref="U393:W393" si="34">SUM(U6:U390)</f>
        <v>0</v>
      </c>
      <c r="V393" s="404">
        <f t="shared" si="34"/>
        <v>12</v>
      </c>
      <c r="W393" s="404">
        <f t="shared" si="34"/>
        <v>0</v>
      </c>
      <c r="X393" s="477">
        <f>IF((R393=1),0,((T393+U393)/R393*100%))</f>
        <v>0.81869158878504678</v>
      </c>
      <c r="Y393" s="405"/>
      <c r="Z393" s="478">
        <f>SUM(Z6:Z390)</f>
        <v>240</v>
      </c>
      <c r="AA393" s="479">
        <f>SUM(AA6:AA390)</f>
        <v>238</v>
      </c>
      <c r="AB393" s="479">
        <f>SUM(AB6:AB390)</f>
        <v>0</v>
      </c>
      <c r="AC393" s="479">
        <f>SUM(AC6:AC390)</f>
        <v>2</v>
      </c>
      <c r="AD393" s="479">
        <f>SUM(AD6:AD390)</f>
        <v>0</v>
      </c>
      <c r="AE393" s="480">
        <f>IF((L393=0),1,((AA393+AB393)/L393*100%))</f>
        <v>0.33147632311977715</v>
      </c>
      <c r="AF393" s="406"/>
      <c r="AG393" s="406"/>
      <c r="AH393" s="407"/>
    </row>
    <row r="395" spans="1:34" x14ac:dyDescent="0.25">
      <c r="L395" s="170" t="s">
        <v>554</v>
      </c>
    </row>
  </sheetData>
  <sheetProtection insertColumns="0" insertRows="0" deleteRows="0" sort="0"/>
  <autoFilter ref="A5:AH393" xr:uid="{00000000-0009-0000-0000-000002000000}"/>
  <mergeCells count="9">
    <mergeCell ref="A391:AH392"/>
    <mergeCell ref="A1:AH1"/>
    <mergeCell ref="A3:AH3"/>
    <mergeCell ref="A2:J2"/>
    <mergeCell ref="A393:J39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 ref="Y89" r:id="rId9" display="https://ontrack-internal.amd.com/browse/DIAG-19897_x000a_Thread trace related can only be verified in gopher and using thread trace viewer._x000a_There are a few perf counters that are not tested but the test is avaliable._x000a_SQ_PERF_SEL_INSTS_LOCK_x000a_SQ_PERF_SEL_INST_CYCLES_VALU_WMMA_x000a_SQ_PERF_SEL_INSTS_VEC32_VALU_WMMA_x000a_SQ_PERF_SEL_INSTS_WMMA_LOAD_x000a_SQ_PERF_SEL_INSTS_TEX_BLOCK_LOAD_x000a_SQ_PERF_SEL_INSTS_TEX_BLOCK_STORE" xr:uid="{B5C7CA65-B861-45E0-A176-9894065524A8}"/>
  </hyperlinks>
  <pageMargins left="0.7" right="0.7" top="0.75" bottom="0.75" header="0.3" footer="0.3"/>
  <pageSetup orientation="portrait" r:id="rId10"/>
  <headerFooter>
    <oddHeader>&amp;L&amp;"Arial"&amp;10&amp;K0000FF[AMD Official Use Only]&amp;1#</oddHeader>
  </headerFooter>
  <legacyDrawing r:id="rId11"/>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77" t="s">
        <v>555</v>
      </c>
      <c r="B1" s="678"/>
      <c r="C1" s="678"/>
      <c r="D1" s="678"/>
      <c r="E1" s="678"/>
      <c r="F1" s="678"/>
      <c r="G1" s="678"/>
      <c r="H1" s="678"/>
      <c r="I1" s="678"/>
      <c r="J1" s="678"/>
      <c r="K1" s="678"/>
      <c r="L1" s="678"/>
      <c r="M1" s="678"/>
      <c r="N1" s="678"/>
      <c r="O1" s="678"/>
      <c r="P1" s="678"/>
      <c r="Q1" s="678"/>
      <c r="R1" s="678"/>
      <c r="S1" s="678"/>
      <c r="T1" s="678"/>
      <c r="U1" s="678"/>
      <c r="V1" s="679"/>
    </row>
    <row r="2" spans="1:22" ht="15.75" thickBot="1" x14ac:dyDescent="0.3">
      <c r="A2" s="219" t="s">
        <v>556</v>
      </c>
      <c r="B2" s="680" t="s">
        <v>166</v>
      </c>
      <c r="C2" s="680"/>
      <c r="D2" s="680"/>
      <c r="E2" s="680"/>
      <c r="F2" s="680"/>
      <c r="G2" s="681" t="s">
        <v>177</v>
      </c>
      <c r="H2" s="682"/>
      <c r="I2" s="682"/>
      <c r="J2" s="682"/>
      <c r="K2" s="682"/>
      <c r="L2" s="682"/>
      <c r="M2" s="682"/>
      <c r="N2" s="683"/>
      <c r="O2" s="684" t="s">
        <v>144</v>
      </c>
      <c r="P2" s="685"/>
      <c r="Q2" s="685"/>
      <c r="R2" s="685"/>
      <c r="S2" s="685"/>
      <c r="T2" s="685"/>
      <c r="U2" s="685"/>
      <c r="V2" s="686"/>
    </row>
    <row r="3" spans="1:22" s="252" customFormat="1" ht="30.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6" t="s">
        <v>557</v>
      </c>
      <c r="B4" s="253">
        <f>SUMIFS('Diags Raw Data'!$L$6:$L$5007,'Diags Raw Data'!$D$6:$D$5007,$A4)</f>
        <v>88</v>
      </c>
      <c r="C4" s="243">
        <f>SUMIFS('Diags Raw Data'!$R$6:$R$5007,'Diags Raw Data'!$D$6:$D$5007,$A4)</f>
        <v>60</v>
      </c>
      <c r="D4" s="243">
        <f>SUMIFS('Diags Raw Data'!$K$6:$K$5007,'Diags Raw Data'!$D$6:$D$5007,$A4)</f>
        <v>48</v>
      </c>
      <c r="E4" s="243">
        <f>SUMIFS('Diags Raw Data'!$O$6:$O$5007,'Diags Raw Data'!$D$6:$D$5007,$A4)</f>
        <v>87</v>
      </c>
      <c r="F4" s="249">
        <f>IF(NOT($B4=0), E4/$B4, "---")</f>
        <v>0.98863636363636365</v>
      </c>
      <c r="G4" s="221">
        <f>SUMIFS('Diags Raw Data'!$S$6:$S$5007,'Diags Raw Data'!$D$6:$D$5007,$A4)</f>
        <v>46</v>
      </c>
      <c r="H4" s="222">
        <f>SUMIFS('Diags Raw Data'!$T$6:$T$5007,'Diags Raw Data'!$D$6:$D$5007,$A4)</f>
        <v>46</v>
      </c>
      <c r="I4" s="224">
        <f>SUMIFS('Diags Raw Data'!$U$6:$U$5007,'Diags Raw Data'!$D$6:$D$5007,$A4)</f>
        <v>0</v>
      </c>
      <c r="J4" s="222">
        <f>SUMIFS('Diags Raw Data'!$V$6:$V$5007,'Diags Raw Data'!$D$6:$D$5007,$A4)</f>
        <v>0</v>
      </c>
      <c r="K4" s="224">
        <f>SUMIFS('Diags Raw Data'!$W$6:$W$5007,'Diags Raw Data'!$D$6:$D$5007,$A4)</f>
        <v>0</v>
      </c>
      <c r="L4" s="223">
        <f>IF(NOT($C4=0), G4/$C4, "---")</f>
        <v>0.76666666666666672</v>
      </c>
      <c r="M4" s="225">
        <f>IF(NOT($G4=0), (H4+I4)/$G4, "---")</f>
        <v>1</v>
      </c>
      <c r="N4" s="227">
        <f>IF(NOT($C4=0), (H4+I4)/$C4, "---")</f>
        <v>0.76666666666666672</v>
      </c>
      <c r="O4" s="214">
        <f>SUMIFS('Diags Raw Data'!$Z$6:$Z$5007,'Diags Raw Data'!$D$6:$D$5007,$A4)</f>
        <v>8</v>
      </c>
      <c r="P4" s="211">
        <f>SUMIFS('Diags Raw Data'!$AA$6:$AA$5007,'Diags Raw Data'!$D$6:$D$5007,$A4)</f>
        <v>8</v>
      </c>
      <c r="Q4" s="213">
        <f>SUMIFS('Diags Raw Data'!$AB$6:$AB$5007,'Diags Raw Data'!$D$6:$D$5007,$A4)</f>
        <v>0</v>
      </c>
      <c r="R4" s="211">
        <f>SUMIFS('Diags Raw Data'!$AC$6:$AC$5007,'Diags Raw Data'!$D$6:$D$5007,$A4)</f>
        <v>0</v>
      </c>
      <c r="S4" s="213">
        <f>SUMIFS('Diags Raw Data'!$AD$6:$AD$5007,'Diags Raw Data'!$D$6:$D$5007,$A4)</f>
        <v>0</v>
      </c>
      <c r="T4" s="212">
        <f>IF(NOT($B4=0), O4/$B4, "---")</f>
        <v>9.0909090909090912E-2</v>
      </c>
      <c r="U4" s="226">
        <f>IF(NOT($O4=0), (P4+Q4)/$O4, "---")</f>
        <v>1</v>
      </c>
      <c r="V4" s="242">
        <f>IF(NOT($B4=0), (P4+Q4)/$B4, "---")</f>
        <v>9.0909090909090912E-2</v>
      </c>
    </row>
    <row r="5" spans="1:22" x14ac:dyDescent="0.25">
      <c r="A5" s="336" t="s">
        <v>558</v>
      </c>
      <c r="B5" s="254">
        <f>SUMIFS('Diags Raw Data'!$L$6:$L$5007,'Diags Raw Data'!$D$6:$D$5007,$A5)</f>
        <v>33</v>
      </c>
      <c r="C5" s="244">
        <f>SUMIFS('Diags Raw Data'!$R$6:$R$5007,'Diags Raw Data'!$D$6:$D$5007,$A5)</f>
        <v>31</v>
      </c>
      <c r="D5" s="244">
        <f>SUMIFS('Diags Raw Data'!$K$6:$K$5007,'Diags Raw Data'!$D$6:$D$5007,$A5)</f>
        <v>60</v>
      </c>
      <c r="E5" s="244">
        <f>SUMIFS('Diags Raw Data'!$O$6:$O$5007,'Diags Raw Data'!$D$6:$D$5007,$A5)</f>
        <v>28</v>
      </c>
      <c r="F5" s="250">
        <f t="shared" ref="F5:F12" si="0">IF(NOT($B5=0), E5/$B5, "---")</f>
        <v>0.84848484848484851</v>
      </c>
      <c r="G5" s="232">
        <f>SUMIFS('Diags Raw Data'!$S$6:$S$5007,'Diags Raw Data'!$D$6:$D$5007,$A5)</f>
        <v>18</v>
      </c>
      <c r="H5" s="228">
        <f>SUMIFS('Diags Raw Data'!$T$6:$T$5007,'Diags Raw Data'!$D$6:$D$5007,$A5)</f>
        <v>14</v>
      </c>
      <c r="I5" s="229">
        <f>SUMIFS('Diags Raw Data'!$U$6:$U$5007,'Diags Raw Data'!$D$6:$D$5007,$A5)</f>
        <v>0</v>
      </c>
      <c r="J5" s="228">
        <f>SUMIFS('Diags Raw Data'!$V$6:$V$5007,'Diags Raw Data'!$D$6:$D$5007,$A5)</f>
        <v>4</v>
      </c>
      <c r="K5" s="229">
        <f>SUMIFS('Diags Raw Data'!$W$6:$W$5007,'Diags Raw Data'!$D$6:$D$5007,$A5)</f>
        <v>0</v>
      </c>
      <c r="L5" s="245">
        <f t="shared" ref="L5:L13" si="1">IF(NOT($C5=0), G5/$C5, "---")</f>
        <v>0.58064516129032262</v>
      </c>
      <c r="M5" s="230">
        <f t="shared" ref="M5:M13" si="2">IF(NOT($G5=0), (H5+I5)/$G5, "---")</f>
        <v>0.77777777777777779</v>
      </c>
      <c r="N5" s="239">
        <f t="shared" ref="N5:N12" si="3">IF(NOT($C5=0), (H5+I5)/$C5, "---")</f>
        <v>0.45161290322580644</v>
      </c>
      <c r="O5" s="215">
        <f>SUMIFS('Diags Raw Data'!$Z$6:$Z$5007,'Diags Raw Data'!$D$6:$D$5007,$A5)</f>
        <v>11</v>
      </c>
      <c r="P5" s="205">
        <f>SUMIFS('Diags Raw Data'!$AA$6:$AA$5007,'Diags Raw Data'!$D$6:$D$5007,$A5)</f>
        <v>9</v>
      </c>
      <c r="Q5" s="207">
        <f>SUMIFS('Diags Raw Data'!$AB$6:$AB$5007,'Diags Raw Data'!$D$6:$D$5007,$A5)</f>
        <v>0</v>
      </c>
      <c r="R5" s="205">
        <f>SUMIFS('Diags Raw Data'!$AC$6:$AC$5007,'Diags Raw Data'!$D$6:$D$5007,$A5)</f>
        <v>2</v>
      </c>
      <c r="S5" s="207">
        <f>SUMIFS('Diags Raw Data'!$AD$6:$AD$5007,'Diags Raw Data'!$D$6:$D$5007,$A5)</f>
        <v>0</v>
      </c>
      <c r="T5" s="206">
        <f t="shared" ref="T5:T13" si="4">IF(NOT($B5=0), O5/$B5, "---")</f>
        <v>0.33333333333333331</v>
      </c>
      <c r="U5" s="231">
        <f t="shared" ref="U5:U8" si="5">IF(NOT($O5=0), (P5+Q5)/$O5, "---")</f>
        <v>0.81818181818181823</v>
      </c>
      <c r="V5" s="233">
        <f t="shared" ref="V5:V13" si="6">IF(NOT($B5=0), (P5+Q5)/$B5, "---")</f>
        <v>0.27272727272727271</v>
      </c>
    </row>
    <row r="6" spans="1:22" x14ac:dyDescent="0.25">
      <c r="A6" s="336" t="s">
        <v>559</v>
      </c>
      <c r="B6" s="254">
        <f>SUMIFS('Diags Raw Data'!$L$6:$L$5007,'Diags Raw Data'!$D$6:$D$5007,$A6)</f>
        <v>9</v>
      </c>
      <c r="C6" s="244">
        <f>SUMIFS('Diags Raw Data'!$R$6:$R$5007,'Diags Raw Data'!$D$6:$D$5007,$A6)</f>
        <v>10</v>
      </c>
      <c r="D6" s="244">
        <f>SUMIFS('Diags Raw Data'!$K$6:$K$5007,'Diags Raw Data'!$D$6:$D$5007,$A6)</f>
        <v>10</v>
      </c>
      <c r="E6" s="244">
        <f>SUMIFS('Diags Raw Data'!$O$6:$O$5007,'Diags Raw Data'!$D$6:$D$5007,$A6)</f>
        <v>8.5</v>
      </c>
      <c r="F6" s="250">
        <f t="shared" si="0"/>
        <v>0.94444444444444442</v>
      </c>
      <c r="G6" s="232">
        <f>SUMIFS('Diags Raw Data'!$S$6:$S$5007,'Diags Raw Data'!$D$6:$D$5007,$A6)</f>
        <v>8</v>
      </c>
      <c r="H6" s="228">
        <f>SUMIFS('Diags Raw Data'!$T$6:$T$5007,'Diags Raw Data'!$D$6:$D$5007,$A6)</f>
        <v>7</v>
      </c>
      <c r="I6" s="229">
        <f>SUMIFS('Diags Raw Data'!$U$6:$U$5007,'Diags Raw Data'!$D$6:$D$5007,$A6)</f>
        <v>0</v>
      </c>
      <c r="J6" s="228">
        <f>SUMIFS('Diags Raw Data'!$V$6:$V$5007,'Diags Raw Data'!$D$6:$D$5007,$A6)</f>
        <v>1</v>
      </c>
      <c r="K6" s="229">
        <f>SUMIFS('Diags Raw Data'!$W$6:$W$5007,'Diags Raw Data'!$D$6:$D$5007,$A6)</f>
        <v>0</v>
      </c>
      <c r="L6" s="245">
        <f t="shared" si="1"/>
        <v>0.8</v>
      </c>
      <c r="M6" s="230">
        <f t="shared" si="2"/>
        <v>0.875</v>
      </c>
      <c r="N6" s="239">
        <f t="shared" si="3"/>
        <v>0.7</v>
      </c>
      <c r="O6" s="215">
        <f>SUMIFS('Diags Raw Data'!$Z$6:$Z$5007,'Diags Raw Data'!$D$6:$D$5007,$A6)</f>
        <v>0</v>
      </c>
      <c r="P6" s="205">
        <f>SUMIFS('Diags Raw Data'!$AA$6:$AA$5007,'Diags Raw Data'!$D$6:$D$5007,$A6)</f>
        <v>0</v>
      </c>
      <c r="Q6" s="207">
        <f>SUMIFS('Diags Raw Data'!$AB$6:$AB$5007,'Diags Raw Data'!$D$6:$D$5007,$A6)</f>
        <v>0</v>
      </c>
      <c r="R6" s="205">
        <f>SUMIFS('Diags Raw Data'!$AC$6:$AC$5007,'Diags Raw Data'!$D$6:$D$5007,$A6)</f>
        <v>0</v>
      </c>
      <c r="S6" s="207">
        <f>SUMIFS('Diags Raw Data'!$AD$6:$AD$5007,'Diags Raw Data'!$D$6:$D$5007,$A6)</f>
        <v>0</v>
      </c>
      <c r="T6" s="206">
        <f t="shared" si="4"/>
        <v>0</v>
      </c>
      <c r="U6" s="231" t="str">
        <f t="shared" si="5"/>
        <v>---</v>
      </c>
      <c r="V6" s="233">
        <f t="shared" si="6"/>
        <v>0</v>
      </c>
    </row>
    <row r="7" spans="1:22" x14ac:dyDescent="0.25">
      <c r="A7" s="336" t="s">
        <v>560</v>
      </c>
      <c r="B7" s="254">
        <f>SUMIFS('Diags Raw Data'!$L$6:$L$5007,'Diags Raw Data'!$D$6:$D$5007,$A7)</f>
        <v>17</v>
      </c>
      <c r="C7" s="244">
        <f>SUMIFS('Diags Raw Data'!$R$6:$R$5007,'Diags Raw Data'!$D$6:$D$5007,$A7)</f>
        <v>15</v>
      </c>
      <c r="D7" s="244">
        <f>SUMIFS('Diags Raw Data'!$K$6:$K$5007,'Diags Raw Data'!$D$6:$D$5007,$A7)</f>
        <v>13</v>
      </c>
      <c r="E7" s="244">
        <f>SUMIFS('Diags Raw Data'!$O$6:$O$5007,'Diags Raw Data'!$D$6:$D$5007,$A7)</f>
        <v>17</v>
      </c>
      <c r="F7" s="250">
        <f t="shared" si="0"/>
        <v>1</v>
      </c>
      <c r="G7" s="232">
        <f>SUMIFS('Diags Raw Data'!$S$6:$S$5007,'Diags Raw Data'!$D$6:$D$5007,$A7)</f>
        <v>14</v>
      </c>
      <c r="H7" s="228">
        <f>SUMIFS('Diags Raw Data'!$T$6:$T$5007,'Diags Raw Data'!$D$6:$D$5007,$A7)</f>
        <v>12</v>
      </c>
      <c r="I7" s="229">
        <f>SUMIFS('Diags Raw Data'!$U$6:$U$5007,'Diags Raw Data'!$D$6:$D$5007,$A7)</f>
        <v>0</v>
      </c>
      <c r="J7" s="228">
        <f>SUMIFS('Diags Raw Data'!$V$6:$V$5007,'Diags Raw Data'!$D$6:$D$5007,$A7)</f>
        <v>2</v>
      </c>
      <c r="K7" s="229">
        <f>SUMIFS('Diags Raw Data'!$W$6:$W$5007,'Diags Raw Data'!$D$6:$D$5007,$A7)</f>
        <v>0</v>
      </c>
      <c r="L7" s="245">
        <f t="shared" si="1"/>
        <v>0.93333333333333335</v>
      </c>
      <c r="M7" s="230">
        <f t="shared" si="2"/>
        <v>0.8571428571428571</v>
      </c>
      <c r="N7" s="239">
        <f t="shared" si="3"/>
        <v>0.8</v>
      </c>
      <c r="O7" s="215">
        <f>SUMIFS('Diags Raw Data'!$Z$6:$Z$5007,'Diags Raw Data'!$D$6:$D$5007,$A7)</f>
        <v>5</v>
      </c>
      <c r="P7" s="205">
        <f>SUMIFS('Diags Raw Data'!$AA$6:$AA$5007,'Diags Raw Data'!$D$6:$D$5007,$A7)</f>
        <v>5</v>
      </c>
      <c r="Q7" s="207">
        <f>SUMIFS('Diags Raw Data'!$AB$6:$AB$5007,'Diags Raw Data'!$D$6:$D$5007,$A7)</f>
        <v>0</v>
      </c>
      <c r="R7" s="205">
        <f>SUMIFS('Diags Raw Data'!$AC$6:$AC$5007,'Diags Raw Data'!$D$6:$D$5007,$A7)</f>
        <v>0</v>
      </c>
      <c r="S7" s="207">
        <f>SUMIFS('Diags Raw Data'!$AD$6:$AD$5007,'Diags Raw Data'!$D$6:$D$5007,$A7)</f>
        <v>0</v>
      </c>
      <c r="T7" s="206">
        <f t="shared" si="4"/>
        <v>0.29411764705882354</v>
      </c>
      <c r="U7" s="231">
        <f t="shared" si="5"/>
        <v>1</v>
      </c>
      <c r="V7" s="233">
        <f t="shared" si="6"/>
        <v>0.29411764705882354</v>
      </c>
    </row>
    <row r="8" spans="1:22" x14ac:dyDescent="0.25">
      <c r="A8" s="336" t="s">
        <v>561</v>
      </c>
      <c r="B8" s="254">
        <f>SUMIFS('Diags Raw Data'!$L$6:$L$5007,'Diags Raw Data'!$D$6:$D$5007,$A8)</f>
        <v>1</v>
      </c>
      <c r="C8" s="244">
        <f>SUMIFS('Diags Raw Data'!$R$6:$R$5007,'Diags Raw Data'!$D$6:$D$5007,$A8)</f>
        <v>1</v>
      </c>
      <c r="D8" s="244">
        <f>SUMIFS('Diags Raw Data'!$K$6:$K$5007,'Diags Raw Data'!$D$6:$D$5007,$A8)</f>
        <v>10</v>
      </c>
      <c r="E8" s="244">
        <f>SUMIFS('Diags Raw Data'!$O$6:$O$5007,'Diags Raw Data'!$D$6:$D$5007,$A8)</f>
        <v>1</v>
      </c>
      <c r="F8" s="250">
        <f t="shared" si="0"/>
        <v>1</v>
      </c>
      <c r="G8" s="232">
        <f>SUMIFS('Diags Raw Data'!$S$6:$S$5007,'Diags Raw Data'!$D$6:$D$5007,$A8)</f>
        <v>1</v>
      </c>
      <c r="H8" s="228">
        <f>SUMIFS('Diags Raw Data'!$T$6:$T$5007,'Diags Raw Data'!$D$6:$D$5007,$A8)</f>
        <v>1</v>
      </c>
      <c r="I8" s="229">
        <f>SUMIFS('Diags Raw Data'!$U$6:$U$5007,'Diags Raw Data'!$D$6:$D$5007,$A8)</f>
        <v>0</v>
      </c>
      <c r="J8" s="228">
        <f>SUMIFS('Diags Raw Data'!$V$6:$V$5007,'Diags Raw Data'!$D$6:$D$5007,$A8)</f>
        <v>0</v>
      </c>
      <c r="K8" s="229">
        <f>SUMIFS('Diags Raw Data'!$W$6:$W$5007,'Diags Raw Data'!$D$6:$D$5007,$A8)</f>
        <v>0</v>
      </c>
      <c r="L8" s="245">
        <f t="shared" si="1"/>
        <v>1</v>
      </c>
      <c r="M8" s="230">
        <f t="shared" si="2"/>
        <v>1</v>
      </c>
      <c r="N8" s="239">
        <f t="shared" si="3"/>
        <v>1</v>
      </c>
      <c r="O8" s="215">
        <f>SUMIFS('Diags Raw Data'!$Z$6:$Z$5007,'Diags Raw Data'!$D$6:$D$5007,$A8)</f>
        <v>0</v>
      </c>
      <c r="P8" s="205">
        <f>SUMIFS('Diags Raw Data'!$AA$6:$AA$5007,'Diags Raw Data'!$D$6:$D$5007,$A8)</f>
        <v>0</v>
      </c>
      <c r="Q8" s="207">
        <f>SUMIFS('Diags Raw Data'!$AB$6:$AB$5007,'Diags Raw Data'!$D$6:$D$5007,$A8)</f>
        <v>0</v>
      </c>
      <c r="R8" s="205">
        <f>SUMIFS('Diags Raw Data'!$AC$6:$AC$5007,'Diags Raw Data'!$D$6:$D$5007,$A8)</f>
        <v>0</v>
      </c>
      <c r="S8" s="207">
        <f>SUMIFS('Diags Raw Data'!$AD$6:$AD$5007,'Diags Raw Data'!$D$6:$D$5007,$A8)</f>
        <v>0</v>
      </c>
      <c r="T8" s="206">
        <f t="shared" si="4"/>
        <v>0</v>
      </c>
      <c r="U8" s="231" t="str">
        <f t="shared" si="5"/>
        <v>---</v>
      </c>
      <c r="V8" s="233">
        <f t="shared" si="6"/>
        <v>0</v>
      </c>
    </row>
    <row r="9" spans="1:22" x14ac:dyDescent="0.25">
      <c r="A9" s="336" t="s">
        <v>562</v>
      </c>
      <c r="B9" s="254">
        <f>SUMIFS('Diags Raw Data'!$L$6:$L$5007,'Diags Raw Data'!$D$6:$D$5007,$A9)</f>
        <v>85</v>
      </c>
      <c r="C9" s="244">
        <f>SUMIFS('Diags Raw Data'!$R$6:$R$5007,'Diags Raw Data'!$D$6:$D$5007,$A9)</f>
        <v>27</v>
      </c>
      <c r="D9" s="244">
        <f>SUMIFS('Diags Raw Data'!$K$6:$K$5007,'Diags Raw Data'!$D$6:$D$5007,$A9)</f>
        <v>29</v>
      </c>
      <c r="E9" s="244">
        <f>SUMIFS('Diags Raw Data'!$O$6:$O$5007,'Diags Raw Data'!$D$6:$D$5007,$A9)</f>
        <v>82</v>
      </c>
      <c r="F9" s="250">
        <f t="shared" si="0"/>
        <v>0.96470588235294119</v>
      </c>
      <c r="G9" s="232">
        <f>SUMIFS('Diags Raw Data'!$S$6:$S$5007,'Diags Raw Data'!$D$6:$D$5007,$A9)</f>
        <v>10</v>
      </c>
      <c r="H9" s="228">
        <f>SUMIFS('Diags Raw Data'!$T$6:$T$5007,'Diags Raw Data'!$D$6:$D$5007,$A9)</f>
        <v>10</v>
      </c>
      <c r="I9" s="229">
        <f>SUMIFS('Diags Raw Data'!$U$6:$U$5007,'Diags Raw Data'!$D$6:$D$5007,$A9)</f>
        <v>0</v>
      </c>
      <c r="J9" s="228">
        <f>SUMIFS('Diags Raw Data'!$V$6:$V$5007,'Diags Raw Data'!$D$6:$D$5007,$A9)</f>
        <v>0</v>
      </c>
      <c r="K9" s="229">
        <f>SUMIFS('Diags Raw Data'!$W$6:$W$5007,'Diags Raw Data'!$D$6:$D$5007,$A9)</f>
        <v>0</v>
      </c>
      <c r="L9" s="245">
        <f t="shared" si="1"/>
        <v>0.37037037037037035</v>
      </c>
      <c r="M9" s="230">
        <f t="shared" si="2"/>
        <v>1</v>
      </c>
      <c r="N9" s="239">
        <f t="shared" si="3"/>
        <v>0.37037037037037035</v>
      </c>
      <c r="O9" s="215">
        <f>SUMIFS('Diags Raw Data'!$Z$6:$Z$5007,'Diags Raw Data'!$D$6:$D$5007,$A9)</f>
        <v>4</v>
      </c>
      <c r="P9" s="205">
        <f>SUMIFS('Diags Raw Data'!$AA$6:$AA$5007,'Diags Raw Data'!$D$6:$D$5007,$A9)</f>
        <v>4</v>
      </c>
      <c r="Q9" s="207">
        <f>SUMIFS('Diags Raw Data'!$AB$6:$AB$5007,'Diags Raw Data'!$D$6:$D$5007,$A9)</f>
        <v>0</v>
      </c>
      <c r="R9" s="205">
        <f>SUMIFS('Diags Raw Data'!$AC$6:$AC$5007,'Diags Raw Data'!$D$6:$D$5007,$A9)</f>
        <v>0</v>
      </c>
      <c r="S9" s="207">
        <f>SUMIFS('Diags Raw Data'!$AD$6:$AD$5007,'Diags Raw Data'!$D$6:$D$5007,$A9)</f>
        <v>0</v>
      </c>
      <c r="T9" s="206">
        <f t="shared" si="4"/>
        <v>4.7058823529411764E-2</v>
      </c>
      <c r="U9" s="231">
        <f>IF(NOT($O9=0), (P9+Q9)/$O9, "---")</f>
        <v>1</v>
      </c>
      <c r="V9" s="233">
        <f t="shared" si="6"/>
        <v>4.7058823529411764E-2</v>
      </c>
    </row>
    <row r="10" spans="1:22" x14ac:dyDescent="0.25">
      <c r="A10" s="336" t="s">
        <v>563</v>
      </c>
      <c r="B10" s="254">
        <f>SUMIFS('Diags Raw Data'!$L$6:$L$5007,'Diags Raw Data'!$D$6:$D$5007,$A10)</f>
        <v>323</v>
      </c>
      <c r="C10" s="244">
        <f>SUMIFS('Diags Raw Data'!$R$6:$R$5007,'Diags Raw Data'!$D$6:$D$5007,$A10)</f>
        <v>322</v>
      </c>
      <c r="D10" s="244">
        <f>SUMIFS('Diags Raw Data'!$K$6:$K$5007,'Diags Raw Data'!$D$6:$D$5007,$A10)</f>
        <v>45</v>
      </c>
      <c r="E10" s="244">
        <f>SUMIFS('Diags Raw Data'!$O$6:$O$5007,'Diags Raw Data'!$D$6:$D$5007,$A10)</f>
        <v>323</v>
      </c>
      <c r="F10" s="250">
        <f>IF(NOT($B10=0), E10/$B10, "---")</f>
        <v>1</v>
      </c>
      <c r="G10" s="232">
        <f>SUMIFS('Diags Raw Data'!$S$6:$S$5007,'Diags Raw Data'!$D$6:$D$5007,$A10)</f>
        <v>288</v>
      </c>
      <c r="H10" s="228">
        <f>SUMIFS('Diags Raw Data'!$T$6:$T$5007,'Diags Raw Data'!$D$6:$D$5007,$A10)</f>
        <v>285</v>
      </c>
      <c r="I10" s="229">
        <f>SUMIFS('Diags Raw Data'!$U$6:$U$5007,'Diags Raw Data'!$D$6:$D$5007,$A10)</f>
        <v>0</v>
      </c>
      <c r="J10" s="228">
        <f>SUMIFS('Diags Raw Data'!$V$6:$V$5007,'Diags Raw Data'!$D$6:$D$5007,$A10)</f>
        <v>3</v>
      </c>
      <c r="K10" s="229">
        <f>SUMIFS('Diags Raw Data'!$W$6:$W$5007,'Diags Raw Data'!$D$6:$D$5007,$A10)</f>
        <v>0</v>
      </c>
      <c r="L10" s="245">
        <f t="shared" si="1"/>
        <v>0.89440993788819878</v>
      </c>
      <c r="M10" s="230">
        <f t="shared" si="2"/>
        <v>0.98958333333333337</v>
      </c>
      <c r="N10" s="239">
        <f t="shared" si="3"/>
        <v>0.8850931677018633</v>
      </c>
      <c r="O10" s="215">
        <f>SUMIFS('Diags Raw Data'!$Z$6:$Z$5007,'Diags Raw Data'!$D$6:$D$5007,$A10)</f>
        <v>212</v>
      </c>
      <c r="P10" s="205">
        <f>SUMIFS('Diags Raw Data'!$AA$6:$AA$5007,'Diags Raw Data'!$D$6:$D$5007,$A10)</f>
        <v>212</v>
      </c>
      <c r="Q10" s="207">
        <f>SUMIFS('Diags Raw Data'!$AB$6:$AB$5007,'Diags Raw Data'!$D$6:$D$5007,$A10)</f>
        <v>0</v>
      </c>
      <c r="R10" s="205">
        <f>SUMIFS('Diags Raw Data'!$AC$6:$AC$5007,'Diags Raw Data'!$D$6:$D$5007,$A10)</f>
        <v>0</v>
      </c>
      <c r="S10" s="207">
        <f>SUMIFS('Diags Raw Data'!$AD$6:$AD$5007,'Diags Raw Data'!$D$6:$D$5007,$A10)</f>
        <v>0</v>
      </c>
      <c r="T10" s="206">
        <f t="shared" si="4"/>
        <v>0.65634674922600622</v>
      </c>
      <c r="U10" s="231">
        <f t="shared" ref="U10:U13" si="7">IF(NOT($O10=0), (P10+Q10)/$O10, "---")</f>
        <v>1</v>
      </c>
      <c r="V10" s="233">
        <f t="shared" si="6"/>
        <v>0.65634674922600622</v>
      </c>
    </row>
    <row r="11" spans="1:22" x14ac:dyDescent="0.25">
      <c r="A11" s="336" t="s">
        <v>564</v>
      </c>
      <c r="B11" s="254">
        <f>SUMIFS('Diags Raw Data'!$L$6:$L$5007,'Diags Raw Data'!$D$6:$D$5007,$A11)</f>
        <v>22</v>
      </c>
      <c r="C11" s="244">
        <f>SUMIFS('Diags Raw Data'!$R$6:$R$5007,'Diags Raw Data'!$D$6:$D$5007,$A11)</f>
        <v>21</v>
      </c>
      <c r="D11" s="244">
        <f>SUMIFS('Diags Raw Data'!$K$6:$K$5007,'Diags Raw Data'!$D$6:$D$5007,$A11)</f>
        <v>19</v>
      </c>
      <c r="E11" s="244">
        <f>SUMIFS('Diags Raw Data'!$O$6:$O$5007,'Diags Raw Data'!$D$6:$D$5007,$A11)</f>
        <v>21.6</v>
      </c>
      <c r="F11" s="250">
        <f t="shared" si="0"/>
        <v>0.98181818181818192</v>
      </c>
      <c r="G11" s="232">
        <f>SUMIFS('Diags Raw Data'!$S$6:$S$5007,'Diags Raw Data'!$D$6:$D$5007,$A11)</f>
        <v>18</v>
      </c>
      <c r="H11" s="228">
        <f>SUMIFS('Diags Raw Data'!$T$6:$T$5007,'Diags Raw Data'!$D$6:$D$5007,$A11)</f>
        <v>17</v>
      </c>
      <c r="I11" s="229">
        <f>SUMIFS('Diags Raw Data'!$U$6:$U$5007,'Diags Raw Data'!$D$6:$D$5007,$A11)</f>
        <v>0</v>
      </c>
      <c r="J11" s="228">
        <f>SUMIFS('Diags Raw Data'!$V$6:$V$5007,'Diags Raw Data'!$D$6:$D$5007,$A11)</f>
        <v>1</v>
      </c>
      <c r="K11" s="229">
        <f>SUMIFS('Diags Raw Data'!$W$6:$W$5007,'Diags Raw Data'!$D$6:$D$5007,$A11)</f>
        <v>0</v>
      </c>
      <c r="L11" s="245">
        <f t="shared" si="1"/>
        <v>0.8571428571428571</v>
      </c>
      <c r="M11" s="230">
        <f t="shared" si="2"/>
        <v>0.94444444444444442</v>
      </c>
      <c r="N11" s="239">
        <f t="shared" si="3"/>
        <v>0.80952380952380953</v>
      </c>
      <c r="O11" s="215">
        <f>SUMIFS('Diags Raw Data'!$Z$6:$Z$5007,'Diags Raw Data'!$D$6:$D$5007,$A11)</f>
        <v>0</v>
      </c>
      <c r="P11" s="205">
        <f>SUMIFS('Diags Raw Data'!$AA$6:$AA$5007,'Diags Raw Data'!$D$6:$D$5007,$A11)</f>
        <v>0</v>
      </c>
      <c r="Q11" s="207">
        <f>SUMIFS('Diags Raw Data'!$AB$6:$AB$5007,'Diags Raw Data'!$D$6:$D$5007,$A11)</f>
        <v>0</v>
      </c>
      <c r="R11" s="205">
        <f>SUMIFS('Diags Raw Data'!$AC$6:$AC$5007,'Diags Raw Data'!$D$6:$D$5007,$A11)</f>
        <v>0</v>
      </c>
      <c r="S11" s="207">
        <f>SUMIFS('Diags Raw Data'!$AD$6:$AD$5007,'Diags Raw Data'!$D$6:$D$5007,$A11)</f>
        <v>0</v>
      </c>
      <c r="T11" s="206">
        <f t="shared" si="4"/>
        <v>0</v>
      </c>
      <c r="U11" s="231" t="str">
        <f t="shared" si="7"/>
        <v>---</v>
      </c>
      <c r="V11" s="233">
        <f t="shared" si="6"/>
        <v>0</v>
      </c>
    </row>
    <row r="12" spans="1:22" x14ac:dyDescent="0.25">
      <c r="A12" s="336" t="s">
        <v>565</v>
      </c>
      <c r="B12" s="254">
        <f>SUMIFS('Diags Raw Data'!$L$6:$L$5007,'Diags Raw Data'!$D$6:$D$5007,$A12)</f>
        <v>140</v>
      </c>
      <c r="C12" s="244">
        <f>SUMIFS('Diags Raw Data'!$R$6:$R$5007,'Diags Raw Data'!$D$6:$D$5007,$A12)</f>
        <v>48</v>
      </c>
      <c r="D12" s="244">
        <f>SUMIFS('Diags Raw Data'!$K$6:$K$5007,'Diags Raw Data'!$D$6:$D$5007,$A12)</f>
        <v>16</v>
      </c>
      <c r="E12" s="244">
        <f>SUMIFS('Diags Raw Data'!$O$6:$O$5007,'Diags Raw Data'!$D$6:$D$5007,$A12)</f>
        <v>139</v>
      </c>
      <c r="F12" s="250">
        <f t="shared" si="0"/>
        <v>0.99285714285714288</v>
      </c>
      <c r="G12" s="232">
        <f>SUMIFS('Diags Raw Data'!$S$6:$S$5007,'Diags Raw Data'!$D$6:$D$5007,$A12)</f>
        <v>47</v>
      </c>
      <c r="H12" s="228">
        <f>SUMIFS('Diags Raw Data'!$T$6:$T$5007,'Diags Raw Data'!$D$6:$D$5007,$A12)</f>
        <v>46</v>
      </c>
      <c r="I12" s="229">
        <f>SUMIFS('Diags Raw Data'!$U$6:$U$5007,'Diags Raw Data'!$D$6:$D$5007,$A12)</f>
        <v>0</v>
      </c>
      <c r="J12" s="228">
        <f>SUMIFS('Diags Raw Data'!$V$6:$V$5007,'Diags Raw Data'!$D$6:$D$5007,$A12)</f>
        <v>1</v>
      </c>
      <c r="K12" s="229">
        <f>SUMIFS('Diags Raw Data'!$W$6:$W$5007,'Diags Raw Data'!$D$6:$D$5007,$A12)</f>
        <v>0</v>
      </c>
      <c r="L12" s="245">
        <f t="shared" si="1"/>
        <v>0.97916666666666663</v>
      </c>
      <c r="M12" s="230">
        <f t="shared" si="2"/>
        <v>0.97872340425531912</v>
      </c>
      <c r="N12" s="239">
        <f t="shared" si="3"/>
        <v>0.95833333333333337</v>
      </c>
      <c r="O12" s="215">
        <f>SUMIFS('Diags Raw Data'!$Z$6:$Z$5007,'Diags Raw Data'!$D$6:$D$5007,$A12)</f>
        <v>0</v>
      </c>
      <c r="P12" s="205">
        <f>SUMIFS('Diags Raw Data'!$AA$6:$AA$5007,'Diags Raw Data'!$D$6:$D$5007,$A12)</f>
        <v>0</v>
      </c>
      <c r="Q12" s="207">
        <f>SUMIFS('Diags Raw Data'!$AB$6:$AB$5007,'Diags Raw Data'!$D$6:$D$5007,$A12)</f>
        <v>0</v>
      </c>
      <c r="R12" s="205">
        <f>SUMIFS('Diags Raw Data'!$AC$6:$AC$5007,'Diags Raw Data'!$D$6:$D$5007,$A12)</f>
        <v>0</v>
      </c>
      <c r="S12" s="207">
        <f>SUMIFS('Diags Raw Data'!$AD$6:$AD$5007,'Diags Raw Data'!$D$6:$D$5007,$A12)</f>
        <v>0</v>
      </c>
      <c r="T12" s="206">
        <f t="shared" si="4"/>
        <v>0</v>
      </c>
      <c r="U12" s="231" t="str">
        <f t="shared" si="7"/>
        <v>---</v>
      </c>
      <c r="V12" s="233">
        <f t="shared" si="6"/>
        <v>0</v>
      </c>
    </row>
    <row r="13" spans="1:22" ht="15.75" thickBot="1" x14ac:dyDescent="0.3">
      <c r="A13" s="337" t="s">
        <v>566</v>
      </c>
      <c r="B13" s="255">
        <f>SUMIFS('Diags Raw Data'!$L$6:$L$5007,'Diags Raw Data'!$D$6:$D$5007,$A13)</f>
        <v>0</v>
      </c>
      <c r="C13" s="246">
        <f>SUMIFS('Diags Raw Data'!$R$6:$R$5007,'Diags Raw Data'!$D$6:$D$5007,$A13)</f>
        <v>0</v>
      </c>
      <c r="D13" s="246">
        <f>SUMIFS('Diags Raw Data'!$K$6:$K$5007,'Diags Raw Data'!$D$6:$D$5007,$A13)</f>
        <v>2</v>
      </c>
      <c r="E13" s="246">
        <f>SUMIFS('Diags Raw Data'!$O$6:$O$5007,'Diags Raw Data'!$D$6:$D$5007,$A13)</f>
        <v>0</v>
      </c>
      <c r="F13" s="251" t="str">
        <f>IF(NOT($B13=0), E13/$B13, "---")</f>
        <v>---</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t="str">
        <f t="shared" si="1"/>
        <v>---</v>
      </c>
      <c r="M13" s="237" t="str">
        <f t="shared" si="2"/>
        <v>---</v>
      </c>
      <c r="N13" s="240" t="str">
        <f>IF(NOT($C13=0), (H13+I13)/$C13, "---")</f>
        <v>---</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t="str">
        <f t="shared" si="4"/>
        <v>---</v>
      </c>
      <c r="U13" s="241" t="str">
        <f t="shared" si="7"/>
        <v>---</v>
      </c>
      <c r="V13" s="238" t="str">
        <f t="shared" si="6"/>
        <v>---</v>
      </c>
    </row>
    <row r="14" spans="1:22" ht="16.5" thickBot="1" x14ac:dyDescent="0.3">
      <c r="A14" s="274" t="s">
        <v>567</v>
      </c>
      <c r="B14" s="258">
        <f>SUM(B4:B13)</f>
        <v>718</v>
      </c>
      <c r="C14" s="259">
        <f>SUM(C4:C13)</f>
        <v>535</v>
      </c>
      <c r="D14" s="259">
        <f>SUM(D4:D13)</f>
        <v>252</v>
      </c>
      <c r="E14" s="259">
        <f>SUM(E4:E13)</f>
        <v>707.1</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0.97003968253968254</v>
      </c>
      <c r="G14" s="261">
        <f>SUM(G4:G13)</f>
        <v>450</v>
      </c>
      <c r="H14" s="262">
        <f>SUM(H4:H13)</f>
        <v>438</v>
      </c>
      <c r="I14" s="263">
        <f>SUM(I4:I13)</f>
        <v>0</v>
      </c>
      <c r="J14" s="262">
        <f>SUM(J4:J13)</f>
        <v>12</v>
      </c>
      <c r="K14" s="263">
        <f>SUM(K4:K13)</f>
        <v>0</v>
      </c>
      <c r="L14" s="264">
        <f>IF(NOT($C14=0), G14/$C14, "---")</f>
        <v>0.84112149532710279</v>
      </c>
      <c r="M14" s="265">
        <f>IF(NOT($G14=0), (H14+I14)/$G14, "---")</f>
        <v>0.97333333333333338</v>
      </c>
      <c r="N14" s="266">
        <f>IF(NOT($C14=0), (H14+I14)/$C14, "---")</f>
        <v>0.81869158878504678</v>
      </c>
      <c r="O14" s="267">
        <f>SUM(O4:O13)</f>
        <v>240</v>
      </c>
      <c r="P14" s="268">
        <f>SUM(P4:P13)</f>
        <v>238</v>
      </c>
      <c r="Q14" s="269">
        <f>SUM(Q4:Q13)</f>
        <v>0</v>
      </c>
      <c r="R14" s="268">
        <f>SUM(R4:R13)</f>
        <v>2</v>
      </c>
      <c r="S14" s="269">
        <f>SUM(S4:S13)</f>
        <v>0</v>
      </c>
      <c r="T14" s="270">
        <f>IF(NOT($B14=0), O14/$B14, "---")</f>
        <v>0.33426183844011143</v>
      </c>
      <c r="U14" s="271">
        <f>IF(NOT($O14=0), (P14+Q14)/$O14, "---")</f>
        <v>0.9916666666666667</v>
      </c>
      <c r="V14" s="272">
        <f>IF(NOT($B14=0), (P14+Q14)/$B14, "---")</f>
        <v>0.33147632311977715</v>
      </c>
    </row>
    <row r="15" spans="1:22" ht="15.75" thickBot="1" x14ac:dyDescent="0.3"/>
    <row r="16" spans="1:22" ht="15.75" thickBot="1" x14ac:dyDescent="0.3">
      <c r="A16" s="217" t="s">
        <v>568</v>
      </c>
      <c r="B16" s="680" t="s">
        <v>166</v>
      </c>
      <c r="C16" s="680"/>
      <c r="D16" s="680"/>
      <c r="E16" s="680"/>
      <c r="F16" s="680"/>
      <c r="G16" s="681" t="s">
        <v>177</v>
      </c>
      <c r="H16" s="682"/>
      <c r="I16" s="682"/>
      <c r="J16" s="682"/>
      <c r="K16" s="682"/>
      <c r="L16" s="682"/>
      <c r="M16" s="682"/>
      <c r="N16" s="683"/>
      <c r="O16" s="684" t="s">
        <v>144</v>
      </c>
      <c r="P16" s="685"/>
      <c r="Q16" s="685"/>
      <c r="R16" s="685"/>
      <c r="S16" s="685"/>
      <c r="T16" s="685"/>
      <c r="U16" s="685"/>
      <c r="V16" s="686"/>
    </row>
    <row r="17" spans="1:22" s="252" customFormat="1" ht="30.75" thickBot="1" x14ac:dyDescent="0.3">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25">
      <c r="A18" s="336" t="s">
        <v>557</v>
      </c>
      <c r="B18" s="253">
        <f>SUMIFS('Diags Raw Data'!$L$6:$L$5007,'Diags Raw Data'!$D$6:$D$5007,$A18,'Diags Raw Data'!$M$6:$M$5007,"New")+SUMIFS('Diags Raw Data'!$L$6:$L$5007,'Diags Raw Data'!$D$6:$D$5007,$A18,'Diags Raw Data'!$M$6:$M$5007,"Delta")</f>
        <v>88</v>
      </c>
      <c r="C18" s="243">
        <f>SUMIFS('Diags Raw Data'!$R$6:$R$5007,'Diags Raw Data'!$D$6:$D$5007,$A18,'Diags Raw Data'!$M$6:$M$5007,"New")+SUMIFS('Diags Raw Data'!$R$6:$R$5007,'Diags Raw Data'!$D$6:$D$5007,$A18,'Diags Raw Data'!$M$6:$M$5007,"Delta")</f>
        <v>60</v>
      </c>
      <c r="D18" s="243">
        <f>SUMIFS('Diags Raw Data'!$K$6:$K$5007,'Diags Raw Data'!$D$6:$D$5007,$A18,'Diags Raw Data'!$M$6:$M$5007,"New")+SUMIFS('Diags Raw Data'!$K$6:$K$5007,'Diags Raw Data'!$D$6:$D$5007,$A18,'Diags Raw Data'!$M$6:$M$5007,"Delta")</f>
        <v>48</v>
      </c>
      <c r="E18" s="243">
        <f>SUMIFS('Diags Raw Data'!$O$6:$O$5007,'Diags Raw Data'!$D$6:$D$5007,$A18,'Diags Raw Data'!$M$6:$M$5007,"New")+SUMIFS('Diags Raw Data'!$O$6:$O$5007,'Diags Raw Data'!$D$6:$D$5007,$A18,'Diags Raw Data'!$M$6:$M$5007,"Delta")</f>
        <v>87</v>
      </c>
      <c r="F18" s="249">
        <f t="shared" ref="F18:F27" si="8">IF(NOT($B18=0), E18/$B18, "---")</f>
        <v>0.98863636363636365</v>
      </c>
      <c r="G18" s="221">
        <f>SUMIFS('Diags Raw Data'!$S$6:$S$5007,'Diags Raw Data'!$D$6:$D$5007,$A18,'Diags Raw Data'!$M$6:$M$5007,"New")+SUMIFS('Diags Raw Data'!$S$6:$S$5007,'Diags Raw Data'!$D$6:$D$5007,$A18,'Diags Raw Data'!$M$6:$M$5007,"Delta")</f>
        <v>46</v>
      </c>
      <c r="H18" s="222">
        <f>SUMIFS('Diags Raw Data'!$T$6:$T$5007,'Diags Raw Data'!$D$6:$D$5007,$A18,'Diags Raw Data'!$M$6:$M$5007,"New")+SUMIFS('Diags Raw Data'!$T$6:$T$5007,'Diags Raw Data'!$D$6:$D$5007,$A18,'Diags Raw Data'!$M$6:$M$5007,"Delta")</f>
        <v>46</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0.76666666666666672</v>
      </c>
      <c r="M18" s="225">
        <f>IF(NOT($G18=0), (H18+I18)/$G18, "---")</f>
        <v>1</v>
      </c>
      <c r="N18" s="227">
        <f>IF(NOT($C18=0), (H18+I18)/$C18, "---")</f>
        <v>0.76666666666666672</v>
      </c>
      <c r="O18" s="214">
        <f>SUMIFS('Diags Raw Data'!$Z$6:$Z$5007,'Diags Raw Data'!$D$6:$D$5007,$A18,'Diags Raw Data'!$M$6:$M$5007,"New")+SUMIFS('Diags Raw Data'!$Z$6:$Z$5007,'Diags Raw Data'!$D$6:$D$5007,$A18,'Diags Raw Data'!$M$6:$M$5007,"Delta")</f>
        <v>8</v>
      </c>
      <c r="P18" s="211">
        <f>SUMIFS('Diags Raw Data'!$AA$6:$AA$5007,'Diags Raw Data'!$D$6:$D$5007,$A18,'Diags Raw Data'!$M$6:$M$5007,"New")+SUMIFS('Diags Raw Data'!$AA$6:$AA$5007,'Diags Raw Data'!$D$6:$D$5007,$A18,'Diags Raw Data'!$M$6:$M$5007,"Delta")</f>
        <v>8</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9.0909090909090912E-2</v>
      </c>
      <c r="U18" s="226">
        <f>IF(NOT($O18=0), (P18+Q18)/$O18, "---")</f>
        <v>1</v>
      </c>
      <c r="V18" s="242">
        <f>IF(NOT($B18=0), (P18+Q18)/$B18, "---")</f>
        <v>9.0909090909090912E-2</v>
      </c>
    </row>
    <row r="19" spans="1:22" x14ac:dyDescent="0.25">
      <c r="A19" s="336" t="s">
        <v>558</v>
      </c>
      <c r="B19" s="254">
        <f>SUMIFS('Diags Raw Data'!$L$6:$L$5007,'Diags Raw Data'!$D$6:$D$5007,$A19,'Diags Raw Data'!$M$6:$M$5007,"New")+SUMIFS('Diags Raw Data'!$L$6:$L$5007,'Diags Raw Data'!$D$6:$D$5007,$A19,'Diags Raw Data'!$M$6:$M$5007,"Delta")</f>
        <v>33</v>
      </c>
      <c r="C19" s="244">
        <f>SUMIFS('Diags Raw Data'!$R$6:$R$5007,'Diags Raw Data'!$D$6:$D$5007,$A19,'Diags Raw Data'!$M$6:$M$5007,"New")+SUMIFS('Diags Raw Data'!$R$6:$R$5007,'Diags Raw Data'!$D$6:$D$5007,$A19,'Diags Raw Data'!$M$6:$M$5007,"Delta")</f>
        <v>31</v>
      </c>
      <c r="D19" s="244">
        <f>SUMIFS('Diags Raw Data'!$K$6:$K$5007,'Diags Raw Data'!$D$6:$D$5007,$A19,'Diags Raw Data'!$M$6:$M$5007,"New")+SUMIFS('Diags Raw Data'!$K$6:$K$5007,'Diags Raw Data'!$D$6:$D$5007,$A19,'Diags Raw Data'!$M$6:$M$5007,"Delta")</f>
        <v>60</v>
      </c>
      <c r="E19" s="244">
        <f>SUMIFS('Diags Raw Data'!$O$6:$O$5007,'Diags Raw Data'!$D$6:$D$5007,$A19,'Diags Raw Data'!$M$6:$M$5007,"New")+SUMIFS('Diags Raw Data'!$O$6:$O$5007,'Diags Raw Data'!$D$6:$D$5007,$A19,'Diags Raw Data'!$M$6:$M$5007,"Delta")</f>
        <v>28</v>
      </c>
      <c r="F19" s="250">
        <f t="shared" si="8"/>
        <v>0.84848484848484851</v>
      </c>
      <c r="G19" s="232">
        <f>SUMIFS('Diags Raw Data'!$S$6:$S$5007,'Diags Raw Data'!$D$6:$D$5007,$A19,'Diags Raw Data'!$M$6:$M$5007,"New")+SUMIFS('Diags Raw Data'!$S$6:$S$5007,'Diags Raw Data'!$D$6:$D$5007,$A19,'Diags Raw Data'!$M$6:$M$5007,"Delta")</f>
        <v>18</v>
      </c>
      <c r="H19" s="228">
        <f>SUMIFS('Diags Raw Data'!$T$6:$T$5007,'Diags Raw Data'!$D$6:$D$5007,$A19,'Diags Raw Data'!$M$6:$M$5007,"New")+SUMIFS('Diags Raw Data'!$T$6:$T$5007,'Diags Raw Data'!$D$6:$D$5007,$A19,'Diags Raw Data'!$M$6:$M$5007,"Delta")</f>
        <v>14</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4</v>
      </c>
      <c r="K19" s="228">
        <f>SUMIFS('Diags Raw Data'!$W$6:$W$5007,'Diags Raw Data'!$D$6:$D$5007,$A19,'Diags Raw Data'!$M$6:$M$5007,"New")+SUMIFS('Diags Raw Data'!$W$6:$W$5007,'Diags Raw Data'!$D$6:$D$5007,$A19,'Diags Raw Data'!$M$6:$M$5007,"Delta")</f>
        <v>0</v>
      </c>
      <c r="L19" s="245">
        <f>IF(NOT($C19=0), G19/$C19, "---")</f>
        <v>0.58064516129032262</v>
      </c>
      <c r="M19" s="230">
        <f>IF(NOT($G19=0), (H19+I19)/$G19, "---")</f>
        <v>0.77777777777777779</v>
      </c>
      <c r="N19" s="239">
        <f>IF(NOT($C19=0), (H19+I19)/$C19, "---")</f>
        <v>0.45161290322580644</v>
      </c>
      <c r="O19" s="215">
        <f>SUMIFS('Diags Raw Data'!$Z$6:$Z$5007,'Diags Raw Data'!$D$6:$D$5007,$A19,'Diags Raw Data'!$M$6:$M$5007,"New")+SUMIFS('Diags Raw Data'!$Z$6:$Z$5007,'Diags Raw Data'!$D$6:$D$5007,$A19,'Diags Raw Data'!$M$6:$M$5007,"Delta")</f>
        <v>11</v>
      </c>
      <c r="P19" s="205">
        <f>SUMIFS('Diags Raw Data'!$AA$6:$AA$5007,'Diags Raw Data'!$D$6:$D$5007,$A19,'Diags Raw Data'!$M$6:$M$5007,"New")+SUMIFS('Diags Raw Data'!$AA$6:$AA$5007,'Diags Raw Data'!$D$6:$D$5007,$A19,'Diags Raw Data'!$M$6:$M$5007,"Delta")</f>
        <v>9</v>
      </c>
      <c r="Q19" s="205">
        <f>SUMIFS('Diags Raw Data'!$AB$6:$AB$5007,'Diags Raw Data'!$D$6:$D$5007,$A19,'Diags Raw Data'!$M$6:$M$5007,"New")+SUMIFS('Diags Raw Data'!$AB$6:$AB$5007,'Diags Raw Data'!$D$6:$D$5007,$A19,'Diags Raw Data'!$M$6:$M$5007,"Delta")</f>
        <v>0</v>
      </c>
      <c r="R19" s="205">
        <f>SUMIFS('Diags Raw Data'!$AC$6:$AC$5007,'Diags Raw Data'!$D$6:$D$5007,$A19,'Diags Raw Data'!$M$6:$M$5007,"New")+SUMIFS('Diags Raw Data'!$AC$6:$AC$5007,'Diags Raw Data'!$D$6:$D$5007,$A19,'Diags Raw Data'!$M$6:$M$5007,"Delta")</f>
        <v>2</v>
      </c>
      <c r="S19" s="205">
        <f>SUMIFS('Diags Raw Data'!$AD$6:$AD$5007,'Diags Raw Data'!$D$6:$D$5007,$A19,'Diags Raw Data'!$M$6:$M$5007,"New")+SUMIFS('Diags Raw Data'!$AD$6:$AD$5007,'Diags Raw Data'!$D$6:$D$5007,$A19,'Diags Raw Data'!$M$6:$M$5007,"Delta")</f>
        <v>0</v>
      </c>
      <c r="T19" s="206">
        <f>IF(NOT($B19=0), O19/$B19, "---")</f>
        <v>0.33333333333333331</v>
      </c>
      <c r="U19" s="231">
        <f>IF(NOT($O19=0), (P19+Q19)/$O19, "---")</f>
        <v>0.81818181818181823</v>
      </c>
      <c r="V19" s="233">
        <f t="shared" ref="V19:V28" si="9">IF(NOT($B19=0), (P19+Q19)/$B19, "---")</f>
        <v>0.27272727272727271</v>
      </c>
    </row>
    <row r="20" spans="1:22" x14ac:dyDescent="0.25">
      <c r="A20" s="336" t="s">
        <v>559</v>
      </c>
      <c r="B20" s="254">
        <f>SUMIFS('Diags Raw Data'!$L$6:$L$5007,'Diags Raw Data'!$D$6:$D$5007,$A20,'Diags Raw Data'!$M$6:$M$5007,"New")+SUMIFS('Diags Raw Data'!$L$6:$L$5007,'Diags Raw Data'!$D$6:$D$5007,$A20,'Diags Raw Data'!$M$6:$M$5007,"Delta")</f>
        <v>9</v>
      </c>
      <c r="C20" s="244">
        <f>SUMIFS('Diags Raw Data'!$R$6:$R$5007,'Diags Raw Data'!$D$6:$D$5007,$A20,'Diags Raw Data'!$M$6:$M$5007,"New")+SUMIFS('Diags Raw Data'!$R$6:$R$5007,'Diags Raw Data'!$D$6:$D$5007,$A20,'Diags Raw Data'!$M$6:$M$5007,"Delta")</f>
        <v>10</v>
      </c>
      <c r="D20" s="244">
        <f>SUMIFS('Diags Raw Data'!$K$6:$K$5007,'Diags Raw Data'!$D$6:$D$5007,$A20,'Diags Raw Data'!$M$6:$M$5007,"New")+SUMIFS('Diags Raw Data'!$K$6:$K$5007,'Diags Raw Data'!$D$6:$D$5007,$A20,'Diags Raw Data'!$M$6:$M$5007,"Delta")</f>
        <v>10</v>
      </c>
      <c r="E20" s="244">
        <f>SUMIFS('Diags Raw Data'!$O$6:$O$5007,'Diags Raw Data'!$D$6:$D$5007,$A20,'Diags Raw Data'!$M$6:$M$5007,"New")+SUMIFS('Diags Raw Data'!$O$6:$O$5007,'Diags Raw Data'!$D$6:$D$5007,$A20,'Diags Raw Data'!$M$6:$M$5007,"Delta")</f>
        <v>8.5</v>
      </c>
      <c r="F20" s="250">
        <f>IF(NOT($B20=0), E20/$B20, "---")</f>
        <v>0.94444444444444442</v>
      </c>
      <c r="G20" s="232">
        <f>SUMIFS('Diags Raw Data'!$S$6:$S$5007,'Diags Raw Data'!$D$6:$D$5007,$A20,'Diags Raw Data'!$M$6:$M$5007,"New")+SUMIFS('Diags Raw Data'!$S$6:$S$5007,'Diags Raw Data'!$D$6:$D$5007,$A20,'Diags Raw Data'!$M$6:$M$5007,"Delta")</f>
        <v>8</v>
      </c>
      <c r="H20" s="228">
        <f>SUMIFS('Diags Raw Data'!$T$6:$T$5007,'Diags Raw Data'!$D$6:$D$5007,$A20,'Diags Raw Data'!$M$6:$M$5007,"New")+SUMIFS('Diags Raw Data'!$T$6:$T$5007,'Diags Raw Data'!$D$6:$D$5007,$A20,'Diags Raw Data'!$M$6:$M$5007,"Delta")</f>
        <v>7</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1</v>
      </c>
      <c r="K20" s="228">
        <f>SUMIFS('Diags Raw Data'!$W$6:$W$5007,'Diags Raw Data'!$D$6:$D$5007,$A20,'Diags Raw Data'!$M$6:$M$5007,"New")+SUMIFS('Diags Raw Data'!$W$6:$W$5007,'Diags Raw Data'!$D$6:$D$5007,$A20,'Diags Raw Data'!$M$6:$M$5007,"Delta")</f>
        <v>0</v>
      </c>
      <c r="L20" s="245">
        <f t="shared" ref="L20:L27" si="10">IF(NOT($C20=0), G20/$C20, "---")</f>
        <v>0.8</v>
      </c>
      <c r="M20" s="230">
        <f>IF(NOT($G20=0), (H20+I20)/$G20, "---")</f>
        <v>0.875</v>
      </c>
      <c r="N20" s="239">
        <f t="shared" ref="N20:N27" si="11">IF(NOT($C20=0), (H20+I20)/$C20, "---")</f>
        <v>0.7</v>
      </c>
      <c r="O20" s="215">
        <f>SUMIFS('Diags Raw Data'!$Z$6:$Z$5007,'Diags Raw Data'!$D$6:$D$5007,$A20,'Diags Raw Data'!$M$6:$M$5007,"New")+SUMIFS('Diags Raw Data'!$Z$6:$Z$5007,'Diags Raw Data'!$D$6:$D$5007,$A20,'Diags Raw Data'!$M$6:$M$5007,"Delta")</f>
        <v>0</v>
      </c>
      <c r="P20" s="205">
        <f>SUMIFS('Diags Raw Data'!$AA$6:$AA$5007,'Diags Raw Data'!$D$6:$D$5007,$A20,'Diags Raw Data'!$M$6:$M$5007,"New")+SUMIFS('Diags Raw Data'!$AA$6:$AA$5007,'Diags Raw Data'!$D$6:$D$5007,$A20,'Diags Raw Data'!$M$6:$M$5007,"Delta")</f>
        <v>0</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0</v>
      </c>
      <c r="U20" s="231" t="str">
        <f t="shared" ref="U20:U28" si="13">IF(NOT($O20=0), (P20+Q20)/$O20, "---")</f>
        <v>---</v>
      </c>
      <c r="V20" s="233">
        <f>IF(NOT($B20=0), (P20+Q20)/$B20, "---")</f>
        <v>0</v>
      </c>
    </row>
    <row r="21" spans="1:22" x14ac:dyDescent="0.25">
      <c r="A21" s="336" t="s">
        <v>560</v>
      </c>
      <c r="B21" s="254">
        <f>SUMIFS('Diags Raw Data'!$L$6:$L$5007,'Diags Raw Data'!$D$6:$D$5007,$A21,'Diags Raw Data'!$M$6:$M$5007,"New")+SUMIFS('Diags Raw Data'!$L$6:$L$5007,'Diags Raw Data'!$D$6:$D$5007,$A21,'Diags Raw Data'!$M$6:$M$5007,"Delta")</f>
        <v>17</v>
      </c>
      <c r="C21" s="244">
        <f>SUMIFS('Diags Raw Data'!$R$6:$R$5007,'Diags Raw Data'!$D$6:$D$5007,$A21,'Diags Raw Data'!$M$6:$M$5007,"New")+SUMIFS('Diags Raw Data'!$R$6:$R$5007,'Diags Raw Data'!$D$6:$D$5007,$A21,'Diags Raw Data'!$M$6:$M$5007,"Delta")</f>
        <v>15</v>
      </c>
      <c r="D21" s="244">
        <f>SUMIFS('Diags Raw Data'!$K$6:$K$5007,'Diags Raw Data'!$D$6:$D$5007,$A21,'Diags Raw Data'!$M$6:$M$5007,"New")+SUMIFS('Diags Raw Data'!$K$6:$K$5007,'Diags Raw Data'!$D$6:$D$5007,$A21,'Diags Raw Data'!$M$6:$M$5007,"Delta")</f>
        <v>13</v>
      </c>
      <c r="E21" s="244">
        <f>SUMIFS('Diags Raw Data'!$O$6:$O$5007,'Diags Raw Data'!$D$6:$D$5007,$A21,'Diags Raw Data'!$M$6:$M$5007,"New")+SUMIFS('Diags Raw Data'!$O$6:$O$5007,'Diags Raw Data'!$D$6:$D$5007,$A21,'Diags Raw Data'!$M$6:$M$5007,"Delta")</f>
        <v>17</v>
      </c>
      <c r="F21" s="250">
        <f t="shared" si="8"/>
        <v>1</v>
      </c>
      <c r="G21" s="232">
        <f>SUMIFS('Diags Raw Data'!$S$6:$S$5007,'Diags Raw Data'!$D$6:$D$5007,$A21,'Diags Raw Data'!$M$6:$M$5007,"New")+SUMIFS('Diags Raw Data'!$S$6:$S$5007,'Diags Raw Data'!$D$6:$D$5007,$A21,'Diags Raw Data'!$M$6:$M$5007,"Delta")</f>
        <v>14</v>
      </c>
      <c r="H21" s="228">
        <f>SUMIFS('Diags Raw Data'!$T$6:$T$5007,'Diags Raw Data'!$D$6:$D$5007,$A21,'Diags Raw Data'!$M$6:$M$5007,"New")+SUMIFS('Diags Raw Data'!$T$6:$T$5007,'Diags Raw Data'!$D$6:$D$5007,$A21,'Diags Raw Data'!$M$6:$M$5007,"Delta")</f>
        <v>12</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2</v>
      </c>
      <c r="K21" s="228">
        <f>SUMIFS('Diags Raw Data'!$W$6:$W$5007,'Diags Raw Data'!$D$6:$D$5007,$A21,'Diags Raw Data'!$M$6:$M$5007,"New")+SUMIFS('Diags Raw Data'!$W$6:$W$5007,'Diags Raw Data'!$D$6:$D$5007,$A21,'Diags Raw Data'!$M$6:$M$5007,"Delta")</f>
        <v>0</v>
      </c>
      <c r="L21" s="245">
        <f t="shared" si="10"/>
        <v>0.93333333333333335</v>
      </c>
      <c r="M21" s="230">
        <f t="shared" ref="M21:M28" si="14">IF(NOT($G21=0), (H21+I21)/$G21, "---")</f>
        <v>0.8571428571428571</v>
      </c>
      <c r="N21" s="239">
        <f>IF(NOT($C21=0), (H21+I21)/$C21, "---")</f>
        <v>0.8</v>
      </c>
      <c r="O21" s="215">
        <f>SUMIFS('Diags Raw Data'!$Z$6:$Z$5007,'Diags Raw Data'!$D$6:$D$5007,$A21,'Diags Raw Data'!$M$6:$M$5007,"New")+SUMIFS('Diags Raw Data'!$Z$6:$Z$5007,'Diags Raw Data'!$D$6:$D$5007,$A21,'Diags Raw Data'!$M$6:$M$5007,"Delta")</f>
        <v>5</v>
      </c>
      <c r="P21" s="205">
        <f>SUMIFS('Diags Raw Data'!$AA$6:$AA$5007,'Diags Raw Data'!$D$6:$D$5007,$A21,'Diags Raw Data'!$M$6:$M$5007,"New")+SUMIFS('Diags Raw Data'!$AA$6:$AA$5007,'Diags Raw Data'!$D$6:$D$5007,$A21,'Diags Raw Data'!$M$6:$M$5007,"Delta")</f>
        <v>5</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0.29411764705882354</v>
      </c>
      <c r="U21" s="231">
        <f t="shared" si="13"/>
        <v>1</v>
      </c>
      <c r="V21" s="233">
        <f>IF(NOT($B21=0), (P21+Q21)/$B21, "---")</f>
        <v>0.29411764705882354</v>
      </c>
    </row>
    <row r="22" spans="1:22" x14ac:dyDescent="0.25">
      <c r="A22" s="336" t="s">
        <v>561</v>
      </c>
      <c r="B22" s="254">
        <f>SUMIFS('Diags Raw Data'!$L$6:$L$5007,'Diags Raw Data'!$D$6:$D$5007,$A22,'Diags Raw Data'!$M$6:$M$5007,"New")+SUMIFS('Diags Raw Data'!$L$6:$L$5007,'Diags Raw Data'!$D$6:$D$5007,$A22,'Diags Raw Data'!$M$6:$M$5007,"Delta")</f>
        <v>1</v>
      </c>
      <c r="C22" s="244">
        <f>SUMIFS('Diags Raw Data'!$R$6:$R$5007,'Diags Raw Data'!$D$6:$D$5007,$A22,'Diags Raw Data'!$M$6:$M$5007,"New")+SUMIFS('Diags Raw Data'!$R$6:$R$5007,'Diags Raw Data'!$D$6:$D$5007,$A22,'Diags Raw Data'!$M$6:$M$5007,"Delta")</f>
        <v>1</v>
      </c>
      <c r="D22" s="244">
        <f>SUMIFS('Diags Raw Data'!$K$6:$K$5007,'Diags Raw Data'!$D$6:$D$5007,$A22,'Diags Raw Data'!$M$6:$M$5007,"New")+SUMIFS('Diags Raw Data'!$K$6:$K$5007,'Diags Raw Data'!$D$6:$D$5007,$A22,'Diags Raw Data'!$M$6:$M$5007,"Delta")</f>
        <v>10</v>
      </c>
      <c r="E22" s="244">
        <f>SUMIFS('Diags Raw Data'!$O$6:$O$5007,'Diags Raw Data'!$D$6:$D$5007,$A22,'Diags Raw Data'!$M$6:$M$5007,"New")+SUMIFS('Diags Raw Data'!$O$6:$O$5007,'Diags Raw Data'!$D$6:$D$5007,$A22,'Diags Raw Data'!$M$6:$M$5007,"Delta")</f>
        <v>1</v>
      </c>
      <c r="F22" s="250">
        <f>IF(NOT($B22=0), E22/$B22, "---")</f>
        <v>1</v>
      </c>
      <c r="G22" s="232">
        <f>SUMIFS('Diags Raw Data'!$S$6:$S$5007,'Diags Raw Data'!$D$6:$D$5007,$A22,'Diags Raw Data'!$M$6:$M$5007,"New")+SUMIFS('Diags Raw Data'!$S$6:$S$5007,'Diags Raw Data'!$D$6:$D$5007,$A22,'Diags Raw Data'!$M$6:$M$5007,"Delta")</f>
        <v>1</v>
      </c>
      <c r="H22" s="228">
        <f>SUMIFS('Diags Raw Data'!$T$6:$T$5007,'Diags Raw Data'!$D$6:$D$5007,$A22,'Diags Raw Data'!$M$6:$M$5007,"New")+SUMIFS('Diags Raw Data'!$T$6:$T$5007,'Diags Raw Data'!$D$6:$D$5007,$A22,'Diags Raw Data'!$M$6:$M$5007,"Delta")</f>
        <v>1</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1</v>
      </c>
      <c r="M22" s="230">
        <f t="shared" si="14"/>
        <v>1</v>
      </c>
      <c r="N22" s="239">
        <f t="shared" si="11"/>
        <v>1</v>
      </c>
      <c r="O22" s="215">
        <f>SUMIFS('Diags Raw Data'!$Z$6:$Z$5007,'Diags Raw Data'!$D$6:$D$5007,$A22,'Diags Raw Data'!$M$6:$M$5007,"New")+SUMIFS('Diags Raw Data'!$Z$6:$Z$5007,'Diags Raw Data'!$D$6:$D$5007,$A22,'Diags Raw Data'!$M$6:$M$5007,"Delta")</f>
        <v>0</v>
      </c>
      <c r="P22" s="205">
        <f>SUMIFS('Diags Raw Data'!$AA$6:$AA$5007,'Diags Raw Data'!$D$6:$D$5007,$A22,'Diags Raw Data'!$M$6:$M$5007,"New")+SUMIFS('Diags Raw Data'!$AA$6:$AA$5007,'Diags Raw Data'!$D$6:$D$5007,$A22,'Diags Raw Data'!$M$6:$M$5007,"Delta")</f>
        <v>0</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0</v>
      </c>
      <c r="U22" s="231" t="str">
        <f t="shared" si="13"/>
        <v>---</v>
      </c>
      <c r="V22" s="233">
        <f t="shared" si="9"/>
        <v>0</v>
      </c>
    </row>
    <row r="23" spans="1:22" x14ac:dyDescent="0.25">
      <c r="A23" s="336" t="s">
        <v>562</v>
      </c>
      <c r="B23" s="254">
        <f>SUMIFS('Diags Raw Data'!$L$6:$L$5007,'Diags Raw Data'!$D$6:$D$5007,$A23,'Diags Raw Data'!$M$6:$M$5007,"New")+SUMIFS('Diags Raw Data'!$L$6:$L$5007,'Diags Raw Data'!$D$6:$D$5007,$A23,'Diags Raw Data'!$M$6:$M$5007,"Delta")</f>
        <v>85</v>
      </c>
      <c r="C23" s="244">
        <f>SUMIFS('Diags Raw Data'!$R$6:$R$5007,'Diags Raw Data'!$D$6:$D$5007,$A23,'Diags Raw Data'!$M$6:$M$5007,"New")+SUMIFS('Diags Raw Data'!$R$6:$R$5007,'Diags Raw Data'!$D$6:$D$5007,$A23,'Diags Raw Data'!$M$6:$M$5007,"Delta")</f>
        <v>27</v>
      </c>
      <c r="D23" s="244">
        <f>SUMIFS('Diags Raw Data'!$K$6:$K$5007,'Diags Raw Data'!$D$6:$D$5007,$A23,'Diags Raw Data'!$M$6:$M$5007,"New")+SUMIFS('Diags Raw Data'!$K$6:$K$5007,'Diags Raw Data'!$D$6:$D$5007,$A23,'Diags Raw Data'!$M$6:$M$5007,"Delta")</f>
        <v>28</v>
      </c>
      <c r="E23" s="244">
        <f>SUMIFS('Diags Raw Data'!$O$6:$O$5007,'Diags Raw Data'!$D$6:$D$5007,$A23,'Diags Raw Data'!$M$6:$M$5007,"New")+SUMIFS('Diags Raw Data'!$O$6:$O$5007,'Diags Raw Data'!$D$6:$D$5007,$A23,'Diags Raw Data'!$M$6:$M$5007,"Delta")</f>
        <v>82</v>
      </c>
      <c r="F23" s="250">
        <f t="shared" si="8"/>
        <v>0.96470588235294119</v>
      </c>
      <c r="G23" s="232">
        <f>SUMIFS('Diags Raw Data'!$S$6:$S$5007,'Diags Raw Data'!$D$6:$D$5007,$A23,'Diags Raw Data'!$M$6:$M$5007,"New")+SUMIFS('Diags Raw Data'!$S$6:$S$5007,'Diags Raw Data'!$D$6:$D$5007,$A23,'Diags Raw Data'!$M$6:$M$5007,"Delta")</f>
        <v>10</v>
      </c>
      <c r="H23" s="228">
        <f>SUMIFS('Diags Raw Data'!$T$6:$T$5007,'Diags Raw Data'!$D$6:$D$5007,$A23,'Diags Raw Data'!$M$6:$M$5007,"New")+SUMIFS('Diags Raw Data'!$T$6:$T$5007,'Diags Raw Data'!$D$6:$D$5007,$A23,'Diags Raw Data'!$M$6:$M$5007,"Delta")</f>
        <v>10</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0.37037037037037035</v>
      </c>
      <c r="M23" s="230">
        <f t="shared" si="14"/>
        <v>1</v>
      </c>
      <c r="N23" s="239">
        <f t="shared" si="11"/>
        <v>0.37037037037037035</v>
      </c>
      <c r="O23" s="215">
        <f>SUMIFS('Diags Raw Data'!$Z$6:$Z$5007,'Diags Raw Data'!$D$6:$D$5007,$A23,'Diags Raw Data'!$M$6:$M$5007,"New")+SUMIFS('Diags Raw Data'!$Z$6:$Z$5007,'Diags Raw Data'!$D$6:$D$5007,$A23,'Diags Raw Data'!$M$6:$M$5007,"Delta")</f>
        <v>4</v>
      </c>
      <c r="P23" s="205">
        <f>SUMIFS('Diags Raw Data'!$AA$6:$AA$5007,'Diags Raw Data'!$D$6:$D$5007,$A23,'Diags Raw Data'!$M$6:$M$5007,"New")+SUMIFS('Diags Raw Data'!$AA$6:$AA$5007,'Diags Raw Data'!$D$6:$D$5007,$A23,'Diags Raw Data'!$M$6:$M$5007,"Delta")</f>
        <v>4</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4.7058823529411764E-2</v>
      </c>
      <c r="U23" s="231">
        <f t="shared" si="13"/>
        <v>1</v>
      </c>
      <c r="V23" s="233">
        <f t="shared" si="9"/>
        <v>4.7058823529411764E-2</v>
      </c>
    </row>
    <row r="24" spans="1:22" x14ac:dyDescent="0.25">
      <c r="A24" s="336" t="s">
        <v>563</v>
      </c>
      <c r="B24" s="254">
        <f>SUMIFS('Diags Raw Data'!$L$6:$L$5007,'Diags Raw Data'!$D$6:$D$5007,$A24,'Diags Raw Data'!$M$6:$M$5007,"New")+SUMIFS('Diags Raw Data'!$L$6:$L$5007,'Diags Raw Data'!$D$6:$D$5007,$A24,'Diags Raw Data'!$M$6:$M$5007,"Delta")</f>
        <v>323</v>
      </c>
      <c r="C24" s="244">
        <f>SUMIFS('Diags Raw Data'!$R$6:$R$5007,'Diags Raw Data'!$D$6:$D$5007,$A24,'Diags Raw Data'!$M$6:$M$5007,"New")+SUMIFS('Diags Raw Data'!$R$6:$R$5007,'Diags Raw Data'!$D$6:$D$5007,$A24,'Diags Raw Data'!$M$6:$M$5007,"Delta")</f>
        <v>322</v>
      </c>
      <c r="D24" s="244">
        <f>SUMIFS('Diags Raw Data'!$K$6:$K$5007,'Diags Raw Data'!$D$6:$D$5007,$A24,'Diags Raw Data'!$M$6:$M$5007,"New")+SUMIFS('Diags Raw Data'!$K$6:$K$5007,'Diags Raw Data'!$D$6:$D$5007,$A24,'Diags Raw Data'!$M$6:$M$5007,"Delta")</f>
        <v>44</v>
      </c>
      <c r="E24" s="244">
        <f>SUMIFS('Diags Raw Data'!$O$6:$O$5007,'Diags Raw Data'!$D$6:$D$5007,$A24,'Diags Raw Data'!$M$6:$M$5007,"New")+SUMIFS('Diags Raw Data'!$O$6:$O$5007,'Diags Raw Data'!$D$6:$D$5007,$A24,'Diags Raw Data'!$M$6:$M$5007,"Delta")</f>
        <v>323</v>
      </c>
      <c r="F24" s="250">
        <f t="shared" si="8"/>
        <v>1</v>
      </c>
      <c r="G24" s="232">
        <f>SUMIFS('Diags Raw Data'!$S$6:$S$5007,'Diags Raw Data'!$D$6:$D$5007,$A24,'Diags Raw Data'!$M$6:$M$5007,"New")+SUMIFS('Diags Raw Data'!$S$6:$S$5007,'Diags Raw Data'!$D$6:$D$5007,$A24,'Diags Raw Data'!$M$6:$M$5007,"Delta")</f>
        <v>288</v>
      </c>
      <c r="H24" s="228">
        <f>SUMIFS('Diags Raw Data'!$T$6:$T$5007,'Diags Raw Data'!$D$6:$D$5007,$A24,'Diags Raw Data'!$M$6:$M$5007,"New")+SUMIFS('Diags Raw Data'!$T$6:$T$5007,'Diags Raw Data'!$D$6:$D$5007,$A24,'Diags Raw Data'!$M$6:$M$5007,"Delta")</f>
        <v>285</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3</v>
      </c>
      <c r="K24" s="228">
        <f>SUMIFS('Diags Raw Data'!$W$6:$W$5007,'Diags Raw Data'!$D$6:$D$5007,$A24,'Diags Raw Data'!$M$6:$M$5007,"New")+SUMIFS('Diags Raw Data'!$W$6:$W$5007,'Diags Raw Data'!$D$6:$D$5007,$A24,'Diags Raw Data'!$M$6:$M$5007,"Delta")</f>
        <v>0</v>
      </c>
      <c r="L24" s="245">
        <f t="shared" si="10"/>
        <v>0.89440993788819878</v>
      </c>
      <c r="M24" s="230">
        <f t="shared" si="14"/>
        <v>0.98958333333333337</v>
      </c>
      <c r="N24" s="239">
        <f t="shared" si="11"/>
        <v>0.8850931677018633</v>
      </c>
      <c r="O24" s="215">
        <f>SUMIFS('Diags Raw Data'!$Z$6:$Z$5007,'Diags Raw Data'!$D$6:$D$5007,$A24,'Diags Raw Data'!$M$6:$M$5007,"New")+SUMIFS('Diags Raw Data'!$Z$6:$Z$5007,'Diags Raw Data'!$D$6:$D$5007,$A24,'Diags Raw Data'!$M$6:$M$5007,"Delta")</f>
        <v>212</v>
      </c>
      <c r="P24" s="205">
        <f>SUMIFS('Diags Raw Data'!$AA$6:$AA$5007,'Diags Raw Data'!$D$6:$D$5007,$A24,'Diags Raw Data'!$M$6:$M$5007,"New")+SUMIFS('Diags Raw Data'!$AA$6:$AA$5007,'Diags Raw Data'!$D$6:$D$5007,$A24,'Diags Raw Data'!$M$6:$M$5007,"Delta")</f>
        <v>212</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0.65634674922600622</v>
      </c>
      <c r="U24" s="231">
        <f t="shared" si="13"/>
        <v>1</v>
      </c>
      <c r="V24" s="233">
        <f t="shared" si="9"/>
        <v>0.65634674922600622</v>
      </c>
    </row>
    <row r="25" spans="1:22" x14ac:dyDescent="0.25">
      <c r="A25" s="336" t="s">
        <v>564</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21</v>
      </c>
      <c r="D25" s="244">
        <f>SUMIFS('Diags Raw Data'!$K$6:$K$5007,'Diags Raw Data'!$D$6:$D$5007,$A25,'Diags Raw Data'!$M$6:$M$5007,"New")+SUMIFS('Diags Raw Data'!$K$6:$K$5007,'Diags Raw Data'!$D$6:$D$5007,$A25,'Diags Raw Data'!$M$6:$M$5007,"Delta")</f>
        <v>19</v>
      </c>
      <c r="E25" s="244">
        <f>SUMIFS('Diags Raw Data'!$O$6:$O$5007,'Diags Raw Data'!$D$6:$D$5007,$A25,'Diags Raw Data'!$M$6:$M$5007,"New")+SUMIFS('Diags Raw Data'!$O$6:$O$5007,'Diags Raw Data'!$D$6:$D$5007,$A25,'Diags Raw Data'!$M$6:$M$5007,"Delta")</f>
        <v>21.6</v>
      </c>
      <c r="F25" s="250">
        <f t="shared" si="8"/>
        <v>0.98181818181818192</v>
      </c>
      <c r="G25" s="232">
        <f>SUMIFS('Diags Raw Data'!$S$6:$S$5007,'Diags Raw Data'!$D$6:$D$5007,$A25,'Diags Raw Data'!$M$6:$M$5007,"New")+SUMIFS('Diags Raw Data'!$S$6:$S$5007,'Diags Raw Data'!$D$6:$D$5007,$A25,'Diags Raw Data'!$M$6:$M$5007,"Delta")</f>
        <v>18</v>
      </c>
      <c r="H25" s="228">
        <f>SUMIFS('Diags Raw Data'!$T$6:$T$5007,'Diags Raw Data'!$D$6:$D$5007,$A25,'Diags Raw Data'!$M$6:$M$5007,"New")+SUMIFS('Diags Raw Data'!$T$6:$T$5007,'Diags Raw Data'!$D$6:$D$5007,$A25,'Diags Raw Data'!$M$6:$M$5007,"Delta")</f>
        <v>17</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1</v>
      </c>
      <c r="K25" s="228">
        <f>SUMIFS('Diags Raw Data'!$W$6:$W$5007,'Diags Raw Data'!$D$6:$D$5007,$A25,'Diags Raw Data'!$M$6:$M$5007,"New")+SUMIFS('Diags Raw Data'!$W$6:$W$5007,'Diags Raw Data'!$D$6:$D$5007,$A25,'Diags Raw Data'!$M$6:$M$5007,"Delta")</f>
        <v>0</v>
      </c>
      <c r="L25" s="245">
        <f t="shared" si="10"/>
        <v>0.8571428571428571</v>
      </c>
      <c r="M25" s="230">
        <f>IF(NOT($G25=0), (H25+I25)/$G25, "---")</f>
        <v>0.94444444444444442</v>
      </c>
      <c r="N25" s="239">
        <f t="shared" si="11"/>
        <v>0.80952380952380953</v>
      </c>
      <c r="O25" s="215">
        <f>SUMIFS('Diags Raw Data'!$Z$6:$Z$5007,'Diags Raw Data'!$D$6:$D$5007,$A25,'Diags Raw Data'!$M$6:$M$5007,"New")+SUMIFS('Diags Raw Data'!$Z$6:$Z$5007,'Diags Raw Data'!$D$6:$D$5007,$A25,'Diags Raw Data'!$M$6:$M$5007,"Delta")</f>
        <v>0</v>
      </c>
      <c r="P25" s="205">
        <f>SUMIFS('Diags Raw Data'!$AA$6:$AA$5007,'Diags Raw Data'!$D$6:$D$5007,$A25,'Diags Raw Data'!$M$6:$M$5007,"New")+SUMIFS('Diags Raw Data'!$AA$6:$AA$5007,'Diags Raw Data'!$D$6:$D$5007,$A25,'Diags Raw Data'!$M$6:$M$5007,"Delta")</f>
        <v>0</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v>
      </c>
      <c r="U25" s="231" t="str">
        <f t="shared" si="13"/>
        <v>---</v>
      </c>
      <c r="V25" s="233">
        <f t="shared" si="9"/>
        <v>0</v>
      </c>
    </row>
    <row r="26" spans="1:22" x14ac:dyDescent="0.25">
      <c r="A26" s="336" t="s">
        <v>565</v>
      </c>
      <c r="B26" s="254">
        <f>SUMIFS('Diags Raw Data'!$L$6:$L$5007,'Diags Raw Data'!$D$6:$D$5007,$A26,'Diags Raw Data'!$M$6:$M$5007,"New")+SUMIFS('Diags Raw Data'!$L$6:$L$5007,'Diags Raw Data'!$D$6:$D$5007,$A26,'Diags Raw Data'!$M$6:$M$5007,"Delta")</f>
        <v>140</v>
      </c>
      <c r="C26" s="244">
        <f>SUMIFS('Diags Raw Data'!$R$6:$R$5007,'Diags Raw Data'!$D$6:$D$5007,$A26,'Diags Raw Data'!$M$6:$M$5007,"New")+SUMIFS('Diags Raw Data'!$R$6:$R$5007,'Diags Raw Data'!$D$6:$D$5007,$A26,'Diags Raw Data'!$M$6:$M$5007,"Delta")</f>
        <v>48</v>
      </c>
      <c r="D26" s="244">
        <f>SUMIFS('Diags Raw Data'!$K$6:$K$5007,'Diags Raw Data'!$D$6:$D$5007,$A26,'Diags Raw Data'!$M$6:$M$5007,"New")+SUMIFS('Diags Raw Data'!$K$6:$K$5007,'Diags Raw Data'!$D$6:$D$5007,$A26,'Diags Raw Data'!$M$6:$M$5007,"Delta")</f>
        <v>16</v>
      </c>
      <c r="E26" s="244">
        <f>SUMIFS('Diags Raw Data'!$O$6:$O$5007,'Diags Raw Data'!$D$6:$D$5007,$A26,'Diags Raw Data'!$M$6:$M$5007,"New")+SUMIFS('Diags Raw Data'!$O$6:$O$5007,'Diags Raw Data'!$D$6:$D$5007,$A26,'Diags Raw Data'!$M$6:$M$5007,"Delta")</f>
        <v>139</v>
      </c>
      <c r="F26" s="250">
        <f t="shared" si="8"/>
        <v>0.99285714285714288</v>
      </c>
      <c r="G26" s="232">
        <f>SUMIFS('Diags Raw Data'!$S$6:$S$5007,'Diags Raw Data'!$D$6:$D$5007,$A26,'Diags Raw Data'!$M$6:$M$5007,"New")+SUMIFS('Diags Raw Data'!$S$6:$S$5007,'Diags Raw Data'!$D$6:$D$5007,$A26,'Diags Raw Data'!$M$6:$M$5007,"Delta")</f>
        <v>47</v>
      </c>
      <c r="H26" s="228">
        <f>SUMIFS('Diags Raw Data'!$T$6:$T$5007,'Diags Raw Data'!$D$6:$D$5007,$A26,'Diags Raw Data'!$M$6:$M$5007,"New")+SUMIFS('Diags Raw Data'!$T$6:$T$5007,'Diags Raw Data'!$D$6:$D$5007,$A26,'Diags Raw Data'!$M$6:$M$5007,"Delta")</f>
        <v>46</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1</v>
      </c>
      <c r="K26" s="228">
        <f>SUMIFS('Diags Raw Data'!$W$6:$W$5007,'Diags Raw Data'!$D$6:$D$5007,$A26,'Diags Raw Data'!$M$6:$M$5007,"New")+SUMIFS('Diags Raw Data'!$W$6:$W$5007,'Diags Raw Data'!$D$6:$D$5007,$A26,'Diags Raw Data'!$M$6:$M$5007,"Delta")</f>
        <v>0</v>
      </c>
      <c r="L26" s="245">
        <f t="shared" si="10"/>
        <v>0.97916666666666663</v>
      </c>
      <c r="M26" s="230">
        <f t="shared" si="14"/>
        <v>0.97872340425531912</v>
      </c>
      <c r="N26" s="239">
        <f t="shared" si="11"/>
        <v>0.95833333333333337</v>
      </c>
      <c r="O26" s="215">
        <f>SUMIFS('Diags Raw Data'!$Z$6:$Z$5007,'Diags Raw Data'!$D$6:$D$5007,$A26,'Diags Raw Data'!$M$6:$M$5007,"New")+SUMIFS('Diags Raw Data'!$Z$6:$Z$5007,'Diags Raw Data'!$D$6:$D$5007,$A26,'Diags Raw Data'!$M$6:$M$5007,"Delta")</f>
        <v>0</v>
      </c>
      <c r="P26" s="205">
        <f>SUMIFS('Diags Raw Data'!$AA$6:$AA$5007,'Diags Raw Data'!$D$6:$D$5007,$A26,'Diags Raw Data'!$M$6:$M$5007,"New")+SUMIFS('Diags Raw Data'!$AA$6:$AA$5007,'Diags Raw Data'!$D$6:$D$5007,$A26,'Diags Raw Data'!$M$6:$M$5007,"Delta")</f>
        <v>0</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0</v>
      </c>
      <c r="U26" s="231" t="str">
        <f t="shared" si="13"/>
        <v>---</v>
      </c>
      <c r="V26" s="233">
        <f t="shared" si="9"/>
        <v>0</v>
      </c>
    </row>
    <row r="27" spans="1:22" ht="15.75" thickBot="1" x14ac:dyDescent="0.3">
      <c r="A27" s="337" t="s">
        <v>566</v>
      </c>
      <c r="B27" s="255">
        <f>SUMIFS('Diags Raw Data'!$L$6:$L$5007,'Diags Raw Data'!$D$6:$D$5007,$A27,'Diags Raw Data'!$M$6:$M$5007,"New")+SUMIFS('Diags Raw Data'!$L$6:$L$5007,'Diags Raw Data'!$D$6:$D$5007,$A27,'Diags Raw Data'!$M$6:$M$5007,"Delta")</f>
        <v>0</v>
      </c>
      <c r="C27" s="246">
        <f>SUMIFS('Diags Raw Data'!$R$6:$R$5007,'Diags Raw Data'!$D$6:$D$5007,$A27,'Diags Raw Data'!$M$6:$M$5007,"New")+SUMIFS('Diags Raw Data'!$R$6:$R$5007,'Diags Raw Data'!$D$6:$D$5007,$A27,'Diags Raw Data'!$M$6:$M$5007,"Delta")</f>
        <v>0</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t="str">
        <f t="shared" si="8"/>
        <v>---</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t="str">
        <f t="shared" si="10"/>
        <v>---</v>
      </c>
      <c r="M27" s="237" t="str">
        <f t="shared" si="14"/>
        <v>---</v>
      </c>
      <c r="N27" s="240" t="str">
        <f t="shared" si="11"/>
        <v>---</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t="str">
        <f t="shared" si="12"/>
        <v>---</v>
      </c>
      <c r="U27" s="241" t="str">
        <f t="shared" si="13"/>
        <v>---</v>
      </c>
      <c r="V27" s="238" t="str">
        <f t="shared" si="9"/>
        <v>---</v>
      </c>
    </row>
    <row r="28" spans="1:22" ht="16.5" thickBot="1" x14ac:dyDescent="0.3">
      <c r="A28" s="257" t="s">
        <v>569</v>
      </c>
      <c r="B28" s="258">
        <f>SUM(B18:B27)</f>
        <v>718</v>
      </c>
      <c r="C28" s="259">
        <f>SUM(C18:C27)</f>
        <v>535</v>
      </c>
      <c r="D28" s="259">
        <f>SUM(D18:D27)</f>
        <v>250</v>
      </c>
      <c r="E28" s="259">
        <f>SUM(E18:E27)</f>
        <v>707.1</v>
      </c>
      <c r="F28" s="260" cm="1">
        <f t="array" ref="F28">SUMPRODUCT(--(ISNUMBER(SEARCH("New",'Diags Raw Data'!$M$6:$M$5007))),'Diags Raw Data'!$K$6:$K$5007,'Diags Raw Data'!$P$6:$P$5007)/D28+SUMPRODUCT(--(ISNUMBER(SEARCH("Delta",'Diags Raw Data'!$M$6:$M$5007))),'Diags Raw Data'!$K$6:$K$5007,'Diags Raw Data'!$P$6:$P$5007)/D28</f>
        <v>0.96980000000000011</v>
      </c>
      <c r="G28" s="261">
        <f>SUM(G18:G27)</f>
        <v>450</v>
      </c>
      <c r="H28" s="262">
        <f>SUM(H18:H27)</f>
        <v>438</v>
      </c>
      <c r="I28" s="263">
        <f>SUM(I18:I27)</f>
        <v>0</v>
      </c>
      <c r="J28" s="262">
        <f>SUM(J18:J27)</f>
        <v>12</v>
      </c>
      <c r="K28" s="263">
        <f>SUM(K18:K27)</f>
        <v>0</v>
      </c>
      <c r="L28" s="264">
        <f>IF(NOT($C28=0), G28/$C28, "---")</f>
        <v>0.84112149532710279</v>
      </c>
      <c r="M28" s="265">
        <f t="shared" si="14"/>
        <v>0.97333333333333338</v>
      </c>
      <c r="N28" s="266">
        <f>IF(NOT($C28=0), (H28+I28)/$C28, "---")</f>
        <v>0.81869158878504678</v>
      </c>
      <c r="O28" s="267">
        <f>SUM(O18:O27)</f>
        <v>240</v>
      </c>
      <c r="P28" s="268">
        <f>SUM(P18:P27)</f>
        <v>238</v>
      </c>
      <c r="Q28" s="269">
        <f>SUM(Q18:Q27)</f>
        <v>0</v>
      </c>
      <c r="R28" s="268">
        <f>SUM(R18:R27)</f>
        <v>2</v>
      </c>
      <c r="S28" s="269">
        <f>SUM(S18:S27)</f>
        <v>0</v>
      </c>
      <c r="T28" s="270">
        <f>IF(NOT($B28=0), O28/$B28, "---")</f>
        <v>0.33426183844011143</v>
      </c>
      <c r="U28" s="271">
        <f t="shared" si="13"/>
        <v>0.9916666666666667</v>
      </c>
      <c r="V28" s="272">
        <f t="shared" si="9"/>
        <v>0.33147632311977715</v>
      </c>
    </row>
    <row r="29" spans="1:22" ht="15.75" thickBot="1" x14ac:dyDescent="0.3">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75" thickBot="1" x14ac:dyDescent="0.3">
      <c r="A30" s="218" t="s">
        <v>33</v>
      </c>
      <c r="B30" s="680" t="s">
        <v>166</v>
      </c>
      <c r="C30" s="680"/>
      <c r="D30" s="680"/>
      <c r="E30" s="680"/>
      <c r="F30" s="680"/>
      <c r="G30" s="681" t="s">
        <v>177</v>
      </c>
      <c r="H30" s="682"/>
      <c r="I30" s="682"/>
      <c r="J30" s="682"/>
      <c r="K30" s="682"/>
      <c r="L30" s="682"/>
      <c r="M30" s="682"/>
      <c r="N30" s="683"/>
      <c r="O30" s="684" t="s">
        <v>144</v>
      </c>
      <c r="P30" s="685"/>
      <c r="Q30" s="685"/>
      <c r="R30" s="685"/>
      <c r="S30" s="685"/>
      <c r="T30" s="685"/>
      <c r="U30" s="685"/>
      <c r="V30" s="686"/>
    </row>
    <row r="31" spans="1:22" s="252" customFormat="1" ht="30.75" thickBot="1" x14ac:dyDescent="0.3">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25">
      <c r="A32" s="336" t="s">
        <v>557</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25">
      <c r="A33" s="336" t="s">
        <v>558</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25">
      <c r="A34" s="336" t="s">
        <v>559</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25">
      <c r="A35" s="336" t="s">
        <v>560</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25">
      <c r="A36" s="336" t="s">
        <v>561</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25">
      <c r="A37" s="336" t="s">
        <v>562</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1</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25">
      <c r="A38" s="336" t="s">
        <v>563</v>
      </c>
      <c r="B38" s="254">
        <f>SUMIFS('Diags Raw Data'!$L$6:$L$5007,'Diags Raw Data'!$D$6:$D$5007,$A38,'Diags Raw Data'!$M$6:$M$5007,"Legacy")</f>
        <v>0</v>
      </c>
      <c r="C38" s="244">
        <f>SUMIFS('Diags Raw Data'!$R$6:$R$5007,'Diags Raw Data'!$D$6:$D$5007,$A38,'Diags Raw Data'!$M$6:$M$5007,"Legacy")</f>
        <v>0</v>
      </c>
      <c r="D38" s="244">
        <f>SUMIFS('Diags Raw Data'!$K$6:$K$5007,'Diags Raw Data'!$D$6:$D$5007,$A38,'Diags Raw Data'!$M$6:$M$5007,"Legacy")</f>
        <v>1</v>
      </c>
      <c r="E38" s="244">
        <f>SUMIFS('Diags Raw Data'!$O$6:$O$5007,'Diags Raw Data'!$D$6:$D$5007,$A38,'Diags Raw Data'!$M$6:$M$5007,"Legacy")</f>
        <v>0</v>
      </c>
      <c r="F38" s="250" t="str">
        <f t="shared" si="15"/>
        <v>---</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t="str">
        <f t="shared" si="16"/>
        <v>---</v>
      </c>
      <c r="M38" s="230" t="str">
        <f t="shared" si="17"/>
        <v>---</v>
      </c>
      <c r="N38" s="239" t="str">
        <f t="shared" si="18"/>
        <v>---</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t="str">
        <f t="shared" si="19"/>
        <v>---</v>
      </c>
      <c r="U38" s="231" t="str">
        <f t="shared" si="20"/>
        <v>---</v>
      </c>
      <c r="V38" s="233" t="str">
        <f t="shared" si="21"/>
        <v>---</v>
      </c>
    </row>
    <row r="39" spans="1:22" x14ac:dyDescent="0.25">
      <c r="A39" s="336" t="s">
        <v>564</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25">
      <c r="A40" s="336" t="s">
        <v>565</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75" thickBot="1" x14ac:dyDescent="0.3">
      <c r="A41" s="337" t="s">
        <v>566</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5" thickBot="1" x14ac:dyDescent="0.3">
      <c r="A42" s="273" t="s">
        <v>570</v>
      </c>
      <c r="B42" s="258">
        <f>SUM(B32:B41)</f>
        <v>0</v>
      </c>
      <c r="C42" s="259">
        <f>SUM(C32:C41)</f>
        <v>0</v>
      </c>
      <c r="D42" s="259">
        <f>SUM(D32:D41)</f>
        <v>2</v>
      </c>
      <c r="E42" s="259">
        <f>SUM(E32:E41)</f>
        <v>0</v>
      </c>
      <c r="F42" s="260" cm="1">
        <f t="array" ref="F42">SUMPRODUCT(--(ISNUMBER(SEARCH("Legacy",'Diags Raw Data'!$M$6:$M$5007))),'Diags Raw Data'!$K$6:$K$5007,'Diags Raw Data'!$P$6:$P$5007)/D42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25">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25">
      <c r="F45" s="130"/>
    </row>
    <row r="48" spans="1:22" x14ac:dyDescent="0.25">
      <c r="F48" s="416"/>
    </row>
    <row r="49" spans="6:6" x14ac:dyDescent="0.25">
      <c r="F49" s="415"/>
    </row>
    <row r="50" spans="6:6" x14ac:dyDescent="0.25">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236" activePane="bottomLeft" state="frozen"/>
      <selection pane="bottomLeft" activeCell="A3" sqref="A3:A254"/>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95" t="s">
        <v>571</v>
      </c>
      <c r="B1" s="696"/>
      <c r="C1" s="696"/>
      <c r="D1" s="696"/>
      <c r="E1" s="696"/>
      <c r="F1" s="696"/>
      <c r="G1" s="696"/>
      <c r="H1" s="696"/>
      <c r="I1" s="696"/>
      <c r="J1" s="696"/>
      <c r="K1" s="696"/>
      <c r="L1" s="696"/>
      <c r="M1" s="697"/>
    </row>
    <row r="2" spans="1:13" s="79" customFormat="1" ht="15.75" thickBot="1" x14ac:dyDescent="0.3">
      <c r="A2" s="410" t="s">
        <v>77</v>
      </c>
      <c r="B2" s="411" t="s">
        <v>81</v>
      </c>
      <c r="C2" s="412" t="s">
        <v>96</v>
      </c>
      <c r="D2" s="412" t="s">
        <v>202</v>
      </c>
      <c r="E2" s="413" t="s">
        <v>1</v>
      </c>
      <c r="F2" s="577" t="s">
        <v>88</v>
      </c>
      <c r="G2" s="577" t="s">
        <v>572</v>
      </c>
      <c r="H2" s="577" t="s">
        <v>573</v>
      </c>
      <c r="I2" s="583" t="s">
        <v>57</v>
      </c>
    </row>
    <row r="3" spans="1:13" ht="15.75" thickBot="1" x14ac:dyDescent="0.3">
      <c r="A3" s="575">
        <v>12</v>
      </c>
      <c r="B3" s="338" t="s">
        <v>574</v>
      </c>
      <c r="C3" s="544" t="s">
        <v>259</v>
      </c>
      <c r="D3" s="544" t="s">
        <v>34</v>
      </c>
      <c r="E3" s="546" t="s">
        <v>44</v>
      </c>
      <c r="F3" s="578" t="s">
        <v>561</v>
      </c>
      <c r="G3" s="545"/>
      <c r="H3" s="545"/>
      <c r="I3" s="584"/>
      <c r="K3" s="291" t="s">
        <v>77</v>
      </c>
      <c r="L3" s="292" t="s">
        <v>575</v>
      </c>
      <c r="M3" s="540">
        <f>COUNTA(A3:A3922)</f>
        <v>252</v>
      </c>
    </row>
    <row r="4" spans="1:13" x14ac:dyDescent="0.25">
      <c r="A4" s="576">
        <v>12.000999999999999</v>
      </c>
      <c r="B4" s="339" t="s">
        <v>576</v>
      </c>
      <c r="C4" s="545" t="s">
        <v>259</v>
      </c>
      <c r="D4" s="545" t="s">
        <v>34</v>
      </c>
      <c r="E4" s="547" t="s">
        <v>44</v>
      </c>
      <c r="F4" s="578" t="s">
        <v>562</v>
      </c>
      <c r="G4" s="545"/>
      <c r="H4" s="545"/>
      <c r="I4" s="584"/>
      <c r="K4" s="687" t="s">
        <v>96</v>
      </c>
      <c r="L4" s="293" t="s">
        <v>577</v>
      </c>
      <c r="M4" s="541">
        <f>COUNTIFS($C3:$C3922,"P1")</f>
        <v>151</v>
      </c>
    </row>
    <row r="5" spans="1:13" x14ac:dyDescent="0.25">
      <c r="A5" s="576">
        <v>12.001999999999999</v>
      </c>
      <c r="B5" s="339" t="s">
        <v>578</v>
      </c>
      <c r="C5" s="545" t="s">
        <v>259</v>
      </c>
      <c r="D5" s="545" t="s">
        <v>34</v>
      </c>
      <c r="E5" s="547" t="s">
        <v>44</v>
      </c>
      <c r="F5" s="578" t="s">
        <v>564</v>
      </c>
      <c r="G5" s="545"/>
      <c r="H5" s="545"/>
      <c r="I5" s="584"/>
      <c r="K5" s="688"/>
      <c r="L5" s="294" t="s">
        <v>579</v>
      </c>
      <c r="M5" s="542">
        <f>COUNTIFS($C3:$C3922,"P2")</f>
        <v>90</v>
      </c>
    </row>
    <row r="6" spans="1:13" ht="15.75" thickBot="1" x14ac:dyDescent="0.3">
      <c r="A6" s="576">
        <v>12.002999999999998</v>
      </c>
      <c r="B6" s="339" t="s">
        <v>580</v>
      </c>
      <c r="C6" s="545" t="s">
        <v>259</v>
      </c>
      <c r="D6" s="545" t="s">
        <v>34</v>
      </c>
      <c r="E6" s="547" t="s">
        <v>44</v>
      </c>
      <c r="F6" s="578" t="s">
        <v>562</v>
      </c>
      <c r="G6" s="545"/>
      <c r="H6" s="545"/>
      <c r="I6" s="584"/>
      <c r="K6" s="689"/>
      <c r="L6" s="295" t="s">
        <v>581</v>
      </c>
      <c r="M6" s="543">
        <f>COUNTIFS($C3:$C3922,"P3")</f>
        <v>11</v>
      </c>
    </row>
    <row r="7" spans="1:13" x14ac:dyDescent="0.25">
      <c r="A7" s="576">
        <v>12.003999999999998</v>
      </c>
      <c r="B7" s="339" t="s">
        <v>582</v>
      </c>
      <c r="C7" s="545" t="s">
        <v>259</v>
      </c>
      <c r="D7" s="545" t="s">
        <v>34</v>
      </c>
      <c r="E7" s="547" t="s">
        <v>44</v>
      </c>
      <c r="F7" s="578" t="s">
        <v>562</v>
      </c>
      <c r="G7" s="545"/>
      <c r="H7" s="545"/>
      <c r="I7" s="584"/>
      <c r="K7" s="690" t="s">
        <v>202</v>
      </c>
      <c r="L7" s="293" t="s">
        <v>583</v>
      </c>
      <c r="M7" s="541">
        <f>COUNTIFS($D3:$D3922,"Diagnostics")</f>
        <v>191</v>
      </c>
    </row>
    <row r="8" spans="1:13" x14ac:dyDescent="0.25">
      <c r="A8" s="576">
        <v>12.005999999999997</v>
      </c>
      <c r="B8" s="339" t="s">
        <v>584</v>
      </c>
      <c r="C8" s="545" t="s">
        <v>259</v>
      </c>
      <c r="D8" s="545" t="s">
        <v>34</v>
      </c>
      <c r="E8" s="547" t="s">
        <v>44</v>
      </c>
      <c r="F8" s="578" t="s">
        <v>560</v>
      </c>
      <c r="G8" s="545"/>
      <c r="H8" s="545"/>
      <c r="I8" s="584"/>
      <c r="K8" s="691"/>
      <c r="L8" s="294" t="s">
        <v>585</v>
      </c>
      <c r="M8" s="542">
        <f>COUNTIFS($D3:$D3922,"Driver")</f>
        <v>5</v>
      </c>
    </row>
    <row r="9" spans="1:13" x14ac:dyDescent="0.25">
      <c r="A9" s="576">
        <v>12.006999999999996</v>
      </c>
      <c r="B9" s="339" t="s">
        <v>586</v>
      </c>
      <c r="C9" s="545" t="s">
        <v>259</v>
      </c>
      <c r="D9" s="545" t="s">
        <v>34</v>
      </c>
      <c r="E9" s="547" t="s">
        <v>39</v>
      </c>
      <c r="F9" s="578" t="s">
        <v>562</v>
      </c>
      <c r="G9" s="545"/>
      <c r="H9" s="545"/>
      <c r="I9" s="584"/>
      <c r="K9" s="691"/>
      <c r="L9" s="294" t="s">
        <v>587</v>
      </c>
      <c r="M9" s="542">
        <f>COUNTIFS($D3:$D3922,"IPSE")</f>
        <v>12</v>
      </c>
    </row>
    <row r="10" spans="1:13" ht="15.75" thickBot="1" x14ac:dyDescent="0.3">
      <c r="A10" s="576">
        <v>12.007999999999996</v>
      </c>
      <c r="B10" s="339" t="s">
        <v>588</v>
      </c>
      <c r="C10" s="545" t="s">
        <v>259</v>
      </c>
      <c r="D10" s="545" t="s">
        <v>34</v>
      </c>
      <c r="E10" s="547" t="s">
        <v>39</v>
      </c>
      <c r="F10" s="578" t="s">
        <v>562</v>
      </c>
      <c r="G10" s="545"/>
      <c r="H10" s="545"/>
      <c r="I10" s="584"/>
      <c r="K10" s="692"/>
      <c r="L10" s="295" t="s">
        <v>589</v>
      </c>
      <c r="M10" s="543">
        <f>COUNTIFS($D3:$D3922,"N/A")</f>
        <v>44</v>
      </c>
    </row>
    <row r="11" spans="1:13" x14ac:dyDescent="0.25">
      <c r="A11" s="576">
        <v>12.008999999999995</v>
      </c>
      <c r="B11" s="339" t="s">
        <v>590</v>
      </c>
      <c r="C11" s="545" t="s">
        <v>259</v>
      </c>
      <c r="D11" s="545" t="s">
        <v>34</v>
      </c>
      <c r="E11" s="547" t="s">
        <v>44</v>
      </c>
      <c r="F11" s="578" t="s">
        <v>562</v>
      </c>
      <c r="G11" s="545"/>
      <c r="H11" s="545"/>
      <c r="I11" s="584"/>
      <c r="K11" s="690" t="s">
        <v>1</v>
      </c>
      <c r="L11" s="293" t="s">
        <v>591</v>
      </c>
      <c r="M11" s="541">
        <f>COUNTIFS($E3:$E3922,"Legacy")</f>
        <v>2</v>
      </c>
    </row>
    <row r="12" spans="1:13" x14ac:dyDescent="0.25">
      <c r="A12" s="576">
        <v>12.009999999999994</v>
      </c>
      <c r="B12" s="339" t="s">
        <v>592</v>
      </c>
      <c r="C12" s="545" t="s">
        <v>259</v>
      </c>
      <c r="D12" s="545" t="s">
        <v>34</v>
      </c>
      <c r="E12" s="547" t="s">
        <v>44</v>
      </c>
      <c r="F12" s="578" t="s">
        <v>562</v>
      </c>
      <c r="G12" s="545"/>
      <c r="H12" s="545"/>
      <c r="I12" s="584"/>
      <c r="K12" s="691"/>
      <c r="L12" s="294" t="s">
        <v>593</v>
      </c>
      <c r="M12" s="542">
        <f>COUNTIFS($E3:$E3922,"Delta")</f>
        <v>11</v>
      </c>
    </row>
    <row r="13" spans="1:13" ht="15.75" thickBot="1" x14ac:dyDescent="0.3">
      <c r="A13" s="576">
        <v>12.010999999999994</v>
      </c>
      <c r="B13" s="339" t="s">
        <v>594</v>
      </c>
      <c r="C13" s="545" t="s">
        <v>259</v>
      </c>
      <c r="D13" s="545" t="s">
        <v>34</v>
      </c>
      <c r="E13" s="547" t="s">
        <v>44</v>
      </c>
      <c r="F13" s="578" t="s">
        <v>562</v>
      </c>
      <c r="G13" s="545"/>
      <c r="H13" s="545"/>
      <c r="I13" s="584"/>
      <c r="K13" s="692"/>
      <c r="L13" s="295" t="s">
        <v>595</v>
      </c>
      <c r="M13" s="543">
        <f>COUNTIFS($E3:$E3922,"New")</f>
        <v>239</v>
      </c>
    </row>
    <row r="14" spans="1:13" ht="15.75" thickBot="1" x14ac:dyDescent="0.3">
      <c r="A14" s="576">
        <v>12.011999999999993</v>
      </c>
      <c r="B14" s="339" t="s">
        <v>596</v>
      </c>
      <c r="C14" s="545" t="s">
        <v>259</v>
      </c>
      <c r="D14" s="545" t="s">
        <v>34</v>
      </c>
      <c r="E14" s="547" t="s">
        <v>39</v>
      </c>
      <c r="F14" s="578" t="s">
        <v>562</v>
      </c>
      <c r="G14" s="545"/>
      <c r="H14" s="545"/>
      <c r="I14" s="584"/>
      <c r="K14" s="414" t="s">
        <v>207</v>
      </c>
      <c r="L14" s="693"/>
      <c r="M14" s="694"/>
    </row>
    <row r="15" spans="1:13" x14ac:dyDescent="0.25">
      <c r="A15" s="576">
        <v>12.012999999999993</v>
      </c>
      <c r="B15" s="339" t="s">
        <v>597</v>
      </c>
      <c r="C15" s="545" t="s">
        <v>280</v>
      </c>
      <c r="D15" s="545" t="s">
        <v>34</v>
      </c>
      <c r="E15" s="547" t="s">
        <v>44</v>
      </c>
      <c r="F15" s="578" t="s">
        <v>564</v>
      </c>
      <c r="G15" s="545"/>
      <c r="H15" s="545"/>
      <c r="I15" s="584"/>
    </row>
    <row r="16" spans="1:13" x14ac:dyDescent="0.25">
      <c r="A16" s="576">
        <v>12.013999999999992</v>
      </c>
      <c r="B16" s="339" t="s">
        <v>598</v>
      </c>
      <c r="C16" s="545" t="s">
        <v>259</v>
      </c>
      <c r="D16" s="545" t="s">
        <v>34</v>
      </c>
      <c r="E16" s="547" t="s">
        <v>44</v>
      </c>
      <c r="F16" s="578" t="s">
        <v>562</v>
      </c>
      <c r="G16" s="545"/>
      <c r="H16" s="545"/>
      <c r="I16" s="584"/>
    </row>
    <row r="17" spans="1:9" x14ac:dyDescent="0.25">
      <c r="A17" s="576">
        <v>12.014999999999992</v>
      </c>
      <c r="B17" s="339" t="s">
        <v>599</v>
      </c>
      <c r="C17" s="545" t="s">
        <v>259</v>
      </c>
      <c r="D17" s="545" t="s">
        <v>34</v>
      </c>
      <c r="E17" s="547" t="s">
        <v>39</v>
      </c>
      <c r="F17" s="578" t="s">
        <v>562</v>
      </c>
      <c r="G17" s="545"/>
      <c r="H17" s="545"/>
      <c r="I17" s="584"/>
    </row>
    <row r="18" spans="1:9" x14ac:dyDescent="0.25">
      <c r="A18" s="576">
        <v>12.015999999999991</v>
      </c>
      <c r="B18" s="339" t="s">
        <v>600</v>
      </c>
      <c r="C18" s="545" t="s">
        <v>259</v>
      </c>
      <c r="D18" s="545" t="s">
        <v>34</v>
      </c>
      <c r="E18" s="547" t="s">
        <v>44</v>
      </c>
      <c r="F18" s="578" t="s">
        <v>562</v>
      </c>
      <c r="G18" s="545"/>
      <c r="H18" s="545"/>
      <c r="I18" s="584"/>
    </row>
    <row r="19" spans="1:9" x14ac:dyDescent="0.25">
      <c r="A19" s="576">
        <v>12.016999999999991</v>
      </c>
      <c r="B19" s="339" t="s">
        <v>601</v>
      </c>
      <c r="C19" s="545" t="s">
        <v>259</v>
      </c>
      <c r="D19" s="545" t="s">
        <v>34</v>
      </c>
      <c r="E19" s="547" t="s">
        <v>44</v>
      </c>
      <c r="F19" s="578" t="s">
        <v>562</v>
      </c>
      <c r="G19" s="545"/>
      <c r="H19" s="545"/>
      <c r="I19" s="584"/>
    </row>
    <row r="20" spans="1:9" x14ac:dyDescent="0.25">
      <c r="A20" s="576">
        <v>12.018999999999989</v>
      </c>
      <c r="B20" s="339" t="s">
        <v>602</v>
      </c>
      <c r="C20" s="545" t="s">
        <v>259</v>
      </c>
      <c r="D20" s="545" t="s">
        <v>34</v>
      </c>
      <c r="E20" s="547" t="s">
        <v>44</v>
      </c>
      <c r="F20" s="578" t="s">
        <v>565</v>
      </c>
      <c r="G20" s="545"/>
      <c r="H20" s="545"/>
      <c r="I20" s="584"/>
    </row>
    <row r="21" spans="1:9" x14ac:dyDescent="0.25">
      <c r="A21" s="576">
        <v>12.019999999999989</v>
      </c>
      <c r="B21" s="339" t="s">
        <v>603</v>
      </c>
      <c r="C21" s="545" t="s">
        <v>259</v>
      </c>
      <c r="D21" s="545" t="s">
        <v>34</v>
      </c>
      <c r="E21" s="547" t="s">
        <v>44</v>
      </c>
      <c r="F21" s="578" t="s">
        <v>565</v>
      </c>
      <c r="G21" s="545" t="s">
        <v>604</v>
      </c>
      <c r="H21" s="545" t="s">
        <v>259</v>
      </c>
      <c r="I21" s="584"/>
    </row>
    <row r="22" spans="1:9" x14ac:dyDescent="0.25">
      <c r="A22" s="576">
        <v>12.026999999999985</v>
      </c>
      <c r="B22" s="339" t="s">
        <v>605</v>
      </c>
      <c r="C22" s="545" t="s">
        <v>259</v>
      </c>
      <c r="D22" s="545" t="s">
        <v>34</v>
      </c>
      <c r="E22" s="547" t="s">
        <v>44</v>
      </c>
      <c r="F22" s="578" t="s">
        <v>557</v>
      </c>
      <c r="G22" s="545"/>
      <c r="H22" s="545"/>
      <c r="I22" s="584"/>
    </row>
    <row r="23" spans="1:9" x14ac:dyDescent="0.25">
      <c r="A23" s="576">
        <v>12.029999999999983</v>
      </c>
      <c r="B23" s="339" t="s">
        <v>606</v>
      </c>
      <c r="C23" s="545" t="s">
        <v>259</v>
      </c>
      <c r="D23" s="545" t="s">
        <v>34</v>
      </c>
      <c r="E23" s="547" t="s">
        <v>44</v>
      </c>
      <c r="F23" s="578" t="s">
        <v>563</v>
      </c>
      <c r="G23" s="545"/>
      <c r="H23" s="545" t="s">
        <v>280</v>
      </c>
      <c r="I23" s="584"/>
    </row>
    <row r="24" spans="1:9" x14ac:dyDescent="0.25">
      <c r="A24" s="576">
        <v>12.030999999999983</v>
      </c>
      <c r="B24" s="339" t="s">
        <v>607</v>
      </c>
      <c r="C24" s="545" t="s">
        <v>259</v>
      </c>
      <c r="D24" s="545" t="s">
        <v>34</v>
      </c>
      <c r="E24" s="547" t="s">
        <v>44</v>
      </c>
      <c r="F24" s="578" t="s">
        <v>562</v>
      </c>
      <c r="G24" s="545"/>
      <c r="H24" s="545" t="s">
        <v>280</v>
      </c>
      <c r="I24" s="584"/>
    </row>
    <row r="25" spans="1:9" x14ac:dyDescent="0.25">
      <c r="A25" s="576">
        <v>12.032999999999982</v>
      </c>
      <c r="B25" s="339" t="s">
        <v>608</v>
      </c>
      <c r="C25" s="545" t="s">
        <v>280</v>
      </c>
      <c r="D25" s="545" t="s">
        <v>34</v>
      </c>
      <c r="E25" s="547" t="s">
        <v>44</v>
      </c>
      <c r="F25" s="578" t="s">
        <v>565</v>
      </c>
      <c r="G25" s="545"/>
      <c r="H25" s="545"/>
      <c r="I25" s="584"/>
    </row>
    <row r="26" spans="1:9" x14ac:dyDescent="0.25">
      <c r="A26" s="576">
        <v>12.033999999999981</v>
      </c>
      <c r="B26" s="339" t="s">
        <v>609</v>
      </c>
      <c r="C26" s="545" t="s">
        <v>280</v>
      </c>
      <c r="D26" s="545" t="s">
        <v>34</v>
      </c>
      <c r="E26" s="547" t="s">
        <v>44</v>
      </c>
      <c r="F26" s="578" t="s">
        <v>565</v>
      </c>
      <c r="G26" s="545"/>
      <c r="H26" s="545"/>
      <c r="I26" s="584"/>
    </row>
    <row r="27" spans="1:9" x14ac:dyDescent="0.25">
      <c r="A27" s="576">
        <v>12.03599999999998</v>
      </c>
      <c r="B27" s="339" t="s">
        <v>610</v>
      </c>
      <c r="C27" s="545" t="s">
        <v>259</v>
      </c>
      <c r="D27" s="545" t="s">
        <v>34</v>
      </c>
      <c r="E27" s="547" t="s">
        <v>44</v>
      </c>
      <c r="F27" s="578" t="s">
        <v>565</v>
      </c>
      <c r="G27" s="545" t="s">
        <v>604</v>
      </c>
      <c r="H27" s="545" t="s">
        <v>280</v>
      </c>
      <c r="I27" s="584"/>
    </row>
    <row r="28" spans="1:9" x14ac:dyDescent="0.25">
      <c r="A28" s="576">
        <v>12.037000000000001</v>
      </c>
      <c r="B28" s="339" t="s">
        <v>611</v>
      </c>
      <c r="C28" s="545" t="s">
        <v>259</v>
      </c>
      <c r="D28" s="545" t="s">
        <v>34</v>
      </c>
      <c r="E28" s="547" t="s">
        <v>44</v>
      </c>
      <c r="F28" s="578" t="s">
        <v>565</v>
      </c>
      <c r="G28" s="545" t="s">
        <v>604</v>
      </c>
      <c r="H28" s="545" t="s">
        <v>280</v>
      </c>
      <c r="I28" s="584"/>
    </row>
    <row r="29" spans="1:9" x14ac:dyDescent="0.25">
      <c r="A29" s="576">
        <v>12.039999999999978</v>
      </c>
      <c r="B29" s="339" t="s">
        <v>612</v>
      </c>
      <c r="C29" s="545" t="s">
        <v>259</v>
      </c>
      <c r="D29" s="545" t="s">
        <v>34</v>
      </c>
      <c r="E29" s="547" t="s">
        <v>44</v>
      </c>
      <c r="F29" s="578" t="s">
        <v>565</v>
      </c>
      <c r="G29" s="545" t="s">
        <v>604</v>
      </c>
      <c r="H29" s="545" t="s">
        <v>280</v>
      </c>
      <c r="I29" s="584"/>
    </row>
    <row r="30" spans="1:9" x14ac:dyDescent="0.25">
      <c r="A30" s="576">
        <v>12.041</v>
      </c>
      <c r="B30" s="339" t="s">
        <v>613</v>
      </c>
      <c r="C30" s="545" t="s">
        <v>259</v>
      </c>
      <c r="D30" s="545" t="s">
        <v>34</v>
      </c>
      <c r="E30" s="547" t="s">
        <v>44</v>
      </c>
      <c r="F30" s="578" t="s">
        <v>557</v>
      </c>
      <c r="G30" s="545"/>
      <c r="H30" s="545" t="s">
        <v>280</v>
      </c>
      <c r="I30" s="584"/>
    </row>
    <row r="31" spans="1:9" x14ac:dyDescent="0.25">
      <c r="A31" s="576">
        <v>12.041999999999977</v>
      </c>
      <c r="B31" s="339" t="s">
        <v>614</v>
      </c>
      <c r="C31" s="545" t="s">
        <v>259</v>
      </c>
      <c r="D31" s="545" t="s">
        <v>34</v>
      </c>
      <c r="E31" s="547" t="s">
        <v>44</v>
      </c>
      <c r="F31" s="578" t="s">
        <v>557</v>
      </c>
      <c r="G31" s="545"/>
      <c r="H31" s="545"/>
      <c r="I31" s="584"/>
    </row>
    <row r="32" spans="1:9" x14ac:dyDescent="0.25">
      <c r="A32" s="576">
        <v>12.043999999999976</v>
      </c>
      <c r="B32" s="339" t="s">
        <v>615</v>
      </c>
      <c r="C32" s="545" t="s">
        <v>259</v>
      </c>
      <c r="D32" s="545" t="s">
        <v>34</v>
      </c>
      <c r="E32" s="547" t="s">
        <v>44</v>
      </c>
      <c r="F32" s="578" t="s">
        <v>557</v>
      </c>
      <c r="G32" s="545"/>
      <c r="H32" s="545"/>
      <c r="I32" s="584"/>
    </row>
    <row r="33" spans="1:9" x14ac:dyDescent="0.25">
      <c r="A33" s="576">
        <v>12.045999999999975</v>
      </c>
      <c r="B33" s="339" t="s">
        <v>616</v>
      </c>
      <c r="C33" s="545" t="s">
        <v>259</v>
      </c>
      <c r="D33" s="545" t="s">
        <v>34</v>
      </c>
      <c r="E33" s="547" t="s">
        <v>44</v>
      </c>
      <c r="F33" s="578" t="s">
        <v>557</v>
      </c>
      <c r="G33" s="545"/>
      <c r="H33" s="545"/>
      <c r="I33" s="584"/>
    </row>
    <row r="34" spans="1:9" x14ac:dyDescent="0.25">
      <c r="A34" s="576">
        <v>12.047999999999973</v>
      </c>
      <c r="B34" s="339" t="s">
        <v>617</v>
      </c>
      <c r="C34" s="545" t="s">
        <v>280</v>
      </c>
      <c r="D34" s="545" t="s">
        <v>34</v>
      </c>
      <c r="E34" s="547" t="s">
        <v>44</v>
      </c>
      <c r="F34" s="578" t="s">
        <v>557</v>
      </c>
      <c r="G34" s="545"/>
      <c r="H34" s="545"/>
      <c r="I34" s="584"/>
    </row>
    <row r="35" spans="1:9" x14ac:dyDescent="0.25">
      <c r="A35" s="576">
        <v>12.048999999999973</v>
      </c>
      <c r="B35" s="339" t="s">
        <v>618</v>
      </c>
      <c r="C35" s="545" t="s">
        <v>259</v>
      </c>
      <c r="D35" s="545" t="s">
        <v>34</v>
      </c>
      <c r="E35" s="547" t="s">
        <v>44</v>
      </c>
      <c r="F35" s="578" t="s">
        <v>557</v>
      </c>
      <c r="G35" s="545"/>
      <c r="H35" s="545"/>
      <c r="I35" s="584"/>
    </row>
    <row r="36" spans="1:9" x14ac:dyDescent="0.25">
      <c r="A36" s="576">
        <v>12.051</v>
      </c>
      <c r="B36" s="339" t="s">
        <v>619</v>
      </c>
      <c r="C36" s="545" t="s">
        <v>280</v>
      </c>
      <c r="D36" s="545" t="s">
        <v>34</v>
      </c>
      <c r="E36" s="547" t="s">
        <v>44</v>
      </c>
      <c r="F36" s="578" t="s">
        <v>557</v>
      </c>
      <c r="G36" s="545"/>
      <c r="H36" s="545"/>
      <c r="I36" s="584"/>
    </row>
    <row r="37" spans="1:9" x14ac:dyDescent="0.25">
      <c r="A37" s="576">
        <v>12.052999999999971</v>
      </c>
      <c r="B37" s="339" t="s">
        <v>620</v>
      </c>
      <c r="C37" s="545" t="s">
        <v>259</v>
      </c>
      <c r="D37" s="545" t="s">
        <v>34</v>
      </c>
      <c r="E37" s="547" t="s">
        <v>44</v>
      </c>
      <c r="F37" s="578" t="s">
        <v>557</v>
      </c>
      <c r="G37" s="545" t="s">
        <v>604</v>
      </c>
      <c r="H37" s="545" t="s">
        <v>280</v>
      </c>
      <c r="I37" s="584"/>
    </row>
    <row r="38" spans="1:9" x14ac:dyDescent="0.25">
      <c r="A38" s="576">
        <v>12.054</v>
      </c>
      <c r="B38" s="339" t="s">
        <v>621</v>
      </c>
      <c r="C38" s="545" t="s">
        <v>259</v>
      </c>
      <c r="D38" s="545" t="s">
        <v>34</v>
      </c>
      <c r="E38" s="547" t="s">
        <v>44</v>
      </c>
      <c r="F38" s="578" t="s">
        <v>563</v>
      </c>
      <c r="G38" s="545"/>
      <c r="H38" s="545"/>
      <c r="I38" s="584"/>
    </row>
    <row r="39" spans="1:9" x14ac:dyDescent="0.25">
      <c r="A39" s="576">
        <v>12.05499999999997</v>
      </c>
      <c r="B39" s="339" t="s">
        <v>622</v>
      </c>
      <c r="C39" s="545" t="s">
        <v>259</v>
      </c>
      <c r="D39" s="545" t="s">
        <v>34</v>
      </c>
      <c r="E39" s="547" t="s">
        <v>44</v>
      </c>
      <c r="F39" s="578" t="s">
        <v>563</v>
      </c>
      <c r="G39" s="545"/>
      <c r="H39" s="545"/>
      <c r="I39" s="584"/>
    </row>
    <row r="40" spans="1:9" x14ac:dyDescent="0.25">
      <c r="A40" s="576">
        <v>12.055999999999969</v>
      </c>
      <c r="B40" s="339" t="s">
        <v>623</v>
      </c>
      <c r="C40" s="545" t="s">
        <v>259</v>
      </c>
      <c r="D40" s="545" t="s">
        <v>34</v>
      </c>
      <c r="E40" s="547" t="s">
        <v>44</v>
      </c>
      <c r="F40" s="578" t="s">
        <v>563</v>
      </c>
      <c r="G40" s="545"/>
      <c r="H40" s="545"/>
      <c r="I40" s="584"/>
    </row>
    <row r="41" spans="1:9" x14ac:dyDescent="0.25">
      <c r="A41" s="576">
        <v>12.057</v>
      </c>
      <c r="B41" s="339" t="s">
        <v>624</v>
      </c>
      <c r="C41" s="545" t="s">
        <v>280</v>
      </c>
      <c r="D41" s="545" t="s">
        <v>34</v>
      </c>
      <c r="E41" s="547" t="s">
        <v>44</v>
      </c>
      <c r="F41" s="578" t="s">
        <v>563</v>
      </c>
      <c r="G41" s="545"/>
      <c r="H41" s="545"/>
      <c r="I41" s="584"/>
    </row>
    <row r="42" spans="1:9" x14ac:dyDescent="0.25">
      <c r="A42" s="576">
        <v>12.058999999999967</v>
      </c>
      <c r="B42" s="339" t="s">
        <v>625</v>
      </c>
      <c r="C42" s="545" t="s">
        <v>259</v>
      </c>
      <c r="D42" s="545" t="s">
        <v>34</v>
      </c>
      <c r="E42" s="547" t="s">
        <v>44</v>
      </c>
      <c r="F42" s="578" t="s">
        <v>563</v>
      </c>
      <c r="G42" s="545"/>
      <c r="H42" s="545"/>
      <c r="I42" s="584"/>
    </row>
    <row r="43" spans="1:9" x14ac:dyDescent="0.25">
      <c r="A43" s="576">
        <v>12.059999999999967</v>
      </c>
      <c r="B43" s="339" t="s">
        <v>626</v>
      </c>
      <c r="C43" s="545" t="s">
        <v>259</v>
      </c>
      <c r="D43" s="545" t="s">
        <v>34</v>
      </c>
      <c r="E43" s="547" t="s">
        <v>44</v>
      </c>
      <c r="F43" s="578" t="s">
        <v>563</v>
      </c>
      <c r="G43" s="545" t="s">
        <v>604</v>
      </c>
      <c r="H43" s="545" t="s">
        <v>259</v>
      </c>
      <c r="I43" s="584"/>
    </row>
    <row r="44" spans="1:9" x14ac:dyDescent="0.25">
      <c r="A44" s="576">
        <v>12.061999999999966</v>
      </c>
      <c r="B44" s="339" t="s">
        <v>627</v>
      </c>
      <c r="C44" s="545" t="s">
        <v>259</v>
      </c>
      <c r="D44" s="545" t="s">
        <v>34</v>
      </c>
      <c r="E44" s="547" t="s">
        <v>44</v>
      </c>
      <c r="F44" s="578" t="s">
        <v>563</v>
      </c>
      <c r="G44" s="545"/>
      <c r="H44" s="545"/>
      <c r="I44" s="584"/>
    </row>
    <row r="45" spans="1:9" x14ac:dyDescent="0.25">
      <c r="A45" s="576">
        <v>12.062999999999965</v>
      </c>
      <c r="B45" s="339" t="s">
        <v>628</v>
      </c>
      <c r="C45" s="545" t="s">
        <v>280</v>
      </c>
      <c r="D45" s="545" t="s">
        <v>34</v>
      </c>
      <c r="E45" s="547" t="s">
        <v>39</v>
      </c>
      <c r="F45" s="578" t="s">
        <v>563</v>
      </c>
      <c r="G45" s="545"/>
      <c r="H45" s="545"/>
      <c r="I45" s="584"/>
    </row>
    <row r="46" spans="1:9" x14ac:dyDescent="0.25">
      <c r="A46" s="576">
        <v>12.063999999999965</v>
      </c>
      <c r="B46" s="339" t="s">
        <v>629</v>
      </c>
      <c r="C46" s="545" t="s">
        <v>280</v>
      </c>
      <c r="D46" s="545" t="s">
        <v>34</v>
      </c>
      <c r="E46" s="547" t="s">
        <v>39</v>
      </c>
      <c r="F46" s="578" t="s">
        <v>563</v>
      </c>
      <c r="G46" s="545"/>
      <c r="H46" s="545"/>
      <c r="I46" s="584"/>
    </row>
    <row r="47" spans="1:9" x14ac:dyDescent="0.25">
      <c r="A47" s="576">
        <v>12.064999999999964</v>
      </c>
      <c r="B47" s="339" t="s">
        <v>630</v>
      </c>
      <c r="C47" s="545" t="s">
        <v>259</v>
      </c>
      <c r="D47" s="545" t="s">
        <v>34</v>
      </c>
      <c r="E47" s="547" t="s">
        <v>39</v>
      </c>
      <c r="F47" s="578" t="s">
        <v>563</v>
      </c>
      <c r="G47" s="545" t="s">
        <v>631</v>
      </c>
      <c r="H47" s="545"/>
      <c r="I47" s="584"/>
    </row>
    <row r="48" spans="1:9" x14ac:dyDescent="0.25">
      <c r="A48" s="576">
        <v>12.065999999999963</v>
      </c>
      <c r="B48" s="339" t="s">
        <v>632</v>
      </c>
      <c r="C48" s="545" t="s">
        <v>280</v>
      </c>
      <c r="D48" s="545" t="s">
        <v>34</v>
      </c>
      <c r="E48" s="547" t="s">
        <v>39</v>
      </c>
      <c r="F48" s="578" t="s">
        <v>563</v>
      </c>
      <c r="G48" s="545"/>
      <c r="H48" s="545"/>
      <c r="I48" s="584"/>
    </row>
    <row r="49" spans="1:9" x14ac:dyDescent="0.25">
      <c r="A49" s="576">
        <v>12.066999999999963</v>
      </c>
      <c r="B49" s="339" t="s">
        <v>633</v>
      </c>
      <c r="C49" s="545" t="s">
        <v>259</v>
      </c>
      <c r="D49" s="545" t="s">
        <v>34</v>
      </c>
      <c r="E49" s="547" t="s">
        <v>39</v>
      </c>
      <c r="F49" s="578" t="s">
        <v>563</v>
      </c>
      <c r="G49" s="545"/>
      <c r="H49" s="545"/>
      <c r="I49" s="584"/>
    </row>
    <row r="50" spans="1:9" x14ac:dyDescent="0.25">
      <c r="A50" s="576">
        <v>12.067999999999962</v>
      </c>
      <c r="B50" s="339" t="s">
        <v>634</v>
      </c>
      <c r="C50" s="545" t="s">
        <v>259</v>
      </c>
      <c r="D50" s="545" t="s">
        <v>34</v>
      </c>
      <c r="E50" s="547" t="s">
        <v>33</v>
      </c>
      <c r="F50" s="578" t="s">
        <v>563</v>
      </c>
      <c r="G50" s="545"/>
      <c r="H50" s="545"/>
      <c r="I50" s="584"/>
    </row>
    <row r="51" spans="1:9" x14ac:dyDescent="0.25">
      <c r="A51" s="576">
        <v>12.068999999999962</v>
      </c>
      <c r="B51" s="339" t="s">
        <v>635</v>
      </c>
      <c r="C51" s="545" t="s">
        <v>259</v>
      </c>
      <c r="D51" s="545" t="s">
        <v>34</v>
      </c>
      <c r="E51" s="547" t="s">
        <v>44</v>
      </c>
      <c r="F51" s="578" t="s">
        <v>563</v>
      </c>
      <c r="G51" s="545" t="s">
        <v>604</v>
      </c>
      <c r="H51" s="545"/>
      <c r="I51" s="584"/>
    </row>
    <row r="52" spans="1:9" x14ac:dyDescent="0.25">
      <c r="A52" s="576">
        <v>12.070999999999961</v>
      </c>
      <c r="B52" s="339" t="s">
        <v>636</v>
      </c>
      <c r="C52" s="545" t="s">
        <v>280</v>
      </c>
      <c r="D52" s="545" t="s">
        <v>34</v>
      </c>
      <c r="E52" s="547" t="s">
        <v>44</v>
      </c>
      <c r="F52" s="578" t="s">
        <v>563</v>
      </c>
      <c r="G52" s="545"/>
      <c r="H52" s="545"/>
      <c r="I52" s="584"/>
    </row>
    <row r="53" spans="1:9" x14ac:dyDescent="0.25">
      <c r="A53" s="576">
        <v>12.07299999999996</v>
      </c>
      <c r="B53" s="339" t="s">
        <v>637</v>
      </c>
      <c r="C53" s="545" t="s">
        <v>280</v>
      </c>
      <c r="D53" s="545" t="s">
        <v>34</v>
      </c>
      <c r="E53" s="547" t="s">
        <v>44</v>
      </c>
      <c r="F53" s="578" t="s">
        <v>563</v>
      </c>
      <c r="G53" s="545"/>
      <c r="H53" s="545"/>
      <c r="I53" s="584"/>
    </row>
    <row r="54" spans="1:9" x14ac:dyDescent="0.25">
      <c r="A54" s="576">
        <v>12.077999999999957</v>
      </c>
      <c r="B54" s="339" t="s">
        <v>638</v>
      </c>
      <c r="C54" s="545" t="s">
        <v>259</v>
      </c>
      <c r="D54" s="545" t="s">
        <v>34</v>
      </c>
      <c r="E54" s="547" t="s">
        <v>44</v>
      </c>
      <c r="F54" s="578" t="s">
        <v>564</v>
      </c>
      <c r="G54" s="545"/>
      <c r="H54" s="545"/>
      <c r="I54" s="584"/>
    </row>
    <row r="55" spans="1:9" x14ac:dyDescent="0.25">
      <c r="A55" s="576">
        <v>12.078999999999956</v>
      </c>
      <c r="B55" s="339" t="s">
        <v>639</v>
      </c>
      <c r="C55" s="545" t="s">
        <v>259</v>
      </c>
      <c r="D55" s="545" t="s">
        <v>34</v>
      </c>
      <c r="E55" s="547" t="s">
        <v>44</v>
      </c>
      <c r="F55" s="578" t="s">
        <v>563</v>
      </c>
      <c r="G55" s="545" t="s">
        <v>604</v>
      </c>
      <c r="H55" s="545"/>
      <c r="I55" s="584"/>
    </row>
    <row r="56" spans="1:9" x14ac:dyDescent="0.25">
      <c r="A56" s="576">
        <v>12.083999999999953</v>
      </c>
      <c r="B56" s="339" t="s">
        <v>640</v>
      </c>
      <c r="C56" s="545" t="s">
        <v>280</v>
      </c>
      <c r="D56" s="545" t="s">
        <v>34</v>
      </c>
      <c r="E56" s="547" t="s">
        <v>44</v>
      </c>
      <c r="F56" s="578" t="s">
        <v>563</v>
      </c>
      <c r="G56" s="545"/>
      <c r="H56" s="545"/>
      <c r="I56" s="584"/>
    </row>
    <row r="57" spans="1:9" x14ac:dyDescent="0.25">
      <c r="A57" s="576">
        <v>12.092000000000001</v>
      </c>
      <c r="B57" s="339" t="s">
        <v>641</v>
      </c>
      <c r="C57" s="545" t="s">
        <v>280</v>
      </c>
      <c r="D57" s="545" t="s">
        <v>47</v>
      </c>
      <c r="E57" s="547" t="s">
        <v>44</v>
      </c>
      <c r="F57" s="578" t="s">
        <v>557</v>
      </c>
      <c r="G57" s="545"/>
      <c r="H57" s="545"/>
      <c r="I57" s="584" t="s">
        <v>380</v>
      </c>
    </row>
    <row r="58" spans="1:9" x14ac:dyDescent="0.25">
      <c r="A58" s="576">
        <v>12.096</v>
      </c>
      <c r="B58" s="339" t="s">
        <v>642</v>
      </c>
      <c r="C58" s="545" t="s">
        <v>280</v>
      </c>
      <c r="D58" s="545" t="s">
        <v>34</v>
      </c>
      <c r="E58" s="547" t="s">
        <v>44</v>
      </c>
      <c r="F58" s="578" t="s">
        <v>557</v>
      </c>
      <c r="G58" s="545"/>
      <c r="H58" s="545"/>
      <c r="I58" s="584"/>
    </row>
    <row r="59" spans="1:9" x14ac:dyDescent="0.25">
      <c r="A59" s="576">
        <v>12.098000000000001</v>
      </c>
      <c r="B59" s="339" t="s">
        <v>643</v>
      </c>
      <c r="C59" s="545" t="s">
        <v>280</v>
      </c>
      <c r="D59" s="545" t="s">
        <v>47</v>
      </c>
      <c r="E59" s="547" t="s">
        <v>44</v>
      </c>
      <c r="F59" s="578" t="s">
        <v>557</v>
      </c>
      <c r="G59" s="545"/>
      <c r="H59" s="545"/>
      <c r="I59" s="584" t="s">
        <v>382</v>
      </c>
    </row>
    <row r="60" spans="1:9" x14ac:dyDescent="0.25">
      <c r="A60" s="576">
        <v>12.103999999999999</v>
      </c>
      <c r="B60" s="339" t="s">
        <v>644</v>
      </c>
      <c r="C60" s="545" t="s">
        <v>259</v>
      </c>
      <c r="D60" s="545" t="s">
        <v>45</v>
      </c>
      <c r="E60" s="547" t="s">
        <v>44</v>
      </c>
      <c r="F60" s="578" t="s">
        <v>566</v>
      </c>
      <c r="G60" s="545"/>
      <c r="H60" s="545"/>
      <c r="I60" s="584" t="s">
        <v>383</v>
      </c>
    </row>
    <row r="61" spans="1:9" x14ac:dyDescent="0.25">
      <c r="A61" s="576">
        <v>12.111000000000001</v>
      </c>
      <c r="B61" s="339" t="s">
        <v>645</v>
      </c>
      <c r="C61" s="545" t="s">
        <v>280</v>
      </c>
      <c r="D61" s="545" t="s">
        <v>47</v>
      </c>
      <c r="E61" s="547" t="s">
        <v>44</v>
      </c>
      <c r="F61" s="578" t="s">
        <v>557</v>
      </c>
      <c r="G61" s="545"/>
      <c r="H61" s="545"/>
      <c r="I61" s="584" t="s">
        <v>382</v>
      </c>
    </row>
    <row r="62" spans="1:9" x14ac:dyDescent="0.25">
      <c r="A62" s="576">
        <v>12.112</v>
      </c>
      <c r="B62" s="339" t="s">
        <v>646</v>
      </c>
      <c r="C62" s="545" t="s">
        <v>280</v>
      </c>
      <c r="D62" s="545" t="s">
        <v>34</v>
      </c>
      <c r="E62" s="547" t="s">
        <v>44</v>
      </c>
      <c r="F62" s="578" t="s">
        <v>557</v>
      </c>
      <c r="G62" s="545"/>
      <c r="H62" s="545"/>
      <c r="I62" s="584"/>
    </row>
    <row r="63" spans="1:9" x14ac:dyDescent="0.25">
      <c r="A63" s="576">
        <v>12.113</v>
      </c>
      <c r="B63" s="339" t="s">
        <v>647</v>
      </c>
      <c r="C63" s="545" t="s">
        <v>280</v>
      </c>
      <c r="D63" s="545" t="s">
        <v>45</v>
      </c>
      <c r="E63" s="547" t="s">
        <v>44</v>
      </c>
      <c r="F63" s="578" t="s">
        <v>558</v>
      </c>
      <c r="G63" s="545"/>
      <c r="H63" s="545"/>
      <c r="I63" s="584" t="s">
        <v>385</v>
      </c>
    </row>
    <row r="64" spans="1:9" x14ac:dyDescent="0.25">
      <c r="A64" s="576">
        <v>12.114000000000001</v>
      </c>
      <c r="B64" s="339" t="s">
        <v>648</v>
      </c>
      <c r="C64" s="545" t="s">
        <v>280</v>
      </c>
      <c r="D64" s="545" t="s">
        <v>34</v>
      </c>
      <c r="E64" s="547" t="s">
        <v>44</v>
      </c>
      <c r="F64" s="578" t="s">
        <v>558</v>
      </c>
      <c r="G64" s="545"/>
      <c r="H64" s="545"/>
      <c r="I64" s="584"/>
    </row>
    <row r="65" spans="1:9" x14ac:dyDescent="0.25">
      <c r="A65" s="576">
        <v>12.115</v>
      </c>
      <c r="B65" s="339" t="s">
        <v>649</v>
      </c>
      <c r="C65" s="545" t="s">
        <v>259</v>
      </c>
      <c r="D65" s="545" t="s">
        <v>34</v>
      </c>
      <c r="E65" s="547" t="s">
        <v>44</v>
      </c>
      <c r="F65" s="578" t="s">
        <v>563</v>
      </c>
      <c r="G65" s="545"/>
      <c r="H65" s="545"/>
      <c r="I65" s="584"/>
    </row>
    <row r="66" spans="1:9" x14ac:dyDescent="0.25">
      <c r="A66" s="576">
        <v>12.118</v>
      </c>
      <c r="B66" s="339" t="s">
        <v>650</v>
      </c>
      <c r="C66" s="545" t="s">
        <v>259</v>
      </c>
      <c r="D66" s="545" t="s">
        <v>34</v>
      </c>
      <c r="E66" s="547" t="s">
        <v>44</v>
      </c>
      <c r="F66" s="578" t="s">
        <v>560</v>
      </c>
      <c r="G66" s="545" t="s">
        <v>604</v>
      </c>
      <c r="H66" s="545" t="s">
        <v>280</v>
      </c>
      <c r="I66" s="584"/>
    </row>
    <row r="67" spans="1:9" x14ac:dyDescent="0.25">
      <c r="A67" s="576">
        <v>12.119</v>
      </c>
      <c r="B67" s="339" t="s">
        <v>651</v>
      </c>
      <c r="C67" s="545" t="s">
        <v>259</v>
      </c>
      <c r="D67" s="545" t="s">
        <v>34</v>
      </c>
      <c r="E67" s="547" t="s">
        <v>44</v>
      </c>
      <c r="F67" s="578" t="s">
        <v>559</v>
      </c>
      <c r="G67" s="545"/>
      <c r="H67" s="545"/>
      <c r="I67" s="584"/>
    </row>
    <row r="68" spans="1:9" x14ac:dyDescent="0.25">
      <c r="A68" s="576">
        <v>12.12</v>
      </c>
      <c r="B68" s="339" t="s">
        <v>652</v>
      </c>
      <c r="C68" s="545" t="s">
        <v>259</v>
      </c>
      <c r="D68" s="545" t="s">
        <v>34</v>
      </c>
      <c r="E68" s="547" t="s">
        <v>44</v>
      </c>
      <c r="F68" s="578" t="s">
        <v>558</v>
      </c>
      <c r="G68" s="545"/>
      <c r="H68" s="545" t="s">
        <v>259</v>
      </c>
      <c r="I68" s="584"/>
    </row>
    <row r="69" spans="1:9" x14ac:dyDescent="0.25">
      <c r="A69" s="576">
        <v>12.124000000000001</v>
      </c>
      <c r="B69" s="339" t="s">
        <v>653</v>
      </c>
      <c r="C69" s="545" t="s">
        <v>280</v>
      </c>
      <c r="D69" s="545" t="s">
        <v>34</v>
      </c>
      <c r="E69" s="547" t="s">
        <v>44</v>
      </c>
      <c r="F69" s="578" t="s">
        <v>564</v>
      </c>
      <c r="G69" s="545"/>
      <c r="H69" s="545"/>
      <c r="I69" s="584"/>
    </row>
    <row r="70" spans="1:9" x14ac:dyDescent="0.25">
      <c r="A70" s="576">
        <v>12.125</v>
      </c>
      <c r="B70" s="339" t="s">
        <v>654</v>
      </c>
      <c r="C70" s="545" t="s">
        <v>280</v>
      </c>
      <c r="D70" s="545" t="s">
        <v>34</v>
      </c>
      <c r="E70" s="547" t="s">
        <v>44</v>
      </c>
      <c r="F70" s="578" t="s">
        <v>564</v>
      </c>
      <c r="G70" s="545"/>
      <c r="H70" s="545"/>
      <c r="I70" s="584"/>
    </row>
    <row r="71" spans="1:9" x14ac:dyDescent="0.25">
      <c r="A71" s="576">
        <v>12.128</v>
      </c>
      <c r="B71" s="339" t="s">
        <v>655</v>
      </c>
      <c r="C71" s="545" t="s">
        <v>259</v>
      </c>
      <c r="D71" s="545" t="s">
        <v>34</v>
      </c>
      <c r="E71" s="547" t="s">
        <v>44</v>
      </c>
      <c r="F71" s="578" t="s">
        <v>558</v>
      </c>
      <c r="G71" s="545"/>
      <c r="H71" s="545"/>
      <c r="I71" s="584"/>
    </row>
    <row r="72" spans="1:9" x14ac:dyDescent="0.25">
      <c r="A72" s="576">
        <v>12.13</v>
      </c>
      <c r="B72" s="339" t="s">
        <v>656</v>
      </c>
      <c r="C72" s="545" t="s">
        <v>259</v>
      </c>
      <c r="D72" s="545" t="s">
        <v>34</v>
      </c>
      <c r="E72" s="547" t="s">
        <v>44</v>
      </c>
      <c r="F72" s="578" t="s">
        <v>557</v>
      </c>
      <c r="G72" s="545" t="s">
        <v>604</v>
      </c>
      <c r="H72" s="545"/>
      <c r="I72" s="584"/>
    </row>
    <row r="73" spans="1:9" x14ac:dyDescent="0.25">
      <c r="A73" s="576">
        <v>12.132</v>
      </c>
      <c r="B73" s="339" t="s">
        <v>657</v>
      </c>
      <c r="C73" s="545" t="s">
        <v>259</v>
      </c>
      <c r="D73" s="545" t="s">
        <v>34</v>
      </c>
      <c r="E73" s="547" t="s">
        <v>44</v>
      </c>
      <c r="F73" s="578" t="s">
        <v>558</v>
      </c>
      <c r="G73" s="545"/>
      <c r="H73" s="545" t="s">
        <v>280</v>
      </c>
      <c r="I73" s="584"/>
    </row>
    <row r="74" spans="1:9" x14ac:dyDescent="0.25">
      <c r="A74" s="576">
        <v>12.132999999999999</v>
      </c>
      <c r="B74" s="339" t="s">
        <v>658</v>
      </c>
      <c r="C74" s="545" t="s">
        <v>259</v>
      </c>
      <c r="D74" s="545" t="s">
        <v>34</v>
      </c>
      <c r="E74" s="547" t="s">
        <v>44</v>
      </c>
      <c r="F74" s="578" t="s">
        <v>558</v>
      </c>
      <c r="G74" s="545"/>
      <c r="H74" s="545"/>
      <c r="I74" s="584"/>
    </row>
    <row r="75" spans="1:9" x14ac:dyDescent="0.25">
      <c r="A75" s="576">
        <v>12.134</v>
      </c>
      <c r="B75" s="339" t="s">
        <v>659</v>
      </c>
      <c r="C75" s="545" t="s">
        <v>259</v>
      </c>
      <c r="D75" s="545" t="s">
        <v>34</v>
      </c>
      <c r="E75" s="547" t="s">
        <v>44</v>
      </c>
      <c r="F75" s="578" t="s">
        <v>558</v>
      </c>
      <c r="G75" s="545"/>
      <c r="H75" s="545"/>
      <c r="I75" s="584"/>
    </row>
    <row r="76" spans="1:9" x14ac:dyDescent="0.25">
      <c r="A76" s="576">
        <v>12.138999999999999</v>
      </c>
      <c r="B76" s="339" t="s">
        <v>660</v>
      </c>
      <c r="C76" s="545" t="s">
        <v>259</v>
      </c>
      <c r="D76" s="545" t="s">
        <v>34</v>
      </c>
      <c r="E76" s="547" t="s">
        <v>44</v>
      </c>
      <c r="F76" s="578" t="s">
        <v>564</v>
      </c>
      <c r="G76" s="545"/>
      <c r="H76" s="545"/>
      <c r="I76" s="584"/>
    </row>
    <row r="77" spans="1:9" x14ac:dyDescent="0.25">
      <c r="A77" s="576">
        <v>12.141999999999999</v>
      </c>
      <c r="B77" s="339" t="s">
        <v>661</v>
      </c>
      <c r="C77" s="545" t="s">
        <v>259</v>
      </c>
      <c r="D77" s="545" t="s">
        <v>34</v>
      </c>
      <c r="E77" s="547" t="s">
        <v>39</v>
      </c>
      <c r="F77" s="578" t="s">
        <v>563</v>
      </c>
      <c r="G77" s="545"/>
      <c r="H77" s="545" t="s">
        <v>280</v>
      </c>
      <c r="I77" s="584"/>
    </row>
    <row r="78" spans="1:9" x14ac:dyDescent="0.25">
      <c r="A78" s="576">
        <v>12.143000000000001</v>
      </c>
      <c r="B78" s="339" t="s">
        <v>662</v>
      </c>
      <c r="C78" s="545" t="s">
        <v>259</v>
      </c>
      <c r="D78" s="545" t="s">
        <v>40</v>
      </c>
      <c r="E78" s="547" t="s">
        <v>44</v>
      </c>
      <c r="F78" s="578" t="s">
        <v>564</v>
      </c>
      <c r="G78" s="545"/>
      <c r="H78" s="545"/>
      <c r="I78" s="584" t="s">
        <v>404</v>
      </c>
    </row>
    <row r="79" spans="1:9" x14ac:dyDescent="0.25">
      <c r="A79" s="576">
        <v>12.146000000000001</v>
      </c>
      <c r="B79" s="339" t="s">
        <v>663</v>
      </c>
      <c r="C79" s="545" t="s">
        <v>259</v>
      </c>
      <c r="D79" s="545" t="s">
        <v>34</v>
      </c>
      <c r="E79" s="547" t="s">
        <v>44</v>
      </c>
      <c r="F79" s="578" t="s">
        <v>558</v>
      </c>
      <c r="G79" s="545"/>
      <c r="H79" s="545"/>
      <c r="I79" s="584"/>
    </row>
    <row r="80" spans="1:9" x14ac:dyDescent="0.25">
      <c r="A80" s="576">
        <v>12.148</v>
      </c>
      <c r="B80" s="339" t="s">
        <v>664</v>
      </c>
      <c r="C80" s="545" t="s">
        <v>259</v>
      </c>
      <c r="D80" s="545" t="s">
        <v>34</v>
      </c>
      <c r="E80" s="547" t="s">
        <v>44</v>
      </c>
      <c r="F80" s="578" t="s">
        <v>558</v>
      </c>
      <c r="G80" s="545"/>
      <c r="H80" s="545"/>
      <c r="I80" s="584"/>
    </row>
    <row r="81" spans="1:9" x14ac:dyDescent="0.25">
      <c r="A81" s="576">
        <v>12.15</v>
      </c>
      <c r="B81" s="339" t="s">
        <v>665</v>
      </c>
      <c r="C81" s="545" t="s">
        <v>259</v>
      </c>
      <c r="D81" s="545" t="s">
        <v>34</v>
      </c>
      <c r="E81" s="547" t="s">
        <v>44</v>
      </c>
      <c r="F81" s="578" t="s">
        <v>558</v>
      </c>
      <c r="G81" s="545"/>
      <c r="H81" s="545"/>
      <c r="I81" s="584"/>
    </row>
    <row r="82" spans="1:9" x14ac:dyDescent="0.25">
      <c r="A82" s="576">
        <v>12.151999999999999</v>
      </c>
      <c r="B82" s="339" t="s">
        <v>666</v>
      </c>
      <c r="C82" s="545" t="s">
        <v>259</v>
      </c>
      <c r="D82" s="545" t="s">
        <v>34</v>
      </c>
      <c r="E82" s="547" t="s">
        <v>44</v>
      </c>
      <c r="F82" s="578" t="s">
        <v>558</v>
      </c>
      <c r="G82" s="545"/>
      <c r="H82" s="545"/>
      <c r="I82" s="584"/>
    </row>
    <row r="83" spans="1:9" x14ac:dyDescent="0.25">
      <c r="A83" s="576">
        <v>12.157</v>
      </c>
      <c r="B83" s="339" t="s">
        <v>667</v>
      </c>
      <c r="C83" s="545" t="s">
        <v>280</v>
      </c>
      <c r="D83" s="545" t="s">
        <v>34</v>
      </c>
      <c r="E83" s="547" t="s">
        <v>44</v>
      </c>
      <c r="F83" s="578" t="s">
        <v>563</v>
      </c>
      <c r="G83" s="545"/>
      <c r="H83" s="545"/>
      <c r="I83" s="584"/>
    </row>
    <row r="84" spans="1:9" x14ac:dyDescent="0.25">
      <c r="A84" s="576">
        <v>12.159000000000001</v>
      </c>
      <c r="B84" s="339" t="s">
        <v>668</v>
      </c>
      <c r="C84" s="545" t="s">
        <v>259</v>
      </c>
      <c r="D84" s="545" t="s">
        <v>34</v>
      </c>
      <c r="E84" s="547" t="s">
        <v>44</v>
      </c>
      <c r="F84" s="578" t="s">
        <v>563</v>
      </c>
      <c r="G84" s="545"/>
      <c r="H84" s="545"/>
      <c r="I84" s="584"/>
    </row>
    <row r="85" spans="1:9" x14ac:dyDescent="0.25">
      <c r="A85" s="576">
        <v>12.16</v>
      </c>
      <c r="B85" s="339" t="s">
        <v>669</v>
      </c>
      <c r="C85" s="545" t="s">
        <v>280</v>
      </c>
      <c r="D85" s="545" t="s">
        <v>34</v>
      </c>
      <c r="E85" s="547" t="s">
        <v>44</v>
      </c>
      <c r="F85" s="578" t="s">
        <v>563</v>
      </c>
      <c r="G85" s="545"/>
      <c r="H85" s="545"/>
      <c r="I85" s="584"/>
    </row>
    <row r="86" spans="1:9" x14ac:dyDescent="0.25">
      <c r="A86" s="576">
        <v>12.162000000000001</v>
      </c>
      <c r="B86" s="339" t="s">
        <v>670</v>
      </c>
      <c r="C86" s="545" t="s">
        <v>259</v>
      </c>
      <c r="D86" s="545" t="s">
        <v>34</v>
      </c>
      <c r="E86" s="547" t="s">
        <v>39</v>
      </c>
      <c r="F86" s="578" t="s">
        <v>563</v>
      </c>
      <c r="G86" s="545"/>
      <c r="H86" s="545"/>
      <c r="I86" s="584"/>
    </row>
    <row r="87" spans="1:9" x14ac:dyDescent="0.25">
      <c r="A87" s="576">
        <v>12.163</v>
      </c>
      <c r="B87" s="339" t="s">
        <v>671</v>
      </c>
      <c r="C87" s="545" t="s">
        <v>280</v>
      </c>
      <c r="D87" s="545" t="s">
        <v>34</v>
      </c>
      <c r="E87" s="547" t="s">
        <v>44</v>
      </c>
      <c r="F87" s="578" t="s">
        <v>564</v>
      </c>
      <c r="G87" s="545"/>
      <c r="H87" s="545"/>
      <c r="I87" s="584"/>
    </row>
    <row r="88" spans="1:9" x14ac:dyDescent="0.25">
      <c r="A88" s="576">
        <v>12.164</v>
      </c>
      <c r="B88" s="339" t="s">
        <v>672</v>
      </c>
      <c r="C88" s="545" t="s">
        <v>259</v>
      </c>
      <c r="D88" s="545" t="s">
        <v>34</v>
      </c>
      <c r="E88" s="547" t="s">
        <v>44</v>
      </c>
      <c r="F88" s="578" t="s">
        <v>562</v>
      </c>
      <c r="G88" s="545"/>
      <c r="H88" s="545" t="s">
        <v>280</v>
      </c>
      <c r="I88" s="584"/>
    </row>
    <row r="89" spans="1:9" x14ac:dyDescent="0.25">
      <c r="A89" s="576">
        <v>12.164999999999999</v>
      </c>
      <c r="B89" s="339" t="s">
        <v>673</v>
      </c>
      <c r="C89" s="545" t="s">
        <v>259</v>
      </c>
      <c r="D89" s="545" t="s">
        <v>34</v>
      </c>
      <c r="E89" s="547" t="s">
        <v>44</v>
      </c>
      <c r="F89" s="578" t="s">
        <v>562</v>
      </c>
      <c r="G89" s="545"/>
      <c r="H89" s="545" t="s">
        <v>280</v>
      </c>
      <c r="I89" s="584"/>
    </row>
    <row r="90" spans="1:9" x14ac:dyDescent="0.25">
      <c r="A90" s="576">
        <v>12.167</v>
      </c>
      <c r="B90" s="339" t="s">
        <v>674</v>
      </c>
      <c r="C90" s="545" t="s">
        <v>259</v>
      </c>
      <c r="D90" s="545" t="s">
        <v>34</v>
      </c>
      <c r="E90" s="547" t="s">
        <v>44</v>
      </c>
      <c r="F90" s="578" t="s">
        <v>562</v>
      </c>
      <c r="G90" s="545"/>
      <c r="H90" s="545"/>
      <c r="I90" s="584"/>
    </row>
    <row r="91" spans="1:9" x14ac:dyDescent="0.25">
      <c r="A91" s="576">
        <v>12.167999999999999</v>
      </c>
      <c r="B91" s="339" t="s">
        <v>675</v>
      </c>
      <c r="C91" s="545" t="s">
        <v>259</v>
      </c>
      <c r="D91" s="545" t="s">
        <v>34</v>
      </c>
      <c r="E91" s="547" t="s">
        <v>44</v>
      </c>
      <c r="F91" s="578" t="s">
        <v>562</v>
      </c>
      <c r="G91" s="545"/>
      <c r="H91" s="545"/>
      <c r="I91" s="584"/>
    </row>
    <row r="92" spans="1:9" x14ac:dyDescent="0.25">
      <c r="A92" s="576">
        <v>12.173999999999999</v>
      </c>
      <c r="B92" s="339" t="s">
        <v>676</v>
      </c>
      <c r="C92" s="545" t="s">
        <v>259</v>
      </c>
      <c r="D92" s="545" t="s">
        <v>34</v>
      </c>
      <c r="E92" s="547" t="s">
        <v>44</v>
      </c>
      <c r="F92" s="578" t="s">
        <v>558</v>
      </c>
      <c r="G92" s="545"/>
      <c r="H92" s="545"/>
      <c r="I92" s="584"/>
    </row>
    <row r="93" spans="1:9" x14ac:dyDescent="0.25">
      <c r="A93" s="576">
        <v>12.175000000000001</v>
      </c>
      <c r="B93" s="339" t="s">
        <v>677</v>
      </c>
      <c r="C93" s="545" t="s">
        <v>259</v>
      </c>
      <c r="D93" s="545" t="s">
        <v>34</v>
      </c>
      <c r="E93" s="547" t="s">
        <v>44</v>
      </c>
      <c r="F93" s="578" t="s">
        <v>558</v>
      </c>
      <c r="G93" s="545"/>
      <c r="H93" s="545"/>
      <c r="I93" s="584"/>
    </row>
    <row r="94" spans="1:9" x14ac:dyDescent="0.25">
      <c r="A94" s="576">
        <v>12.183999999999999</v>
      </c>
      <c r="B94" s="339" t="s">
        <v>678</v>
      </c>
      <c r="C94" s="545" t="s">
        <v>259</v>
      </c>
      <c r="D94" s="545" t="s">
        <v>34</v>
      </c>
      <c r="E94" s="547" t="s">
        <v>44</v>
      </c>
      <c r="F94" s="578" t="s">
        <v>557</v>
      </c>
      <c r="G94" s="545"/>
      <c r="H94" s="545" t="s">
        <v>259</v>
      </c>
      <c r="I94" s="584"/>
    </row>
    <row r="95" spans="1:9" x14ac:dyDescent="0.25">
      <c r="A95" s="576">
        <v>12.185</v>
      </c>
      <c r="B95" s="339" t="s">
        <v>679</v>
      </c>
      <c r="C95" s="545" t="s">
        <v>259</v>
      </c>
      <c r="D95" s="545" t="s">
        <v>34</v>
      </c>
      <c r="E95" s="547" t="s">
        <v>44</v>
      </c>
      <c r="F95" s="578" t="s">
        <v>557</v>
      </c>
      <c r="G95" s="545"/>
      <c r="H95" s="545"/>
      <c r="I95" s="584"/>
    </row>
    <row r="96" spans="1:9" x14ac:dyDescent="0.25">
      <c r="A96" s="576">
        <v>12.186</v>
      </c>
      <c r="B96" s="339" t="s">
        <v>680</v>
      </c>
      <c r="C96" s="545" t="s">
        <v>259</v>
      </c>
      <c r="D96" s="545" t="s">
        <v>34</v>
      </c>
      <c r="E96" s="547" t="s">
        <v>44</v>
      </c>
      <c r="F96" s="578" t="s">
        <v>563</v>
      </c>
      <c r="G96" s="545"/>
      <c r="H96" s="545"/>
      <c r="I96" s="584"/>
    </row>
    <row r="97" spans="1:9" x14ac:dyDescent="0.25">
      <c r="A97" s="576">
        <v>12.188000000000001</v>
      </c>
      <c r="B97" s="339" t="s">
        <v>681</v>
      </c>
      <c r="C97" s="545" t="s">
        <v>259</v>
      </c>
      <c r="D97" s="545" t="s">
        <v>34</v>
      </c>
      <c r="E97" s="547" t="s">
        <v>44</v>
      </c>
      <c r="F97" s="578" t="s">
        <v>563</v>
      </c>
      <c r="G97" s="545"/>
      <c r="H97" s="545"/>
      <c r="I97" s="584"/>
    </row>
    <row r="98" spans="1:9" x14ac:dyDescent="0.25">
      <c r="A98" s="576">
        <v>12.191000000000001</v>
      </c>
      <c r="B98" s="339" t="s">
        <v>682</v>
      </c>
      <c r="C98" s="545" t="s">
        <v>259</v>
      </c>
      <c r="D98" s="545" t="s">
        <v>34</v>
      </c>
      <c r="E98" s="547" t="s">
        <v>44</v>
      </c>
      <c r="F98" s="578" t="s">
        <v>563</v>
      </c>
      <c r="G98" s="545"/>
      <c r="H98" s="545"/>
      <c r="I98" s="584"/>
    </row>
    <row r="99" spans="1:9" x14ac:dyDescent="0.25">
      <c r="A99" s="576">
        <v>12.192</v>
      </c>
      <c r="B99" s="339" t="s">
        <v>683</v>
      </c>
      <c r="C99" s="545" t="s">
        <v>280</v>
      </c>
      <c r="D99" s="545" t="s">
        <v>47</v>
      </c>
      <c r="E99" s="547" t="s">
        <v>44</v>
      </c>
      <c r="F99" s="578" t="s">
        <v>557</v>
      </c>
      <c r="G99" s="545"/>
      <c r="H99" s="545"/>
      <c r="I99" s="584" t="s">
        <v>382</v>
      </c>
    </row>
    <row r="100" spans="1:9" x14ac:dyDescent="0.25">
      <c r="A100" s="576">
        <v>12.193</v>
      </c>
      <c r="B100" s="339" t="s">
        <v>684</v>
      </c>
      <c r="C100" s="545" t="s">
        <v>259</v>
      </c>
      <c r="D100" s="545" t="s">
        <v>34</v>
      </c>
      <c r="E100" s="547" t="s">
        <v>44</v>
      </c>
      <c r="F100" s="578" t="s">
        <v>557</v>
      </c>
      <c r="G100" s="545"/>
      <c r="H100" s="545" t="s">
        <v>280</v>
      </c>
      <c r="I100" s="584"/>
    </row>
    <row r="101" spans="1:9" x14ac:dyDescent="0.25">
      <c r="A101" s="576">
        <v>12.196999999999999</v>
      </c>
      <c r="B101" s="339" t="s">
        <v>685</v>
      </c>
      <c r="C101" s="545" t="s">
        <v>280</v>
      </c>
      <c r="D101" s="545" t="s">
        <v>34</v>
      </c>
      <c r="E101" s="547" t="s">
        <v>44</v>
      </c>
      <c r="F101" s="578" t="s">
        <v>564</v>
      </c>
      <c r="G101" s="545"/>
      <c r="H101" s="545"/>
      <c r="I101" s="584"/>
    </row>
    <row r="102" spans="1:9" x14ac:dyDescent="0.25">
      <c r="A102" s="576">
        <v>12.201000000000001</v>
      </c>
      <c r="B102" s="339" t="s">
        <v>686</v>
      </c>
      <c r="C102" s="545" t="s">
        <v>259</v>
      </c>
      <c r="D102" s="545" t="s">
        <v>34</v>
      </c>
      <c r="E102" s="547" t="s">
        <v>44</v>
      </c>
      <c r="F102" s="578" t="s">
        <v>564</v>
      </c>
      <c r="G102" s="545" t="s">
        <v>604</v>
      </c>
      <c r="H102" s="545"/>
      <c r="I102" s="584"/>
    </row>
    <row r="103" spans="1:9" x14ac:dyDescent="0.25">
      <c r="A103" s="576">
        <v>12.202</v>
      </c>
      <c r="B103" s="339" t="s">
        <v>687</v>
      </c>
      <c r="C103" s="545" t="s">
        <v>259</v>
      </c>
      <c r="D103" s="545" t="s">
        <v>34</v>
      </c>
      <c r="E103" s="547" t="s">
        <v>44</v>
      </c>
      <c r="F103" s="578" t="s">
        <v>564</v>
      </c>
      <c r="G103" s="545" t="s">
        <v>604</v>
      </c>
      <c r="H103" s="545"/>
      <c r="I103" s="584"/>
    </row>
    <row r="104" spans="1:9" x14ac:dyDescent="0.25">
      <c r="A104" s="576">
        <v>12.206</v>
      </c>
      <c r="B104" s="339" t="s">
        <v>688</v>
      </c>
      <c r="C104" s="545" t="s">
        <v>259</v>
      </c>
      <c r="D104" s="545" t="s">
        <v>34</v>
      </c>
      <c r="E104" s="547" t="s">
        <v>44</v>
      </c>
      <c r="F104" s="578" t="s">
        <v>558</v>
      </c>
      <c r="G104" s="545"/>
      <c r="H104" s="545"/>
      <c r="I104" s="584" t="s">
        <v>433</v>
      </c>
    </row>
    <row r="105" spans="1:9" x14ac:dyDescent="0.25">
      <c r="A105" s="576">
        <v>12.208</v>
      </c>
      <c r="B105" s="339" t="s">
        <v>689</v>
      </c>
      <c r="C105" s="545" t="s">
        <v>280</v>
      </c>
      <c r="D105" s="545" t="s">
        <v>34</v>
      </c>
      <c r="E105" s="547" t="s">
        <v>44</v>
      </c>
      <c r="F105" s="578" t="s">
        <v>563</v>
      </c>
      <c r="G105" s="545"/>
      <c r="H105" s="545"/>
      <c r="I105" s="584"/>
    </row>
    <row r="106" spans="1:9" x14ac:dyDescent="0.25">
      <c r="A106" s="576">
        <v>12.209</v>
      </c>
      <c r="B106" s="339" t="s">
        <v>690</v>
      </c>
      <c r="C106" s="545" t="s">
        <v>259</v>
      </c>
      <c r="D106" s="545" t="s">
        <v>34</v>
      </c>
      <c r="E106" s="547" t="s">
        <v>44</v>
      </c>
      <c r="F106" s="578" t="s">
        <v>563</v>
      </c>
      <c r="G106" s="545"/>
      <c r="H106" s="545"/>
      <c r="I106" s="584"/>
    </row>
    <row r="107" spans="1:9" x14ac:dyDescent="0.25">
      <c r="A107" s="576">
        <v>12.21</v>
      </c>
      <c r="B107" s="339" t="s">
        <v>691</v>
      </c>
      <c r="C107" s="545" t="s">
        <v>259</v>
      </c>
      <c r="D107" s="545" t="s">
        <v>34</v>
      </c>
      <c r="E107" s="547" t="s">
        <v>44</v>
      </c>
      <c r="F107" s="578" t="s">
        <v>557</v>
      </c>
      <c r="G107" s="545"/>
      <c r="H107" s="545"/>
      <c r="I107" s="584"/>
    </row>
    <row r="108" spans="1:9" x14ac:dyDescent="0.25">
      <c r="A108" s="576">
        <v>12.211</v>
      </c>
      <c r="B108" s="339" t="s">
        <v>692</v>
      </c>
      <c r="C108" s="545" t="s">
        <v>259</v>
      </c>
      <c r="D108" s="545" t="s">
        <v>34</v>
      </c>
      <c r="E108" s="547" t="s">
        <v>44</v>
      </c>
      <c r="F108" s="578" t="s">
        <v>557</v>
      </c>
      <c r="G108" s="545"/>
      <c r="H108" s="545"/>
      <c r="I108" s="584"/>
    </row>
    <row r="109" spans="1:9" x14ac:dyDescent="0.25">
      <c r="A109" s="576">
        <v>12.212999999999999</v>
      </c>
      <c r="B109" s="339" t="s">
        <v>693</v>
      </c>
      <c r="C109" s="545" t="s">
        <v>259</v>
      </c>
      <c r="D109" s="545" t="s">
        <v>47</v>
      </c>
      <c r="E109" s="547" t="s">
        <v>44</v>
      </c>
      <c r="F109" s="578" t="s">
        <v>560</v>
      </c>
      <c r="G109" s="545"/>
      <c r="H109" s="545"/>
      <c r="I109" s="584" t="s">
        <v>440</v>
      </c>
    </row>
    <row r="110" spans="1:9" x14ac:dyDescent="0.25">
      <c r="A110" s="576">
        <v>12.214</v>
      </c>
      <c r="B110" s="339" t="s">
        <v>694</v>
      </c>
      <c r="C110" s="545" t="s">
        <v>259</v>
      </c>
      <c r="D110" s="545" t="s">
        <v>34</v>
      </c>
      <c r="E110" s="547" t="s">
        <v>44</v>
      </c>
      <c r="F110" s="578" t="s">
        <v>560</v>
      </c>
      <c r="G110" s="545"/>
      <c r="H110" s="545"/>
      <c r="I110" s="584" t="s">
        <v>433</v>
      </c>
    </row>
    <row r="111" spans="1:9" x14ac:dyDescent="0.25">
      <c r="A111" s="576">
        <v>12.215999999999999</v>
      </c>
      <c r="B111" s="339" t="s">
        <v>695</v>
      </c>
      <c r="C111" s="545" t="s">
        <v>259</v>
      </c>
      <c r="D111" s="545" t="s">
        <v>45</v>
      </c>
      <c r="E111" s="547" t="s">
        <v>44</v>
      </c>
      <c r="F111" s="578" t="s">
        <v>558</v>
      </c>
      <c r="G111" s="545"/>
      <c r="H111" s="545"/>
      <c r="I111" s="584" t="s">
        <v>442</v>
      </c>
    </row>
    <row r="112" spans="1:9" x14ac:dyDescent="0.25">
      <c r="A112" s="576">
        <v>12.218999999999999</v>
      </c>
      <c r="B112" s="339" t="s">
        <v>696</v>
      </c>
      <c r="C112" s="545" t="s">
        <v>259</v>
      </c>
      <c r="D112" s="545" t="s">
        <v>34</v>
      </c>
      <c r="E112" s="547" t="s">
        <v>44</v>
      </c>
      <c r="F112" s="578" t="s">
        <v>560</v>
      </c>
      <c r="G112" s="545"/>
      <c r="H112" s="545"/>
      <c r="I112" s="584"/>
    </row>
    <row r="113" spans="1:9" x14ac:dyDescent="0.25">
      <c r="A113" s="576">
        <v>12.22</v>
      </c>
      <c r="B113" s="339" t="s">
        <v>697</v>
      </c>
      <c r="C113" s="545" t="s">
        <v>259</v>
      </c>
      <c r="D113" s="545" t="s">
        <v>34</v>
      </c>
      <c r="E113" s="547" t="s">
        <v>44</v>
      </c>
      <c r="F113" s="578" t="s">
        <v>560</v>
      </c>
      <c r="G113" s="545"/>
      <c r="H113" s="545"/>
      <c r="I113" s="584"/>
    </row>
    <row r="114" spans="1:9" x14ac:dyDescent="0.25">
      <c r="A114" s="576">
        <v>12.221</v>
      </c>
      <c r="B114" s="339" t="s">
        <v>698</v>
      </c>
      <c r="C114" s="545" t="s">
        <v>259</v>
      </c>
      <c r="D114" s="545" t="s">
        <v>34</v>
      </c>
      <c r="E114" s="547" t="s">
        <v>44</v>
      </c>
      <c r="F114" s="578" t="s">
        <v>558</v>
      </c>
      <c r="G114" s="545"/>
      <c r="H114" s="545"/>
      <c r="I114" s="584"/>
    </row>
    <row r="115" spans="1:9" x14ac:dyDescent="0.25">
      <c r="A115" s="576">
        <v>12.223000000000001</v>
      </c>
      <c r="B115" s="339" t="s">
        <v>699</v>
      </c>
      <c r="C115" s="545" t="s">
        <v>259</v>
      </c>
      <c r="D115" s="545" t="s">
        <v>34</v>
      </c>
      <c r="E115" s="547" t="s">
        <v>44</v>
      </c>
      <c r="F115" s="578" t="s">
        <v>562</v>
      </c>
      <c r="G115" s="545"/>
      <c r="H115" s="545"/>
      <c r="I115" s="584"/>
    </row>
    <row r="116" spans="1:9" x14ac:dyDescent="0.25">
      <c r="A116" s="576">
        <v>12.224</v>
      </c>
      <c r="B116" s="339" t="s">
        <v>700</v>
      </c>
      <c r="C116" s="545" t="s">
        <v>259</v>
      </c>
      <c r="D116" s="545" t="s">
        <v>34</v>
      </c>
      <c r="E116" s="547" t="s">
        <v>44</v>
      </c>
      <c r="F116" s="578" t="s">
        <v>562</v>
      </c>
      <c r="G116" s="545"/>
      <c r="H116" s="545"/>
      <c r="I116" s="584"/>
    </row>
    <row r="117" spans="1:9" x14ac:dyDescent="0.25">
      <c r="A117" s="576">
        <v>12.225</v>
      </c>
      <c r="B117" s="339" t="s">
        <v>701</v>
      </c>
      <c r="C117" s="545" t="s">
        <v>259</v>
      </c>
      <c r="D117" s="545" t="s">
        <v>34</v>
      </c>
      <c r="E117" s="547" t="s">
        <v>44</v>
      </c>
      <c r="F117" s="578" t="s">
        <v>562</v>
      </c>
      <c r="G117" s="545"/>
      <c r="H117" s="545"/>
      <c r="I117" s="584"/>
    </row>
    <row r="118" spans="1:9" x14ac:dyDescent="0.25">
      <c r="A118" s="576">
        <v>12.233000000000001</v>
      </c>
      <c r="B118" s="339" t="s">
        <v>702</v>
      </c>
      <c r="C118" s="545" t="s">
        <v>280</v>
      </c>
      <c r="D118" s="545" t="s">
        <v>45</v>
      </c>
      <c r="E118" s="547" t="s">
        <v>44</v>
      </c>
      <c r="F118" s="578" t="s">
        <v>558</v>
      </c>
      <c r="G118" s="545"/>
      <c r="H118" s="545"/>
      <c r="I118" s="584" t="s">
        <v>447</v>
      </c>
    </row>
    <row r="119" spans="1:9" x14ac:dyDescent="0.25">
      <c r="A119" s="576">
        <v>12.234999999999999</v>
      </c>
      <c r="B119" s="339" t="s">
        <v>703</v>
      </c>
      <c r="C119" s="545" t="s">
        <v>280</v>
      </c>
      <c r="D119" s="545" t="s">
        <v>34</v>
      </c>
      <c r="E119" s="547" t="s">
        <v>44</v>
      </c>
      <c r="F119" s="578" t="s">
        <v>558</v>
      </c>
      <c r="G119" s="545"/>
      <c r="H119" s="545"/>
      <c r="I119" s="584" t="s">
        <v>704</v>
      </c>
    </row>
    <row r="120" spans="1:9" x14ac:dyDescent="0.25">
      <c r="A120" s="576">
        <v>12.236000000000001</v>
      </c>
      <c r="B120" s="339" t="s">
        <v>705</v>
      </c>
      <c r="C120" s="545" t="s">
        <v>259</v>
      </c>
      <c r="D120" s="545" t="s">
        <v>34</v>
      </c>
      <c r="E120" s="547" t="s">
        <v>44</v>
      </c>
      <c r="F120" s="578" t="s">
        <v>558</v>
      </c>
      <c r="G120" s="545"/>
      <c r="H120" s="545"/>
      <c r="I120" s="584" t="s">
        <v>706</v>
      </c>
    </row>
    <row r="121" spans="1:9" x14ac:dyDescent="0.25">
      <c r="A121" s="576">
        <v>12.239000000000001</v>
      </c>
      <c r="B121" s="339" t="s">
        <v>707</v>
      </c>
      <c r="C121" s="545" t="s">
        <v>280</v>
      </c>
      <c r="D121" s="545" t="s">
        <v>45</v>
      </c>
      <c r="E121" s="547" t="s">
        <v>44</v>
      </c>
      <c r="F121" s="578" t="s">
        <v>558</v>
      </c>
      <c r="G121" s="545"/>
      <c r="H121" s="545"/>
      <c r="I121" s="584" t="s">
        <v>450</v>
      </c>
    </row>
    <row r="122" spans="1:9" x14ac:dyDescent="0.25">
      <c r="A122" s="576">
        <v>12.247</v>
      </c>
      <c r="B122" s="339" t="s">
        <v>708</v>
      </c>
      <c r="C122" s="545" t="s">
        <v>259</v>
      </c>
      <c r="D122" s="545" t="s">
        <v>34</v>
      </c>
      <c r="E122" s="547" t="s">
        <v>44</v>
      </c>
      <c r="F122" s="578" t="s">
        <v>560</v>
      </c>
      <c r="G122" s="545"/>
      <c r="H122" s="545"/>
      <c r="I122" s="584"/>
    </row>
    <row r="123" spans="1:9" x14ac:dyDescent="0.25">
      <c r="A123" s="576">
        <v>12.253</v>
      </c>
      <c r="B123" s="339" t="s">
        <v>709</v>
      </c>
      <c r="C123" s="545" t="s">
        <v>259</v>
      </c>
      <c r="D123" s="545" t="s">
        <v>47</v>
      </c>
      <c r="E123" s="547" t="s">
        <v>44</v>
      </c>
      <c r="F123" s="578" t="s">
        <v>558</v>
      </c>
      <c r="G123" s="545"/>
      <c r="H123" s="545"/>
      <c r="I123" s="584" t="s">
        <v>452</v>
      </c>
    </row>
    <row r="124" spans="1:9" x14ac:dyDescent="0.25">
      <c r="A124" s="576">
        <v>12.255000000000001</v>
      </c>
      <c r="B124" s="339" t="s">
        <v>710</v>
      </c>
      <c r="C124" s="545" t="s">
        <v>259</v>
      </c>
      <c r="D124" s="545" t="s">
        <v>47</v>
      </c>
      <c r="E124" s="547" t="s">
        <v>44</v>
      </c>
      <c r="F124" s="578" t="s">
        <v>558</v>
      </c>
      <c r="G124" s="545"/>
      <c r="H124" s="545" t="s">
        <v>280</v>
      </c>
      <c r="I124" s="584" t="s">
        <v>452</v>
      </c>
    </row>
    <row r="125" spans="1:9" x14ac:dyDescent="0.25">
      <c r="A125" s="576">
        <v>12.263</v>
      </c>
      <c r="B125" s="339" t="s">
        <v>711</v>
      </c>
      <c r="C125" s="545" t="s">
        <v>259</v>
      </c>
      <c r="D125" s="545" t="s">
        <v>47</v>
      </c>
      <c r="E125" s="547" t="s">
        <v>44</v>
      </c>
      <c r="F125" s="578" t="s">
        <v>558</v>
      </c>
      <c r="G125" s="545"/>
      <c r="H125" s="545"/>
      <c r="I125" s="584" t="s">
        <v>452</v>
      </c>
    </row>
    <row r="126" spans="1:9" x14ac:dyDescent="0.25">
      <c r="A126" s="576">
        <v>12.266</v>
      </c>
      <c r="B126" s="339" t="s">
        <v>712</v>
      </c>
      <c r="C126" s="545" t="s">
        <v>259</v>
      </c>
      <c r="D126" s="545" t="s">
        <v>34</v>
      </c>
      <c r="E126" s="547" t="s">
        <v>44</v>
      </c>
      <c r="F126" s="578" t="s">
        <v>558</v>
      </c>
      <c r="G126" s="545"/>
      <c r="H126" s="545"/>
      <c r="I126" s="584"/>
    </row>
    <row r="127" spans="1:9" x14ac:dyDescent="0.25">
      <c r="A127" s="576">
        <v>12.27</v>
      </c>
      <c r="B127" s="339" t="s">
        <v>713</v>
      </c>
      <c r="C127" s="545" t="s">
        <v>259</v>
      </c>
      <c r="D127" s="545" t="s">
        <v>34</v>
      </c>
      <c r="E127" s="547" t="s">
        <v>44</v>
      </c>
      <c r="F127" s="578" t="s">
        <v>558</v>
      </c>
      <c r="G127" s="545" t="s">
        <v>604</v>
      </c>
      <c r="H127" s="545" t="s">
        <v>280</v>
      </c>
      <c r="I127" s="584"/>
    </row>
    <row r="128" spans="1:9" x14ac:dyDescent="0.25">
      <c r="A128" s="576">
        <v>12.276</v>
      </c>
      <c r="B128" s="339" t="s">
        <v>714</v>
      </c>
      <c r="C128" s="545" t="s">
        <v>259</v>
      </c>
      <c r="D128" s="545" t="s">
        <v>34</v>
      </c>
      <c r="E128" s="547" t="s">
        <v>44</v>
      </c>
      <c r="F128" s="578" t="s">
        <v>563</v>
      </c>
      <c r="G128" s="545"/>
      <c r="H128" s="545"/>
      <c r="I128" s="584"/>
    </row>
    <row r="129" spans="1:9" ht="15" customHeight="1" x14ac:dyDescent="0.25">
      <c r="A129" s="576">
        <v>12.276999999999999</v>
      </c>
      <c r="B129" s="339" t="s">
        <v>715</v>
      </c>
      <c r="C129" s="545" t="s">
        <v>280</v>
      </c>
      <c r="D129" s="545" t="s">
        <v>34</v>
      </c>
      <c r="E129" s="547" t="s">
        <v>44</v>
      </c>
      <c r="F129" s="578" t="s">
        <v>563</v>
      </c>
      <c r="G129" s="545"/>
      <c r="H129" s="545"/>
      <c r="I129" s="584"/>
    </row>
    <row r="130" spans="1:9" x14ac:dyDescent="0.25">
      <c r="A130" s="576">
        <v>12.278</v>
      </c>
      <c r="B130" s="339" t="s">
        <v>716</v>
      </c>
      <c r="C130" s="545" t="s">
        <v>259</v>
      </c>
      <c r="D130" s="545" t="s">
        <v>34</v>
      </c>
      <c r="E130" s="547" t="s">
        <v>44</v>
      </c>
      <c r="F130" s="578" t="s">
        <v>557</v>
      </c>
      <c r="G130" s="545"/>
      <c r="H130" s="545" t="s">
        <v>280</v>
      </c>
      <c r="I130" s="584"/>
    </row>
    <row r="131" spans="1:9" x14ac:dyDescent="0.25">
      <c r="A131" s="576">
        <v>12.28</v>
      </c>
      <c r="B131" s="339" t="s">
        <v>717</v>
      </c>
      <c r="C131" s="545" t="s">
        <v>259</v>
      </c>
      <c r="D131" s="545" t="s">
        <v>34</v>
      </c>
      <c r="E131" s="547" t="s">
        <v>44</v>
      </c>
      <c r="F131" s="578" t="s">
        <v>557</v>
      </c>
      <c r="G131" s="545"/>
      <c r="H131" s="545" t="s">
        <v>280</v>
      </c>
      <c r="I131" s="584"/>
    </row>
    <row r="132" spans="1:9" ht="66.75" customHeight="1" x14ac:dyDescent="0.25">
      <c r="A132" s="576">
        <v>12.281000000000001</v>
      </c>
      <c r="B132" s="339" t="s">
        <v>718</v>
      </c>
      <c r="C132" s="545" t="s">
        <v>259</v>
      </c>
      <c r="D132" s="545" t="s">
        <v>34</v>
      </c>
      <c r="E132" s="547" t="s">
        <v>44</v>
      </c>
      <c r="F132" s="578" t="s">
        <v>557</v>
      </c>
      <c r="G132" s="545"/>
      <c r="H132" s="545" t="s">
        <v>280</v>
      </c>
      <c r="I132" s="584"/>
    </row>
    <row r="133" spans="1:9" x14ac:dyDescent="0.25">
      <c r="A133" s="576">
        <v>12.282</v>
      </c>
      <c r="B133" s="339" t="s">
        <v>719</v>
      </c>
      <c r="C133" s="545" t="s">
        <v>259</v>
      </c>
      <c r="D133" s="545" t="s">
        <v>34</v>
      </c>
      <c r="E133" s="547" t="s">
        <v>44</v>
      </c>
      <c r="F133" s="578" t="s">
        <v>560</v>
      </c>
      <c r="G133" s="545"/>
      <c r="H133" s="545"/>
      <c r="I133" s="584"/>
    </row>
    <row r="134" spans="1:9" x14ac:dyDescent="0.25">
      <c r="A134" s="576">
        <v>12.284000000000001</v>
      </c>
      <c r="B134" s="339" t="s">
        <v>720</v>
      </c>
      <c r="C134" s="545" t="s">
        <v>280</v>
      </c>
      <c r="D134" s="545" t="s">
        <v>40</v>
      </c>
      <c r="E134" s="547" t="s">
        <v>44</v>
      </c>
      <c r="F134" s="578" t="s">
        <v>565</v>
      </c>
      <c r="G134" s="545"/>
      <c r="H134" s="545"/>
      <c r="I134" s="584" t="s">
        <v>464</v>
      </c>
    </row>
    <row r="135" spans="1:9" x14ac:dyDescent="0.25">
      <c r="A135" s="576">
        <v>12.285</v>
      </c>
      <c r="B135" s="339" t="s">
        <v>721</v>
      </c>
      <c r="C135" s="545" t="s">
        <v>280</v>
      </c>
      <c r="D135" s="545" t="s">
        <v>40</v>
      </c>
      <c r="E135" s="547" t="s">
        <v>44</v>
      </c>
      <c r="F135" s="578" t="s">
        <v>557</v>
      </c>
      <c r="G135" s="545"/>
      <c r="H135" s="545"/>
      <c r="I135" s="584" t="s">
        <v>382</v>
      </c>
    </row>
    <row r="136" spans="1:9" x14ac:dyDescent="0.25">
      <c r="A136" s="576">
        <v>12.286</v>
      </c>
      <c r="B136" s="339" t="s">
        <v>722</v>
      </c>
      <c r="C136" s="545" t="s">
        <v>259</v>
      </c>
      <c r="D136" s="545" t="s">
        <v>40</v>
      </c>
      <c r="E136" s="547" t="s">
        <v>44</v>
      </c>
      <c r="F136" s="578" t="s">
        <v>560</v>
      </c>
      <c r="G136" s="545"/>
      <c r="H136" s="545"/>
      <c r="I136" s="584" t="s">
        <v>382</v>
      </c>
    </row>
    <row r="137" spans="1:9" x14ac:dyDescent="0.25">
      <c r="A137" s="576">
        <v>12.287000000000001</v>
      </c>
      <c r="B137" s="339" t="s">
        <v>723</v>
      </c>
      <c r="C137" s="545" t="s">
        <v>259</v>
      </c>
      <c r="D137" s="545" t="s">
        <v>47</v>
      </c>
      <c r="E137" s="547" t="s">
        <v>44</v>
      </c>
      <c r="F137" s="578" t="s">
        <v>557</v>
      </c>
      <c r="G137" s="545"/>
      <c r="H137" s="545"/>
      <c r="I137" s="584" t="s">
        <v>382</v>
      </c>
    </row>
    <row r="138" spans="1:9" x14ac:dyDescent="0.25">
      <c r="A138" s="576">
        <v>12.291</v>
      </c>
      <c r="B138" s="339" t="s">
        <v>724</v>
      </c>
      <c r="C138" s="545" t="s">
        <v>280</v>
      </c>
      <c r="D138" s="545" t="s">
        <v>47</v>
      </c>
      <c r="E138" s="547" t="s">
        <v>44</v>
      </c>
      <c r="F138" s="578" t="s">
        <v>558</v>
      </c>
      <c r="G138" s="545"/>
      <c r="H138" s="545"/>
      <c r="I138" s="584" t="s">
        <v>382</v>
      </c>
    </row>
    <row r="139" spans="1:9" x14ac:dyDescent="0.25">
      <c r="A139" s="576">
        <v>12.292</v>
      </c>
      <c r="B139" s="339" t="s">
        <v>725</v>
      </c>
      <c r="C139" s="545" t="s">
        <v>259</v>
      </c>
      <c r="D139" s="545" t="s">
        <v>34</v>
      </c>
      <c r="E139" s="547" t="s">
        <v>44</v>
      </c>
      <c r="F139" s="578" t="s">
        <v>560</v>
      </c>
      <c r="G139" s="545"/>
      <c r="H139" s="545"/>
      <c r="I139" s="584"/>
    </row>
    <row r="140" spans="1:9" x14ac:dyDescent="0.25">
      <c r="A140" s="576">
        <v>12.294</v>
      </c>
      <c r="B140" s="339" t="s">
        <v>726</v>
      </c>
      <c r="C140" s="545" t="s">
        <v>259</v>
      </c>
      <c r="D140" s="545" t="s">
        <v>34</v>
      </c>
      <c r="E140" s="547" t="s">
        <v>44</v>
      </c>
      <c r="F140" s="578" t="s">
        <v>564</v>
      </c>
      <c r="G140" s="545"/>
      <c r="H140" s="545"/>
      <c r="I140" s="584"/>
    </row>
    <row r="141" spans="1:9" x14ac:dyDescent="0.25">
      <c r="A141" s="576">
        <v>12.298999999999999</v>
      </c>
      <c r="B141" s="339" t="s">
        <v>727</v>
      </c>
      <c r="C141" s="545" t="s">
        <v>280</v>
      </c>
      <c r="D141" s="545" t="s">
        <v>34</v>
      </c>
      <c r="E141" s="547" t="s">
        <v>44</v>
      </c>
      <c r="F141" s="578" t="s">
        <v>558</v>
      </c>
      <c r="G141" s="545"/>
      <c r="H141" s="545"/>
      <c r="I141" s="584" t="s">
        <v>728</v>
      </c>
    </row>
    <row r="142" spans="1:9" x14ac:dyDescent="0.25">
      <c r="A142" s="576">
        <v>12.3</v>
      </c>
      <c r="B142" s="339" t="s">
        <v>729</v>
      </c>
      <c r="C142" s="545" t="s">
        <v>280</v>
      </c>
      <c r="D142" s="545" t="s">
        <v>34</v>
      </c>
      <c r="E142" s="547" t="s">
        <v>44</v>
      </c>
      <c r="F142" s="578" t="s">
        <v>558</v>
      </c>
      <c r="G142" s="545"/>
      <c r="H142" s="545"/>
      <c r="I142" s="584"/>
    </row>
    <row r="143" spans="1:9" x14ac:dyDescent="0.25">
      <c r="A143" s="576">
        <v>12.301</v>
      </c>
      <c r="B143" s="339" t="s">
        <v>730</v>
      </c>
      <c r="C143" s="545" t="s">
        <v>280</v>
      </c>
      <c r="D143" s="545" t="s">
        <v>34</v>
      </c>
      <c r="E143" s="547" t="s">
        <v>44</v>
      </c>
      <c r="F143" s="578" t="s">
        <v>558</v>
      </c>
      <c r="G143" s="545"/>
      <c r="H143" s="545"/>
      <c r="I143" s="584"/>
    </row>
    <row r="144" spans="1:9" x14ac:dyDescent="0.25">
      <c r="A144" s="576">
        <v>12.302</v>
      </c>
      <c r="B144" s="339" t="s">
        <v>731</v>
      </c>
      <c r="C144" s="545" t="s">
        <v>280</v>
      </c>
      <c r="D144" s="545" t="s">
        <v>47</v>
      </c>
      <c r="E144" s="547" t="s">
        <v>44</v>
      </c>
      <c r="F144" s="578" t="s">
        <v>558</v>
      </c>
      <c r="G144" s="545"/>
      <c r="H144" s="545"/>
      <c r="I144" s="584" t="s">
        <v>382</v>
      </c>
    </row>
    <row r="145" spans="1:9" x14ac:dyDescent="0.25">
      <c r="A145" s="576">
        <v>12.308</v>
      </c>
      <c r="B145" s="339" t="s">
        <v>732</v>
      </c>
      <c r="C145" s="545" t="s">
        <v>259</v>
      </c>
      <c r="D145" s="545" t="s">
        <v>45</v>
      </c>
      <c r="E145" s="547" t="s">
        <v>44</v>
      </c>
      <c r="F145" s="578" t="s">
        <v>558</v>
      </c>
      <c r="G145" s="545"/>
      <c r="H145" s="545"/>
      <c r="I145" s="584" t="s">
        <v>442</v>
      </c>
    </row>
    <row r="146" spans="1:9" x14ac:dyDescent="0.25">
      <c r="A146" s="576">
        <v>12.31</v>
      </c>
      <c r="B146" s="339" t="s">
        <v>733</v>
      </c>
      <c r="C146" s="545" t="s">
        <v>259</v>
      </c>
      <c r="D146" s="545" t="s">
        <v>34</v>
      </c>
      <c r="E146" s="547" t="s">
        <v>44</v>
      </c>
      <c r="F146" s="578" t="s">
        <v>557</v>
      </c>
      <c r="G146" s="545"/>
      <c r="H146" s="545"/>
      <c r="I146" s="584"/>
    </row>
    <row r="147" spans="1:9" x14ac:dyDescent="0.25">
      <c r="A147" s="576">
        <v>12.311</v>
      </c>
      <c r="B147" s="339" t="s">
        <v>734</v>
      </c>
      <c r="C147" s="545" t="s">
        <v>259</v>
      </c>
      <c r="D147" s="545" t="s">
        <v>34</v>
      </c>
      <c r="E147" s="547" t="s">
        <v>44</v>
      </c>
      <c r="F147" s="578" t="s">
        <v>563</v>
      </c>
      <c r="G147" s="545"/>
      <c r="H147" s="545"/>
      <c r="I147" s="584"/>
    </row>
    <row r="148" spans="1:9" x14ac:dyDescent="0.25">
      <c r="A148" s="576">
        <v>12.311999999999999</v>
      </c>
      <c r="B148" s="339" t="s">
        <v>735</v>
      </c>
      <c r="C148" s="545" t="s">
        <v>259</v>
      </c>
      <c r="D148" s="545" t="s">
        <v>47</v>
      </c>
      <c r="E148" s="547" t="s">
        <v>44</v>
      </c>
      <c r="F148" s="578" t="s">
        <v>564</v>
      </c>
      <c r="G148" s="545"/>
      <c r="H148" s="545"/>
      <c r="I148" s="584" t="s">
        <v>382</v>
      </c>
    </row>
    <row r="149" spans="1:9" x14ac:dyDescent="0.25">
      <c r="A149" s="576">
        <v>12.318</v>
      </c>
      <c r="B149" s="339" t="s">
        <v>736</v>
      </c>
      <c r="C149" s="545" t="s">
        <v>259</v>
      </c>
      <c r="D149" s="545" t="s">
        <v>47</v>
      </c>
      <c r="E149" s="547" t="s">
        <v>44</v>
      </c>
      <c r="F149" s="578" t="s">
        <v>559</v>
      </c>
      <c r="G149" s="545" t="s">
        <v>604</v>
      </c>
      <c r="H149" s="545"/>
      <c r="I149" s="584" t="s">
        <v>471</v>
      </c>
    </row>
    <row r="150" spans="1:9" x14ac:dyDescent="0.25">
      <c r="A150" s="576">
        <v>12.319000000000001</v>
      </c>
      <c r="B150" s="339" t="s">
        <v>737</v>
      </c>
      <c r="C150" s="545" t="s">
        <v>259</v>
      </c>
      <c r="D150" s="545" t="s">
        <v>34</v>
      </c>
      <c r="E150" s="547" t="s">
        <v>44</v>
      </c>
      <c r="F150" s="578" t="s">
        <v>557</v>
      </c>
      <c r="G150" s="545" t="s">
        <v>604</v>
      </c>
      <c r="H150" s="545"/>
      <c r="I150" s="584"/>
    </row>
    <row r="151" spans="1:9" x14ac:dyDescent="0.25">
      <c r="A151" s="576">
        <v>12.32</v>
      </c>
      <c r="B151" s="339" t="s">
        <v>738</v>
      </c>
      <c r="C151" s="545" t="s">
        <v>259</v>
      </c>
      <c r="D151" s="545" t="s">
        <v>34</v>
      </c>
      <c r="E151" s="547" t="s">
        <v>44</v>
      </c>
      <c r="F151" s="578" t="s">
        <v>557</v>
      </c>
      <c r="G151" s="545"/>
      <c r="H151" s="545"/>
      <c r="I151" s="584"/>
    </row>
    <row r="152" spans="1:9" x14ac:dyDescent="0.25">
      <c r="A152" s="576">
        <v>12.321</v>
      </c>
      <c r="B152" s="339" t="s">
        <v>739</v>
      </c>
      <c r="C152" s="545" t="s">
        <v>259</v>
      </c>
      <c r="D152" s="545" t="s">
        <v>47</v>
      </c>
      <c r="E152" s="547" t="s">
        <v>44</v>
      </c>
      <c r="F152" s="578" t="s">
        <v>557</v>
      </c>
      <c r="G152" s="545"/>
      <c r="H152" s="545"/>
      <c r="I152" s="584" t="s">
        <v>464</v>
      </c>
    </row>
    <row r="153" spans="1:9" x14ac:dyDescent="0.25">
      <c r="A153" s="576">
        <v>12.321999999999999</v>
      </c>
      <c r="B153" s="339" t="s">
        <v>740</v>
      </c>
      <c r="C153" s="545" t="s">
        <v>280</v>
      </c>
      <c r="D153" s="545" t="s">
        <v>47</v>
      </c>
      <c r="E153" s="547" t="s">
        <v>44</v>
      </c>
      <c r="F153" s="578" t="s">
        <v>557</v>
      </c>
      <c r="G153" s="545"/>
      <c r="H153" s="545"/>
      <c r="I153" s="584" t="s">
        <v>464</v>
      </c>
    </row>
    <row r="154" spans="1:9" x14ac:dyDescent="0.25">
      <c r="A154" s="576">
        <v>12.327999999999999</v>
      </c>
      <c r="B154" s="339" t="s">
        <v>741</v>
      </c>
      <c r="C154" s="545" t="s">
        <v>259</v>
      </c>
      <c r="D154" s="545" t="s">
        <v>47</v>
      </c>
      <c r="E154" s="547" t="s">
        <v>44</v>
      </c>
      <c r="F154" s="578" t="s">
        <v>558</v>
      </c>
      <c r="G154" s="545"/>
      <c r="H154" s="545"/>
      <c r="I154" s="584" t="s">
        <v>464</v>
      </c>
    </row>
    <row r="155" spans="1:9" x14ac:dyDescent="0.25">
      <c r="A155" s="576">
        <v>12.329000000000001</v>
      </c>
      <c r="B155" s="339" t="s">
        <v>742</v>
      </c>
      <c r="C155" s="545" t="s">
        <v>280</v>
      </c>
      <c r="D155" s="545" t="s">
        <v>47</v>
      </c>
      <c r="E155" s="547" t="s">
        <v>44</v>
      </c>
      <c r="F155" s="578" t="s">
        <v>557</v>
      </c>
      <c r="G155" s="545"/>
      <c r="H155" s="545"/>
      <c r="I155" s="584" t="s">
        <v>382</v>
      </c>
    </row>
    <row r="156" spans="1:9" x14ac:dyDescent="0.25">
      <c r="A156" s="576">
        <v>12.332000000000001</v>
      </c>
      <c r="B156" s="339" t="s">
        <v>743</v>
      </c>
      <c r="C156" s="545" t="s">
        <v>280</v>
      </c>
      <c r="D156" s="545" t="s">
        <v>47</v>
      </c>
      <c r="E156" s="547" t="s">
        <v>44</v>
      </c>
      <c r="F156" s="578" t="s">
        <v>557</v>
      </c>
      <c r="G156" s="545"/>
      <c r="H156" s="545"/>
      <c r="I156" s="584" t="s">
        <v>464</v>
      </c>
    </row>
    <row r="157" spans="1:9" x14ac:dyDescent="0.25">
      <c r="A157" s="576">
        <v>12.333</v>
      </c>
      <c r="B157" s="339" t="s">
        <v>744</v>
      </c>
      <c r="C157" s="545" t="s">
        <v>280</v>
      </c>
      <c r="D157" s="545" t="s">
        <v>34</v>
      </c>
      <c r="E157" s="547" t="s">
        <v>44</v>
      </c>
      <c r="F157" s="578" t="s">
        <v>559</v>
      </c>
      <c r="G157" s="545"/>
      <c r="H157" s="545"/>
      <c r="I157" s="584"/>
    </row>
    <row r="158" spans="1:9" x14ac:dyDescent="0.25">
      <c r="A158" s="576">
        <v>12.334</v>
      </c>
      <c r="B158" s="339" t="s">
        <v>745</v>
      </c>
      <c r="C158" s="545" t="s">
        <v>259</v>
      </c>
      <c r="D158" s="545" t="s">
        <v>34</v>
      </c>
      <c r="E158" s="547" t="s">
        <v>44</v>
      </c>
      <c r="F158" s="578" t="s">
        <v>558</v>
      </c>
      <c r="G158" s="545" t="s">
        <v>604</v>
      </c>
      <c r="H158" s="545"/>
      <c r="I158" s="584"/>
    </row>
    <row r="159" spans="1:9" x14ac:dyDescent="0.25">
      <c r="A159" s="576">
        <v>12.336</v>
      </c>
      <c r="B159" s="339" t="s">
        <v>746</v>
      </c>
      <c r="C159" s="545" t="s">
        <v>280</v>
      </c>
      <c r="D159" s="545" t="s">
        <v>47</v>
      </c>
      <c r="E159" s="547" t="s">
        <v>44</v>
      </c>
      <c r="F159" s="578" t="s">
        <v>563</v>
      </c>
      <c r="G159" s="545"/>
      <c r="H159" s="545"/>
      <c r="I159" s="584" t="s">
        <v>464</v>
      </c>
    </row>
    <row r="160" spans="1:9" x14ac:dyDescent="0.25">
      <c r="A160" s="576">
        <v>12.339</v>
      </c>
      <c r="B160" s="339" t="s">
        <v>747</v>
      </c>
      <c r="C160" s="545" t="s">
        <v>259</v>
      </c>
      <c r="D160" s="545" t="s">
        <v>34</v>
      </c>
      <c r="E160" s="547" t="s">
        <v>44</v>
      </c>
      <c r="F160" s="578" t="s">
        <v>558</v>
      </c>
      <c r="G160" s="545"/>
      <c r="H160" s="545"/>
      <c r="I160" s="584" t="s">
        <v>748</v>
      </c>
    </row>
    <row r="161" spans="1:9" x14ac:dyDescent="0.25">
      <c r="A161" s="576">
        <v>12.342000000000001</v>
      </c>
      <c r="B161" s="339" t="s">
        <v>749</v>
      </c>
      <c r="C161" s="545" t="s">
        <v>259</v>
      </c>
      <c r="D161" s="545" t="s">
        <v>47</v>
      </c>
      <c r="E161" s="547" t="s">
        <v>44</v>
      </c>
      <c r="F161" s="578" t="s">
        <v>558</v>
      </c>
      <c r="G161" s="545"/>
      <c r="H161" s="545"/>
      <c r="I161" s="584" t="s">
        <v>452</v>
      </c>
    </row>
    <row r="162" spans="1:9" x14ac:dyDescent="0.25">
      <c r="A162" s="576">
        <v>12.343</v>
      </c>
      <c r="B162" s="339" t="s">
        <v>750</v>
      </c>
      <c r="C162" s="545" t="s">
        <v>259</v>
      </c>
      <c r="D162" s="545" t="s">
        <v>34</v>
      </c>
      <c r="E162" s="547" t="s">
        <v>44</v>
      </c>
      <c r="F162" s="578" t="s">
        <v>558</v>
      </c>
      <c r="G162" s="545"/>
      <c r="H162" s="545"/>
      <c r="I162" s="584"/>
    </row>
    <row r="163" spans="1:9" x14ac:dyDescent="0.25">
      <c r="A163" s="576">
        <v>12.343999999999999</v>
      </c>
      <c r="B163" s="339" t="s">
        <v>751</v>
      </c>
      <c r="C163" s="545" t="s">
        <v>259</v>
      </c>
      <c r="D163" s="545" t="s">
        <v>34</v>
      </c>
      <c r="E163" s="547" t="s">
        <v>44</v>
      </c>
      <c r="F163" s="578" t="s">
        <v>557</v>
      </c>
      <c r="G163" s="545"/>
      <c r="H163" s="545"/>
      <c r="I163" s="584"/>
    </row>
    <row r="164" spans="1:9" x14ac:dyDescent="0.25">
      <c r="A164" s="576">
        <v>12.349</v>
      </c>
      <c r="B164" s="339" t="s">
        <v>752</v>
      </c>
      <c r="C164" s="545" t="s">
        <v>280</v>
      </c>
      <c r="D164" s="545" t="s">
        <v>34</v>
      </c>
      <c r="E164" s="547" t="s">
        <v>44</v>
      </c>
      <c r="F164" s="578" t="s">
        <v>559</v>
      </c>
      <c r="G164" s="545"/>
      <c r="H164" s="545"/>
      <c r="I164" s="584"/>
    </row>
    <row r="165" spans="1:9" x14ac:dyDescent="0.25">
      <c r="A165" s="576">
        <v>12.356</v>
      </c>
      <c r="B165" s="339" t="s">
        <v>753</v>
      </c>
      <c r="C165" s="545" t="s">
        <v>259</v>
      </c>
      <c r="D165" s="545" t="s">
        <v>34</v>
      </c>
      <c r="E165" s="547" t="s">
        <v>44</v>
      </c>
      <c r="F165" s="578" t="s">
        <v>559</v>
      </c>
      <c r="G165" s="545"/>
      <c r="H165" s="545"/>
      <c r="I165" s="584"/>
    </row>
    <row r="166" spans="1:9" x14ac:dyDescent="0.25">
      <c r="A166" s="576">
        <v>12.356999999999999</v>
      </c>
      <c r="B166" s="339" t="s">
        <v>754</v>
      </c>
      <c r="C166" s="545" t="s">
        <v>259</v>
      </c>
      <c r="D166" s="545" t="s">
        <v>34</v>
      </c>
      <c r="E166" s="547" t="s">
        <v>44</v>
      </c>
      <c r="F166" s="578" t="s">
        <v>559</v>
      </c>
      <c r="G166" s="545"/>
      <c r="H166" s="545"/>
      <c r="I166" s="584"/>
    </row>
    <row r="167" spans="1:9" x14ac:dyDescent="0.25">
      <c r="A167" s="576">
        <v>12.358000000000001</v>
      </c>
      <c r="B167" s="339" t="s">
        <v>755</v>
      </c>
      <c r="C167" s="545" t="s">
        <v>280</v>
      </c>
      <c r="D167" s="545" t="s">
        <v>34</v>
      </c>
      <c r="E167" s="547" t="s">
        <v>44</v>
      </c>
      <c r="F167" s="578" t="s">
        <v>559</v>
      </c>
      <c r="G167" s="545"/>
      <c r="H167" s="545"/>
      <c r="I167" s="584"/>
    </row>
    <row r="168" spans="1:9" x14ac:dyDescent="0.25">
      <c r="A168" s="576">
        <v>12.36</v>
      </c>
      <c r="B168" s="339" t="s">
        <v>756</v>
      </c>
      <c r="C168" s="545" t="s">
        <v>280</v>
      </c>
      <c r="D168" s="545" t="s">
        <v>34</v>
      </c>
      <c r="E168" s="547" t="s">
        <v>44</v>
      </c>
      <c r="F168" s="578" t="s">
        <v>563</v>
      </c>
      <c r="G168" s="545"/>
      <c r="H168" s="545"/>
      <c r="I168" s="584"/>
    </row>
    <row r="169" spans="1:9" x14ac:dyDescent="0.25">
      <c r="A169" s="576">
        <v>12.361000000000001</v>
      </c>
      <c r="B169" s="339" t="s">
        <v>757</v>
      </c>
      <c r="C169" s="545" t="s">
        <v>280</v>
      </c>
      <c r="D169" s="545" t="s">
        <v>34</v>
      </c>
      <c r="E169" s="547" t="s">
        <v>44</v>
      </c>
      <c r="F169" s="578" t="s">
        <v>563</v>
      </c>
      <c r="G169" s="545"/>
      <c r="H169" s="545"/>
      <c r="I169" s="584"/>
    </row>
    <row r="170" spans="1:9" x14ac:dyDescent="0.25">
      <c r="A170" s="576">
        <v>12.366</v>
      </c>
      <c r="B170" s="339" t="s">
        <v>758</v>
      </c>
      <c r="C170" s="545" t="s">
        <v>280</v>
      </c>
      <c r="D170" s="545" t="s">
        <v>45</v>
      </c>
      <c r="E170" s="547" t="s">
        <v>44</v>
      </c>
      <c r="F170" s="578" t="s">
        <v>559</v>
      </c>
      <c r="G170" s="545"/>
      <c r="H170" s="545"/>
      <c r="I170" s="584" t="s">
        <v>487</v>
      </c>
    </row>
    <row r="171" spans="1:9" x14ac:dyDescent="0.25">
      <c r="A171" s="576">
        <v>12.37</v>
      </c>
      <c r="B171" s="339" t="s">
        <v>759</v>
      </c>
      <c r="C171" s="545" t="s">
        <v>280</v>
      </c>
      <c r="D171" s="545" t="s">
        <v>34</v>
      </c>
      <c r="E171" s="547" t="s">
        <v>44</v>
      </c>
      <c r="F171" s="578" t="s">
        <v>563</v>
      </c>
      <c r="G171" s="545"/>
      <c r="H171" s="545"/>
      <c r="I171" s="584"/>
    </row>
    <row r="172" spans="1:9" x14ac:dyDescent="0.25">
      <c r="A172" s="576">
        <v>12.372999999999999</v>
      </c>
      <c r="B172" s="339" t="s">
        <v>760</v>
      </c>
      <c r="C172" s="545" t="s">
        <v>259</v>
      </c>
      <c r="D172" s="545" t="s">
        <v>34</v>
      </c>
      <c r="E172" s="547" t="s">
        <v>44</v>
      </c>
      <c r="F172" s="578" t="s">
        <v>560</v>
      </c>
      <c r="G172" s="545"/>
      <c r="H172" s="545"/>
      <c r="I172" s="584"/>
    </row>
    <row r="173" spans="1:9" x14ac:dyDescent="0.25">
      <c r="A173" s="576">
        <v>12.374000000000001</v>
      </c>
      <c r="B173" s="339" t="s">
        <v>761</v>
      </c>
      <c r="C173" s="545" t="s">
        <v>259</v>
      </c>
      <c r="D173" s="545" t="s">
        <v>34</v>
      </c>
      <c r="E173" s="547" t="s">
        <v>44</v>
      </c>
      <c r="F173" s="578" t="s">
        <v>559</v>
      </c>
      <c r="G173" s="545"/>
      <c r="H173" s="545"/>
      <c r="I173" s="584" t="s">
        <v>762</v>
      </c>
    </row>
    <row r="174" spans="1:9" x14ac:dyDescent="0.25">
      <c r="A174" s="576">
        <v>12.382</v>
      </c>
      <c r="B174" s="339" t="s">
        <v>763</v>
      </c>
      <c r="C174" s="545" t="s">
        <v>280</v>
      </c>
      <c r="D174" s="545" t="s">
        <v>40</v>
      </c>
      <c r="E174" s="547" t="s">
        <v>33</v>
      </c>
      <c r="F174" s="578" t="s">
        <v>562</v>
      </c>
      <c r="G174" s="545"/>
      <c r="H174" s="545"/>
      <c r="I174" s="584" t="s">
        <v>404</v>
      </c>
    </row>
    <row r="175" spans="1:9" x14ac:dyDescent="0.25">
      <c r="A175" s="576">
        <v>12.387</v>
      </c>
      <c r="B175" s="339" t="s">
        <v>764</v>
      </c>
      <c r="C175" s="545" t="s">
        <v>259</v>
      </c>
      <c r="D175" s="545" t="s">
        <v>47</v>
      </c>
      <c r="E175" s="547" t="s">
        <v>44</v>
      </c>
      <c r="F175" s="578" t="s">
        <v>561</v>
      </c>
      <c r="G175" s="545"/>
      <c r="H175" s="545"/>
      <c r="I175" s="584" t="s">
        <v>490</v>
      </c>
    </row>
    <row r="176" spans="1:9" x14ac:dyDescent="0.25">
      <c r="A176" s="576">
        <v>12.388999999999999</v>
      </c>
      <c r="B176" s="339" t="s">
        <v>765</v>
      </c>
      <c r="C176" s="545" t="s">
        <v>259</v>
      </c>
      <c r="D176" s="545" t="s">
        <v>47</v>
      </c>
      <c r="E176" s="547" t="s">
        <v>44</v>
      </c>
      <c r="F176" s="578" t="s">
        <v>558</v>
      </c>
      <c r="G176" s="545"/>
      <c r="H176" s="545"/>
      <c r="I176" s="584" t="s">
        <v>464</v>
      </c>
    </row>
    <row r="177" spans="1:9" x14ac:dyDescent="0.25">
      <c r="A177" s="576">
        <v>12.391999999999999</v>
      </c>
      <c r="B177" s="339" t="s">
        <v>766</v>
      </c>
      <c r="C177" s="545" t="s">
        <v>280</v>
      </c>
      <c r="D177" s="545" t="s">
        <v>47</v>
      </c>
      <c r="E177" s="547" t="s">
        <v>44</v>
      </c>
      <c r="F177" s="578" t="s">
        <v>558</v>
      </c>
      <c r="G177" s="545"/>
      <c r="H177" s="545"/>
      <c r="I177" s="584" t="s">
        <v>464</v>
      </c>
    </row>
    <row r="178" spans="1:9" x14ac:dyDescent="0.25">
      <c r="A178" s="576">
        <v>12.393000000000001</v>
      </c>
      <c r="B178" s="339" t="s">
        <v>767</v>
      </c>
      <c r="C178" s="545" t="s">
        <v>259</v>
      </c>
      <c r="D178" s="545" t="s">
        <v>47</v>
      </c>
      <c r="E178" s="547" t="s">
        <v>44</v>
      </c>
      <c r="F178" s="578" t="s">
        <v>558</v>
      </c>
      <c r="G178" s="545"/>
      <c r="H178" s="545"/>
      <c r="I178" s="584" t="s">
        <v>464</v>
      </c>
    </row>
    <row r="179" spans="1:9" x14ac:dyDescent="0.25">
      <c r="A179" s="576">
        <v>12.396000000000001</v>
      </c>
      <c r="B179" s="339" t="s">
        <v>768</v>
      </c>
      <c r="C179" s="545" t="s">
        <v>259</v>
      </c>
      <c r="D179" s="545" t="s">
        <v>34</v>
      </c>
      <c r="E179" s="547" t="s">
        <v>44</v>
      </c>
      <c r="F179" s="578" t="s">
        <v>561</v>
      </c>
      <c r="G179" s="545"/>
      <c r="H179" s="545"/>
      <c r="I179" s="584"/>
    </row>
    <row r="180" spans="1:9" x14ac:dyDescent="0.25">
      <c r="A180" s="576">
        <v>12.397</v>
      </c>
      <c r="B180" s="339" t="s">
        <v>769</v>
      </c>
      <c r="C180" s="545" t="s">
        <v>280</v>
      </c>
      <c r="D180" s="545" t="s">
        <v>47</v>
      </c>
      <c r="E180" s="547" t="s">
        <v>44</v>
      </c>
      <c r="F180" s="578" t="s">
        <v>561</v>
      </c>
      <c r="G180" s="545"/>
      <c r="H180" s="545"/>
      <c r="I180" s="584" t="s">
        <v>492</v>
      </c>
    </row>
    <row r="181" spans="1:9" x14ac:dyDescent="0.25">
      <c r="A181" s="576">
        <v>12.398</v>
      </c>
      <c r="B181" s="339" t="s">
        <v>770</v>
      </c>
      <c r="C181" s="545" t="s">
        <v>280</v>
      </c>
      <c r="D181" s="545" t="s">
        <v>47</v>
      </c>
      <c r="E181" s="547" t="s">
        <v>44</v>
      </c>
      <c r="F181" s="578" t="s">
        <v>561</v>
      </c>
      <c r="G181" s="545"/>
      <c r="H181" s="545"/>
      <c r="I181" s="584" t="s">
        <v>492</v>
      </c>
    </row>
    <row r="182" spans="1:9" x14ac:dyDescent="0.25">
      <c r="A182" s="576">
        <v>12.398999999999999</v>
      </c>
      <c r="B182" s="339" t="s">
        <v>771</v>
      </c>
      <c r="C182" s="545" t="s">
        <v>259</v>
      </c>
      <c r="D182" s="545" t="s">
        <v>47</v>
      </c>
      <c r="E182" s="547" t="s">
        <v>44</v>
      </c>
      <c r="F182" s="578" t="s">
        <v>562</v>
      </c>
      <c r="G182" s="545"/>
      <c r="H182" s="545"/>
      <c r="I182" s="584" t="s">
        <v>493</v>
      </c>
    </row>
    <row r="183" spans="1:9" x14ac:dyDescent="0.25">
      <c r="A183" s="576">
        <v>12.4</v>
      </c>
      <c r="B183" s="339" t="s">
        <v>772</v>
      </c>
      <c r="C183" s="545" t="s">
        <v>259</v>
      </c>
      <c r="D183" s="545" t="s">
        <v>47</v>
      </c>
      <c r="E183" s="547" t="s">
        <v>44</v>
      </c>
      <c r="F183" s="578" t="s">
        <v>561</v>
      </c>
      <c r="G183" s="545"/>
      <c r="H183" s="545"/>
      <c r="I183" s="584" t="s">
        <v>494</v>
      </c>
    </row>
    <row r="184" spans="1:9" x14ac:dyDescent="0.25">
      <c r="A184" s="576">
        <v>12.401</v>
      </c>
      <c r="B184" s="339" t="s">
        <v>773</v>
      </c>
      <c r="C184" s="545" t="s">
        <v>280</v>
      </c>
      <c r="D184" s="545" t="s">
        <v>34</v>
      </c>
      <c r="E184" s="547" t="s">
        <v>44</v>
      </c>
      <c r="F184" s="578" t="s">
        <v>557</v>
      </c>
      <c r="G184" s="545"/>
      <c r="H184" s="545"/>
      <c r="I184" s="584"/>
    </row>
    <row r="185" spans="1:9" x14ac:dyDescent="0.25">
      <c r="A185" s="576">
        <v>12.401999999999999</v>
      </c>
      <c r="B185" s="339" t="s">
        <v>774</v>
      </c>
      <c r="C185" s="545" t="s">
        <v>259</v>
      </c>
      <c r="D185" s="545" t="s">
        <v>34</v>
      </c>
      <c r="E185" s="547" t="s">
        <v>44</v>
      </c>
      <c r="F185" s="578" t="s">
        <v>561</v>
      </c>
      <c r="G185" s="545"/>
      <c r="H185" s="545"/>
      <c r="I185" s="584" t="s">
        <v>775</v>
      </c>
    </row>
    <row r="186" spans="1:9" x14ac:dyDescent="0.25">
      <c r="A186" s="576">
        <v>12.403</v>
      </c>
      <c r="B186" s="339" t="s">
        <v>776</v>
      </c>
      <c r="C186" s="545" t="s">
        <v>259</v>
      </c>
      <c r="D186" s="545" t="s">
        <v>34</v>
      </c>
      <c r="E186" s="547" t="s">
        <v>44</v>
      </c>
      <c r="F186" s="578" t="s">
        <v>561</v>
      </c>
      <c r="G186" s="545"/>
      <c r="H186" s="545"/>
      <c r="I186" s="584" t="s">
        <v>777</v>
      </c>
    </row>
    <row r="187" spans="1:9" x14ac:dyDescent="0.25">
      <c r="A187" s="576">
        <v>12.406000000000001</v>
      </c>
      <c r="B187" s="339" t="s">
        <v>778</v>
      </c>
      <c r="C187" s="545" t="s">
        <v>259</v>
      </c>
      <c r="D187" s="545" t="s">
        <v>34</v>
      </c>
      <c r="E187" s="547" t="s">
        <v>44</v>
      </c>
      <c r="F187" s="578" t="s">
        <v>561</v>
      </c>
      <c r="G187" s="545"/>
      <c r="H187" s="545"/>
      <c r="I187" s="584" t="s">
        <v>779</v>
      </c>
    </row>
    <row r="188" spans="1:9" x14ac:dyDescent="0.25">
      <c r="A188" s="576">
        <v>12.41</v>
      </c>
      <c r="B188" s="339" t="s">
        <v>780</v>
      </c>
      <c r="C188" s="545" t="s">
        <v>259</v>
      </c>
      <c r="D188" s="545" t="s">
        <v>47</v>
      </c>
      <c r="E188" s="547" t="s">
        <v>44</v>
      </c>
      <c r="F188" s="578" t="s">
        <v>558</v>
      </c>
      <c r="G188" s="545"/>
      <c r="H188" s="545"/>
      <c r="I188" s="584" t="s">
        <v>499</v>
      </c>
    </row>
    <row r="189" spans="1:9" x14ac:dyDescent="0.25">
      <c r="A189" s="576">
        <v>12.411</v>
      </c>
      <c r="B189" s="339" t="s">
        <v>781</v>
      </c>
      <c r="C189" s="545" t="s">
        <v>280</v>
      </c>
      <c r="D189" s="545" t="s">
        <v>34</v>
      </c>
      <c r="E189" s="547" t="s">
        <v>44</v>
      </c>
      <c r="F189" s="578" t="s">
        <v>558</v>
      </c>
      <c r="G189" s="545"/>
      <c r="H189" s="545"/>
      <c r="I189" s="584"/>
    </row>
    <row r="190" spans="1:9" x14ac:dyDescent="0.25">
      <c r="A190" s="576">
        <v>12.412000000000001</v>
      </c>
      <c r="B190" s="339" t="s">
        <v>782</v>
      </c>
      <c r="C190" s="545" t="s">
        <v>259</v>
      </c>
      <c r="D190" s="545" t="s">
        <v>34</v>
      </c>
      <c r="E190" s="547" t="s">
        <v>44</v>
      </c>
      <c r="F190" s="578" t="s">
        <v>557</v>
      </c>
      <c r="G190" s="545"/>
      <c r="H190" s="545"/>
      <c r="I190" s="584"/>
    </row>
    <row r="191" spans="1:9" x14ac:dyDescent="0.25">
      <c r="A191" s="576">
        <v>12.413</v>
      </c>
      <c r="B191" s="339" t="s">
        <v>783</v>
      </c>
      <c r="C191" s="545" t="s">
        <v>259</v>
      </c>
      <c r="D191" s="545" t="s">
        <v>34</v>
      </c>
      <c r="E191" s="547" t="s">
        <v>44</v>
      </c>
      <c r="F191" s="578" t="s">
        <v>559</v>
      </c>
      <c r="G191" s="545"/>
      <c r="H191" s="545"/>
      <c r="I191" s="584" t="s">
        <v>784</v>
      </c>
    </row>
    <row r="192" spans="1:9" x14ac:dyDescent="0.25">
      <c r="A192" s="576">
        <v>12.414</v>
      </c>
      <c r="B192" s="339" t="s">
        <v>785</v>
      </c>
      <c r="C192" s="545" t="s">
        <v>259</v>
      </c>
      <c r="D192" s="545" t="s">
        <v>47</v>
      </c>
      <c r="E192" s="547" t="s">
        <v>44</v>
      </c>
      <c r="F192" s="578" t="s">
        <v>566</v>
      </c>
      <c r="G192" s="545"/>
      <c r="H192" s="545"/>
      <c r="I192" s="584" t="s">
        <v>504</v>
      </c>
    </row>
    <row r="193" spans="1:9" x14ac:dyDescent="0.25">
      <c r="A193" s="576">
        <v>12.417</v>
      </c>
      <c r="B193" s="339" t="s">
        <v>786</v>
      </c>
      <c r="C193" s="545" t="s">
        <v>259</v>
      </c>
      <c r="D193" s="545" t="s">
        <v>47</v>
      </c>
      <c r="E193" s="547" t="s">
        <v>44</v>
      </c>
      <c r="F193" s="578" t="s">
        <v>558</v>
      </c>
      <c r="G193" s="545"/>
      <c r="H193" s="545"/>
      <c r="I193" s="584" t="s">
        <v>505</v>
      </c>
    </row>
    <row r="194" spans="1:9" x14ac:dyDescent="0.25">
      <c r="A194" s="576">
        <v>12.417999999999999</v>
      </c>
      <c r="B194" s="339" t="s">
        <v>787</v>
      </c>
      <c r="C194" s="545" t="s">
        <v>259</v>
      </c>
      <c r="D194" s="545" t="s">
        <v>47</v>
      </c>
      <c r="E194" s="547" t="s">
        <v>44</v>
      </c>
      <c r="F194" s="578" t="s">
        <v>558</v>
      </c>
      <c r="G194" s="545"/>
      <c r="H194" s="545"/>
      <c r="I194" s="584" t="s">
        <v>505</v>
      </c>
    </row>
    <row r="195" spans="1:9" x14ac:dyDescent="0.25">
      <c r="A195" s="576">
        <v>12.42</v>
      </c>
      <c r="B195" s="339" t="s">
        <v>788</v>
      </c>
      <c r="C195" s="545" t="s">
        <v>280</v>
      </c>
      <c r="D195" s="545" t="s">
        <v>34</v>
      </c>
      <c r="E195" s="547" t="s">
        <v>44</v>
      </c>
      <c r="F195" s="578" t="s">
        <v>564</v>
      </c>
      <c r="G195" s="545"/>
      <c r="H195" s="545"/>
      <c r="I195" s="584"/>
    </row>
    <row r="196" spans="1:9" x14ac:dyDescent="0.25">
      <c r="A196" s="576">
        <v>12.420999999999999</v>
      </c>
      <c r="B196" s="339" t="s">
        <v>789</v>
      </c>
      <c r="C196" s="545" t="s">
        <v>259</v>
      </c>
      <c r="D196" s="545" t="s">
        <v>34</v>
      </c>
      <c r="E196" s="547" t="s">
        <v>44</v>
      </c>
      <c r="F196" s="578" t="s">
        <v>558</v>
      </c>
      <c r="G196" s="545"/>
      <c r="H196" s="545"/>
      <c r="I196" s="584" t="s">
        <v>790</v>
      </c>
    </row>
    <row r="197" spans="1:9" x14ac:dyDescent="0.25">
      <c r="A197" s="576">
        <v>12.422000000000001</v>
      </c>
      <c r="B197" s="339" t="s">
        <v>791</v>
      </c>
      <c r="C197" s="545" t="s">
        <v>259</v>
      </c>
      <c r="D197" s="545" t="s">
        <v>47</v>
      </c>
      <c r="E197" s="547" t="s">
        <v>44</v>
      </c>
      <c r="F197" s="578" t="s">
        <v>561</v>
      </c>
      <c r="G197" s="545"/>
      <c r="H197" s="545"/>
      <c r="I197" s="584" t="s">
        <v>509</v>
      </c>
    </row>
    <row r="198" spans="1:9" x14ac:dyDescent="0.25">
      <c r="A198" s="576">
        <v>12.425000000000001</v>
      </c>
      <c r="B198" s="339" t="s">
        <v>792</v>
      </c>
      <c r="C198" s="545" t="s">
        <v>280</v>
      </c>
      <c r="D198" s="545" t="s">
        <v>34</v>
      </c>
      <c r="E198" s="547" t="s">
        <v>44</v>
      </c>
      <c r="F198" s="578" t="s">
        <v>560</v>
      </c>
      <c r="G198" s="545"/>
      <c r="H198" s="545"/>
      <c r="I198" s="584"/>
    </row>
    <row r="199" spans="1:9" x14ac:dyDescent="0.25">
      <c r="A199" s="576">
        <v>12.429</v>
      </c>
      <c r="B199" s="339" t="s">
        <v>793</v>
      </c>
      <c r="C199" s="545" t="s">
        <v>259</v>
      </c>
      <c r="D199" s="545" t="s">
        <v>34</v>
      </c>
      <c r="E199" s="547" t="s">
        <v>44</v>
      </c>
      <c r="F199" s="578" t="s">
        <v>565</v>
      </c>
      <c r="G199" s="545"/>
      <c r="H199" s="545"/>
      <c r="I199" s="584"/>
    </row>
    <row r="200" spans="1:9" x14ac:dyDescent="0.25">
      <c r="A200" s="576">
        <v>12.43</v>
      </c>
      <c r="B200" s="339" t="s">
        <v>794</v>
      </c>
      <c r="C200" s="545" t="s">
        <v>259</v>
      </c>
      <c r="D200" s="545" t="s">
        <v>34</v>
      </c>
      <c r="E200" s="547" t="s">
        <v>44</v>
      </c>
      <c r="F200" s="578" t="s">
        <v>565</v>
      </c>
      <c r="G200" s="545"/>
      <c r="H200" s="545"/>
      <c r="I200" s="584"/>
    </row>
    <row r="201" spans="1:9" x14ac:dyDescent="0.25">
      <c r="A201" s="576">
        <v>12.438000000000001</v>
      </c>
      <c r="B201" s="339" t="s">
        <v>795</v>
      </c>
      <c r="C201" s="545" t="s">
        <v>280</v>
      </c>
      <c r="D201" s="545" t="s">
        <v>47</v>
      </c>
      <c r="E201" s="547" t="s">
        <v>44</v>
      </c>
      <c r="F201" s="578" t="s">
        <v>564</v>
      </c>
      <c r="G201" s="545"/>
      <c r="H201" s="545"/>
      <c r="I201" s="584" t="s">
        <v>515</v>
      </c>
    </row>
    <row r="202" spans="1:9" x14ac:dyDescent="0.25">
      <c r="A202" s="576">
        <v>12.439</v>
      </c>
      <c r="B202" s="339" t="s">
        <v>796</v>
      </c>
      <c r="C202" s="545" t="s">
        <v>280</v>
      </c>
      <c r="D202" s="545" t="s">
        <v>34</v>
      </c>
      <c r="E202" s="547" t="s">
        <v>44</v>
      </c>
      <c r="F202" s="578" t="s">
        <v>558</v>
      </c>
      <c r="G202" s="545"/>
      <c r="H202" s="545"/>
      <c r="I202" s="584"/>
    </row>
    <row r="203" spans="1:9" x14ac:dyDescent="0.25">
      <c r="A203" s="576">
        <v>12.44</v>
      </c>
      <c r="B203" s="339" t="s">
        <v>797</v>
      </c>
      <c r="C203" s="545" t="s">
        <v>280</v>
      </c>
      <c r="D203" s="545" t="s">
        <v>45</v>
      </c>
      <c r="E203" s="547" t="s">
        <v>44</v>
      </c>
      <c r="F203" s="578" t="s">
        <v>558</v>
      </c>
      <c r="G203" s="545"/>
      <c r="H203" s="545"/>
      <c r="I203" s="584" t="s">
        <v>442</v>
      </c>
    </row>
    <row r="204" spans="1:9" x14ac:dyDescent="0.25">
      <c r="A204" s="576">
        <v>12.441000000000001</v>
      </c>
      <c r="B204" s="339" t="s">
        <v>798</v>
      </c>
      <c r="C204" s="545" t="s">
        <v>280</v>
      </c>
      <c r="D204" s="545" t="s">
        <v>34</v>
      </c>
      <c r="E204" s="547" t="s">
        <v>44</v>
      </c>
      <c r="F204" s="578" t="s">
        <v>564</v>
      </c>
      <c r="G204" s="545"/>
      <c r="H204" s="545"/>
      <c r="I204" s="584"/>
    </row>
    <row r="205" spans="1:9" x14ac:dyDescent="0.25">
      <c r="A205" s="576">
        <v>12.442</v>
      </c>
      <c r="B205" s="339" t="s">
        <v>799</v>
      </c>
      <c r="C205" s="545" t="s">
        <v>280</v>
      </c>
      <c r="D205" s="545" t="s">
        <v>47</v>
      </c>
      <c r="E205" s="547" t="s">
        <v>44</v>
      </c>
      <c r="F205" s="578" t="s">
        <v>558</v>
      </c>
      <c r="G205" s="545"/>
      <c r="H205" s="545"/>
      <c r="I205" s="584" t="s">
        <v>519</v>
      </c>
    </row>
    <row r="206" spans="1:9" x14ac:dyDescent="0.25">
      <c r="A206" s="576">
        <v>12.444000000000001</v>
      </c>
      <c r="B206" s="339" t="s">
        <v>800</v>
      </c>
      <c r="C206" s="545" t="s">
        <v>280</v>
      </c>
      <c r="D206" s="545" t="s">
        <v>34</v>
      </c>
      <c r="E206" s="547" t="s">
        <v>44</v>
      </c>
      <c r="F206" s="578" t="s">
        <v>565</v>
      </c>
      <c r="G206" s="545"/>
      <c r="H206" s="545"/>
      <c r="I206" s="584"/>
    </row>
    <row r="207" spans="1:9" x14ac:dyDescent="0.25">
      <c r="A207" s="576">
        <v>12.445</v>
      </c>
      <c r="B207" s="339" t="s">
        <v>801</v>
      </c>
      <c r="C207" s="545" t="s">
        <v>280</v>
      </c>
      <c r="D207" s="545" t="s">
        <v>34</v>
      </c>
      <c r="E207" s="547" t="s">
        <v>44</v>
      </c>
      <c r="F207" s="578" t="s">
        <v>563</v>
      </c>
      <c r="G207" s="545"/>
      <c r="H207" s="545"/>
      <c r="I207" s="584"/>
    </row>
    <row r="208" spans="1:9" x14ac:dyDescent="0.25">
      <c r="A208" s="576">
        <v>12.446</v>
      </c>
      <c r="B208" s="339" t="s">
        <v>802</v>
      </c>
      <c r="C208" s="545" t="s">
        <v>280</v>
      </c>
      <c r="D208" s="545" t="s">
        <v>34</v>
      </c>
      <c r="E208" s="547" t="s">
        <v>44</v>
      </c>
      <c r="F208" s="578" t="s">
        <v>557</v>
      </c>
      <c r="G208" s="545"/>
      <c r="H208" s="545"/>
      <c r="I208" s="584"/>
    </row>
    <row r="209" spans="1:9" x14ac:dyDescent="0.25">
      <c r="A209" s="576">
        <v>12.446999999999999</v>
      </c>
      <c r="B209" s="339" t="s">
        <v>803</v>
      </c>
      <c r="C209" s="545" t="s">
        <v>280</v>
      </c>
      <c r="D209" s="545" t="s">
        <v>34</v>
      </c>
      <c r="E209" s="547" t="s">
        <v>44</v>
      </c>
      <c r="F209" s="578" t="s">
        <v>557</v>
      </c>
      <c r="G209" s="545"/>
      <c r="H209" s="545"/>
      <c r="I209" s="584"/>
    </row>
    <row r="210" spans="1:9" x14ac:dyDescent="0.25">
      <c r="A210" s="576">
        <v>12.448</v>
      </c>
      <c r="B210" s="339" t="s">
        <v>804</v>
      </c>
      <c r="C210" s="545" t="s">
        <v>280</v>
      </c>
      <c r="D210" s="545" t="s">
        <v>34</v>
      </c>
      <c r="E210" s="547" t="s">
        <v>44</v>
      </c>
      <c r="F210" s="578" t="s">
        <v>565</v>
      </c>
      <c r="G210" s="545"/>
      <c r="H210" s="545"/>
      <c r="I210" s="584"/>
    </row>
    <row r="211" spans="1:9" x14ac:dyDescent="0.25">
      <c r="A211" s="576">
        <v>12.449</v>
      </c>
      <c r="B211" s="339" t="s">
        <v>805</v>
      </c>
      <c r="C211" s="545" t="s">
        <v>259</v>
      </c>
      <c r="D211" s="545" t="s">
        <v>34</v>
      </c>
      <c r="E211" s="547" t="s">
        <v>44</v>
      </c>
      <c r="F211" s="578" t="s">
        <v>565</v>
      </c>
      <c r="G211" s="545"/>
      <c r="H211" s="545"/>
      <c r="I211" s="584"/>
    </row>
    <row r="212" spans="1:9" x14ac:dyDescent="0.25">
      <c r="A212" s="576">
        <v>12.45</v>
      </c>
      <c r="B212" s="339" t="s">
        <v>806</v>
      </c>
      <c r="C212" s="545" t="s">
        <v>280</v>
      </c>
      <c r="D212" s="545" t="s">
        <v>34</v>
      </c>
      <c r="E212" s="547" t="s">
        <v>44</v>
      </c>
      <c r="F212" s="578" t="s">
        <v>563</v>
      </c>
      <c r="G212" s="545"/>
      <c r="H212" s="545"/>
      <c r="I212" s="584"/>
    </row>
    <row r="213" spans="1:9" x14ac:dyDescent="0.25">
      <c r="A213" s="576">
        <v>12.451000000000001</v>
      </c>
      <c r="B213" s="339" t="s">
        <v>807</v>
      </c>
      <c r="C213" s="545" t="s">
        <v>259</v>
      </c>
      <c r="D213" s="545" t="s">
        <v>34</v>
      </c>
      <c r="E213" s="547" t="s">
        <v>44</v>
      </c>
      <c r="F213" s="578" t="s">
        <v>565</v>
      </c>
      <c r="G213" s="545"/>
      <c r="H213" s="545"/>
      <c r="I213" s="584"/>
    </row>
    <row r="214" spans="1:9" x14ac:dyDescent="0.25">
      <c r="A214" s="576">
        <v>12.452</v>
      </c>
      <c r="B214" s="339" t="s">
        <v>808</v>
      </c>
      <c r="C214" s="545" t="s">
        <v>280</v>
      </c>
      <c r="D214" s="545" t="s">
        <v>34</v>
      </c>
      <c r="E214" s="547" t="s">
        <v>44</v>
      </c>
      <c r="F214" s="578" t="s">
        <v>557</v>
      </c>
      <c r="G214" s="545"/>
      <c r="H214" s="545"/>
      <c r="I214" s="584"/>
    </row>
    <row r="215" spans="1:9" x14ac:dyDescent="0.25">
      <c r="A215" s="576">
        <v>12.452999999999999</v>
      </c>
      <c r="B215" s="339" t="s">
        <v>809</v>
      </c>
      <c r="C215" s="545" t="s">
        <v>280</v>
      </c>
      <c r="D215" s="545" t="s">
        <v>34</v>
      </c>
      <c r="E215" s="547" t="s">
        <v>44</v>
      </c>
      <c r="F215" s="578" t="s">
        <v>564</v>
      </c>
      <c r="G215" s="545"/>
      <c r="H215" s="545"/>
      <c r="I215" s="584"/>
    </row>
    <row r="216" spans="1:9" x14ac:dyDescent="0.25">
      <c r="A216" s="576">
        <v>12.454000000000001</v>
      </c>
      <c r="B216" s="339" t="s">
        <v>810</v>
      </c>
      <c r="C216" s="545" t="s">
        <v>280</v>
      </c>
      <c r="D216" s="545" t="s">
        <v>34</v>
      </c>
      <c r="E216" s="547" t="s">
        <v>44</v>
      </c>
      <c r="F216" s="578" t="s">
        <v>557</v>
      </c>
      <c r="G216" s="545"/>
      <c r="H216" s="545"/>
      <c r="I216" s="584"/>
    </row>
    <row r="217" spans="1:9" x14ac:dyDescent="0.25">
      <c r="A217" s="576">
        <v>12.455</v>
      </c>
      <c r="B217" s="339" t="s">
        <v>811</v>
      </c>
      <c r="C217" s="545" t="s">
        <v>280</v>
      </c>
      <c r="D217" s="545" t="s">
        <v>34</v>
      </c>
      <c r="E217" s="547" t="s">
        <v>44</v>
      </c>
      <c r="F217" s="578" t="s">
        <v>564</v>
      </c>
      <c r="G217" s="545"/>
      <c r="H217" s="545"/>
      <c r="I217" s="584"/>
    </row>
    <row r="218" spans="1:9" x14ac:dyDescent="0.25">
      <c r="A218" s="576">
        <v>12.457000000000001</v>
      </c>
      <c r="B218" s="339" t="s">
        <v>812</v>
      </c>
      <c r="C218" s="545" t="s">
        <v>280</v>
      </c>
      <c r="D218" s="545" t="s">
        <v>34</v>
      </c>
      <c r="E218" s="547" t="s">
        <v>44</v>
      </c>
      <c r="F218" s="578" t="s">
        <v>558</v>
      </c>
      <c r="G218" s="545"/>
      <c r="H218" s="545"/>
      <c r="I218" s="584"/>
    </row>
    <row r="219" spans="1:9" x14ac:dyDescent="0.25">
      <c r="A219" s="576">
        <v>12.458</v>
      </c>
      <c r="B219" s="339" t="s">
        <v>813</v>
      </c>
      <c r="C219" s="545" t="s">
        <v>280</v>
      </c>
      <c r="D219" s="545" t="s">
        <v>47</v>
      </c>
      <c r="E219" s="547" t="s">
        <v>44</v>
      </c>
      <c r="F219" s="578" t="s">
        <v>562</v>
      </c>
      <c r="G219" s="545"/>
      <c r="H219" s="545"/>
      <c r="I219" s="584" t="s">
        <v>382</v>
      </c>
    </row>
    <row r="220" spans="1:9" x14ac:dyDescent="0.25">
      <c r="A220" s="576">
        <v>12.459</v>
      </c>
      <c r="B220" s="339" t="s">
        <v>814</v>
      </c>
      <c r="C220" s="545" t="s">
        <v>280</v>
      </c>
      <c r="D220" s="545" t="s">
        <v>47</v>
      </c>
      <c r="E220" s="547" t="s">
        <v>44</v>
      </c>
      <c r="F220" s="578" t="s">
        <v>563</v>
      </c>
      <c r="G220" s="545"/>
      <c r="H220" s="545"/>
      <c r="I220" s="584" t="s">
        <v>464</v>
      </c>
    </row>
    <row r="221" spans="1:9" x14ac:dyDescent="0.25">
      <c r="A221" s="576">
        <v>12.46</v>
      </c>
      <c r="B221" s="339" t="s">
        <v>815</v>
      </c>
      <c r="C221" s="545" t="s">
        <v>280</v>
      </c>
      <c r="D221" s="545" t="s">
        <v>34</v>
      </c>
      <c r="E221" s="547" t="s">
        <v>44</v>
      </c>
      <c r="F221" s="578" t="s">
        <v>565</v>
      </c>
      <c r="G221" s="545"/>
      <c r="H221" s="545"/>
      <c r="I221" s="584"/>
    </row>
    <row r="222" spans="1:9" x14ac:dyDescent="0.25">
      <c r="A222" s="576">
        <v>12.461</v>
      </c>
      <c r="B222" s="339" t="s">
        <v>816</v>
      </c>
      <c r="C222" s="545" t="s">
        <v>280</v>
      </c>
      <c r="D222" s="545" t="s">
        <v>34</v>
      </c>
      <c r="E222" s="547" t="s">
        <v>44</v>
      </c>
      <c r="F222" s="578" t="s">
        <v>565</v>
      </c>
      <c r="G222" s="545"/>
      <c r="H222" s="545"/>
      <c r="I222" s="584"/>
    </row>
    <row r="223" spans="1:9" x14ac:dyDescent="0.25">
      <c r="A223" s="576">
        <v>12.462</v>
      </c>
      <c r="B223" s="339" t="s">
        <v>817</v>
      </c>
      <c r="C223" s="545" t="s">
        <v>284</v>
      </c>
      <c r="D223" s="545" t="s">
        <v>47</v>
      </c>
      <c r="E223" s="547" t="s">
        <v>44</v>
      </c>
      <c r="F223" s="578" t="s">
        <v>562</v>
      </c>
      <c r="G223" s="545"/>
      <c r="H223" s="545"/>
      <c r="I223" s="584" t="s">
        <v>382</v>
      </c>
    </row>
    <row r="224" spans="1:9" x14ac:dyDescent="0.25">
      <c r="A224" s="576">
        <v>12.462999999999999</v>
      </c>
      <c r="B224" s="339" t="s">
        <v>818</v>
      </c>
      <c r="C224" s="545" t="s">
        <v>280</v>
      </c>
      <c r="D224" s="545" t="s">
        <v>45</v>
      </c>
      <c r="E224" s="547" t="s">
        <v>44</v>
      </c>
      <c r="F224" s="578" t="s">
        <v>558</v>
      </c>
      <c r="G224" s="545"/>
      <c r="H224" s="545"/>
      <c r="I224" s="584" t="s">
        <v>532</v>
      </c>
    </row>
    <row r="225" spans="1:9" x14ac:dyDescent="0.25">
      <c r="A225" s="576">
        <v>12.464</v>
      </c>
      <c r="B225" s="339" t="s">
        <v>819</v>
      </c>
      <c r="C225" s="545" t="s">
        <v>280</v>
      </c>
      <c r="D225" s="545" t="s">
        <v>34</v>
      </c>
      <c r="E225" s="547" t="s">
        <v>44</v>
      </c>
      <c r="F225" s="578" t="s">
        <v>563</v>
      </c>
      <c r="G225" s="545"/>
      <c r="H225" s="545"/>
      <c r="I225" s="584"/>
    </row>
    <row r="226" spans="1:9" x14ac:dyDescent="0.25">
      <c r="A226" s="576">
        <v>12.465</v>
      </c>
      <c r="B226" s="339" t="s">
        <v>820</v>
      </c>
      <c r="C226" s="545" t="s">
        <v>280</v>
      </c>
      <c r="D226" s="545" t="s">
        <v>34</v>
      </c>
      <c r="E226" s="547" t="s">
        <v>44</v>
      </c>
      <c r="F226" s="578" t="s">
        <v>563</v>
      </c>
      <c r="G226" s="545"/>
      <c r="H226" s="545"/>
      <c r="I226" s="584"/>
    </row>
    <row r="227" spans="1:9" x14ac:dyDescent="0.25">
      <c r="A227" s="576">
        <v>12.465999999999999</v>
      </c>
      <c r="B227" s="339" t="s">
        <v>821</v>
      </c>
      <c r="C227" s="545" t="s">
        <v>280</v>
      </c>
      <c r="D227" s="545" t="s">
        <v>34</v>
      </c>
      <c r="E227" s="547" t="s">
        <v>44</v>
      </c>
      <c r="F227" s="578" t="s">
        <v>558</v>
      </c>
      <c r="G227" s="545"/>
      <c r="H227" s="545"/>
      <c r="I227" s="584" t="s">
        <v>822</v>
      </c>
    </row>
    <row r="228" spans="1:9" x14ac:dyDescent="0.25">
      <c r="A228" s="576">
        <v>12.467000000000001</v>
      </c>
      <c r="B228" s="339" t="s">
        <v>823</v>
      </c>
      <c r="C228" s="545" t="s">
        <v>259</v>
      </c>
      <c r="D228" s="545" t="s">
        <v>34</v>
      </c>
      <c r="E228" s="547" t="s">
        <v>44</v>
      </c>
      <c r="F228" s="578" t="s">
        <v>558</v>
      </c>
      <c r="G228" s="545"/>
      <c r="H228" s="545"/>
      <c r="I228" s="584"/>
    </row>
    <row r="229" spans="1:9" x14ac:dyDescent="0.25">
      <c r="A229" s="576">
        <v>12.468</v>
      </c>
      <c r="B229" s="339" t="s">
        <v>824</v>
      </c>
      <c r="C229" s="545" t="s">
        <v>280</v>
      </c>
      <c r="D229" s="545" t="s">
        <v>45</v>
      </c>
      <c r="E229" s="547" t="s">
        <v>44</v>
      </c>
      <c r="F229" s="578" t="s">
        <v>558</v>
      </c>
      <c r="G229" s="545"/>
      <c r="H229" s="545"/>
      <c r="I229" s="584" t="s">
        <v>536</v>
      </c>
    </row>
    <row r="230" spans="1:9" x14ac:dyDescent="0.25">
      <c r="A230" s="576">
        <v>12.468999999999999</v>
      </c>
      <c r="B230" s="339" t="s">
        <v>825</v>
      </c>
      <c r="C230" s="545" t="s">
        <v>280</v>
      </c>
      <c r="D230" s="545" t="s">
        <v>34</v>
      </c>
      <c r="E230" s="547" t="s">
        <v>44</v>
      </c>
      <c r="F230" s="578" t="s">
        <v>563</v>
      </c>
      <c r="G230" s="545"/>
      <c r="H230" s="545"/>
      <c r="I230" s="584"/>
    </row>
    <row r="231" spans="1:9" x14ac:dyDescent="0.25">
      <c r="A231" s="576">
        <v>12.47</v>
      </c>
      <c r="B231" s="339" t="s">
        <v>826</v>
      </c>
      <c r="C231" s="545" t="s">
        <v>259</v>
      </c>
      <c r="D231" s="545" t="s">
        <v>34</v>
      </c>
      <c r="E231" s="547" t="s">
        <v>44</v>
      </c>
      <c r="F231" s="578" t="s">
        <v>557</v>
      </c>
      <c r="G231" s="545"/>
      <c r="H231" s="545"/>
      <c r="I231" s="584"/>
    </row>
    <row r="232" spans="1:9" x14ac:dyDescent="0.25">
      <c r="A232" s="576">
        <v>12.471</v>
      </c>
      <c r="B232" s="339" t="s">
        <v>827</v>
      </c>
      <c r="C232" s="545" t="s">
        <v>280</v>
      </c>
      <c r="D232" s="545" t="s">
        <v>34</v>
      </c>
      <c r="E232" s="547" t="s">
        <v>44</v>
      </c>
      <c r="F232" s="578" t="s">
        <v>564</v>
      </c>
      <c r="G232" s="545"/>
      <c r="H232" s="545"/>
      <c r="I232" s="584"/>
    </row>
    <row r="233" spans="1:9" x14ac:dyDescent="0.25">
      <c r="A233" s="576">
        <v>12.473000000000001</v>
      </c>
      <c r="B233" s="339" t="s">
        <v>828</v>
      </c>
      <c r="C233" s="545" t="s">
        <v>259</v>
      </c>
      <c r="D233" s="545" t="s">
        <v>34</v>
      </c>
      <c r="E233" s="547" t="s">
        <v>44</v>
      </c>
      <c r="F233" s="578" t="s">
        <v>557</v>
      </c>
      <c r="G233" s="545"/>
      <c r="H233" s="545"/>
      <c r="I233" s="584"/>
    </row>
    <row r="234" spans="1:9" x14ac:dyDescent="0.25">
      <c r="A234" s="576">
        <v>12.474</v>
      </c>
      <c r="B234" s="339" t="s">
        <v>829</v>
      </c>
      <c r="C234" s="545" t="s">
        <v>280</v>
      </c>
      <c r="D234" s="545" t="s">
        <v>34</v>
      </c>
      <c r="E234" s="547" t="s">
        <v>44</v>
      </c>
      <c r="F234" s="578" t="s">
        <v>563</v>
      </c>
      <c r="G234" s="545"/>
      <c r="H234" s="545"/>
      <c r="I234" s="584"/>
    </row>
    <row r="235" spans="1:9" x14ac:dyDescent="0.25">
      <c r="A235" s="576">
        <v>12.475</v>
      </c>
      <c r="B235" s="339" t="s">
        <v>830</v>
      </c>
      <c r="C235" s="545" t="s">
        <v>259</v>
      </c>
      <c r="D235" s="545" t="s">
        <v>34</v>
      </c>
      <c r="E235" s="547" t="s">
        <v>44</v>
      </c>
      <c r="F235" s="578" t="s">
        <v>557</v>
      </c>
      <c r="G235" s="545"/>
      <c r="H235" s="545"/>
      <c r="I235" s="584"/>
    </row>
    <row r="236" spans="1:9" x14ac:dyDescent="0.25">
      <c r="A236" s="576">
        <v>12.476000000000001</v>
      </c>
      <c r="B236" s="339" t="s">
        <v>831</v>
      </c>
      <c r="C236" s="545" t="s">
        <v>284</v>
      </c>
      <c r="D236" s="545" t="s">
        <v>34</v>
      </c>
      <c r="E236" s="547" t="s">
        <v>44</v>
      </c>
      <c r="F236" s="578" t="s">
        <v>562</v>
      </c>
      <c r="G236" s="545"/>
      <c r="H236" s="545"/>
      <c r="I236" s="584"/>
    </row>
    <row r="237" spans="1:9" x14ac:dyDescent="0.25">
      <c r="A237" s="576">
        <v>12.477</v>
      </c>
      <c r="B237" s="339" t="s">
        <v>832</v>
      </c>
      <c r="C237" s="545" t="s">
        <v>284</v>
      </c>
      <c r="D237" s="545" t="s">
        <v>45</v>
      </c>
      <c r="E237" s="547" t="s">
        <v>44</v>
      </c>
      <c r="F237" s="578" t="s">
        <v>558</v>
      </c>
      <c r="G237" s="545"/>
      <c r="H237" s="545"/>
      <c r="I237" s="584" t="s">
        <v>442</v>
      </c>
    </row>
    <row r="238" spans="1:9" x14ac:dyDescent="0.25">
      <c r="A238" s="576">
        <v>12.478999999999999</v>
      </c>
      <c r="B238" s="339" t="s">
        <v>833</v>
      </c>
      <c r="C238" s="545" t="s">
        <v>280</v>
      </c>
      <c r="D238" s="545" t="s">
        <v>34</v>
      </c>
      <c r="E238" s="547" t="s">
        <v>44</v>
      </c>
      <c r="F238" s="578" t="s">
        <v>557</v>
      </c>
      <c r="G238" s="545"/>
      <c r="H238" s="545"/>
      <c r="I238" s="584"/>
    </row>
    <row r="239" spans="1:9" x14ac:dyDescent="0.25">
      <c r="A239" s="576">
        <v>12.48</v>
      </c>
      <c r="B239" s="339" t="s">
        <v>834</v>
      </c>
      <c r="C239" s="545" t="s">
        <v>284</v>
      </c>
      <c r="D239" s="545" t="s">
        <v>47</v>
      </c>
      <c r="E239" s="547" t="s">
        <v>44</v>
      </c>
      <c r="F239" s="578" t="s">
        <v>558</v>
      </c>
      <c r="G239" s="545"/>
      <c r="H239" s="545"/>
      <c r="I239" s="584" t="s">
        <v>835</v>
      </c>
    </row>
    <row r="240" spans="1:9" x14ac:dyDescent="0.25">
      <c r="A240" s="576">
        <v>12.483000000000001</v>
      </c>
      <c r="B240" s="339" t="s">
        <v>836</v>
      </c>
      <c r="C240" s="545" t="s">
        <v>284</v>
      </c>
      <c r="D240" s="545" t="s">
        <v>34</v>
      </c>
      <c r="E240" s="547" t="s">
        <v>44</v>
      </c>
      <c r="F240" s="578" t="s">
        <v>558</v>
      </c>
      <c r="G240" s="545"/>
      <c r="H240" s="545"/>
      <c r="I240" s="584"/>
    </row>
    <row r="241" spans="1:9" x14ac:dyDescent="0.25">
      <c r="A241" s="576">
        <v>12.484</v>
      </c>
      <c r="B241" s="339" t="s">
        <v>837</v>
      </c>
      <c r="C241" s="545" t="s">
        <v>259</v>
      </c>
      <c r="D241" s="545" t="s">
        <v>34</v>
      </c>
      <c r="E241" s="547" t="s">
        <v>44</v>
      </c>
      <c r="F241" s="578" t="s">
        <v>557</v>
      </c>
      <c r="G241" s="545"/>
      <c r="H241" s="545"/>
      <c r="I241" s="584"/>
    </row>
    <row r="242" spans="1:9" x14ac:dyDescent="0.25">
      <c r="A242" s="576">
        <v>12.484999999999999</v>
      </c>
      <c r="B242" s="339" t="s">
        <v>838</v>
      </c>
      <c r="C242" s="545" t="s">
        <v>284</v>
      </c>
      <c r="D242" s="545" t="s">
        <v>47</v>
      </c>
      <c r="E242" s="547" t="s">
        <v>44</v>
      </c>
      <c r="F242" s="578" t="s">
        <v>558</v>
      </c>
      <c r="G242" s="545"/>
      <c r="H242" s="545"/>
      <c r="I242" s="584" t="s">
        <v>452</v>
      </c>
    </row>
    <row r="243" spans="1:9" x14ac:dyDescent="0.25">
      <c r="A243" s="576">
        <v>12.486000000000001</v>
      </c>
      <c r="B243" s="339" t="s">
        <v>839</v>
      </c>
      <c r="C243" s="545" t="s">
        <v>259</v>
      </c>
      <c r="D243" s="545" t="s">
        <v>47</v>
      </c>
      <c r="E243" s="547" t="s">
        <v>44</v>
      </c>
      <c r="F243" s="578" t="s">
        <v>558</v>
      </c>
      <c r="G243" s="545"/>
      <c r="H243" s="545"/>
      <c r="I243" s="584" t="s">
        <v>452</v>
      </c>
    </row>
    <row r="244" spans="1:9" x14ac:dyDescent="0.25">
      <c r="A244" s="576">
        <v>12.487</v>
      </c>
      <c r="B244" s="339" t="s">
        <v>840</v>
      </c>
      <c r="C244" s="545" t="s">
        <v>284</v>
      </c>
      <c r="D244" s="545" t="s">
        <v>34</v>
      </c>
      <c r="E244" s="547" t="s">
        <v>44</v>
      </c>
      <c r="F244" s="578" t="s">
        <v>562</v>
      </c>
      <c r="G244" s="545"/>
      <c r="H244" s="545"/>
      <c r="I244" s="584"/>
    </row>
    <row r="245" spans="1:9" x14ac:dyDescent="0.25">
      <c r="A245" s="576">
        <v>12.488</v>
      </c>
      <c r="B245" s="339" t="s">
        <v>841</v>
      </c>
      <c r="C245" s="545" t="s">
        <v>284</v>
      </c>
      <c r="D245" s="545" t="s">
        <v>34</v>
      </c>
      <c r="E245" s="547" t="s">
        <v>44</v>
      </c>
      <c r="F245" s="578" t="s">
        <v>562</v>
      </c>
      <c r="G245" s="545"/>
      <c r="H245" s="545"/>
      <c r="I245" s="584"/>
    </row>
    <row r="246" spans="1:9" x14ac:dyDescent="0.25">
      <c r="A246" s="576">
        <v>12.489000000000001</v>
      </c>
      <c r="B246" s="339" t="s">
        <v>842</v>
      </c>
      <c r="C246" s="545" t="s">
        <v>284</v>
      </c>
      <c r="D246" s="545" t="s">
        <v>47</v>
      </c>
      <c r="E246" s="547" t="s">
        <v>44</v>
      </c>
      <c r="F246" s="578" t="s">
        <v>560</v>
      </c>
      <c r="G246" s="545"/>
      <c r="H246" s="545"/>
      <c r="I246" s="584" t="s">
        <v>492</v>
      </c>
    </row>
    <row r="247" spans="1:9" x14ac:dyDescent="0.25">
      <c r="A247" s="576">
        <v>12.49</v>
      </c>
      <c r="B247" s="339" t="s">
        <v>843</v>
      </c>
      <c r="C247" s="545" t="s">
        <v>280</v>
      </c>
      <c r="D247" s="545" t="s">
        <v>47</v>
      </c>
      <c r="E247" s="547" t="s">
        <v>44</v>
      </c>
      <c r="F247" s="578" t="s">
        <v>844</v>
      </c>
      <c r="G247" s="545"/>
      <c r="H247" s="545"/>
      <c r="I247" s="584" t="s">
        <v>845</v>
      </c>
    </row>
    <row r="248" spans="1:9" x14ac:dyDescent="0.25">
      <c r="A248" s="576">
        <v>12.493</v>
      </c>
      <c r="B248" s="339" t="s">
        <v>846</v>
      </c>
      <c r="C248" s="545" t="s">
        <v>284</v>
      </c>
      <c r="D248" s="545" t="s">
        <v>34</v>
      </c>
      <c r="E248" s="547" t="s">
        <v>44</v>
      </c>
      <c r="F248" s="578" t="s">
        <v>558</v>
      </c>
      <c r="G248" s="545"/>
      <c r="H248" s="545"/>
      <c r="I248" s="584" t="s">
        <v>847</v>
      </c>
    </row>
    <row r="249" spans="1:9" x14ac:dyDescent="0.25">
      <c r="A249" s="576">
        <v>12.494</v>
      </c>
      <c r="B249" s="339" t="s">
        <v>848</v>
      </c>
      <c r="C249" s="545" t="s">
        <v>284</v>
      </c>
      <c r="D249" s="545" t="s">
        <v>34</v>
      </c>
      <c r="E249" s="547" t="s">
        <v>44</v>
      </c>
      <c r="F249" s="578" t="s">
        <v>558</v>
      </c>
      <c r="G249" s="545"/>
      <c r="H249" s="545"/>
      <c r="I249" s="584"/>
    </row>
    <row r="250" spans="1:9" x14ac:dyDescent="0.25">
      <c r="A250" s="576">
        <v>12.494999999999999</v>
      </c>
      <c r="B250" s="339" t="s">
        <v>849</v>
      </c>
      <c r="C250" s="545" t="s">
        <v>280</v>
      </c>
      <c r="D250" s="545" t="s">
        <v>45</v>
      </c>
      <c r="E250" s="547" t="s">
        <v>44</v>
      </c>
      <c r="F250" s="578" t="s">
        <v>558</v>
      </c>
      <c r="G250" s="545"/>
      <c r="H250" s="545"/>
      <c r="I250" s="584" t="s">
        <v>552</v>
      </c>
    </row>
    <row r="251" spans="1:9" ht="18" customHeight="1" x14ac:dyDescent="0.25">
      <c r="A251" s="576">
        <v>12.497</v>
      </c>
      <c r="B251" s="339" t="s">
        <v>850</v>
      </c>
      <c r="C251" s="545" t="s">
        <v>259</v>
      </c>
      <c r="D251" s="545" t="s">
        <v>34</v>
      </c>
      <c r="E251" s="547" t="s">
        <v>44</v>
      </c>
      <c r="F251" s="578" t="s">
        <v>557</v>
      </c>
      <c r="G251" s="545"/>
      <c r="H251" s="545"/>
      <c r="I251" s="584"/>
    </row>
    <row r="252" spans="1:9" ht="21" customHeight="1" x14ac:dyDescent="0.25">
      <c r="A252" s="576">
        <v>12.497999999999999</v>
      </c>
      <c r="B252" s="339" t="s">
        <v>851</v>
      </c>
      <c r="C252" s="545" t="s">
        <v>259</v>
      </c>
      <c r="D252" s="545" t="s">
        <v>34</v>
      </c>
      <c r="E252" s="547" t="s">
        <v>44</v>
      </c>
      <c r="F252" s="578" t="s">
        <v>562</v>
      </c>
      <c r="G252" s="545"/>
      <c r="H252" s="545"/>
      <c r="I252" s="584"/>
    </row>
    <row r="253" spans="1:9" ht="21" customHeight="1" x14ac:dyDescent="0.25">
      <c r="A253" s="576">
        <v>12.499000000000001</v>
      </c>
      <c r="B253" s="339" t="s">
        <v>852</v>
      </c>
      <c r="C253" s="545" t="s">
        <v>280</v>
      </c>
      <c r="D253" s="545" t="s">
        <v>34</v>
      </c>
      <c r="E253" s="547" t="s">
        <v>44</v>
      </c>
      <c r="F253" s="578" t="s">
        <v>557</v>
      </c>
      <c r="G253" s="545"/>
      <c r="H253" s="545"/>
      <c r="I253" s="584"/>
    </row>
    <row r="254" spans="1:9" ht="49.5" customHeight="1" x14ac:dyDescent="0.25">
      <c r="A254" s="576">
        <v>12.5</v>
      </c>
      <c r="B254" s="339" t="s">
        <v>853</v>
      </c>
      <c r="C254" s="545" t="s">
        <v>280</v>
      </c>
      <c r="D254" s="545" t="s">
        <v>47</v>
      </c>
      <c r="E254" s="547" t="s">
        <v>44</v>
      </c>
      <c r="F254" s="578" t="s">
        <v>557</v>
      </c>
      <c r="G254" s="545"/>
      <c r="H254" s="545"/>
      <c r="I254" s="584" t="s">
        <v>543</v>
      </c>
    </row>
    <row r="255" spans="1:9" x14ac:dyDescent="0.25">
      <c r="A255" s="576"/>
      <c r="B255" s="339"/>
      <c r="C255" s="545"/>
      <c r="D255" s="545"/>
      <c r="E255" s="547"/>
      <c r="F255" s="578"/>
      <c r="G255" s="545"/>
      <c r="H255" s="545"/>
      <c r="I255" s="584"/>
    </row>
    <row r="256" spans="1:9" x14ac:dyDescent="0.25">
      <c r="A256" s="576"/>
      <c r="B256" s="339"/>
      <c r="C256" s="545"/>
      <c r="D256" s="545"/>
      <c r="E256" s="547"/>
      <c r="F256" s="578"/>
      <c r="G256" s="545"/>
      <c r="H256" s="545"/>
      <c r="I256" s="584"/>
    </row>
    <row r="257" spans="1:9" x14ac:dyDescent="0.25">
      <c r="A257" s="576"/>
      <c r="B257" s="339"/>
      <c r="C257" s="545"/>
      <c r="D257" s="545"/>
      <c r="E257" s="547"/>
      <c r="F257" s="578"/>
      <c r="G257" s="545"/>
      <c r="H257" s="545"/>
      <c r="I257" s="584"/>
    </row>
    <row r="258" spans="1:9" x14ac:dyDescent="0.25">
      <c r="A258" s="576"/>
      <c r="B258" s="339"/>
      <c r="C258" s="545"/>
      <c r="D258" s="545"/>
      <c r="E258" s="547"/>
      <c r="F258" s="578"/>
      <c r="G258" s="545"/>
      <c r="H258" s="545"/>
      <c r="I258" s="584"/>
    </row>
    <row r="259" spans="1:9" x14ac:dyDescent="0.25">
      <c r="A259" s="576"/>
      <c r="B259" s="339"/>
      <c r="C259" s="545"/>
      <c r="D259" s="545"/>
      <c r="E259" s="547"/>
      <c r="F259" s="578"/>
      <c r="G259" s="545"/>
      <c r="H259" s="545"/>
      <c r="I259" s="584"/>
    </row>
    <row r="260" spans="1:9" x14ac:dyDescent="0.25">
      <c r="A260" s="576"/>
      <c r="B260" s="339"/>
      <c r="C260" s="545"/>
      <c r="D260" s="545"/>
      <c r="E260" s="547"/>
      <c r="F260" s="578"/>
      <c r="G260" s="545"/>
      <c r="H260" s="545"/>
      <c r="I260" s="584"/>
    </row>
    <row r="261" spans="1:9" x14ac:dyDescent="0.25">
      <c r="A261" s="576"/>
      <c r="B261" s="339"/>
      <c r="C261" s="545"/>
      <c r="D261" s="545"/>
      <c r="E261" s="547"/>
      <c r="F261" s="578"/>
      <c r="G261" s="545"/>
      <c r="H261" s="545"/>
      <c r="I261" s="584"/>
    </row>
    <row r="262" spans="1:9" x14ac:dyDescent="0.25">
      <c r="A262" s="576"/>
      <c r="B262" s="339"/>
      <c r="C262" s="545"/>
      <c r="D262" s="545"/>
      <c r="E262" s="547"/>
      <c r="F262" s="578"/>
      <c r="G262" s="545"/>
      <c r="H262" s="545"/>
      <c r="I262" s="584"/>
    </row>
    <row r="263" spans="1:9" x14ac:dyDescent="0.25">
      <c r="A263" s="576"/>
      <c r="B263" s="339"/>
      <c r="C263" s="545"/>
      <c r="D263" s="545"/>
      <c r="E263" s="547"/>
      <c r="F263" s="578"/>
      <c r="G263" s="545"/>
      <c r="H263" s="545"/>
      <c r="I263" s="584"/>
    </row>
    <row r="264" spans="1:9" x14ac:dyDescent="0.25">
      <c r="A264" s="576"/>
      <c r="B264" s="339"/>
      <c r="C264" s="545"/>
      <c r="D264" s="545"/>
      <c r="E264" s="547"/>
      <c r="F264" s="578"/>
      <c r="G264" s="545"/>
      <c r="H264" s="545"/>
      <c r="I264" s="584"/>
    </row>
    <row r="265" spans="1:9" x14ac:dyDescent="0.25">
      <c r="A265" s="576"/>
      <c r="B265" s="339"/>
      <c r="C265" s="545"/>
      <c r="D265" s="545"/>
      <c r="E265" s="547"/>
      <c r="F265" s="578"/>
      <c r="G265" s="545"/>
      <c r="H265" s="545"/>
      <c r="I265" s="58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27"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3" bestFit="1" customWidth="1"/>
    <col min="2" max="2" width="28.42578125" style="192" bestFit="1" customWidth="1"/>
    <col min="3" max="3" width="9.5703125" style="192" bestFit="1" customWidth="1"/>
    <col min="4" max="4" width="34" style="183" bestFit="1" customWidth="1"/>
    <col min="5" max="5" width="14.42578125" style="192" bestFit="1" customWidth="1"/>
    <col min="6" max="7" width="11.42578125" style="192" bestFit="1" customWidth="1"/>
    <col min="8" max="8" width="14.42578125" style="192" bestFit="1" customWidth="1"/>
    <col min="9" max="9" width="8.42578125" style="194" bestFit="1" customWidth="1"/>
    <col min="10" max="10" width="20" style="194" bestFit="1" customWidth="1"/>
    <col min="11" max="11" width="13.42578125" style="198" customWidth="1"/>
    <col min="12" max="12" width="15.42578125" style="198" customWidth="1"/>
    <col min="13" max="13" width="12" style="199" bestFit="1" customWidth="1"/>
    <col min="14" max="14" width="10.5703125" style="199" bestFit="1" customWidth="1"/>
    <col min="15" max="15" width="13.42578125" style="198" bestFit="1" customWidth="1"/>
    <col min="16" max="16" width="12.5703125" style="80" bestFit="1" customWidth="1"/>
    <col min="17" max="17" width="10.5703125" style="80" bestFit="1" customWidth="1"/>
    <col min="18" max="19" width="13.42578125" style="202" bestFit="1" customWidth="1"/>
    <col min="20" max="20" width="13.5703125" style="203" bestFit="1" customWidth="1"/>
    <col min="21" max="21" width="9.5703125" style="183" customWidth="1"/>
    <col min="22" max="22" width="45.5703125" style="183" customWidth="1"/>
    <col min="23" max="16384" width="8.42578125" style="183"/>
  </cols>
  <sheetData>
    <row r="1" spans="1:23" s="178" customFormat="1" ht="19.5" thickBot="1" x14ac:dyDescent="0.3">
      <c r="A1" s="651" t="s">
        <v>854</v>
      </c>
      <c r="B1" s="652"/>
      <c r="C1" s="652"/>
      <c r="D1" s="652"/>
      <c r="E1" s="652"/>
      <c r="F1" s="652"/>
      <c r="G1" s="652"/>
      <c r="H1" s="652"/>
      <c r="I1" s="652"/>
      <c r="J1" s="652"/>
      <c r="K1" s="652"/>
      <c r="L1" s="652"/>
      <c r="M1" s="652"/>
      <c r="N1" s="652"/>
      <c r="O1" s="652"/>
      <c r="P1" s="652"/>
      <c r="Q1" s="652"/>
      <c r="R1" s="652"/>
      <c r="S1" s="652"/>
      <c r="T1" s="652"/>
      <c r="U1" s="653"/>
      <c r="V1" s="572"/>
    </row>
    <row r="2" spans="1:23" s="189" customFormat="1" ht="18.75" x14ac:dyDescent="0.25">
      <c r="A2" s="709" t="s">
        <v>302</v>
      </c>
      <c r="B2" s="710"/>
      <c r="C2" s="710"/>
      <c r="D2" s="710"/>
      <c r="E2" s="710"/>
      <c r="F2" s="711"/>
      <c r="G2" s="408">
        <f>COUNTIF(G7:G274,"Yes")</f>
        <v>152</v>
      </c>
      <c r="H2" s="408">
        <f>COUNTIF(H7:H274,"Yes")</f>
        <v>152</v>
      </c>
      <c r="I2" s="740">
        <f>'Diags Raw Data'!K393</f>
        <v>253</v>
      </c>
      <c r="J2" s="748">
        <f>'Diags Raw Data'!L393</f>
        <v>718</v>
      </c>
      <c r="K2" s="750">
        <f>'Diags Raw Data'!N393</f>
        <v>1</v>
      </c>
      <c r="L2" s="752">
        <f>'Diags Raw Data'!P393</f>
        <v>0.96620553359683803</v>
      </c>
      <c r="M2" s="754">
        <f>'Diags Raw Data'!R393</f>
        <v>535</v>
      </c>
      <c r="N2" s="724">
        <f>SUM('Diags Raw Data'!T393+'Diags Raw Data'!U393)</f>
        <v>438</v>
      </c>
      <c r="O2" s="744">
        <f>IF((M277=0),0,N277/M277)</f>
        <v>0.81869158878504678</v>
      </c>
      <c r="P2" s="746">
        <f>'Diags Raw Data'!Z393</f>
        <v>240</v>
      </c>
      <c r="Q2" s="738">
        <f>SUM('Diags Raw Data'!AA393+'Diags Raw Data'!AB393)</f>
        <v>238</v>
      </c>
      <c r="R2" s="734">
        <f>IF((J277=0),0,P277/J277)</f>
        <v>0.33426183844011143</v>
      </c>
      <c r="S2" s="734">
        <f>IF((P277=0),0,Q277/P277)</f>
        <v>0.9916666666666667</v>
      </c>
      <c r="T2" s="734">
        <f>R277*S277</f>
        <v>0.33147632311977715</v>
      </c>
      <c r="U2" s="736"/>
      <c r="V2" s="726" t="s">
        <v>855</v>
      </c>
      <c r="W2" s="188"/>
    </row>
    <row r="3" spans="1:23" ht="19.5" thickBot="1" x14ac:dyDescent="0.3">
      <c r="A3" s="712"/>
      <c r="B3" s="713"/>
      <c r="C3" s="713"/>
      <c r="D3" s="713"/>
      <c r="E3" s="713"/>
      <c r="F3" s="714"/>
      <c r="G3" s="409">
        <f>COUNTIF(G7:G274,"Yes")/COUNTA(A7:A274)</f>
        <v>0.60317460317460314</v>
      </c>
      <c r="H3" s="409">
        <f>(COUNTIF(H7:H274,"Yes")/G277)</f>
        <v>1</v>
      </c>
      <c r="I3" s="741"/>
      <c r="J3" s="749"/>
      <c r="K3" s="751"/>
      <c r="L3" s="753"/>
      <c r="M3" s="755"/>
      <c r="N3" s="725"/>
      <c r="O3" s="745"/>
      <c r="P3" s="747"/>
      <c r="Q3" s="739"/>
      <c r="R3" s="735"/>
      <c r="S3" s="735"/>
      <c r="T3" s="735"/>
      <c r="U3" s="737"/>
      <c r="V3" s="727"/>
      <c r="W3" s="182"/>
    </row>
    <row r="4" spans="1:23" ht="19.5" thickBot="1" x14ac:dyDescent="0.3">
      <c r="A4" s="654" t="s">
        <v>856</v>
      </c>
      <c r="B4" s="655"/>
      <c r="C4" s="655"/>
      <c r="D4" s="655"/>
      <c r="E4" s="655"/>
      <c r="F4" s="655"/>
      <c r="G4" s="655"/>
      <c r="H4" s="655"/>
      <c r="I4" s="655"/>
      <c r="J4" s="655"/>
      <c r="K4" s="655"/>
      <c r="L4" s="655"/>
      <c r="M4" s="655"/>
      <c r="N4" s="655"/>
      <c r="O4" s="655"/>
      <c r="P4" s="655"/>
      <c r="Q4" s="655"/>
      <c r="R4" s="655"/>
      <c r="S4" s="655"/>
      <c r="T4" s="655"/>
      <c r="U4" s="656"/>
      <c r="V4" s="573"/>
    </row>
    <row r="5" spans="1:23" s="178" customFormat="1" ht="31.5" customHeight="1" thickBot="1" x14ac:dyDescent="0.3">
      <c r="A5" s="700" t="s">
        <v>76</v>
      </c>
      <c r="B5" s="701"/>
      <c r="C5" s="701"/>
      <c r="D5" s="701"/>
      <c r="E5" s="701"/>
      <c r="F5" s="701"/>
      <c r="G5" s="701"/>
      <c r="H5" s="701"/>
      <c r="I5" s="701"/>
      <c r="J5" s="702"/>
      <c r="K5" s="698" t="s">
        <v>113</v>
      </c>
      <c r="L5" s="699"/>
      <c r="M5" s="703" t="s">
        <v>124</v>
      </c>
      <c r="N5" s="704"/>
      <c r="O5" s="705"/>
      <c r="P5" s="706" t="s">
        <v>144</v>
      </c>
      <c r="Q5" s="707"/>
      <c r="R5" s="707"/>
      <c r="S5" s="707"/>
      <c r="T5" s="707"/>
      <c r="U5" s="708"/>
      <c r="V5" s="177"/>
    </row>
    <row r="6" spans="1:23" s="180" customFormat="1" ht="15.75" thickBot="1" x14ac:dyDescent="0.3">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409.6" thickBot="1" x14ac:dyDescent="0.3">
      <c r="A7" s="575">
        <v>12</v>
      </c>
      <c r="B7" s="451" t="str">
        <f>VLOOKUP(A7,'Feature Raw Data'!$A$3:$B$3922,2,FALSE)</f>
        <v>Navi4x configuration changes</v>
      </c>
      <c r="C7" s="452" t="str">
        <f>VLOOKUP(A7,'Feature Raw Data'!$A$3:$C$3922,3,FALSE)</f>
        <v>P1</v>
      </c>
      <c r="D7" s="453" t="str" cm="1">
        <f t="array" ref="D7">_xlfn.TEXTJOIN("",TRUE,IF(ISNUMBER(SEARCH($A7,'Diags Raw Data'!$A$6:$A$4003)),CONCATENATE('Diags Raw Data'!$H$6:$H$4003,", "),""))</f>
        <v xml:space="preserve">std1.6, ppi201.2, spi20.0,spi20.1, std4.34, PPI39
PPI100.65, ge1.0, ge1.1, PPI101.5, PPI100.141, STD1.6 -tglEnableSCBinning=0, placeholder_n.1, sc42.2
sc42.3
sc26.9
sc26.10
sc26.11
sc26.12, N/A, gfx.sr_stat, placeholder_o.1, placeholder_p.1, ppi41.2,ppi41.22,ppi41.42,ppi41.52, N/A, txi91.0-1, txi90.0-5, See 12.041,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rt1.302, gfx.cmm_sa_policy_monolithic_gfx12.1-23, gfx.cmm_cp_access_order_monolithic
gfx.cmm_sa_gl2_access_order_monolithic 
gfx.cmm_sa_gl2_same_address_monolithic, gfx.cmm_cp_access_order_monolithic
gfx.cmm_sa_gl2_access_order_monolithic 
gfx.cmm_sa_gl2_same_address_monolithic, placeholder_m, placeholder_d.1, placeholder_e.1, gfx.cmm_cache_last_use_policy_monolithic, glxi60.1-3, N/A, gci1301.0, gci1304.0, gfx.inst_perf/sched_mode_dep_mode1
gfx.inst_perf/sched_mode_dep_mode2, 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 / gci1302.1, gfx.inst_perf/v_add_f64
gfx.inst_perf/v_mul_f64
gfx.inst_perf/v_lshlrev_b64, N/A, N/A, N/A, N/A, N/A, glxi82.1-6,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 ge2.1, std1.6, N/A, gci1300.0,gci1300.1,gci1300.2,gci1300.3, spi124.0,spi124.1, spi125, placeholder_f.1, glxi85.1 + std test + glxi85.2, cpi400.0, cpi410.0, placeholder_r.1, spi1390,spi1391, gfx.inst_perf/v_dot4_i32_iu8
gfx.inst_perf/v_dot4_u32_u8
gfx.inst_perf/v_dot8_i32_iu4
gfx.inst_perf/v_dot8_u32_u4
gfx.inst_perf/v_wmma_i32_16x16x16_iu4
gfx.inst_perf/v_wmma_i32_16x16x32_iu4
gfx.inst_perf/v_wmma_i32_16x16x16_iu8, N/A, std1.1, gci30.4, std1.1, gci30.4, gci3.12, N/A, gfx.inst_perf/v_s_.*, shci2038.0-3,104, shci2041, std1.1
std3.1
std4.1
rt1.300
rt1.320
gci1304
gci1305
gci1308
shci2033
shci2036
gssi212.10, sh1630, sh1631, PPI406.1-8  PPI406.11-18 PPI406.21-28 PPI406.31-38 PPI406.41-48, std5.9, Same to 12.164, N/A, N/A, gci30.3 with aql, placeholder_g.1-8, gfx.cmm_cp_ch_access_size_monolithic_gfx12
gfx.cmm_sdma_access_size_monolithic, gfx.inst_perf/v_wmma.*
gfx.inst_perf/v_cvt.*
gfx.inst_perf/v_dot4_f32.*, gci1306.0-2, gssi212.11, gci1305.0,3,4,5,6, N/A, gfx.cmm_sax_utcl1_monolithic/utcl0_disable, spi197, spi2010,spi2011, spi2020,spi2021, N/A, 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 gci950-960.0 for wave32, .1 for wave64, gci669.1-12, N/A, N/A, N/A, N/A, gfx.red_triangle_draw_composite, navi48.gfx.ge.register_access, N/A, STD1.6 GCI30.3, N/A, Same to 12.164, N/A, N/A, N/A, N/A, food_store,mountain_range,navi48.gfx.ge.register_access, N/A, N/A, N/A, rlci9.1 :: rlc_firewall_40bit_address
rlci10.1 :: cp_firewall_40bit_address, wgs.6 :: wgs_dispatch_sanity_pm4_01
wgs.8 :: wgs_dispatch_two_pipes_pm4_01
wgs.1 :: wgs_ace_cwsr_pm4_01
wgs.100 :: wgs_dispatch_sanity_tacl_01
wgs.12 :: wgs_gl1_ret_xnack_pm4_01
gci30.3 ::linpack_wgs
wgs_interrrupt_tacl
gci22.11 :: shader_memory_copy
, gci820.0, gfx.inst_perf/flat_atomic_cond_sub_u32_global
gfx.inst_perf/flat_atomic_sub_clamp_u32_global
gfx.inst_perf/ds_cond_sub_rtn_u32
gfx.inst_perf/ds_sub_clamp_rtn_u32
gci1307.0-3, glxi60.7, glxi60.5, glxi60.6, navi48.gfx.ge.register_access, N/A, N/A, N/A, N/A, N/A, ge3.0, std4.34, spi2940, spi2941, N/A, N/A, placeholder_s.1, N/A, N/A, placeholder_h.1, gfx.ieee_min_max, N/A, N/A, glxi29.8, gfx.cmm_sax_utcl0_invalidation_monolithic/utcl0_enable, N/A, N/A, N/A, N/A, N/A, STD1.6 GCI30.3, placeholder_t.1, N/A, GCI28.3, N/A, std1.6 with tgre spm &amp; sqtt, glxi86.1-2, std1.6 with tgre spm, cp test with spm, rlc1.0, std1.1 with legacy pv_proxy, rlc1.0, rlc1.1, gfx.inst_perf/global_load_tr.*, shci2039.4,5, N/A, gfx.inst_perf/v_dual_mov_b32, std1.6,2.6,3.6,4.6, N/A, N/A, N/A, N/A, N/A, N/A, N/A, N/A, N/A, N/A, N/A, N/A, N/A, N/A, N/A, N/A, N/A, cs16.0 wgs_gpa3_disable_dispatch_pm4_01, PMM coverage through CGCG/PG features, N/A, N/A, N/A, gci1311, N/A, N/A, N/A, placeholder_i.1, rt1.400-401, N/A, utci16.1, N/A, N/A, N/A, placeholder_j.1, shci2039.0-3, N/A, N/A, rt33.0, rt33.1-2, gci1307.4-7, placeholder_k.1-2, N/A, spi453, glxi61.1-2, gfx.linpack_gfx_compute, N/A, N/A, N/A, placeholder_l.1-8, placeholder_a.1-108, N/A, N/A, N/A, gci1310, N/A, cpi415, N/A, gci1309.0-3, gmhub.athub_raw_monolithic_test/CPWD, gfx.sr_stat, , gfx.inst_perf/v_wmma_f32_16x16x.*
gfx.inst_perf/v_wmma_i32_16x16x32_iu4
gci39.1-6, N/A, N/A, N/A, placeholder_b.1, N/A, N/A, txi83, N/A, gfx.stress3d.gfxoff/food_store, N/A, STD1.6    , N/A, N/A, N/A, N/A, N/A, N/A, N/A, placeholder_c.1, N/A, </v>
      </c>
      <c r="E7" s="454" t="str">
        <f>VLOOKUP(A7,'Diags Raw Data'!$A$6:$D$4003,4,FALSE)</f>
        <v>GFX</v>
      </c>
      <c r="F7" s="454" t="str">
        <f>VLOOKUP(A7,'Feature Raw Data'!$A$3:$E$3922,5,FALSE)</f>
        <v>New</v>
      </c>
      <c r="G7" s="454" t="str">
        <f t="shared" ref="G7:G60" si="0">IF(D7="N/A, ","No","Yes")</f>
        <v>Yes</v>
      </c>
      <c r="H7" s="454" t="str">
        <f t="shared" ref="H7:H62" si="1">IF(D7="N/A, ","No","Yes")</f>
        <v>Yes</v>
      </c>
      <c r="I7" s="452">
        <f>SUMIF('Diags Raw Data'!$A$6:$A$4003,"*"&amp;$A7&amp;"*",'Diags Raw Data'!$K$6:$K$4003)</f>
        <v>0</v>
      </c>
      <c r="J7" s="455">
        <f>SUMIF('Diags Raw Data'!$A$6:$A$4003,"*"&amp;$A7&amp;"*",'Diags Raw Data'!$L$6:$L$4003)</f>
        <v>0</v>
      </c>
      <c r="K7" s="504" t="e" cm="1">
        <f t="array" ref="K7">IF(D7="",0, SUMPRODUCT(--(ISNUMBER(SEARCH($A7,'Diags Raw Data'!$A$6:$A$4003))),'Diags Raw Data'!$L$6:$L$4003,'Diags Raw Data'!$N$6:$N$4003)/J7)</f>
        <v>#DIV/0!</v>
      </c>
      <c r="L7" s="505" t="e" cm="1">
        <f t="array" ref="L7">IF(D7="",0, SUMPRODUCT(--(ISNUMBER(SEARCH($A7,'Diags Raw Data'!$A$6:$A$4003))),'Diags Raw Data'!$L$6:$L$4003,'Diags Raw Data'!$P$6:$P$4003)/J7)</f>
        <v>#DIV/0!</v>
      </c>
      <c r="M7" s="506" cm="1">
        <f t="array" ref="M7">SUMPRODUCT(--(ISNUMBER(SEARCH($A7,'Diags Raw Data'!$A$6:$A$4003))),--('Diags Raw Data'!$Q$6:$Q$4003&lt;&gt;"N/A"),'Diags Raw Data'!$R$6:$R$4003)</f>
        <v>534</v>
      </c>
      <c r="N7" s="507" cm="1">
        <f t="array" ref="N7">SUMPRODUCT(--(ISNUMBER(SEARCH($A7,'Diags Raw Data'!$A$6:$A$4003))),--('Diags Raw Data'!$Q$6:$Q$4003&lt;&gt;"N/A"),'Diags Raw Data'!$T$6:$T$4003)+SUMPRODUCT(--(ISNUMBER(SEARCH($A7,'Diags Raw Data'!$A$6:$A$4003))),--('Diags Raw Data'!$Q$6:$Q$4003&lt;&gt;"N/A"),'Diags Raw Data'!$U$6:$U$4003)</f>
        <v>438</v>
      </c>
      <c r="O7" s="508">
        <f>IF((M7=0),0,N7/M7)</f>
        <v>0.8202247191011236</v>
      </c>
      <c r="P7" s="509">
        <f>SUMIF('Diags Raw Data'!$A$6:$A$4003,"*"&amp;$A7&amp;"*",'Diags Raw Data'!$Z$6:$Z$4003)</f>
        <v>0</v>
      </c>
      <c r="Q7" s="510">
        <f>SUM(SUMIF('Diags Raw Data'!$A$6:$A$4003,"*"&amp;$A7&amp;"*",'Diags Raw Data'!$AA$6:$AA$4003),SUMIF('Diags Raw Data'!$A$6:$A$4003,"*"&amp;$A7&amp;"*",'Diags Raw Data'!$AB$6:$AB$4003))</f>
        <v>0</v>
      </c>
      <c r="R7" s="511">
        <f>IF((J7=0),0,P7/J7)</f>
        <v>0</v>
      </c>
      <c r="S7" s="511">
        <f>IF((P7=0),0,Q7/P7)</f>
        <v>0</v>
      </c>
      <c r="T7" s="512">
        <f>R7*S7</f>
        <v>0</v>
      </c>
      <c r="U7" s="456" t="str">
        <f>VLOOKUP(A7,'Diags Raw Data'!$A$6:$AH$4003,33,FALSE)</f>
        <v>WK5</v>
      </c>
      <c r="V7" s="182"/>
    </row>
    <row r="8" spans="1:23" ht="30.75" thickBot="1" x14ac:dyDescent="0.3">
      <c r="A8" s="576">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Data'!$A$6:$A$4003)),CONCATENATE('Diags Raw Data'!$H$6:$H$4003,", "),""))</f>
        <v xml:space="preserve">ppi201.2, </v>
      </c>
      <c r="E8" s="341" t="str">
        <f>VLOOKUP(A8,'Diags Raw Data'!$A$6:$D$4003,4,FALSE)</f>
        <v>PP</v>
      </c>
      <c r="F8" s="341" t="str">
        <f>VLOOKUP(A8,'Feature Raw Data'!$A$3:$E$3922,5,FALSE)</f>
        <v>New</v>
      </c>
      <c r="G8" s="341" t="str">
        <f t="shared" si="0"/>
        <v>Yes</v>
      </c>
      <c r="H8" s="341" t="str">
        <f t="shared" si="1"/>
        <v>Yes</v>
      </c>
      <c r="I8" s="459">
        <f>SUMIF('Diags Raw Data'!$A$6:$A$4003,"*"&amp;$A8&amp;"*",'Diags Raw Data'!$K$6:$K$4003)</f>
        <v>0</v>
      </c>
      <c r="J8" s="461">
        <f>SUMIF('Diags Raw Data'!$A$6:$A$4003,"*"&amp;$A8&amp;"*",'Diags Raw Data'!$L$6:$L$4003)</f>
        <v>0</v>
      </c>
      <c r="K8" s="513" t="e" cm="1">
        <f t="array" ref="K8">IF(D8="",0, SUMPRODUCT(--(ISNUMBER(SEARCH($A8,'Diags Raw Data'!$A$6:$A$4003))),'Diags Raw Data'!$L$6:$L$4003,'Diags Raw Data'!$N$6:$N$4003)/J8)</f>
        <v>#DIV/0!</v>
      </c>
      <c r="L8" s="514" t="e" cm="1">
        <f t="array" ref="L8">IF(D8="",0, SUMPRODUCT(--(ISNUMBER(SEARCH($A8,'Diags Raw Data'!$A$6:$A$4003))),'Diags Raw Data'!$L$6:$L$4003,'Diags Raw Data'!$P$6:$P$4003)/J8)</f>
        <v>#DIV/0!</v>
      </c>
      <c r="M8" s="515" cm="1">
        <f t="array" ref="M8">SUMPRODUCT(--(ISNUMBER(SEARCH($A8,'Diags Raw Data'!$A$6:$A$4003))),--('Diags Raw Data'!$Q$6:$Q$4003&lt;&gt;"N/A"),'Diags Raw Data'!$R$6:$R$4003)</f>
        <v>1</v>
      </c>
      <c r="N8" s="516" cm="1">
        <f t="array" ref="N8">SUMPRODUCT(--(ISNUMBER(SEARCH($A8,'Diags Raw Data'!$A$6:$A$4003))),--('Diags Raw Data'!$Q$6:$Q$4003&lt;&gt;"N/A"),'Diags Raw Data'!$T$6:$T$4003)+SUMPRODUCT(--(ISNUMBER(SEARCH($A8,'Diags Raw Data'!$A$6:$A$4003))),--('Diags Raw Data'!$Q$6:$Q$4003&lt;&gt;"N/A"),'Diags Raw Data'!$U$6:$U$4003)</f>
        <v>0</v>
      </c>
      <c r="O8" s="517">
        <f t="shared" ref="O8:O71" si="2">IF((M8=0),0,N8/M8)</f>
        <v>0</v>
      </c>
      <c r="P8" s="518">
        <f>SUMIF('Diags Raw Data'!$A$6:$A$4003,"*"&amp;$A8&amp;"*",'Diags Raw Data'!$Z$6:$Z$4003)</f>
        <v>0</v>
      </c>
      <c r="Q8" s="519">
        <f>SUM(SUMIF('Diags Raw Data'!$A$6:$A$4003,"*"&amp;$A8&amp;"*",'Diags Raw Data'!$AA$6:$AA$4003),SUMIF('Diags Raw Data'!$A$6:$A$4003,"*"&amp;$A8&amp;"*",'Diags Raw Data'!$AB$6:$AB$4003))</f>
        <v>0</v>
      </c>
      <c r="R8" s="520">
        <f t="shared" ref="R8:R70" si="3">IF((J8=0),0,P8/J8)</f>
        <v>0</v>
      </c>
      <c r="S8" s="520">
        <f t="shared" ref="S8:S70" si="4">IF((P8=0),0,Q8/P8)</f>
        <v>0</v>
      </c>
      <c r="T8" s="521">
        <f t="shared" ref="T8:T70" si="5">R8*S8</f>
        <v>0</v>
      </c>
      <c r="U8" s="456" t="str">
        <f>VLOOKUP(A8,'Diags Raw Data'!$A$6:$AH$4003,33,FALSE)</f>
        <v>WK4</v>
      </c>
      <c r="V8" s="182"/>
    </row>
    <row r="9" spans="1:23" ht="60.75" thickBot="1" x14ac:dyDescent="0.3">
      <c r="A9" s="576">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Data'!$A$6:$A$4003)),CONCATENATE('Diags Raw Data'!$H$6:$H$4003,", "),""))</f>
        <v xml:space="preserve">spi20.0,spi20.1, </v>
      </c>
      <c r="E9" s="341" t="str">
        <f>VLOOKUP(A9,'Diags Raw Data'!$A$6:$D$4003,4,FALSE)</f>
        <v>SIO</v>
      </c>
      <c r="F9" s="341" t="str">
        <f>VLOOKUP(A9,'Feature Raw Data'!$A$3:$E$3922,5,FALSE)</f>
        <v>New</v>
      </c>
      <c r="G9" s="341" t="str">
        <f t="shared" si="0"/>
        <v>Yes</v>
      </c>
      <c r="H9" s="341" t="str">
        <f t="shared" si="1"/>
        <v>Yes</v>
      </c>
      <c r="I9" s="459">
        <f>SUMIF('Diags Raw Data'!$A$6:$A$4003,"*"&amp;$A9&amp;"*",'Diags Raw Data'!$K$6:$K$4003)</f>
        <v>0</v>
      </c>
      <c r="J9" s="461">
        <f>SUMIF('Diags Raw Data'!$A$6:$A$4003,"*"&amp;$A9&amp;"*",'Diags Raw Data'!$L$6:$L$4003)</f>
        <v>0</v>
      </c>
      <c r="K9" s="513" t="e" cm="1">
        <f t="array" ref="K9">IF(D9="",0, SUMPRODUCT(--(ISNUMBER(SEARCH($A9,'Diags Raw Data'!$A$6:$A$4003))),'Diags Raw Data'!$L$6:$L$4003,'Diags Raw Data'!$N$6:$N$4003)/J9)</f>
        <v>#DIV/0!</v>
      </c>
      <c r="L9" s="514" t="e" cm="1">
        <f t="array" ref="L9">IF(D9="",0, SUMPRODUCT(--(ISNUMBER(SEARCH($A9,'Diags Raw Data'!$A$6:$A$4003))),'Diags Raw Data'!$L$6:$L$4003,'Diags Raw Data'!$P$6:$P$4003)/J9)</f>
        <v>#DIV/0!</v>
      </c>
      <c r="M9" s="515" cm="1">
        <f t="array" ref="M9">SUMPRODUCT(--(ISNUMBER(SEARCH($A9,'Diags Raw Data'!$A$6:$A$4003))),--('Diags Raw Data'!$Q$6:$Q$4003&lt;&gt;"N/A"),'Diags Raw Data'!$R$6:$R$4003)</f>
        <v>2</v>
      </c>
      <c r="N9" s="516" cm="1">
        <f t="array" ref="N9">SUMPRODUCT(--(ISNUMBER(SEARCH($A9,'Diags Raw Data'!$A$6:$A$4003))),--('Diags Raw Data'!$Q$6:$Q$4003&lt;&gt;"N/A"),'Diags Raw Data'!$T$6:$T$4003)+SUMPRODUCT(--(ISNUMBER(SEARCH($A9,'Diags Raw Data'!$A$6:$A$4003))),--('Diags Raw Data'!$Q$6:$Q$4003&lt;&gt;"N/A"),'Diags Raw Data'!$U$6:$U$4003)</f>
        <v>2</v>
      </c>
      <c r="O9" s="517">
        <f t="shared" si="2"/>
        <v>1</v>
      </c>
      <c r="P9" s="518">
        <f>SUMIF('Diags Raw Data'!$A$6:$A$4003,"*"&amp;$A9&amp;"*",'Diags Raw Data'!$Z$6:$Z$4003)</f>
        <v>0</v>
      </c>
      <c r="Q9" s="519">
        <f>SUM(SUMIF('Diags Raw Data'!$A$6:$A$4003,"*"&amp;$A9&amp;"*",'Diags Raw Data'!$AA$6:$AA$4003),SUMIF('Diags Raw Data'!$A$6:$A$4003,"*"&amp;$A9&amp;"*",'Diags Raw Data'!$AB$6:$AB$4003))</f>
        <v>0</v>
      </c>
      <c r="R9" s="520">
        <f t="shared" si="3"/>
        <v>0</v>
      </c>
      <c r="S9" s="520">
        <f t="shared" si="4"/>
        <v>0</v>
      </c>
      <c r="T9" s="521">
        <f t="shared" si="5"/>
        <v>0</v>
      </c>
      <c r="U9" s="456" t="str">
        <f>VLOOKUP(A9,'Diags Raw Data'!$A$6:$AH$4003,33,FALSE)</f>
        <v>WK4</v>
      </c>
      <c r="V9" s="182"/>
    </row>
    <row r="10" spans="1:23" ht="30.75" thickBot="1" x14ac:dyDescent="0.3">
      <c r="A10" s="576">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Data'!$A$6:$A$4003)),CONCATENATE('Diags Raw Data'!$H$6:$H$4003,", "),""))</f>
        <v xml:space="preserve">std4.34, </v>
      </c>
      <c r="E10" s="341" t="str">
        <f>VLOOKUP(A10,'Diags Raw Data'!$A$6:$D$4003,4,FALSE)</f>
        <v>PP</v>
      </c>
      <c r="F10" s="341" t="str">
        <f>VLOOKUP(A10,'Feature Raw Data'!$A$3:$E$3922,5,FALSE)</f>
        <v>New</v>
      </c>
      <c r="G10" s="341" t="str">
        <f t="shared" si="0"/>
        <v>Yes</v>
      </c>
      <c r="H10" s="341" t="str">
        <f t="shared" si="1"/>
        <v>Yes</v>
      </c>
      <c r="I10" s="459">
        <f>SUMIF('Diags Raw Data'!$A$6:$A$4003,"*"&amp;$A10&amp;"*",'Diags Raw Data'!$K$6:$K$4003)</f>
        <v>0</v>
      </c>
      <c r="J10" s="461">
        <f>SUMIF('Diags Raw Data'!$A$6:$A$4003,"*"&amp;$A10&amp;"*",'Diags Raw Data'!$L$6:$L$4003)</f>
        <v>0</v>
      </c>
      <c r="K10" s="513" t="e" cm="1">
        <f t="array" ref="K10">IF(D10="",0, SUMPRODUCT(--(ISNUMBER(SEARCH($A10,'Diags Raw Data'!$A$6:$A$4003))),'Diags Raw Data'!$L$6:$L$4003,'Diags Raw Data'!$N$6:$N$4003)/J10)</f>
        <v>#DIV/0!</v>
      </c>
      <c r="L10" s="514" t="e" cm="1">
        <f t="array" ref="L10">IF(D10="",0, SUMPRODUCT(--(ISNUMBER(SEARCH($A10,'Diags Raw Data'!$A$6:$A$4003))),'Diags Raw Data'!$L$6:$L$4003,'Diags Raw Data'!$P$6:$P$4003)/J10)</f>
        <v>#DIV/0!</v>
      </c>
      <c r="M10" s="515" cm="1">
        <f t="array" ref="M10">SUMPRODUCT(--(ISNUMBER(SEARCH($A10,'Diags Raw Data'!$A$6:$A$4003))),--('Diags Raw Data'!$Q$6:$Q$4003&lt;&gt;"N/A"),'Diags Raw Data'!$R$6:$R$4003)</f>
        <v>1</v>
      </c>
      <c r="N10" s="516" cm="1">
        <f t="array" ref="N10">SUMPRODUCT(--(ISNUMBER(SEARCH($A10,'Diags Raw Data'!$A$6:$A$4003))),--('Diags Raw Data'!$Q$6:$Q$4003&lt;&gt;"N/A"),'Diags Raw Data'!$T$6:$T$4003)+SUMPRODUCT(--(ISNUMBER(SEARCH($A10,'Diags Raw Data'!$A$6:$A$4003))),--('Diags Raw Data'!$Q$6:$Q$4003&lt;&gt;"N/A"),'Diags Raw Data'!$U$6:$U$4003)</f>
        <v>0</v>
      </c>
      <c r="O10" s="517">
        <f t="shared" si="2"/>
        <v>0</v>
      </c>
      <c r="P10" s="518">
        <f>SUMIF('Diags Raw Data'!$A$6:$A$4003,"*"&amp;$A10&amp;"*",'Diags Raw Data'!$Z$6:$Z$4003)</f>
        <v>0</v>
      </c>
      <c r="Q10" s="519">
        <f>SUM(SUMIF('Diags Raw Data'!$A$6:$A$4003,"*"&amp;$A10&amp;"*",'Diags Raw Data'!$AA$6:$AA$4003),SUMIF('Diags Raw Data'!$A$6:$A$4003,"*"&amp;$A10&amp;"*",'Diags Raw Data'!$AB$6:$AB$4003))</f>
        <v>0</v>
      </c>
      <c r="R10" s="520">
        <f t="shared" si="3"/>
        <v>0</v>
      </c>
      <c r="S10" s="520">
        <f t="shared" si="4"/>
        <v>0</v>
      </c>
      <c r="T10" s="521">
        <f t="shared" si="5"/>
        <v>0</v>
      </c>
      <c r="U10" s="456" t="str">
        <f>VLOOKUP(A10,'Diags Raw Data'!$A$6:$AH$4003,33,FALSE)</f>
        <v>WK5</v>
      </c>
      <c r="V10" s="182"/>
    </row>
    <row r="11" spans="1:23" ht="30.75" thickBot="1" x14ac:dyDescent="0.3">
      <c r="A11" s="576">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Data'!$A$6:$A$4003)),CONCATENATE('Diags Raw Data'!$H$6:$H$4003,", "),""))</f>
        <v xml:space="preserve">PPI39
PPI100.65, </v>
      </c>
      <c r="E11" s="341" t="str">
        <f>VLOOKUP(A11,'Diags Raw Data'!$A$6:$D$4003,4,FALSE)</f>
        <v>PP</v>
      </c>
      <c r="F11" s="341" t="str">
        <f>VLOOKUP(A11,'Feature Raw Data'!$A$3:$E$3922,5,FALSE)</f>
        <v>New</v>
      </c>
      <c r="G11" s="341" t="str">
        <f t="shared" si="0"/>
        <v>Yes</v>
      </c>
      <c r="H11" s="341" t="str">
        <f t="shared" si="1"/>
        <v>Yes</v>
      </c>
      <c r="I11" s="459">
        <f>SUMIF('Diags Raw Data'!$A$6:$A$4003,"*"&amp;$A11&amp;"*",'Diags Raw Data'!$K$6:$K$4003)</f>
        <v>0</v>
      </c>
      <c r="J11" s="461">
        <f>SUMIF('Diags Raw Data'!$A$6:$A$4003,"*"&amp;$A11&amp;"*",'Diags Raw Data'!$L$6:$L$4003)</f>
        <v>0</v>
      </c>
      <c r="K11" s="513" t="e" cm="1">
        <f t="array" ref="K11">IF(D11="",0, SUMPRODUCT(--(ISNUMBER(SEARCH($A11,'Diags Raw Data'!$A$6:$A$4003))),'Diags Raw Data'!$L$6:$L$4003,'Diags Raw Data'!$N$6:$N$4003)/J11)</f>
        <v>#DIV/0!</v>
      </c>
      <c r="L11" s="514" t="e" cm="1">
        <f t="array" ref="L11">IF(D11="",0, SUMPRODUCT(--(ISNUMBER(SEARCH($A11,'Diags Raw Data'!$A$6:$A$4003))),'Diags Raw Data'!$L$6:$L$4003,'Diags Raw Data'!$P$6:$P$4003)/J11)</f>
        <v>#DIV/0!</v>
      </c>
      <c r="M11" s="515" cm="1">
        <f t="array" ref="M11">SUMPRODUCT(--(ISNUMBER(SEARCH($A11,'Diags Raw Data'!$A$6:$A$4003))),--('Diags Raw Data'!$Q$6:$Q$4003&lt;&gt;"N/A"),'Diags Raw Data'!$R$6:$R$4003)</f>
        <v>1</v>
      </c>
      <c r="N11" s="516" cm="1">
        <f t="array" ref="N11">SUMPRODUCT(--(ISNUMBER(SEARCH($A11,'Diags Raw Data'!$A$6:$A$4003))),--('Diags Raw Data'!$Q$6:$Q$4003&lt;&gt;"N/A"),'Diags Raw Data'!$T$6:$T$4003)+SUMPRODUCT(--(ISNUMBER(SEARCH($A11,'Diags Raw Data'!$A$6:$A$4003))),--('Diags Raw Data'!$Q$6:$Q$4003&lt;&gt;"N/A"),'Diags Raw Data'!$U$6:$U$4003)</f>
        <v>0</v>
      </c>
      <c r="O11" s="517">
        <f t="shared" si="2"/>
        <v>0</v>
      </c>
      <c r="P11" s="518">
        <f>SUMIF('Diags Raw Data'!$A$6:$A$4003,"*"&amp;$A11&amp;"*",'Diags Raw Data'!$Z$6:$Z$4003)</f>
        <v>0</v>
      </c>
      <c r="Q11" s="519">
        <f>SUM(SUMIF('Diags Raw Data'!$A$6:$A$4003,"*"&amp;$A11&amp;"*",'Diags Raw Data'!$AA$6:$AA$4003),SUMIF('Diags Raw Data'!$A$6:$A$4003,"*"&amp;$A11&amp;"*",'Diags Raw Data'!$AB$6:$AB$4003))</f>
        <v>0</v>
      </c>
      <c r="R11" s="520">
        <f t="shared" si="3"/>
        <v>0</v>
      </c>
      <c r="S11" s="520">
        <f t="shared" si="4"/>
        <v>0</v>
      </c>
      <c r="T11" s="521">
        <f t="shared" si="5"/>
        <v>0</v>
      </c>
      <c r="U11" s="456" t="str">
        <f>VLOOKUP(A11,'Diags Raw Data'!$A$6:$AH$4003,33,FALSE)</f>
        <v>WK3</v>
      </c>
      <c r="V11" s="182"/>
    </row>
    <row r="12" spans="1:23" ht="30.75" thickBot="1" x14ac:dyDescent="0.3">
      <c r="A12" s="576">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Data'!$A$6:$A$4003)),CONCATENATE('Diags Raw Data'!$H$6:$H$4003,", "),""))</f>
        <v xml:space="preserve">ge1.0, ge1.1, </v>
      </c>
      <c r="E12" s="341" t="str">
        <f>VLOOKUP(A12,'Diags Raw Data'!$A$6:$D$4003,4,FALSE)</f>
        <v>GEO</v>
      </c>
      <c r="F12" s="341" t="str">
        <f>VLOOKUP(A12,'Feature Raw Data'!$A$3:$E$3922,5,FALSE)</f>
        <v>New</v>
      </c>
      <c r="G12" s="341" t="str">
        <f t="shared" si="0"/>
        <v>Yes</v>
      </c>
      <c r="H12" s="341" t="str">
        <f t="shared" si="1"/>
        <v>Yes</v>
      </c>
      <c r="I12" s="459">
        <f>SUMIF('Diags Raw Data'!$A$6:$A$4003,"*"&amp;$A12&amp;"*",'Diags Raw Data'!$K$6:$K$4003)</f>
        <v>0</v>
      </c>
      <c r="J12" s="461">
        <f>SUMIF('Diags Raw Data'!$A$6:$A$4003,"*"&amp;$A12&amp;"*",'Diags Raw Data'!$L$6:$L$4003)</f>
        <v>0</v>
      </c>
      <c r="K12" s="513" t="e" cm="1">
        <f t="array" ref="K12">IF(D12="",0, SUMPRODUCT(--(ISNUMBER(SEARCH($A12,'Diags Raw Data'!$A$6:$A$4003))),'Diags Raw Data'!$L$6:$L$4003,'Diags Raw Data'!$N$6:$N$4003)/J12)</f>
        <v>#DIV/0!</v>
      </c>
      <c r="L12" s="514" t="e" cm="1">
        <f t="array" ref="L12">IF(D12="",0, SUMPRODUCT(--(ISNUMBER(SEARCH($A12,'Diags Raw Data'!$A$6:$A$4003))),'Diags Raw Data'!$L$6:$L$4003,'Diags Raw Data'!$P$6:$P$4003)/J12)</f>
        <v>#DIV/0!</v>
      </c>
      <c r="M12" s="515" cm="1">
        <f t="array" ref="M12">SUMPRODUCT(--(ISNUMBER(SEARCH($A12,'Diags Raw Data'!$A$6:$A$4003))),--('Diags Raw Data'!$Q$6:$Q$4003&lt;&gt;"N/A"),'Diags Raw Data'!$R$6:$R$4003)</f>
        <v>2</v>
      </c>
      <c r="N12" s="516" cm="1">
        <f t="array" ref="N12">SUMPRODUCT(--(ISNUMBER(SEARCH($A12,'Diags Raw Data'!$A$6:$A$4003))),--('Diags Raw Data'!$Q$6:$Q$4003&lt;&gt;"N/A"),'Diags Raw Data'!$T$6:$T$4003)+SUMPRODUCT(--(ISNUMBER(SEARCH($A12,'Diags Raw Data'!$A$6:$A$4003))),--('Diags Raw Data'!$Q$6:$Q$4003&lt;&gt;"N/A"),'Diags Raw Data'!$U$6:$U$4003)</f>
        <v>2</v>
      </c>
      <c r="O12" s="517">
        <f t="shared" si="2"/>
        <v>1</v>
      </c>
      <c r="P12" s="518">
        <f>SUMIF('Diags Raw Data'!$A$6:$A$4003,"*"&amp;$A12&amp;"*",'Diags Raw Data'!$Z$6:$Z$4003)</f>
        <v>0</v>
      </c>
      <c r="Q12" s="519">
        <f>SUM(SUMIF('Diags Raw Data'!$A$6:$A$4003,"*"&amp;$A12&amp;"*",'Diags Raw Data'!$AA$6:$AA$4003),SUMIF('Diags Raw Data'!$A$6:$A$4003,"*"&amp;$A12&amp;"*",'Diags Raw Data'!$AB$6:$AB$4003))</f>
        <v>0</v>
      </c>
      <c r="R12" s="520">
        <f t="shared" si="3"/>
        <v>0</v>
      </c>
      <c r="S12" s="520">
        <f t="shared" si="4"/>
        <v>0</v>
      </c>
      <c r="T12" s="521">
        <f t="shared" si="5"/>
        <v>0</v>
      </c>
      <c r="U12" s="456" t="str">
        <f>VLOOKUP(A12,'Diags Raw Data'!$A$6:$AH$4003,33,FALSE)</f>
        <v>WK5</v>
      </c>
      <c r="V12" s="182"/>
    </row>
    <row r="13" spans="1:23" ht="15.75" thickBot="1" x14ac:dyDescent="0.3">
      <c r="A13" s="576">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Data'!$A$6:$A$4003)),CONCATENATE('Diags Raw Data'!$H$6:$H$4003,", "),""))</f>
        <v xml:space="preserve">PPI101.5, </v>
      </c>
      <c r="E13" s="341" t="str">
        <f>VLOOKUP(A13,'Diags Raw Data'!$A$6:$D$4003,4,FALSE)</f>
        <v>PP</v>
      </c>
      <c r="F13" s="341" t="str">
        <f>VLOOKUP(A13,'Feature Raw Data'!$A$3:$E$3922,5,FALSE)</f>
        <v>Delta</v>
      </c>
      <c r="G13" s="341" t="str">
        <f t="shared" si="0"/>
        <v>Yes</v>
      </c>
      <c r="H13" s="341" t="str">
        <f t="shared" si="1"/>
        <v>Yes</v>
      </c>
      <c r="I13" s="459">
        <f>SUMIF('Diags Raw Data'!$A$6:$A$4003,"*"&amp;$A13&amp;"*",'Diags Raw Data'!$K$6:$K$4003)</f>
        <v>0</v>
      </c>
      <c r="J13" s="461">
        <f>SUMIF('Diags Raw Data'!$A$6:$A$4003,"*"&amp;$A13&amp;"*",'Diags Raw Data'!$L$6:$L$4003)</f>
        <v>0</v>
      </c>
      <c r="K13" s="513" t="e" cm="1">
        <f t="array" ref="K13">IF(D13="",0, SUMPRODUCT(--(ISNUMBER(SEARCH($A13,'Diags Raw Data'!$A$6:$A$4003))),'Diags Raw Data'!$L$6:$L$4003,'Diags Raw Data'!$N$6:$N$4003)/J13)</f>
        <v>#DIV/0!</v>
      </c>
      <c r="L13" s="514" t="e" cm="1">
        <f t="array" ref="L13">IF(D13="",0, SUMPRODUCT(--(ISNUMBER(SEARCH($A13,'Diags Raw Data'!$A$6:$A$4003))),'Diags Raw Data'!$L$6:$L$4003,'Diags Raw Data'!$P$6:$P$4003)/J13)</f>
        <v>#DIV/0!</v>
      </c>
      <c r="M13" s="515" cm="1">
        <f t="array" ref="M13">SUMPRODUCT(--(ISNUMBER(SEARCH($A13,'Diags Raw Data'!$A$6:$A$4003))),--('Diags Raw Data'!$Q$6:$Q$4003&lt;&gt;"N/A"),'Diags Raw Data'!$R$6:$R$4003)</f>
        <v>1</v>
      </c>
      <c r="N13" s="516" cm="1">
        <f t="array" ref="N13">SUMPRODUCT(--(ISNUMBER(SEARCH($A13,'Diags Raw Data'!$A$6:$A$4003))),--('Diags Raw Data'!$Q$6:$Q$4003&lt;&gt;"N/A"),'Diags Raw Data'!$T$6:$T$4003)+SUMPRODUCT(--(ISNUMBER(SEARCH($A13,'Diags Raw Data'!$A$6:$A$4003))),--('Diags Raw Data'!$Q$6:$Q$4003&lt;&gt;"N/A"),'Diags Raw Data'!$U$6:$U$4003)</f>
        <v>0</v>
      </c>
      <c r="O13" s="517">
        <f>IF((M13=0),0,N13/M13)</f>
        <v>0</v>
      </c>
      <c r="P13" s="518">
        <f>SUMIF('Diags Raw Data'!$A$6:$A$4003,"*"&amp;$A13&amp;"*",'Diags Raw Data'!$Z$6:$Z$4003)</f>
        <v>0</v>
      </c>
      <c r="Q13" s="519">
        <f>SUM(SUMIF('Diags Raw Data'!$A$6:$A$4003,"*"&amp;$A13&amp;"*",'Diags Raw Data'!$AA$6:$AA$4003),SUMIF('Diags Raw Data'!$A$6:$A$4003,"*"&amp;$A13&amp;"*",'Diags Raw Data'!$AB$6:$AB$4003))</f>
        <v>0</v>
      </c>
      <c r="R13" s="520">
        <f t="shared" si="3"/>
        <v>0</v>
      </c>
      <c r="S13" s="520">
        <f t="shared" si="4"/>
        <v>0</v>
      </c>
      <c r="T13" s="521">
        <f t="shared" si="5"/>
        <v>0</v>
      </c>
      <c r="U13" s="456" t="str">
        <f>VLOOKUP(A13,'Diags Raw Data'!$A$6:$AH$4003,33,FALSE)</f>
        <v>WK3</v>
      </c>
      <c r="V13" s="182"/>
    </row>
    <row r="14" spans="1:23" ht="30.75" thickBot="1" x14ac:dyDescent="0.3">
      <c r="A14" s="576">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Data'!$A$6:$A$4003)),CONCATENATE('Diags Raw Data'!$H$6:$H$4003,", "),""))</f>
        <v xml:space="preserve">PPI100.141, </v>
      </c>
      <c r="E14" s="341" t="str">
        <f>VLOOKUP(A14,'Diags Raw Data'!$A$6:$D$4003,4,FALSE)</f>
        <v>PP</v>
      </c>
      <c r="F14" s="341" t="str">
        <f>VLOOKUP(A14,'Feature Raw Data'!$A$3:$E$3922,5,FALSE)</f>
        <v>Delta</v>
      </c>
      <c r="G14" s="341" t="str">
        <f t="shared" si="0"/>
        <v>Yes</v>
      </c>
      <c r="H14" s="341" t="str">
        <f t="shared" si="1"/>
        <v>Yes</v>
      </c>
      <c r="I14" s="459">
        <f>SUMIF('Diags Raw Data'!$A$6:$A$4003,"*"&amp;$A14&amp;"*",'Diags Raw Data'!$K$6:$K$4003)</f>
        <v>0</v>
      </c>
      <c r="J14" s="461">
        <f>SUMIF('Diags Raw Data'!$A$6:$A$4003,"*"&amp;$A14&amp;"*",'Diags Raw Data'!$L$6:$L$4003)</f>
        <v>0</v>
      </c>
      <c r="K14" s="513" t="e" cm="1">
        <f t="array" ref="K14">IF(D14="",0, SUMPRODUCT(--(ISNUMBER(SEARCH($A14,'Diags Raw Data'!$A$6:$A$4003))),'Diags Raw Data'!$L$6:$L$4003,'Diags Raw Data'!$N$6:$N$4003)/J14)</f>
        <v>#DIV/0!</v>
      </c>
      <c r="L14" s="514" t="e" cm="1">
        <f t="array" ref="L14">IF(D14="",0, SUMPRODUCT(--(ISNUMBER(SEARCH($A14,'Diags Raw Data'!$A$6:$A$4003))),'Diags Raw Data'!$L$6:$L$4003,'Diags Raw Data'!$P$6:$P$4003)/J14)</f>
        <v>#DIV/0!</v>
      </c>
      <c r="M14" s="515" cm="1">
        <f t="array" ref="M14">SUMPRODUCT(--(ISNUMBER(SEARCH($A14,'Diags Raw Data'!$A$6:$A$4003))),--('Diags Raw Data'!$Q$6:$Q$4003&lt;&gt;"N/A"),'Diags Raw Data'!$R$6:$R$4003)</f>
        <v>1</v>
      </c>
      <c r="N14" s="516" cm="1">
        <f t="array" ref="N14">SUMPRODUCT(--(ISNUMBER(SEARCH($A14,'Diags Raw Data'!$A$6:$A$4003))),--('Diags Raw Data'!$Q$6:$Q$4003&lt;&gt;"N/A"),'Diags Raw Data'!$T$6:$T$4003)+SUMPRODUCT(--(ISNUMBER(SEARCH($A14,'Diags Raw Data'!$A$6:$A$4003))),--('Diags Raw Data'!$Q$6:$Q$4003&lt;&gt;"N/A"),'Diags Raw Data'!$U$6:$U$4003)</f>
        <v>0</v>
      </c>
      <c r="O14" s="517">
        <f t="shared" si="2"/>
        <v>0</v>
      </c>
      <c r="P14" s="518">
        <f>SUMIF('Diags Raw Data'!$A$6:$A$4003,"*"&amp;$A14&amp;"*",'Diags Raw Data'!$Z$6:$Z$4003)</f>
        <v>0</v>
      </c>
      <c r="Q14" s="519">
        <f>SUM(SUMIF('Diags Raw Data'!$A$6:$A$4003,"*"&amp;$A14&amp;"*",'Diags Raw Data'!$AA$6:$AA$4003),SUMIF('Diags Raw Data'!$A$6:$A$4003,"*"&amp;$A14&amp;"*",'Diags Raw Data'!$AB$6:$AB$4003))</f>
        <v>0</v>
      </c>
      <c r="R14" s="520">
        <f t="shared" si="3"/>
        <v>0</v>
      </c>
      <c r="S14" s="520">
        <f t="shared" si="4"/>
        <v>0</v>
      </c>
      <c r="T14" s="521">
        <f t="shared" si="5"/>
        <v>0</v>
      </c>
      <c r="U14" s="456" t="str">
        <f>VLOOKUP(A14,'Diags Raw Data'!$A$6:$AH$4003,33,FALSE)</f>
        <v>WK3</v>
      </c>
      <c r="V14" s="182"/>
    </row>
    <row r="15" spans="1:23" ht="45.75" thickBot="1" x14ac:dyDescent="0.3">
      <c r="A15" s="576">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Data'!$A$6:$A$4003)),CONCATENATE('Diags Raw Data'!$H$6:$H$4003,", "),""))</f>
        <v xml:space="preserve">STD1.6 -tglEnableSCBinning=0, </v>
      </c>
      <c r="E15" s="341" t="str">
        <f>VLOOKUP(A15,'Diags Raw Data'!$A$6:$D$4003,4,FALSE)</f>
        <v>PP</v>
      </c>
      <c r="F15" s="341" t="str">
        <f>VLOOKUP(A15,'Feature Raw Data'!$A$3:$E$3922,5,FALSE)</f>
        <v>New</v>
      </c>
      <c r="G15" s="341" t="str">
        <f t="shared" si="0"/>
        <v>Yes</v>
      </c>
      <c r="H15" s="341" t="str">
        <f t="shared" si="1"/>
        <v>Yes</v>
      </c>
      <c r="I15" s="459">
        <f>SUMIF('Diags Raw Data'!$A$6:$A$4003,"*"&amp;$A15&amp;"*",'Diags Raw Data'!$K$6:$K$4003)</f>
        <v>0</v>
      </c>
      <c r="J15" s="461">
        <f>SUMIF('Diags Raw Data'!$A$6:$A$4003,"*"&amp;$A15&amp;"*",'Diags Raw Data'!$L$6:$L$4003)</f>
        <v>0</v>
      </c>
      <c r="K15" s="513" t="e" cm="1">
        <f t="array" ref="K15">IF(D15="",0, SUMPRODUCT(--(ISNUMBER(SEARCH($A15,'Diags Raw Data'!$A$6:$A$4003))),'Diags Raw Data'!$L$6:$L$4003,'Diags Raw Data'!$N$6:$N$4003)/J15)</f>
        <v>#DIV/0!</v>
      </c>
      <c r="L15" s="514" t="e" cm="1">
        <f t="array" ref="L15">IF(D15="",0, SUMPRODUCT(--(ISNUMBER(SEARCH($A15,'Diags Raw Data'!$A$6:$A$4003))),'Diags Raw Data'!$L$6:$L$4003,'Diags Raw Data'!$P$6:$P$4003)/J15)</f>
        <v>#DIV/0!</v>
      </c>
      <c r="M15" s="515" cm="1">
        <f t="array" ref="M15">SUMPRODUCT(--(ISNUMBER(SEARCH($A15,'Diags Raw Data'!$A$6:$A$4003))),--('Diags Raw Data'!$Q$6:$Q$4003&lt;&gt;"N/A"),'Diags Raw Data'!$R$6:$R$4003)</f>
        <v>1</v>
      </c>
      <c r="N15" s="516" cm="1">
        <f t="array" ref="N15">SUMPRODUCT(--(ISNUMBER(SEARCH($A15,'Diags Raw Data'!$A$6:$A$4003))),--('Diags Raw Data'!$Q$6:$Q$4003&lt;&gt;"N/A"),'Diags Raw Data'!$T$6:$T$4003)+SUMPRODUCT(--(ISNUMBER(SEARCH($A15,'Diags Raw Data'!$A$6:$A$4003))),--('Diags Raw Data'!$Q$6:$Q$4003&lt;&gt;"N/A"),'Diags Raw Data'!$U$6:$U$4003)</f>
        <v>0</v>
      </c>
      <c r="O15" s="517">
        <f t="shared" si="2"/>
        <v>0</v>
      </c>
      <c r="P15" s="518">
        <f>SUMIF('Diags Raw Data'!$A$6:$A$4003,"*"&amp;$A15&amp;"*",'Diags Raw Data'!$Z$6:$Z$4003)</f>
        <v>0</v>
      </c>
      <c r="Q15" s="519">
        <f>SUM(SUMIF('Diags Raw Data'!$A$6:$A$4003,"*"&amp;$A15&amp;"*",'Diags Raw Data'!$AA$6:$AA$4003),SUMIF('Diags Raw Data'!$A$6:$A$4003,"*"&amp;$A15&amp;"*",'Diags Raw Data'!$AB$6:$AB$4003))</f>
        <v>0</v>
      </c>
      <c r="R15" s="520">
        <f t="shared" si="3"/>
        <v>0</v>
      </c>
      <c r="S15" s="520">
        <f t="shared" si="4"/>
        <v>0</v>
      </c>
      <c r="T15" s="521">
        <f t="shared" si="5"/>
        <v>0</v>
      </c>
      <c r="U15" s="456" t="str">
        <f>VLOOKUP(A15,'Diags Raw Data'!$A$6:$AH$4003,33,FALSE)</f>
        <v>WK3</v>
      </c>
      <c r="V15" s="182"/>
    </row>
    <row r="16" spans="1:23" ht="135.75" thickBot="1" x14ac:dyDescent="0.3">
      <c r="A16" s="576">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Data'!$A$6:$A$4003)),CONCATENATE('Diags Raw Data'!$H$6:$H$4003,", "),""))</f>
        <v xml:space="preserve">placeholder_n.1, sc42.2
sc42.3
sc26.9
sc26.10
sc26.11
sc26.12, N/A, gfx.sr_stat, placeholder_o.1, placeholder_p.1, ppi41.2,ppi41.22,ppi41.42,ppi41.52, N/A, txi91.0-1, </v>
      </c>
      <c r="E16" s="341" t="str">
        <f>VLOOKUP(A16,'Diags Raw Data'!$A$6:$D$4003,4,FALSE)</f>
        <v>PP</v>
      </c>
      <c r="F16" s="341" t="str">
        <f>VLOOKUP(A16,'Feature Raw Data'!$A$3:$E$3922,5,FALSE)</f>
        <v>New</v>
      </c>
      <c r="G16" s="341" t="str">
        <f t="shared" si="0"/>
        <v>Yes</v>
      </c>
      <c r="H16" s="341" t="str">
        <f t="shared" si="1"/>
        <v>Yes</v>
      </c>
      <c r="I16" s="459">
        <f>SUMIF('Diags Raw Data'!$A$6:$A$4003,"*"&amp;$A16&amp;"*",'Diags Raw Data'!$K$6:$K$4003)</f>
        <v>0</v>
      </c>
      <c r="J16" s="461">
        <f>SUMIF('Diags Raw Data'!$A$6:$A$4003,"*"&amp;$A16&amp;"*",'Diags Raw Data'!$L$6:$L$4003)</f>
        <v>0</v>
      </c>
      <c r="K16" s="513" t="e" cm="1">
        <f t="array" ref="K16">IF(D16="",0, SUMPRODUCT(--(ISNUMBER(SEARCH($A16,'Diags Raw Data'!$A$6:$A$4003))),'Diags Raw Data'!$L$6:$L$4003,'Diags Raw Data'!$N$6:$N$4003)/J16)</f>
        <v>#DIV/0!</v>
      </c>
      <c r="L16" s="514" t="e" cm="1">
        <f t="array" ref="L16">IF(D16="",0, SUMPRODUCT(--(ISNUMBER(SEARCH($A16,'Diags Raw Data'!$A$6:$A$4003))),'Diags Raw Data'!$L$6:$L$4003,'Diags Raw Data'!$P$6:$P$4003)/J16)</f>
        <v>#DIV/0!</v>
      </c>
      <c r="M16" s="515" cm="1">
        <f t="array" ref="M16">SUMPRODUCT(--(ISNUMBER(SEARCH($A16,'Diags Raw Data'!$A$6:$A$4003))),--('Diags Raw Data'!$Q$6:$Q$4003&lt;&gt;"N/A"),'Diags Raw Data'!$R$6:$R$4003)</f>
        <v>13</v>
      </c>
      <c r="N16" s="516" cm="1">
        <f t="array" ref="N16">SUMPRODUCT(--(ISNUMBER(SEARCH($A16,'Diags Raw Data'!$A$6:$A$4003))),--('Diags Raw Data'!$Q$6:$Q$4003&lt;&gt;"N/A"),'Diags Raw Data'!$T$6:$T$4003)+SUMPRODUCT(--(ISNUMBER(SEARCH($A16,'Diags Raw Data'!$A$6:$A$4003))),--('Diags Raw Data'!$Q$6:$Q$4003&lt;&gt;"N/A"),'Diags Raw Data'!$U$6:$U$4003)</f>
        <v>4</v>
      </c>
      <c r="O16" s="517">
        <f t="shared" si="2"/>
        <v>0.30769230769230771</v>
      </c>
      <c r="P16" s="518">
        <f>SUMIF('Diags Raw Data'!$A$6:$A$4003,"*"&amp;$A16&amp;"*",'Diags Raw Data'!$Z$6:$Z$4003)</f>
        <v>0</v>
      </c>
      <c r="Q16" s="519">
        <f>SUM(SUMIF('Diags Raw Data'!$A$6:$A$4003,"*"&amp;$A16&amp;"*",'Diags Raw Data'!$AA$6:$AA$4003),SUMIF('Diags Raw Data'!$A$6:$A$4003,"*"&amp;$A16&amp;"*",'Diags Raw Data'!$AB$6:$AB$4003))</f>
        <v>0</v>
      </c>
      <c r="R16" s="520">
        <f t="shared" si="3"/>
        <v>0</v>
      </c>
      <c r="S16" s="520">
        <f t="shared" si="4"/>
        <v>0</v>
      </c>
      <c r="T16" s="521">
        <f t="shared" si="5"/>
        <v>0</v>
      </c>
      <c r="U16" s="456" t="str">
        <f>VLOOKUP(A16,'Diags Raw Data'!$A$6:$AH$4003,33,FALSE)</f>
        <v>WK3</v>
      </c>
      <c r="V16" s="182"/>
    </row>
    <row r="17" spans="1:22" s="185" customFormat="1" ht="90.75" thickBot="1" x14ac:dyDescent="0.3">
      <c r="A17" s="576">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Data'!$A$6:$A$4003)),CONCATENATE('Diags Raw Data'!$H$6:$H$4003,", "),""))</f>
        <v xml:space="preserve">sc42.2
sc42.3
sc26.9
sc26.10
sc26.11
sc26.12, </v>
      </c>
      <c r="E17" s="341" t="str">
        <f>VLOOKUP(A17,'Diags Raw Data'!$A$6:$D$4003,4,FALSE)</f>
        <v>PP</v>
      </c>
      <c r="F17" s="341" t="str">
        <f>VLOOKUP(A17,'Feature Raw Data'!$A$3:$E$3922,5,FALSE)</f>
        <v>New</v>
      </c>
      <c r="G17" s="341" t="str">
        <f t="shared" si="0"/>
        <v>Yes</v>
      </c>
      <c r="H17" s="341" t="str">
        <f t="shared" si="1"/>
        <v>Yes</v>
      </c>
      <c r="I17" s="459">
        <f>SUMIF('Diags Raw Data'!$A$6:$A$4003,"*"&amp;$A17&amp;"*",'Diags Raw Data'!$K$6:$K$4003)</f>
        <v>0</v>
      </c>
      <c r="J17" s="461">
        <f>SUMIF('Diags Raw Data'!$A$6:$A$4003,"*"&amp;$A17&amp;"*",'Diags Raw Data'!$L$6:$L$4003)</f>
        <v>0</v>
      </c>
      <c r="K17" s="513" t="e" cm="1">
        <f t="array" ref="K17">IF(D17="",0, SUMPRODUCT(--(ISNUMBER(SEARCH($A17,'Diags Raw Data'!$A$6:$A$4003))),'Diags Raw Data'!$L$6:$L$4003,'Diags Raw Data'!$N$6:$N$4003)/J17)</f>
        <v>#DIV/0!</v>
      </c>
      <c r="L17" s="514" t="e" cm="1">
        <f t="array" ref="L17">IF(D17="",0, SUMPRODUCT(--(ISNUMBER(SEARCH($A17,'Diags Raw Data'!$A$6:$A$4003))),'Diags Raw Data'!$L$6:$L$4003,'Diags Raw Data'!$P$6:$P$4003)/J17)</f>
        <v>#DIV/0!</v>
      </c>
      <c r="M17" s="515" cm="1">
        <f t="array" ref="M17">SUMPRODUCT(--(ISNUMBER(SEARCH($A17,'Diags Raw Data'!$A$6:$A$4003))),--('Diags Raw Data'!$Q$6:$Q$4003&lt;&gt;"N/A"),'Diags Raw Data'!$R$6:$R$4003)</f>
        <v>6</v>
      </c>
      <c r="N17" s="516" cm="1">
        <f t="array" ref="N17">SUMPRODUCT(--(ISNUMBER(SEARCH($A17,'Diags Raw Data'!$A$6:$A$4003))),--('Diags Raw Data'!$Q$6:$Q$4003&lt;&gt;"N/A"),'Diags Raw Data'!$T$6:$T$4003)+SUMPRODUCT(--(ISNUMBER(SEARCH($A17,'Diags Raw Data'!$A$6:$A$4003))),--('Diags Raw Data'!$Q$6:$Q$4003&lt;&gt;"N/A"),'Diags Raw Data'!$U$6:$U$4003)</f>
        <v>2</v>
      </c>
      <c r="O17" s="517">
        <f t="shared" si="2"/>
        <v>0.33333333333333331</v>
      </c>
      <c r="P17" s="518">
        <f>SUMIF('Diags Raw Data'!$A$6:$A$4003,"*"&amp;$A17&amp;"*",'Diags Raw Data'!$Z$6:$Z$4003)</f>
        <v>0</v>
      </c>
      <c r="Q17" s="519">
        <f>SUM(SUMIF('Diags Raw Data'!$A$6:$A$4003,"*"&amp;$A17&amp;"*",'Diags Raw Data'!$AA$6:$AA$4003),SUMIF('Diags Raw Data'!$A$6:$A$4003,"*"&amp;$A17&amp;"*",'Diags Raw Data'!$AB$6:$AB$4003))</f>
        <v>0</v>
      </c>
      <c r="R17" s="520">
        <f t="shared" si="3"/>
        <v>0</v>
      </c>
      <c r="S17" s="520">
        <f t="shared" si="4"/>
        <v>0</v>
      </c>
      <c r="T17" s="521">
        <f t="shared" si="5"/>
        <v>0</v>
      </c>
      <c r="U17" s="456" t="str">
        <f>VLOOKUP(A17,'Diags Raw Data'!$A$6:$AH$4003,33,FALSE)</f>
        <v>WK4</v>
      </c>
      <c r="V17" s="184"/>
    </row>
    <row r="18" spans="1:22" ht="30.75" thickBot="1" x14ac:dyDescent="0.3">
      <c r="A18" s="576">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Data'!$A$6:$A$4003)),CONCATENATE('Diags Raw Data'!$H$6:$H$4003,", "),""))</f>
        <v xml:space="preserve">N/A, </v>
      </c>
      <c r="E18" s="341" t="str">
        <f>VLOOKUP(A18,'Diags Raw Data'!$A$6:$D$4003,4,FALSE)</f>
        <v>PP</v>
      </c>
      <c r="F18" s="341" t="str">
        <f>VLOOKUP(A18,'Feature Raw Data'!$A$3:$E$3922,5,FALSE)</f>
        <v>Delta</v>
      </c>
      <c r="G18" s="341" t="str">
        <f t="shared" si="0"/>
        <v>No</v>
      </c>
      <c r="H18" s="341" t="str">
        <f t="shared" si="1"/>
        <v>No</v>
      </c>
      <c r="I18" s="459">
        <f>SUMIF('Diags Raw Data'!$A$6:$A$4003,"*"&amp;$A18&amp;"*",'Diags Raw Data'!$K$6:$K$4003)</f>
        <v>0</v>
      </c>
      <c r="J18" s="461">
        <f>SUMIF('Diags Raw Data'!$A$6:$A$4003,"*"&amp;$A18&amp;"*",'Diags Raw Data'!$L$6:$L$4003)</f>
        <v>0</v>
      </c>
      <c r="K18" s="513" t="e" cm="1">
        <f t="array" ref="K18">IF(D18="",0, SUMPRODUCT(--(ISNUMBER(SEARCH($A18,'Diags Raw Data'!$A$6:$A$4003))),'Diags Raw Data'!$L$6:$L$4003,'Diags Raw Data'!$N$6:$N$4003)/J18)</f>
        <v>#DIV/0!</v>
      </c>
      <c r="L18" s="514" t="e" cm="1">
        <f t="array" ref="L18">IF(D18="",0, SUMPRODUCT(--(ISNUMBER(SEARCH($A18,'Diags Raw Data'!$A$6:$A$4003))),'Diags Raw Data'!$L$6:$L$4003,'Diags Raw Data'!$P$6:$P$4003)/J18)</f>
        <v>#DIV/0!</v>
      </c>
      <c r="M18" s="515" cm="1">
        <f t="array" ref="M18">SUMPRODUCT(--(ISNUMBER(SEARCH($A18,'Diags Raw Data'!$A$6:$A$4003))),--('Diags Raw Data'!$Q$6:$Q$4003&lt;&gt;"N/A"),'Diags Raw Data'!$R$6:$R$4003)</f>
        <v>0</v>
      </c>
      <c r="N18" s="516" cm="1">
        <f t="array" ref="N18">SUMPRODUCT(--(ISNUMBER(SEARCH($A18,'Diags Raw Data'!$A$6:$A$4003))),--('Diags Raw Data'!$Q$6:$Q$4003&lt;&gt;"N/A"),'Diags Raw Data'!$T$6:$T$4003)+SUMPRODUCT(--(ISNUMBER(SEARCH($A18,'Diags Raw Data'!$A$6:$A$4003))),--('Diags Raw Data'!$Q$6:$Q$4003&lt;&gt;"N/A"),'Diags Raw Data'!$U$6:$U$4003)</f>
        <v>0</v>
      </c>
      <c r="O18" s="517">
        <f t="shared" si="2"/>
        <v>0</v>
      </c>
      <c r="P18" s="518">
        <f>SUMIF('Diags Raw Data'!$A$6:$A$4003,"*"&amp;$A18&amp;"*",'Diags Raw Data'!$Z$6:$Z$4003)</f>
        <v>0</v>
      </c>
      <c r="Q18" s="519">
        <f>SUM(SUMIF('Diags Raw Data'!$A$6:$A$4003,"*"&amp;$A18&amp;"*",'Diags Raw Data'!$AA$6:$AA$4003),SUMIF('Diags Raw Data'!$A$6:$A$4003,"*"&amp;$A18&amp;"*",'Diags Raw Data'!$AB$6:$AB$4003))</f>
        <v>0</v>
      </c>
      <c r="R18" s="520">
        <f t="shared" si="3"/>
        <v>0</v>
      </c>
      <c r="S18" s="520">
        <f t="shared" si="4"/>
        <v>0</v>
      </c>
      <c r="T18" s="521">
        <f t="shared" si="5"/>
        <v>0</v>
      </c>
      <c r="U18" s="456" t="str">
        <f>VLOOKUP(A18,'Diags Raw Data'!$A$6:$AH$4003,33,FALSE)</f>
        <v>N/A</v>
      </c>
      <c r="V18" s="182"/>
    </row>
    <row r="19" spans="1:22" ht="30.75" thickBot="1" x14ac:dyDescent="0.3">
      <c r="A19" s="576">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Data'!$A$6:$A$4003)),CONCATENATE('Diags Raw Data'!$H$6:$H$4003,", "),""))</f>
        <v xml:space="preserve">gfx.sr_stat, </v>
      </c>
      <c r="E19" s="341" t="str">
        <f>VLOOKUP(A19,'Diags Raw Data'!$A$6:$D$4003,4,FALSE)</f>
        <v>SIO</v>
      </c>
      <c r="F19" s="341" t="str">
        <f>VLOOKUP(A19,'Feature Raw Data'!$A$3:$E$3922,5,FALSE)</f>
        <v>New</v>
      </c>
      <c r="G19" s="341" t="str">
        <f t="shared" si="0"/>
        <v>Yes</v>
      </c>
      <c r="H19" s="341" t="str">
        <f t="shared" si="1"/>
        <v>Yes</v>
      </c>
      <c r="I19" s="459">
        <f>SUMIF('Diags Raw Data'!$A$6:$A$4003,"*"&amp;$A19&amp;"*",'Diags Raw Data'!$K$6:$K$4003)</f>
        <v>0</v>
      </c>
      <c r="J19" s="461">
        <f>SUMIF('Diags Raw Data'!$A$6:$A$4003,"*"&amp;$A19&amp;"*",'Diags Raw Data'!$L$6:$L$4003)</f>
        <v>0</v>
      </c>
      <c r="K19" s="513" t="e" cm="1">
        <f t="array" ref="K19">IF(D19="",0, SUMPRODUCT(--(ISNUMBER(SEARCH($A19,'Diags Raw Data'!$A$6:$A$4003))),'Diags Raw Data'!$L$6:$L$4003,'Diags Raw Data'!$N$6:$N$4003)/J19)</f>
        <v>#DIV/0!</v>
      </c>
      <c r="L19" s="514" t="e" cm="1">
        <f t="array" ref="L19">IF(D19="",0, SUMPRODUCT(--(ISNUMBER(SEARCH($A19,'Diags Raw Data'!$A$6:$A$4003))),'Diags Raw Data'!$L$6:$L$4003,'Diags Raw Data'!$P$6:$P$4003)/J19)</f>
        <v>#DIV/0!</v>
      </c>
      <c r="M19" s="515" cm="1">
        <f t="array" ref="M19">SUMPRODUCT(--(ISNUMBER(SEARCH($A19,'Diags Raw Data'!$A$6:$A$4003))),--('Diags Raw Data'!$Q$6:$Q$4003&lt;&gt;"N/A"),'Diags Raw Data'!$R$6:$R$4003)</f>
        <v>1</v>
      </c>
      <c r="N19" s="516" cm="1">
        <f t="array" ref="N19">SUMPRODUCT(--(ISNUMBER(SEARCH($A19,'Diags Raw Data'!$A$6:$A$4003))),--('Diags Raw Data'!$Q$6:$Q$4003&lt;&gt;"N/A"),'Diags Raw Data'!$T$6:$T$4003)+SUMPRODUCT(--(ISNUMBER(SEARCH($A19,'Diags Raw Data'!$A$6:$A$4003))),--('Diags Raw Data'!$Q$6:$Q$4003&lt;&gt;"N/A"),'Diags Raw Data'!$U$6:$U$4003)</f>
        <v>1</v>
      </c>
      <c r="O19" s="517">
        <f t="shared" si="2"/>
        <v>1</v>
      </c>
      <c r="P19" s="518">
        <f>SUMIF('Diags Raw Data'!$A$6:$A$4003,"*"&amp;$A19&amp;"*",'Diags Raw Data'!$Z$6:$Z$4003)</f>
        <v>0</v>
      </c>
      <c r="Q19" s="519">
        <f>SUM(SUMIF('Diags Raw Data'!$A$6:$A$4003,"*"&amp;$A19&amp;"*",'Diags Raw Data'!$AA$6:$AA$4003),SUMIF('Diags Raw Data'!$A$6:$A$4003,"*"&amp;$A19&amp;"*",'Diags Raw Data'!$AB$6:$AB$4003))</f>
        <v>0</v>
      </c>
      <c r="R19" s="520">
        <f t="shared" si="3"/>
        <v>0</v>
      </c>
      <c r="S19" s="520">
        <f t="shared" si="4"/>
        <v>0</v>
      </c>
      <c r="T19" s="521">
        <f t="shared" si="5"/>
        <v>0</v>
      </c>
      <c r="U19" s="456" t="str">
        <f>VLOOKUP(A19,'Diags Raw Data'!$A$6:$AH$4003,33,FALSE)</f>
        <v>WK7</v>
      </c>
      <c r="V19" s="182"/>
    </row>
    <row r="20" spans="1:22" ht="15.75" thickBot="1" x14ac:dyDescent="0.3">
      <c r="A20" s="576">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Data'!$A$6:$A$4003)),CONCATENATE('Diags Raw Data'!$H$6:$H$4003,", "),""))</f>
        <v xml:space="preserve">placeholder_o.1, </v>
      </c>
      <c r="E20" s="341" t="str">
        <f>VLOOKUP(A20,'Diags Raw Data'!$A$6:$D$4003,4,FALSE)</f>
        <v>PP</v>
      </c>
      <c r="F20" s="341" t="str">
        <f>VLOOKUP(A20,'Feature Raw Data'!$A$3:$E$3922,5,FALSE)</f>
        <v>New</v>
      </c>
      <c r="G20" s="341" t="str">
        <f t="shared" si="0"/>
        <v>Yes</v>
      </c>
      <c r="H20" s="341" t="str">
        <f t="shared" si="1"/>
        <v>Yes</v>
      </c>
      <c r="I20" s="459">
        <f>SUMIF('Diags Raw Data'!$A$6:$A$4003,"*"&amp;$A20&amp;"*",'Diags Raw Data'!$K$6:$K$4003)</f>
        <v>0</v>
      </c>
      <c r="J20" s="461">
        <f>SUMIF('Diags Raw Data'!$A$6:$A$4003,"*"&amp;$A20&amp;"*",'Diags Raw Data'!$L$6:$L$4003)</f>
        <v>0</v>
      </c>
      <c r="K20" s="513" t="e" cm="1">
        <f t="array" ref="K20">IF(D20="",0, SUMPRODUCT(--(ISNUMBER(SEARCH($A20,'Diags Raw Data'!$A$6:$A$4003))),'Diags Raw Data'!$L$6:$L$4003,'Diags Raw Data'!$N$6:$N$4003)/J20)</f>
        <v>#DIV/0!</v>
      </c>
      <c r="L20" s="514" t="e" cm="1">
        <f t="array" ref="L20">IF(D20="",0, SUMPRODUCT(--(ISNUMBER(SEARCH($A20,'Diags Raw Data'!$A$6:$A$4003))),'Diags Raw Data'!$L$6:$L$4003,'Diags Raw Data'!$P$6:$P$4003)/J20)</f>
        <v>#DIV/0!</v>
      </c>
      <c r="M20" s="515" cm="1">
        <f t="array" ref="M20">SUMPRODUCT(--(ISNUMBER(SEARCH($A20,'Diags Raw Data'!$A$6:$A$4003))),--('Diags Raw Data'!$Q$6:$Q$4003&lt;&gt;"N/A"),'Diags Raw Data'!$R$6:$R$4003)</f>
        <v>1</v>
      </c>
      <c r="N20" s="516" cm="1">
        <f t="array" ref="N20">SUMPRODUCT(--(ISNUMBER(SEARCH($A20,'Diags Raw Data'!$A$6:$A$4003))),--('Diags Raw Data'!$Q$6:$Q$4003&lt;&gt;"N/A"),'Diags Raw Data'!$T$6:$T$4003)+SUMPRODUCT(--(ISNUMBER(SEARCH($A20,'Diags Raw Data'!$A$6:$A$4003))),--('Diags Raw Data'!$Q$6:$Q$4003&lt;&gt;"N/A"),'Diags Raw Data'!$U$6:$U$4003)</f>
        <v>0</v>
      </c>
      <c r="O20" s="517">
        <f t="shared" si="2"/>
        <v>0</v>
      </c>
      <c r="P20" s="518">
        <f>SUMIF('Diags Raw Data'!$A$6:$A$4003,"*"&amp;$A20&amp;"*",'Diags Raw Data'!$Z$6:$Z$4003)</f>
        <v>0</v>
      </c>
      <c r="Q20" s="519">
        <f>SUM(SUMIF('Diags Raw Data'!$A$6:$A$4003,"*"&amp;$A20&amp;"*",'Diags Raw Data'!$AA$6:$AA$4003),SUMIF('Diags Raw Data'!$A$6:$A$4003,"*"&amp;$A20&amp;"*",'Diags Raw Data'!$AB$6:$AB$4003))</f>
        <v>0</v>
      </c>
      <c r="R20" s="520">
        <f t="shared" si="3"/>
        <v>0</v>
      </c>
      <c r="S20" s="520">
        <f t="shared" si="4"/>
        <v>0</v>
      </c>
      <c r="T20" s="521">
        <f t="shared" si="5"/>
        <v>0</v>
      </c>
      <c r="U20" s="456" t="str">
        <f>VLOOKUP(A20,'Diags Raw Data'!$A$6:$AH$4003,33,FALSE)</f>
        <v>WK4</v>
      </c>
      <c r="V20" s="182"/>
    </row>
    <row r="21" spans="1:22" ht="15.75" thickBot="1" x14ac:dyDescent="0.3">
      <c r="A21" s="576">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Data'!$A$6:$A$4003)),CONCATENATE('Diags Raw Data'!$H$6:$H$4003,", "),""))</f>
        <v xml:space="preserve">placeholder_p.1, </v>
      </c>
      <c r="E21" s="341" t="str">
        <f>VLOOKUP(A21,'Diags Raw Data'!$A$6:$D$4003,4,FALSE)</f>
        <v>PP</v>
      </c>
      <c r="F21" s="341" t="str">
        <f>VLOOKUP(A21,'Feature Raw Data'!$A$3:$E$3922,5,FALSE)</f>
        <v>Delta</v>
      </c>
      <c r="G21" s="341" t="str">
        <f t="shared" si="0"/>
        <v>Yes</v>
      </c>
      <c r="H21" s="341" t="str">
        <f t="shared" si="1"/>
        <v>Yes</v>
      </c>
      <c r="I21" s="459">
        <f>SUMIF('Diags Raw Data'!$A$6:$A$4003,"*"&amp;$A21&amp;"*",'Diags Raw Data'!$K$6:$K$4003)</f>
        <v>0</v>
      </c>
      <c r="J21" s="461">
        <f>SUMIF('Diags Raw Data'!$A$6:$A$4003,"*"&amp;$A21&amp;"*",'Diags Raw Data'!$L$6:$L$4003)</f>
        <v>0</v>
      </c>
      <c r="K21" s="513" t="e" cm="1">
        <f t="array" ref="K21">IF(D21="",0, SUMPRODUCT(--(ISNUMBER(SEARCH($A21,'Diags Raw Data'!$A$6:$A$4003))),'Diags Raw Data'!$L$6:$L$4003,'Diags Raw Data'!$N$6:$N$4003)/J21)</f>
        <v>#DIV/0!</v>
      </c>
      <c r="L21" s="514" t="e" cm="1">
        <f t="array" ref="L21">IF(D21="",0, SUMPRODUCT(--(ISNUMBER(SEARCH($A21,'Diags Raw Data'!$A$6:$A$4003))),'Diags Raw Data'!$L$6:$L$4003,'Diags Raw Data'!$P$6:$P$4003)/J21)</f>
        <v>#DIV/0!</v>
      </c>
      <c r="M21" s="515" cm="1">
        <f t="array" ref="M21">SUMPRODUCT(--(ISNUMBER(SEARCH($A21,'Diags Raw Data'!$A$6:$A$4003))),--('Diags Raw Data'!$Q$6:$Q$4003&lt;&gt;"N/A"),'Diags Raw Data'!$R$6:$R$4003)</f>
        <v>1</v>
      </c>
      <c r="N21" s="516" cm="1">
        <f t="array" ref="N21">SUMPRODUCT(--(ISNUMBER(SEARCH($A21,'Diags Raw Data'!$A$6:$A$4003))),--('Diags Raw Data'!$Q$6:$Q$4003&lt;&gt;"N/A"),'Diags Raw Data'!$T$6:$T$4003)+SUMPRODUCT(--(ISNUMBER(SEARCH($A21,'Diags Raw Data'!$A$6:$A$4003))),--('Diags Raw Data'!$Q$6:$Q$4003&lt;&gt;"N/A"),'Diags Raw Data'!$U$6:$U$4003)</f>
        <v>0</v>
      </c>
      <c r="O21" s="517">
        <f t="shared" si="2"/>
        <v>0</v>
      </c>
      <c r="P21" s="518">
        <f>SUMIF('Diags Raw Data'!$A$6:$A$4003,"*"&amp;$A21&amp;"*",'Diags Raw Data'!$Z$6:$Z$4003)</f>
        <v>0</v>
      </c>
      <c r="Q21" s="519">
        <f>SUM(SUMIF('Diags Raw Data'!$A$6:$A$4003,"*"&amp;$A21&amp;"*",'Diags Raw Data'!$AA$6:$AA$4003),SUMIF('Diags Raw Data'!$A$6:$A$4003,"*"&amp;$A21&amp;"*",'Diags Raw Data'!$AB$6:$AB$4003))</f>
        <v>0</v>
      </c>
      <c r="R21" s="520">
        <f t="shared" si="3"/>
        <v>0</v>
      </c>
      <c r="S21" s="520">
        <f t="shared" si="4"/>
        <v>0</v>
      </c>
      <c r="T21" s="521">
        <f t="shared" si="5"/>
        <v>0</v>
      </c>
      <c r="U21" s="456" t="str">
        <f>VLOOKUP(A21,'Diags Raw Data'!$A$6:$AH$4003,33,FALSE)</f>
        <v>WK4</v>
      </c>
      <c r="V21" s="182"/>
    </row>
    <row r="22" spans="1:22" ht="30.75" thickBot="1" x14ac:dyDescent="0.3">
      <c r="A22" s="576">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Data'!$A$6:$A$4003)),CONCATENATE('Diags Raw Data'!$H$6:$H$4003,", "),""))</f>
        <v xml:space="preserve">ppi41.2,ppi41.22,ppi41.42,ppi41.52, </v>
      </c>
      <c r="E22" s="341" t="str">
        <f>VLOOKUP(A22,'Diags Raw Data'!$A$6:$D$4003,4,FALSE)</f>
        <v>PP</v>
      </c>
      <c r="F22" s="341" t="str">
        <f>VLOOKUP(A22,'Feature Raw Data'!$A$3:$E$3922,5,FALSE)</f>
        <v>New</v>
      </c>
      <c r="G22" s="341" t="str">
        <f t="shared" si="0"/>
        <v>Yes</v>
      </c>
      <c r="H22" s="341" t="str">
        <f t="shared" si="1"/>
        <v>Yes</v>
      </c>
      <c r="I22" s="459">
        <f>SUMIF('Diags Raw Data'!$A$6:$A$4003,"*"&amp;$A22&amp;"*",'Diags Raw Data'!$K$6:$K$4003)</f>
        <v>0</v>
      </c>
      <c r="J22" s="461">
        <f>SUMIF('Diags Raw Data'!$A$6:$A$4003,"*"&amp;$A22&amp;"*",'Diags Raw Data'!$L$6:$L$4003)</f>
        <v>0</v>
      </c>
      <c r="K22" s="513" t="e" cm="1">
        <f t="array" ref="K22">IF(D22="",0, SUMPRODUCT(--(ISNUMBER(SEARCH($A22,'Diags Raw Data'!$A$6:$A$4003))),'Diags Raw Data'!$L$6:$L$4003,'Diags Raw Data'!$N$6:$N$4003)/J22)</f>
        <v>#DIV/0!</v>
      </c>
      <c r="L22" s="514" t="e" cm="1">
        <f t="array" ref="L22">IF(D22="",0, SUMPRODUCT(--(ISNUMBER(SEARCH($A22,'Diags Raw Data'!$A$6:$A$4003))),'Diags Raw Data'!$L$6:$L$4003,'Diags Raw Data'!$P$6:$P$4003)/J22)</f>
        <v>#DIV/0!</v>
      </c>
      <c r="M22" s="515" cm="1">
        <f t="array" ref="M22">SUMPRODUCT(--(ISNUMBER(SEARCH($A22,'Diags Raw Data'!$A$6:$A$4003))),--('Diags Raw Data'!$Q$6:$Q$4003&lt;&gt;"N/A"),'Diags Raw Data'!$R$6:$R$4003)</f>
        <v>1</v>
      </c>
      <c r="N22" s="516" cm="1">
        <f t="array" ref="N22">SUMPRODUCT(--(ISNUMBER(SEARCH($A22,'Diags Raw Data'!$A$6:$A$4003))),--('Diags Raw Data'!$Q$6:$Q$4003&lt;&gt;"N/A"),'Diags Raw Data'!$T$6:$T$4003)+SUMPRODUCT(--(ISNUMBER(SEARCH($A22,'Diags Raw Data'!$A$6:$A$4003))),--('Diags Raw Data'!$Q$6:$Q$4003&lt;&gt;"N/A"),'Diags Raw Data'!$U$6:$U$4003)</f>
        <v>0</v>
      </c>
      <c r="O22" s="517">
        <f t="shared" si="2"/>
        <v>0</v>
      </c>
      <c r="P22" s="518">
        <f>SUMIF('Diags Raw Data'!$A$6:$A$4003,"*"&amp;$A22&amp;"*",'Diags Raw Data'!$Z$6:$Z$4003)</f>
        <v>0</v>
      </c>
      <c r="Q22" s="519">
        <f>SUM(SUMIF('Diags Raw Data'!$A$6:$A$4003,"*"&amp;$A22&amp;"*",'Diags Raw Data'!$AA$6:$AA$4003),SUMIF('Diags Raw Data'!$A$6:$A$4003,"*"&amp;$A22&amp;"*",'Diags Raw Data'!$AB$6:$AB$4003))</f>
        <v>0</v>
      </c>
      <c r="R22" s="520">
        <f t="shared" si="3"/>
        <v>0</v>
      </c>
      <c r="S22" s="520">
        <f t="shared" si="4"/>
        <v>0</v>
      </c>
      <c r="T22" s="521">
        <f t="shared" si="5"/>
        <v>0</v>
      </c>
      <c r="U22" s="456" t="str">
        <f>VLOOKUP(A22,'Diags Raw Data'!$A$6:$AH$4003,33,FALSE)</f>
        <v>WK5</v>
      </c>
      <c r="V22" s="182"/>
    </row>
    <row r="23" spans="1:22" ht="30.75" thickBot="1" x14ac:dyDescent="0.3">
      <c r="A23" s="576">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Data'!$A$6:$A$4003)),CONCATENATE('Diags Raw Data'!$H$6:$H$4003,", "),""))</f>
        <v xml:space="preserve">N/A, </v>
      </c>
      <c r="E23" s="341" t="str">
        <f>VLOOKUP(A23,'Diags Raw Data'!$A$6:$D$4003,4,FALSE)</f>
        <v>PP</v>
      </c>
      <c r="F23" s="341" t="str">
        <f>VLOOKUP(A23,'Feature Raw Data'!$A$3:$E$3922,5,FALSE)</f>
        <v>New</v>
      </c>
      <c r="G23" s="341" t="str">
        <f t="shared" si="0"/>
        <v>No</v>
      </c>
      <c r="H23" s="341" t="str">
        <f t="shared" si="1"/>
        <v>No</v>
      </c>
      <c r="I23" s="459">
        <f>SUMIF('Diags Raw Data'!$A$6:$A$4003,"*"&amp;$A23&amp;"*",'Diags Raw Data'!$K$6:$K$4003)</f>
        <v>0</v>
      </c>
      <c r="J23" s="461">
        <f>SUMIF('Diags Raw Data'!$A$6:$A$4003,"*"&amp;$A23&amp;"*",'Diags Raw Data'!$L$6:$L$4003)</f>
        <v>0</v>
      </c>
      <c r="K23" s="513" t="e" cm="1">
        <f t="array" ref="K23">IF(D23="",0, SUMPRODUCT(--(ISNUMBER(SEARCH($A23,'Diags Raw Data'!$A$6:$A$4003))),'Diags Raw Data'!$L$6:$L$4003,'Diags Raw Data'!$N$6:$N$4003)/J23)</f>
        <v>#DIV/0!</v>
      </c>
      <c r="L23" s="514" t="e" cm="1">
        <f t="array" ref="L23">IF(D23="",0, SUMPRODUCT(--(ISNUMBER(SEARCH($A23,'Diags Raw Data'!$A$6:$A$4003))),'Diags Raw Data'!$L$6:$L$4003,'Diags Raw Data'!$P$6:$P$4003)/J23)</f>
        <v>#DIV/0!</v>
      </c>
      <c r="M23" s="515" cm="1">
        <f t="array" ref="M23">SUMPRODUCT(--(ISNUMBER(SEARCH($A23,'Diags Raw Data'!$A$6:$A$4003))),--('Diags Raw Data'!$Q$6:$Q$4003&lt;&gt;"N/A"),'Diags Raw Data'!$R$6:$R$4003)</f>
        <v>0</v>
      </c>
      <c r="N23" s="516" cm="1">
        <f t="array" ref="N23">SUMPRODUCT(--(ISNUMBER(SEARCH($A23,'Diags Raw Data'!$A$6:$A$4003))),--('Diags Raw Data'!$Q$6:$Q$4003&lt;&gt;"N/A"),'Diags Raw Data'!$T$6:$T$4003)+SUMPRODUCT(--(ISNUMBER(SEARCH($A23,'Diags Raw Data'!$A$6:$A$4003))),--('Diags Raw Data'!$Q$6:$Q$4003&lt;&gt;"N/A"),'Diags Raw Data'!$U$6:$U$4003)</f>
        <v>0</v>
      </c>
      <c r="O23" s="517">
        <f t="shared" si="2"/>
        <v>0</v>
      </c>
      <c r="P23" s="518">
        <f>SUMIF('Diags Raw Data'!$A$6:$A$4003,"*"&amp;$A23&amp;"*",'Diags Raw Data'!$Z$6:$Z$4003)</f>
        <v>0</v>
      </c>
      <c r="Q23" s="519">
        <f>SUM(SUMIF('Diags Raw Data'!$A$6:$A$4003,"*"&amp;$A23&amp;"*",'Diags Raw Data'!$AA$6:$AA$4003),SUMIF('Diags Raw Data'!$A$6:$A$4003,"*"&amp;$A23&amp;"*",'Diags Raw Data'!$AB$6:$AB$4003))</f>
        <v>0</v>
      </c>
      <c r="R23" s="520">
        <f t="shared" si="3"/>
        <v>0</v>
      </c>
      <c r="S23" s="520">
        <f t="shared" si="4"/>
        <v>0</v>
      </c>
      <c r="T23" s="521">
        <f t="shared" si="5"/>
        <v>0</v>
      </c>
      <c r="U23" s="456" t="str">
        <f>VLOOKUP(A23,'Diags Raw Data'!$A$6:$AH$4003,33,FALSE)</f>
        <v>N/A</v>
      </c>
      <c r="V23" s="182"/>
    </row>
    <row r="24" spans="1:22" ht="15.75" thickBot="1" x14ac:dyDescent="0.3">
      <c r="A24" s="576">
        <v>12.018999999999989</v>
      </c>
      <c r="B24" s="458" t="str">
        <f>VLOOKUP(A24,'Feature Raw Data'!$A$3:$B$3922,2,FALSE)</f>
        <v xml:space="preserve">Broadcast stores </v>
      </c>
      <c r="C24" s="459" t="str">
        <f>VLOOKUP(A24,'Feature Raw Data'!$A$3:$C$3922,3,FALSE)</f>
        <v>P1</v>
      </c>
      <c r="D24" s="460" t="str" cm="1">
        <f t="array" ref="D24">_xlfn.TEXTJOIN("",TRUE,IF(ISNUMBER(SEARCH($A24,'Diags Raw Data'!$A$6:$A$4003)),CONCATENATE('Diags Raw Data'!$H$6:$H$4003,", "),""))</f>
        <v xml:space="preserve">txi91.0-1, </v>
      </c>
      <c r="E24" s="341" t="str">
        <f>VLOOKUP(A24,'Diags Raw Data'!$A$6:$D$4003,4,FALSE)</f>
        <v>TEX</v>
      </c>
      <c r="F24" s="341" t="str">
        <f>VLOOKUP(A24,'Feature Raw Data'!$A$3:$E$3922,5,FALSE)</f>
        <v>New</v>
      </c>
      <c r="G24" s="341" t="str">
        <f t="shared" si="0"/>
        <v>Yes</v>
      </c>
      <c r="H24" s="341" t="str">
        <f t="shared" si="1"/>
        <v>Yes</v>
      </c>
      <c r="I24" s="459">
        <f>SUMIF('Diags Raw Data'!$A$6:$A$4003,"*"&amp;$A24&amp;"*",'Diags Raw Data'!$K$6:$K$4003)</f>
        <v>0</v>
      </c>
      <c r="J24" s="461">
        <f>SUMIF('Diags Raw Data'!$A$6:$A$4003,"*"&amp;$A24&amp;"*",'Diags Raw Data'!$L$6:$L$4003)</f>
        <v>0</v>
      </c>
      <c r="K24" s="513" t="e" cm="1">
        <f t="array" ref="K24">IF(D24="",0, SUMPRODUCT(--(ISNUMBER(SEARCH($A24,'Diags Raw Data'!$A$6:$A$4003))),'Diags Raw Data'!$L$6:$L$4003,'Diags Raw Data'!$N$6:$N$4003)/J24)</f>
        <v>#DIV/0!</v>
      </c>
      <c r="L24" s="514" t="e" cm="1">
        <f t="array" ref="L24">IF(D24="",0, SUMPRODUCT(--(ISNUMBER(SEARCH($A24,'Diags Raw Data'!$A$6:$A$4003))),'Diags Raw Data'!$L$6:$L$4003,'Diags Raw Data'!$P$6:$P$4003)/J24)</f>
        <v>#DIV/0!</v>
      </c>
      <c r="M24" s="515" cm="1">
        <f t="array" ref="M24">SUMPRODUCT(--(ISNUMBER(SEARCH($A24,'Diags Raw Data'!$A$6:$A$4003))),--('Diags Raw Data'!$Q$6:$Q$4003&lt;&gt;"N/A"),'Diags Raw Data'!$R$6:$R$4003)</f>
        <v>2</v>
      </c>
      <c r="N24" s="516" cm="1">
        <f t="array" ref="N24">SUMPRODUCT(--(ISNUMBER(SEARCH($A24,'Diags Raw Data'!$A$6:$A$4003))),--('Diags Raw Data'!$Q$6:$Q$4003&lt;&gt;"N/A"),'Diags Raw Data'!$T$6:$T$4003)+SUMPRODUCT(--(ISNUMBER(SEARCH($A24,'Diags Raw Data'!$A$6:$A$4003))),--('Diags Raw Data'!$Q$6:$Q$4003&lt;&gt;"N/A"),'Diags Raw Data'!$U$6:$U$4003)</f>
        <v>1</v>
      </c>
      <c r="O24" s="517">
        <f t="shared" si="2"/>
        <v>0.5</v>
      </c>
      <c r="P24" s="518">
        <f>SUMIF('Diags Raw Data'!$A$6:$A$4003,"*"&amp;$A24&amp;"*",'Diags Raw Data'!$Z$6:$Z$4003)</f>
        <v>0</v>
      </c>
      <c r="Q24" s="519">
        <f>SUM(SUMIF('Diags Raw Data'!$A$6:$A$4003,"*"&amp;$A24&amp;"*",'Diags Raw Data'!$AA$6:$AA$4003),SUMIF('Diags Raw Data'!$A$6:$A$4003,"*"&amp;$A24&amp;"*",'Diags Raw Data'!$AB$6:$AB$4003))</f>
        <v>0</v>
      </c>
      <c r="R24" s="520">
        <f t="shared" si="3"/>
        <v>0</v>
      </c>
      <c r="S24" s="520">
        <f t="shared" si="4"/>
        <v>0</v>
      </c>
      <c r="T24" s="521">
        <f t="shared" si="5"/>
        <v>0</v>
      </c>
      <c r="U24" s="456" t="str">
        <f>VLOOKUP(A24,'Diags Raw Data'!$A$6:$AH$4003,33,FALSE)</f>
        <v>WK5</v>
      </c>
      <c r="V24" s="182"/>
    </row>
    <row r="25" spans="1:22" ht="30.75" thickBot="1" x14ac:dyDescent="0.3">
      <c r="A25" s="576">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Data'!$A$6:$A$4003)),CONCATENATE('Diags Raw Data'!$H$6:$H$4003,", "),""))</f>
        <v xml:space="preserve">txi90.0-5, See 12.041, </v>
      </c>
      <c r="E25" s="341" t="str">
        <f>VLOOKUP(A25,'Diags Raw Data'!$A$6:$D$4003,4,FALSE)</f>
        <v>TEX</v>
      </c>
      <c r="F25" s="341" t="str">
        <f>VLOOKUP(A25,'Feature Raw Data'!$A$3:$E$3922,5,FALSE)</f>
        <v>New</v>
      </c>
      <c r="G25" s="341" t="str">
        <f t="shared" si="0"/>
        <v>Yes</v>
      </c>
      <c r="H25" s="341" t="str">
        <f t="shared" si="1"/>
        <v>Yes</v>
      </c>
      <c r="I25" s="459">
        <f>SUMIF('Diags Raw Data'!$A$6:$A$4003,"*"&amp;$A25&amp;"*",'Diags Raw Data'!$K$6:$K$4003)</f>
        <v>0</v>
      </c>
      <c r="J25" s="461">
        <f>SUMIF('Diags Raw Data'!$A$6:$A$4003,"*"&amp;$A25&amp;"*",'Diags Raw Data'!$L$6:$L$4003)</f>
        <v>0</v>
      </c>
      <c r="K25" s="513" t="e" cm="1">
        <f t="array" ref="K25">IF(D25="",0, SUMPRODUCT(--(ISNUMBER(SEARCH($A25,'Diags Raw Data'!$A$6:$A$4003))),'Diags Raw Data'!$L$6:$L$4003,'Diags Raw Data'!$N$6:$N$4003)/J25)</f>
        <v>#DIV/0!</v>
      </c>
      <c r="L25" s="514" t="e" cm="1">
        <f t="array" ref="L25">IF(D25="",0, SUMPRODUCT(--(ISNUMBER(SEARCH($A25,'Diags Raw Data'!$A$6:$A$4003))),'Diags Raw Data'!$L$6:$L$4003,'Diags Raw Data'!$P$6:$P$4003)/J25)</f>
        <v>#DIV/0!</v>
      </c>
      <c r="M25" s="515" cm="1">
        <f t="array" ref="M25">SUMPRODUCT(--(ISNUMBER(SEARCH($A25,'Diags Raw Data'!$A$6:$A$4003))),--('Diags Raw Data'!$Q$6:$Q$4003&lt;&gt;"N/A"),'Diags Raw Data'!$R$6:$R$4003)</f>
        <v>11</v>
      </c>
      <c r="N25" s="516" cm="1">
        <f t="array" ref="N25">SUMPRODUCT(--(ISNUMBER(SEARCH($A25,'Diags Raw Data'!$A$6:$A$4003))),--('Diags Raw Data'!$Q$6:$Q$4003&lt;&gt;"N/A"),'Diags Raw Data'!$T$6:$T$4003)+SUMPRODUCT(--(ISNUMBER(SEARCH($A25,'Diags Raw Data'!$A$6:$A$4003))),--('Diags Raw Data'!$Q$6:$Q$4003&lt;&gt;"N/A"),'Diags Raw Data'!$U$6:$U$4003)</f>
        <v>11</v>
      </c>
      <c r="O25" s="517">
        <f t="shared" si="2"/>
        <v>1</v>
      </c>
      <c r="P25" s="518">
        <f>SUMIF('Diags Raw Data'!$A$6:$A$4003,"*"&amp;$A25&amp;"*",'Diags Raw Data'!$Z$6:$Z$4003)</f>
        <v>0</v>
      </c>
      <c r="Q25" s="519">
        <f>SUM(SUMIF('Diags Raw Data'!$A$6:$A$4003,"*"&amp;$A25&amp;"*",'Diags Raw Data'!$AA$6:$AA$4003),SUMIF('Diags Raw Data'!$A$6:$A$4003,"*"&amp;$A25&amp;"*",'Diags Raw Data'!$AB$6:$AB$4003))</f>
        <v>0</v>
      </c>
      <c r="R25" s="520">
        <f t="shared" si="3"/>
        <v>0</v>
      </c>
      <c r="S25" s="520">
        <f t="shared" si="4"/>
        <v>0</v>
      </c>
      <c r="T25" s="521">
        <f t="shared" si="5"/>
        <v>0</v>
      </c>
      <c r="U25" s="456" t="str">
        <f>VLOOKUP(A25,'Diags Raw Data'!$A$6:$AH$4003,33,FALSE)</f>
        <v>WK3</v>
      </c>
      <c r="V25" s="182"/>
    </row>
    <row r="26" spans="1:22" ht="45.75" thickBot="1" x14ac:dyDescent="0.3">
      <c r="A26" s="576">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Data'!$A$6:$A$4003)),CONCATENATE('Diags Raw Data'!$H$6:$H$4003,", "),""))</f>
        <v xml:space="preserve">See 12.041, </v>
      </c>
      <c r="E26" s="341" t="str">
        <f>VLOOKUP(A26,'Diags Raw Data'!$A$6:$D$4003,4,FALSE)</f>
        <v>CMM</v>
      </c>
      <c r="F26" s="341" t="str">
        <f>VLOOKUP(A26,'Feature Raw Data'!$A$3:$E$3922,5,FALSE)</f>
        <v>New</v>
      </c>
      <c r="G26" s="341" t="str">
        <f t="shared" si="0"/>
        <v>Yes</v>
      </c>
      <c r="H26" s="341" t="str">
        <f t="shared" si="1"/>
        <v>Yes</v>
      </c>
      <c r="I26" s="459">
        <f>SUMIF('Diags Raw Data'!$A$6:$A$4003,"*"&amp;$A26&amp;"*",'Diags Raw Data'!$K$6:$K$4003)</f>
        <v>0</v>
      </c>
      <c r="J26" s="461">
        <f>SUMIF('Diags Raw Data'!$A$6:$A$4003,"*"&amp;$A26&amp;"*",'Diags Raw Data'!$L$6:$L$4003)</f>
        <v>0</v>
      </c>
      <c r="K26" s="513" t="e" cm="1">
        <f t="array" ref="K26">IF(D26="",0, SUMPRODUCT(--(ISNUMBER(SEARCH($A26,'Diags Raw Data'!$A$6:$A$4003))),'Diags Raw Data'!$L$6:$L$4003,'Diags Raw Data'!$N$6:$N$4003)/J26)</f>
        <v>#DIV/0!</v>
      </c>
      <c r="L26" s="514" t="e" cm="1">
        <f t="array" ref="L26">IF(D26="",0, SUMPRODUCT(--(ISNUMBER(SEARCH($A26,'Diags Raw Data'!$A$6:$A$4003))),'Diags Raw Data'!$L$6:$L$4003,'Diags Raw Data'!$P$6:$P$4003)/J26)</f>
        <v>#DIV/0!</v>
      </c>
      <c r="M26" s="515" cm="1">
        <f t="array" ref="M26">SUMPRODUCT(--(ISNUMBER(SEARCH($A26,'Diags Raw Data'!$A$6:$A$4003))),--('Diags Raw Data'!$Q$6:$Q$4003&lt;&gt;"N/A"),'Diags Raw Data'!$R$6:$R$4003)</f>
        <v>5</v>
      </c>
      <c r="N26" s="516" cm="1">
        <f t="array" ref="N26">SUMPRODUCT(--(ISNUMBER(SEARCH($A26,'Diags Raw Data'!$A$6:$A$4003))),--('Diags Raw Data'!$Q$6:$Q$4003&lt;&gt;"N/A"),'Diags Raw Data'!$T$6:$T$4003)+SUMPRODUCT(--(ISNUMBER(SEARCH($A26,'Diags Raw Data'!$A$6:$A$4003))),--('Diags Raw Data'!$Q$6:$Q$4003&lt;&gt;"N/A"),'Diags Raw Data'!$U$6:$U$4003)</f>
        <v>5</v>
      </c>
      <c r="O26" s="517">
        <f t="shared" si="2"/>
        <v>1</v>
      </c>
      <c r="P26" s="518">
        <f>SUMIF('Diags Raw Data'!$A$6:$A$4003,"*"&amp;$A26&amp;"*",'Diags Raw Data'!$Z$6:$Z$4003)</f>
        <v>0</v>
      </c>
      <c r="Q26" s="519">
        <f>SUM(SUMIF('Diags Raw Data'!$A$6:$A$4003,"*"&amp;$A26&amp;"*",'Diags Raw Data'!$AA$6:$AA$4003),SUMIF('Diags Raw Data'!$A$6:$A$4003,"*"&amp;$A26&amp;"*",'Diags Raw Data'!$AB$6:$AB$4003))</f>
        <v>0</v>
      </c>
      <c r="R26" s="520">
        <f t="shared" si="3"/>
        <v>0</v>
      </c>
      <c r="S26" s="520">
        <f t="shared" si="4"/>
        <v>0</v>
      </c>
      <c r="T26" s="521">
        <f t="shared" si="5"/>
        <v>0</v>
      </c>
      <c r="U26" s="456" t="str">
        <f>VLOOKUP(A26,'Diags Raw Data'!$A$6:$AH$4003,33,FALSE)</f>
        <v>WK5</v>
      </c>
      <c r="V26" s="182"/>
    </row>
    <row r="27" spans="1:22" ht="409.6" thickBot="1" x14ac:dyDescent="0.3">
      <c r="A27" s="576">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Data'!$A$6:$A$4003)),CONCATENATE('Diags Raw Data'!$H$6:$H$4003,",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v>
      </c>
      <c r="E27" s="341" t="str">
        <f>VLOOKUP(A27,'Diags Raw Data'!$A$6:$D$4003,4,FALSE)</f>
        <v>SH</v>
      </c>
      <c r="F27" s="341" t="str">
        <f>VLOOKUP(A27,'Feature Raw Data'!$A$3:$E$3922,5,FALSE)</f>
        <v>New</v>
      </c>
      <c r="G27" s="341" t="str">
        <f t="shared" si="0"/>
        <v>Yes</v>
      </c>
      <c r="H27" s="341" t="str">
        <f t="shared" si="1"/>
        <v>Yes</v>
      </c>
      <c r="I27" s="459">
        <f>SUMIF('Diags Raw Data'!$A$6:$A$4003,"*"&amp;$A27&amp;"*",'Diags Raw Data'!$K$6:$K$4003)</f>
        <v>0</v>
      </c>
      <c r="J27" s="461">
        <f>SUMIF('Diags Raw Data'!$A$6:$A$4003,"*"&amp;$A27&amp;"*",'Diags Raw Data'!$L$6:$L$4003)</f>
        <v>0</v>
      </c>
      <c r="K27" s="513" t="e" cm="1">
        <f t="array" ref="K27">IF(D27="",0, SUMPRODUCT(--(ISNUMBER(SEARCH($A27,'Diags Raw Data'!$A$6:$A$4003))),'Diags Raw Data'!$L$6:$L$4003,'Diags Raw Data'!$N$6:$N$4003)/J27)</f>
        <v>#DIV/0!</v>
      </c>
      <c r="L27" s="514" t="e" cm="1">
        <f t="array" ref="L27">IF(D27="",0, SUMPRODUCT(--(ISNUMBER(SEARCH($A27,'Diags Raw Data'!$A$6:$A$4003))),'Diags Raw Data'!$L$6:$L$4003,'Diags Raw Data'!$P$6:$P$4003)/J27)</f>
        <v>#DIV/0!</v>
      </c>
      <c r="M27" s="515" cm="1">
        <f t="array" ref="M27">SUMPRODUCT(--(ISNUMBER(SEARCH($A27,'Diags Raw Data'!$A$6:$A$4003))),--('Diags Raw Data'!$Q$6:$Q$4003&lt;&gt;"N/A"),'Diags Raw Data'!$R$6:$R$4003)</f>
        <v>23</v>
      </c>
      <c r="N27" s="516" cm="1">
        <f t="array" ref="N27">SUMPRODUCT(--(ISNUMBER(SEARCH($A27,'Diags Raw Data'!$A$6:$A$4003))),--('Diags Raw Data'!$Q$6:$Q$4003&lt;&gt;"N/A"),'Diags Raw Data'!$T$6:$T$4003)+SUMPRODUCT(--(ISNUMBER(SEARCH($A27,'Diags Raw Data'!$A$6:$A$4003))),--('Diags Raw Data'!$Q$6:$Q$4003&lt;&gt;"N/A"),'Diags Raw Data'!$U$6:$U$4003)</f>
        <v>22</v>
      </c>
      <c r="O27" s="517">
        <f t="shared" si="2"/>
        <v>0.95652173913043481</v>
      </c>
      <c r="P27" s="518">
        <f>SUMIF('Diags Raw Data'!$A$6:$A$4003,"*"&amp;$A27&amp;"*",'Diags Raw Data'!$Z$6:$Z$4003)</f>
        <v>0</v>
      </c>
      <c r="Q27" s="519">
        <f>SUM(SUMIF('Diags Raw Data'!$A$6:$A$4003,"*"&amp;$A27&amp;"*",'Diags Raw Data'!$AA$6:$AA$4003),SUMIF('Diags Raw Data'!$A$6:$A$4003,"*"&amp;$A27&amp;"*",'Diags Raw Data'!$AB$6:$AB$4003))</f>
        <v>0</v>
      </c>
      <c r="R27" s="520">
        <f t="shared" si="3"/>
        <v>0</v>
      </c>
      <c r="S27" s="520">
        <f t="shared" si="4"/>
        <v>0</v>
      </c>
      <c r="T27" s="521">
        <f t="shared" si="5"/>
        <v>0</v>
      </c>
      <c r="U27" s="456" t="str">
        <f>VLOOKUP(A27,'Diags Raw Data'!$A$6:$AH$4003,33,FALSE)</f>
        <v>WK5</v>
      </c>
      <c r="V27" s="182"/>
    </row>
    <row r="28" spans="1:22" ht="75.75" thickBot="1" x14ac:dyDescent="0.3">
      <c r="A28" s="576">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Data'!$A$6:$A$4003)),CONCATENATE('Diags Raw Data'!$H$6:$H$4003,", "),""))</f>
        <v xml:space="preserve">ppi302.3,ppi302.5, </v>
      </c>
      <c r="E28" s="341" t="str">
        <f>VLOOKUP(A28,'Diags Raw Data'!$A$6:$D$4003,4,FALSE)</f>
        <v>PP</v>
      </c>
      <c r="F28" s="341" t="str">
        <f>VLOOKUP(A28,'Feature Raw Data'!$A$3:$E$3922,5,FALSE)</f>
        <v>New</v>
      </c>
      <c r="G28" s="341" t="str">
        <f t="shared" si="0"/>
        <v>Yes</v>
      </c>
      <c r="H28" s="341" t="str">
        <f t="shared" si="1"/>
        <v>Yes</v>
      </c>
      <c r="I28" s="459">
        <f>SUMIF('Diags Raw Data'!$A$6:$A$4003,"*"&amp;$A28&amp;"*",'Diags Raw Data'!$K$6:$K$4003)</f>
        <v>0</v>
      </c>
      <c r="J28" s="461">
        <f>SUMIF('Diags Raw Data'!$A$6:$A$4003,"*"&amp;$A28&amp;"*",'Diags Raw Data'!$L$6:$L$4003)</f>
        <v>0</v>
      </c>
      <c r="K28" s="513" t="e" cm="1">
        <f t="array" ref="K28">IF(D28="",0, SUMPRODUCT(--(ISNUMBER(SEARCH($A28,'Diags Raw Data'!$A$6:$A$4003))),'Diags Raw Data'!$L$6:$L$4003,'Diags Raw Data'!$N$6:$N$4003)/J28)</f>
        <v>#DIV/0!</v>
      </c>
      <c r="L28" s="514" t="e" cm="1">
        <f t="array" ref="L28">IF(D28="",0, SUMPRODUCT(--(ISNUMBER(SEARCH($A28,'Diags Raw Data'!$A$6:$A$4003))),'Diags Raw Data'!$L$6:$L$4003,'Diags Raw Data'!$P$6:$P$4003)/J28)</f>
        <v>#DIV/0!</v>
      </c>
      <c r="M28" s="515" cm="1">
        <f t="array" ref="M28">SUMPRODUCT(--(ISNUMBER(SEARCH($A28,'Diags Raw Data'!$A$6:$A$4003))),--('Diags Raw Data'!$Q$6:$Q$4003&lt;&gt;"N/A"),'Diags Raw Data'!$R$6:$R$4003)</f>
        <v>2</v>
      </c>
      <c r="N28" s="516" cm="1">
        <f t="array" ref="N28">SUMPRODUCT(--(ISNUMBER(SEARCH($A28,'Diags Raw Data'!$A$6:$A$4003))),--('Diags Raw Data'!$Q$6:$Q$4003&lt;&gt;"N/A"),'Diags Raw Data'!$T$6:$T$4003)+SUMPRODUCT(--(ISNUMBER(SEARCH($A28,'Diags Raw Data'!$A$6:$A$4003))),--('Diags Raw Data'!$Q$6:$Q$4003&lt;&gt;"N/A"),'Diags Raw Data'!$U$6:$U$4003)</f>
        <v>2</v>
      </c>
      <c r="O28" s="517">
        <f t="shared" si="2"/>
        <v>1</v>
      </c>
      <c r="P28" s="518">
        <f>SUMIF('Diags Raw Data'!$A$6:$A$4003,"*"&amp;$A28&amp;"*",'Diags Raw Data'!$Z$6:$Z$4003)</f>
        <v>0</v>
      </c>
      <c r="Q28" s="519">
        <f>SUM(SUMIF('Diags Raw Data'!$A$6:$A$4003,"*"&amp;$A28&amp;"*",'Diags Raw Data'!$AA$6:$AA$4003),SUMIF('Diags Raw Data'!$A$6:$A$4003,"*"&amp;$A28&amp;"*",'Diags Raw Data'!$AB$6:$AB$4003))</f>
        <v>0</v>
      </c>
      <c r="R28" s="520">
        <f t="shared" si="3"/>
        <v>0</v>
      </c>
      <c r="S28" s="520">
        <f t="shared" si="4"/>
        <v>0</v>
      </c>
      <c r="T28" s="521">
        <f t="shared" si="5"/>
        <v>0</v>
      </c>
      <c r="U28" s="456" t="str">
        <f>VLOOKUP(A28,'Diags Raw Data'!$A$6:$AH$4003,33,FALSE)</f>
        <v>WK3</v>
      </c>
      <c r="V28" s="182"/>
    </row>
    <row r="29" spans="1:22" ht="30.75" thickBot="1" x14ac:dyDescent="0.3">
      <c r="A29" s="576">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Data'!$A$6:$A$4003)),CONCATENATE('Diags Raw Data'!$H$6:$H$4003,", "),""))</f>
        <v xml:space="preserve">placeholder_q.1, </v>
      </c>
      <c r="E29" s="341" t="str">
        <f>VLOOKUP(A29,'Diags Raw Data'!$A$6:$D$4003,4,FALSE)</f>
        <v>TEX</v>
      </c>
      <c r="F29" s="341" t="str">
        <f>VLOOKUP(A29,'Feature Raw Data'!$A$3:$E$3922,5,FALSE)</f>
        <v>New</v>
      </c>
      <c r="G29" s="341" t="str">
        <f t="shared" si="0"/>
        <v>Yes</v>
      </c>
      <c r="H29" s="341" t="str">
        <f t="shared" si="1"/>
        <v>Yes</v>
      </c>
      <c r="I29" s="459">
        <f>SUMIF('Diags Raw Data'!$A$6:$A$4003,"*"&amp;$A29&amp;"*",'Diags Raw Data'!$K$6:$K$4003)</f>
        <v>0</v>
      </c>
      <c r="J29" s="461">
        <f>SUMIF('Diags Raw Data'!$A$6:$A$4003,"*"&amp;$A29&amp;"*",'Diags Raw Data'!$L$6:$L$4003)</f>
        <v>0</v>
      </c>
      <c r="K29" s="513" t="e" cm="1">
        <f t="array" ref="K29">IF(D29="",0, SUMPRODUCT(--(ISNUMBER(SEARCH($A29,'Diags Raw Data'!$A$6:$A$4003))),'Diags Raw Data'!$L$6:$L$4003,'Diags Raw Data'!$N$6:$N$4003)/J29)</f>
        <v>#DIV/0!</v>
      </c>
      <c r="L29" s="514" t="e" cm="1">
        <f t="array" ref="L29">IF(D29="",0, SUMPRODUCT(--(ISNUMBER(SEARCH($A29,'Diags Raw Data'!$A$6:$A$4003))),'Diags Raw Data'!$L$6:$L$4003,'Diags Raw Data'!$P$6:$P$4003)/J29)</f>
        <v>#DIV/0!</v>
      </c>
      <c r="M29" s="515" cm="1">
        <f t="array" ref="M29">SUMPRODUCT(--(ISNUMBER(SEARCH($A29,'Diags Raw Data'!$A$6:$A$4003))),--('Diags Raw Data'!$Q$6:$Q$4003&lt;&gt;"N/A"),'Diags Raw Data'!$R$6:$R$4003)</f>
        <v>1</v>
      </c>
      <c r="N29" s="516" cm="1">
        <f t="array" ref="N29">SUMPRODUCT(--(ISNUMBER(SEARCH($A29,'Diags Raw Data'!$A$6:$A$4003))),--('Diags Raw Data'!$Q$6:$Q$4003&lt;&gt;"N/A"),'Diags Raw Data'!$T$6:$T$4003)+SUMPRODUCT(--(ISNUMBER(SEARCH($A29,'Diags Raw Data'!$A$6:$A$4003))),--('Diags Raw Data'!$Q$6:$Q$4003&lt;&gt;"N/A"),'Diags Raw Data'!$U$6:$U$4003)</f>
        <v>0</v>
      </c>
      <c r="O29" s="517">
        <f t="shared" si="2"/>
        <v>0</v>
      </c>
      <c r="P29" s="518">
        <f>SUMIF('Diags Raw Data'!$A$6:$A$4003,"*"&amp;$A29&amp;"*",'Diags Raw Data'!$Z$6:$Z$4003)</f>
        <v>0</v>
      </c>
      <c r="Q29" s="519">
        <f>SUM(SUMIF('Diags Raw Data'!$A$6:$A$4003,"*"&amp;$A29&amp;"*",'Diags Raw Data'!$AA$6:$AA$4003),SUMIF('Diags Raw Data'!$A$6:$A$4003,"*"&amp;$A29&amp;"*",'Diags Raw Data'!$AB$6:$AB$4003))</f>
        <v>0</v>
      </c>
      <c r="R29" s="520">
        <f t="shared" si="3"/>
        <v>0</v>
      </c>
      <c r="S29" s="520">
        <f t="shared" si="4"/>
        <v>0</v>
      </c>
      <c r="T29" s="521">
        <f t="shared" si="5"/>
        <v>0</v>
      </c>
      <c r="U29" s="456" t="str">
        <f>VLOOKUP(A29,'Diags Raw Data'!$A$6:$AH$4003,33,FALSE)</f>
        <v>WK9</v>
      </c>
      <c r="V29" s="182"/>
    </row>
    <row r="30" spans="1:22" ht="30.75" thickBot="1" x14ac:dyDescent="0.3">
      <c r="A30" s="576">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Data'!$A$6:$A$4003)),CONCATENATE('Diags Raw Data'!$H$6:$H$4003,", "),""))</f>
        <v xml:space="preserve">N/A, </v>
      </c>
      <c r="E30" s="341" t="str">
        <f>VLOOKUP(A30,'Diags Raw Data'!$A$6:$D$4003,4,FALSE)</f>
        <v>TEX</v>
      </c>
      <c r="F30" s="341" t="str">
        <f>VLOOKUP(A30,'Feature Raw Data'!$A$3:$E$3922,5,FALSE)</f>
        <v>New</v>
      </c>
      <c r="G30" s="341" t="str">
        <f t="shared" si="0"/>
        <v>No</v>
      </c>
      <c r="H30" s="341" t="str">
        <f t="shared" si="1"/>
        <v>No</v>
      </c>
      <c r="I30" s="459">
        <f>SUMIF('Diags Raw Data'!$A$6:$A$4003,"*"&amp;$A30&amp;"*",'Diags Raw Data'!$K$6:$K$4003)</f>
        <v>0</v>
      </c>
      <c r="J30" s="461">
        <f>SUMIF('Diags Raw Data'!$A$6:$A$4003,"*"&amp;$A30&amp;"*",'Diags Raw Data'!$L$6:$L$4003)</f>
        <v>0</v>
      </c>
      <c r="K30" s="513" t="e" cm="1">
        <f t="array" ref="K30">IF(D30="",0, SUMPRODUCT(--(ISNUMBER(SEARCH($A30,'Diags Raw Data'!$A$6:$A$4003))),'Diags Raw Data'!$L$6:$L$4003,'Diags Raw Data'!$N$6:$N$4003)/J30)</f>
        <v>#DIV/0!</v>
      </c>
      <c r="L30" s="514" t="e" cm="1">
        <f t="array" ref="L30">IF(D30="",0, SUMPRODUCT(--(ISNUMBER(SEARCH($A30,'Diags Raw Data'!$A$6:$A$4003))),'Diags Raw Data'!$L$6:$L$4003,'Diags Raw Data'!$P$6:$P$4003)/J30)</f>
        <v>#DIV/0!</v>
      </c>
      <c r="M30" s="515" cm="1">
        <f t="array" ref="M30">SUMPRODUCT(--(ISNUMBER(SEARCH($A30,'Diags Raw Data'!$A$6:$A$4003))),--('Diags Raw Data'!$Q$6:$Q$4003&lt;&gt;"N/A"),'Diags Raw Data'!$R$6:$R$4003)</f>
        <v>0</v>
      </c>
      <c r="N30" s="516" cm="1">
        <f t="array" ref="N30">SUMPRODUCT(--(ISNUMBER(SEARCH($A30,'Diags Raw Data'!$A$6:$A$4003))),--('Diags Raw Data'!$Q$6:$Q$4003&lt;&gt;"N/A"),'Diags Raw Data'!$T$6:$T$4003)+SUMPRODUCT(--(ISNUMBER(SEARCH($A30,'Diags Raw Data'!$A$6:$A$4003))),--('Diags Raw Data'!$Q$6:$Q$4003&lt;&gt;"N/A"),'Diags Raw Data'!$U$6:$U$4003)</f>
        <v>0</v>
      </c>
      <c r="O30" s="517">
        <f>IF((M30=0),0,N30/M30)</f>
        <v>0</v>
      </c>
      <c r="P30" s="518">
        <f>SUMIF('Diags Raw Data'!$A$6:$A$4003,"*"&amp;$A30&amp;"*",'Diags Raw Data'!$Z$6:$Z$4003)</f>
        <v>0</v>
      </c>
      <c r="Q30" s="519">
        <f>SUM(SUMIF('Diags Raw Data'!$A$6:$A$4003,"*"&amp;$A30&amp;"*",'Diags Raw Data'!$AA$6:$AA$4003),SUMIF('Diags Raw Data'!$A$6:$A$4003,"*"&amp;$A30&amp;"*",'Diags Raw Data'!$AB$6:$AB$4003))</f>
        <v>0</v>
      </c>
      <c r="R30" s="520">
        <f>IF((J30=0),0,P30/J30)</f>
        <v>0</v>
      </c>
      <c r="S30" s="520">
        <f>IF((P30=0),0,Q30/P30)</f>
        <v>0</v>
      </c>
      <c r="T30" s="521">
        <f>R30*S30</f>
        <v>0</v>
      </c>
      <c r="U30" s="456" t="str">
        <f>VLOOKUP(A30,'Diags Raw Data'!$A$6:$AH$4003,33,FALSE)</f>
        <v>N/A</v>
      </c>
      <c r="V30" s="182"/>
    </row>
    <row r="31" spans="1:22" ht="30.75" thickBot="1" x14ac:dyDescent="0.3">
      <c r="A31" s="576">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Data'!$A$6:$A$4003)),CONCATENATE('Diags Raw Data'!$H$6:$H$4003,", "),""))</f>
        <v xml:space="preserve">rt1.320, </v>
      </c>
      <c r="E31" s="341" t="str">
        <f>VLOOKUP(A31,'Diags Raw Data'!$A$6:$D$4003,4,FALSE)</f>
        <v>TEX</v>
      </c>
      <c r="F31" s="341" t="str">
        <f>VLOOKUP(A31,'Feature Raw Data'!$A$3:$E$3922,5,FALSE)</f>
        <v>New</v>
      </c>
      <c r="G31" s="341" t="str">
        <f t="shared" si="0"/>
        <v>Yes</v>
      </c>
      <c r="H31" s="341" t="str">
        <f t="shared" si="1"/>
        <v>Yes</v>
      </c>
      <c r="I31" s="459">
        <f>SUMIF('Diags Raw Data'!$A$6:$A$4003,"*"&amp;$A31&amp;"*",'Diags Raw Data'!$K$6:$K$4003)</f>
        <v>0</v>
      </c>
      <c r="J31" s="461">
        <f>SUMIF('Diags Raw Data'!$A$6:$A$4003,"*"&amp;$A31&amp;"*",'Diags Raw Data'!$L$6:$L$4003)</f>
        <v>0</v>
      </c>
      <c r="K31" s="513" t="e" cm="1">
        <f t="array" ref="K31">IF(D31="",0, SUMPRODUCT(--(ISNUMBER(SEARCH($A31,'Diags Raw Data'!$A$6:$A$4003))),'Diags Raw Data'!$L$6:$L$4003,'Diags Raw Data'!$N$6:$N$4003)/J31)</f>
        <v>#DIV/0!</v>
      </c>
      <c r="L31" s="514" t="e" cm="1">
        <f t="array" ref="L31">IF(D31="",0, SUMPRODUCT(--(ISNUMBER(SEARCH($A31,'Diags Raw Data'!$A$6:$A$4003))),'Diags Raw Data'!$L$6:$L$4003,'Diags Raw Data'!$P$6:$P$4003)/J31)</f>
        <v>#DIV/0!</v>
      </c>
      <c r="M31" s="515" cm="1">
        <f t="array" ref="M31">SUMPRODUCT(--(ISNUMBER(SEARCH($A31,'Diags Raw Data'!$A$6:$A$4003))),--('Diags Raw Data'!$Q$6:$Q$4003&lt;&gt;"N/A"),'Diags Raw Data'!$R$6:$R$4003)</f>
        <v>1</v>
      </c>
      <c r="N31" s="516" cm="1">
        <f t="array" ref="N31">SUMPRODUCT(--(ISNUMBER(SEARCH($A31,'Diags Raw Data'!$A$6:$A$4003))),--('Diags Raw Data'!$Q$6:$Q$4003&lt;&gt;"N/A"),'Diags Raw Data'!$T$6:$T$4003)+SUMPRODUCT(--(ISNUMBER(SEARCH($A31,'Diags Raw Data'!$A$6:$A$4003))),--('Diags Raw Data'!$Q$6:$Q$4003&lt;&gt;"N/A"),'Diags Raw Data'!$U$6:$U$4003)</f>
        <v>1</v>
      </c>
      <c r="O31" s="517">
        <f t="shared" si="2"/>
        <v>1</v>
      </c>
      <c r="P31" s="518">
        <f>SUMIF('Diags Raw Data'!$A$6:$A$4003,"*"&amp;$A31&amp;"*",'Diags Raw Data'!$Z$6:$Z$4003)</f>
        <v>0</v>
      </c>
      <c r="Q31" s="519">
        <f>SUM(SUMIF('Diags Raw Data'!$A$6:$A$4003,"*"&amp;$A31&amp;"*",'Diags Raw Data'!$AA$6:$AA$4003),SUMIF('Diags Raw Data'!$A$6:$A$4003,"*"&amp;$A31&amp;"*",'Diags Raw Data'!$AB$6:$AB$4003))</f>
        <v>0</v>
      </c>
      <c r="R31" s="520">
        <f t="shared" si="3"/>
        <v>0</v>
      </c>
      <c r="S31" s="520">
        <f t="shared" si="4"/>
        <v>0</v>
      </c>
      <c r="T31" s="521">
        <f t="shared" si="5"/>
        <v>0</v>
      </c>
      <c r="U31" s="456" t="str">
        <f>VLOOKUP(A31,'Diags Raw Data'!$A$6:$AH$4003,33,FALSE)</f>
        <v>WK2</v>
      </c>
      <c r="V31" s="182"/>
    </row>
    <row r="32" spans="1:22" ht="15.75" thickBot="1" x14ac:dyDescent="0.3">
      <c r="A32" s="576">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Data'!$A$6:$A$4003)),CONCATENATE('Diags Raw Data'!$H$6:$H$4003,", "),""))</f>
        <v xml:space="preserve">rt1.330, </v>
      </c>
      <c r="E32" s="341" t="str">
        <f>VLOOKUP(A32,'Diags Raw Data'!$A$6:$D$4003,4,FALSE)</f>
        <v>TEX</v>
      </c>
      <c r="F32" s="341" t="str">
        <f>VLOOKUP(A32,'Feature Raw Data'!$A$3:$E$3922,5,FALSE)</f>
        <v>New</v>
      </c>
      <c r="G32" s="341" t="str">
        <f t="shared" si="0"/>
        <v>Yes</v>
      </c>
      <c r="H32" s="341" t="str">
        <f t="shared" si="1"/>
        <v>Yes</v>
      </c>
      <c r="I32" s="459">
        <f>SUMIF('Diags Raw Data'!$A$6:$A$4003,"*"&amp;$A32&amp;"*",'Diags Raw Data'!$K$6:$K$4003)</f>
        <v>0</v>
      </c>
      <c r="J32" s="461">
        <f>SUMIF('Diags Raw Data'!$A$6:$A$4003,"*"&amp;$A32&amp;"*",'Diags Raw Data'!$L$6:$L$4003)</f>
        <v>0</v>
      </c>
      <c r="K32" s="513" t="e" cm="1">
        <f t="array" ref="K32">IF(D32="",0, SUMPRODUCT(--(ISNUMBER(SEARCH($A32,'Diags Raw Data'!$A$6:$A$4003))),'Diags Raw Data'!$L$6:$L$4003,'Diags Raw Data'!$N$6:$N$4003)/J32)</f>
        <v>#DIV/0!</v>
      </c>
      <c r="L32" s="514" t="e" cm="1">
        <f t="array" ref="L32">IF(D32="",0, SUMPRODUCT(--(ISNUMBER(SEARCH($A32,'Diags Raw Data'!$A$6:$A$4003))),'Diags Raw Data'!$L$6:$L$4003,'Diags Raw Data'!$P$6:$P$4003)/J32)</f>
        <v>#DIV/0!</v>
      </c>
      <c r="M32" s="515" cm="1">
        <f t="array" ref="M32">SUMPRODUCT(--(ISNUMBER(SEARCH($A32,'Diags Raw Data'!$A$6:$A$4003))),--('Diags Raw Data'!$Q$6:$Q$4003&lt;&gt;"N/A"),'Diags Raw Data'!$R$6:$R$4003)</f>
        <v>1</v>
      </c>
      <c r="N32" s="516" cm="1">
        <f t="array" ref="N32">SUMPRODUCT(--(ISNUMBER(SEARCH($A32,'Diags Raw Data'!$A$6:$A$4003))),--('Diags Raw Data'!$Q$6:$Q$4003&lt;&gt;"N/A"),'Diags Raw Data'!$T$6:$T$4003)+SUMPRODUCT(--(ISNUMBER(SEARCH($A32,'Diags Raw Data'!$A$6:$A$4003))),--('Diags Raw Data'!$Q$6:$Q$4003&lt;&gt;"N/A"),'Diags Raw Data'!$U$6:$U$4003)</f>
        <v>1</v>
      </c>
      <c r="O32" s="517">
        <f t="shared" si="2"/>
        <v>1</v>
      </c>
      <c r="P32" s="518">
        <f>SUMIF('Diags Raw Data'!$A$6:$A$4003,"*"&amp;$A32&amp;"*",'Diags Raw Data'!$Z$6:$Z$4003)</f>
        <v>0</v>
      </c>
      <c r="Q32" s="519">
        <f>SUM(SUMIF('Diags Raw Data'!$A$6:$A$4003,"*"&amp;$A32&amp;"*",'Diags Raw Data'!$AA$6:$AA$4003),SUMIF('Diags Raw Data'!$A$6:$A$4003,"*"&amp;$A32&amp;"*",'Diags Raw Data'!$AB$6:$AB$4003))</f>
        <v>0</v>
      </c>
      <c r="R32" s="520">
        <f t="shared" si="3"/>
        <v>0</v>
      </c>
      <c r="S32" s="520">
        <f t="shared" si="4"/>
        <v>0</v>
      </c>
      <c r="T32" s="521">
        <f t="shared" si="5"/>
        <v>0</v>
      </c>
      <c r="U32" s="456" t="str">
        <f>VLOOKUP(A32,'Diags Raw Data'!$A$6:$AH$4003,33,FALSE)</f>
        <v>WK3</v>
      </c>
      <c r="V32" s="182"/>
    </row>
    <row r="33" spans="1:22" ht="240.75" thickBot="1" x14ac:dyDescent="0.3">
      <c r="A33" s="576">
        <v>12.039999999999978</v>
      </c>
      <c r="B33" s="458" t="str">
        <f>VLOOKUP(A33,'Feature Raw Data'!$A$3:$B$3922,2,FALSE)</f>
        <v xml:space="preserve">64B RT node </v>
      </c>
      <c r="C33" s="459" t="str">
        <f>VLOOKUP(A33,'Feature Raw Data'!$A$3:$C$3922,3,FALSE)</f>
        <v>P1</v>
      </c>
      <c r="D33" s="460" t="str" cm="1">
        <f t="array" ref="D33">_xlfn.TEXTJOIN("",TRUE,IF(ISNUMBER(SEARCH($A33,'Diags Raw Data'!$A$6:$A$4003)),CONCATENATE('Diags Raw Data'!$H$6:$H$4003,", "),""))</f>
        <v xml:space="preserve">rt1.302, gfx.cmm_sa_policy_monolithic_gfx12.1-23, gfx.cmm_cp_access_order_monolithic
gfx.cmm_sa_gl2_access_order_monolithic 
gfx.cmm_sa_gl2_same_address_monolithic, gfx.cmm_cp_access_order_monolithic
gfx.cmm_sa_gl2_access_order_monolithic 
gfx.cmm_sa_gl2_same_address_monolithic, placeholder_m, placeholder_d.1, placeholder_e.1, </v>
      </c>
      <c r="E33" s="341" t="str">
        <f>VLOOKUP(A33,'Diags Raw Data'!$A$6:$D$4003,4,FALSE)</f>
        <v>TEX</v>
      </c>
      <c r="F33" s="341" t="str">
        <f>VLOOKUP(A33,'Feature Raw Data'!$A$3:$E$3922,5,FALSE)</f>
        <v>New</v>
      </c>
      <c r="G33" s="341" t="str">
        <f t="shared" si="0"/>
        <v>Yes</v>
      </c>
      <c r="H33" s="341" t="str">
        <f t="shared" si="1"/>
        <v>Yes</v>
      </c>
      <c r="I33" s="459">
        <f>SUMIF('Diags Raw Data'!$A$6:$A$4003,"*"&amp;$A33&amp;"*",'Diags Raw Data'!$K$6:$K$4003)</f>
        <v>0</v>
      </c>
      <c r="J33" s="461">
        <f>SUMIF('Diags Raw Data'!$A$6:$A$4003,"*"&amp;$A33&amp;"*",'Diags Raw Data'!$L$6:$L$4003)</f>
        <v>0</v>
      </c>
      <c r="K33" s="513" t="e" cm="1">
        <f t="array" ref="K33">IF(D33="",0, SUMPRODUCT(--(ISNUMBER(SEARCH($A33,'Diags Raw Data'!$A$6:$A$4003))),'Diags Raw Data'!$L$6:$L$4003,'Diags Raw Data'!$N$6:$N$4003)/J33)</f>
        <v>#DIV/0!</v>
      </c>
      <c r="L33" s="514" t="e" cm="1">
        <f t="array" ref="L33">IF(D33="",0, SUMPRODUCT(--(ISNUMBER(SEARCH($A33,'Diags Raw Data'!$A$6:$A$4003))),'Diags Raw Data'!$L$6:$L$4003,'Diags Raw Data'!$P$6:$P$4003)/J33)</f>
        <v>#DIV/0!</v>
      </c>
      <c r="M33" s="515" cm="1">
        <f t="array" ref="M33">SUMPRODUCT(--(ISNUMBER(SEARCH($A33,'Diags Raw Data'!$A$6:$A$4003))),--('Diags Raw Data'!$Q$6:$Q$4003&lt;&gt;"N/A"),'Diags Raw Data'!$R$6:$R$4003)</f>
        <v>24</v>
      </c>
      <c r="N33" s="516" cm="1">
        <f t="array" ref="N33">SUMPRODUCT(--(ISNUMBER(SEARCH($A33,'Diags Raw Data'!$A$6:$A$4003))),--('Diags Raw Data'!$Q$6:$Q$4003&lt;&gt;"N/A"),'Diags Raw Data'!$T$6:$T$4003)+SUMPRODUCT(--(ISNUMBER(SEARCH($A33,'Diags Raw Data'!$A$6:$A$4003))),--('Diags Raw Data'!$Q$6:$Q$4003&lt;&gt;"N/A"),'Diags Raw Data'!$U$6:$U$4003)</f>
        <v>21</v>
      </c>
      <c r="O33" s="517">
        <f t="shared" si="2"/>
        <v>0.875</v>
      </c>
      <c r="P33" s="518">
        <f>SUMIF('Diags Raw Data'!$A$6:$A$4003,"*"&amp;$A33&amp;"*",'Diags Raw Data'!$Z$6:$Z$4003)</f>
        <v>0</v>
      </c>
      <c r="Q33" s="519">
        <f>SUM(SUMIF('Diags Raw Data'!$A$6:$A$4003,"*"&amp;$A33&amp;"*",'Diags Raw Data'!$AA$6:$AA$4003),SUMIF('Diags Raw Data'!$A$6:$A$4003,"*"&amp;$A33&amp;"*",'Diags Raw Data'!$AB$6:$AB$4003))</f>
        <v>0</v>
      </c>
      <c r="R33" s="520">
        <f t="shared" si="3"/>
        <v>0</v>
      </c>
      <c r="S33" s="520">
        <f t="shared" si="4"/>
        <v>0</v>
      </c>
      <c r="T33" s="521">
        <f t="shared" si="5"/>
        <v>0</v>
      </c>
      <c r="U33" s="456" t="str">
        <f>VLOOKUP(A33,'Diags Raw Data'!$A$6:$AH$4003,33,FALSE)</f>
        <v>WK2</v>
      </c>
      <c r="V33" s="182"/>
    </row>
    <row r="34" spans="1:22" ht="30.75" thickBot="1" x14ac:dyDescent="0.3">
      <c r="A34" s="576">
        <v>12.041</v>
      </c>
      <c r="B34" s="458" t="str">
        <f>VLOOKUP(A34,'Feature Raw Data'!$A$3:$B$3922,2,FALSE)</f>
        <v>New GL2 policies (same/child of 12.027)</v>
      </c>
      <c r="C34" s="459" t="str">
        <f>VLOOKUP(A34,'Feature Raw Data'!$A$3:$C$3922,3,FALSE)</f>
        <v>P1</v>
      </c>
      <c r="D34" s="460" t="str" cm="1">
        <f t="array" ref="D34">_xlfn.TEXTJOIN("",TRUE,IF(ISNUMBER(SEARCH($A34,'Diags Raw Data'!$A$6:$A$4003)),CONCATENATE('Diags Raw Data'!$H$6:$H$4003,", "),""))</f>
        <v xml:space="preserve">gfx.cmm_sa_policy_monolithic_gfx12.1-23, </v>
      </c>
      <c r="E34" s="341" t="str">
        <f>VLOOKUP(A34,'Diags Raw Data'!$A$6:$D$4003,4,FALSE)</f>
        <v>CMM</v>
      </c>
      <c r="F34" s="341" t="str">
        <f>VLOOKUP(A34,'Feature Raw Data'!$A$3:$E$3922,5,FALSE)</f>
        <v>New</v>
      </c>
      <c r="G34" s="341" t="str">
        <f t="shared" si="0"/>
        <v>Yes</v>
      </c>
      <c r="H34" s="341" t="str">
        <f t="shared" si="1"/>
        <v>Yes</v>
      </c>
      <c r="I34" s="459">
        <f>SUMIF('Diags Raw Data'!$A$6:$A$4003,"*"&amp;$A34&amp;"*",'Diags Raw Data'!$K$6:$K$4003)</f>
        <v>0</v>
      </c>
      <c r="J34" s="461">
        <f>SUMIF('Diags Raw Data'!$A$6:$A$4003,"*"&amp;$A34&amp;"*",'Diags Raw Data'!$L$6:$L$4003)</f>
        <v>0</v>
      </c>
      <c r="K34" s="513" t="e" cm="1">
        <f t="array" ref="K34">IF(D34="",0, SUMPRODUCT(--(ISNUMBER(SEARCH($A34,'Diags Raw Data'!$A$6:$A$4003))),'Diags Raw Data'!$L$6:$L$4003,'Diags Raw Data'!$N$6:$N$4003)/J34)</f>
        <v>#DIV/0!</v>
      </c>
      <c r="L34" s="514" t="e" cm="1">
        <f t="array" ref="L34">IF(D34="",0, SUMPRODUCT(--(ISNUMBER(SEARCH($A34,'Diags Raw Data'!$A$6:$A$4003))),'Diags Raw Data'!$L$6:$L$4003,'Diags Raw Data'!$P$6:$P$4003)/J34)</f>
        <v>#DIV/0!</v>
      </c>
      <c r="M34" s="515" cm="1">
        <f t="array" ref="M34">SUMPRODUCT(--(ISNUMBER(SEARCH($A34,'Diags Raw Data'!$A$6:$A$4003))),--('Diags Raw Data'!$Q$6:$Q$4003&lt;&gt;"N/A"),'Diags Raw Data'!$R$6:$R$4003)</f>
        <v>18</v>
      </c>
      <c r="N34" s="516" cm="1">
        <f t="array" ref="N34">SUMPRODUCT(--(ISNUMBER(SEARCH($A34,'Diags Raw Data'!$A$6:$A$4003))),--('Diags Raw Data'!$Q$6:$Q$4003&lt;&gt;"N/A"),'Diags Raw Data'!$T$6:$T$4003)+SUMPRODUCT(--(ISNUMBER(SEARCH($A34,'Diags Raw Data'!$A$6:$A$4003))),--('Diags Raw Data'!$Q$6:$Q$4003&lt;&gt;"N/A"),'Diags Raw Data'!$U$6:$U$4003)</f>
        <v>18</v>
      </c>
      <c r="O34" s="517">
        <f t="shared" si="2"/>
        <v>1</v>
      </c>
      <c r="P34" s="518">
        <f>SUMIF('Diags Raw Data'!$A$6:$A$4003,"*"&amp;$A34&amp;"*",'Diags Raw Data'!$Z$6:$Z$4003)</f>
        <v>0</v>
      </c>
      <c r="Q34" s="519">
        <f>SUM(SUMIF('Diags Raw Data'!$A$6:$A$4003,"*"&amp;$A34&amp;"*",'Diags Raw Data'!$AA$6:$AA$4003),SUMIF('Diags Raw Data'!$A$6:$A$4003,"*"&amp;$A34&amp;"*",'Diags Raw Data'!$AB$6:$AB$4003))</f>
        <v>0</v>
      </c>
      <c r="R34" s="520">
        <f t="shared" si="3"/>
        <v>0</v>
      </c>
      <c r="S34" s="520">
        <f t="shared" si="4"/>
        <v>0</v>
      </c>
      <c r="T34" s="521">
        <f t="shared" si="5"/>
        <v>0</v>
      </c>
      <c r="U34" s="456" t="str">
        <f>VLOOKUP(A34,'Diags Raw Data'!$A$6:$AH$4003,33,FALSE)</f>
        <v>WK4</v>
      </c>
      <c r="V34" s="182"/>
    </row>
    <row r="35" spans="1:22" ht="90.75" thickBot="1" x14ac:dyDescent="0.3">
      <c r="A35" s="576">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Data'!$A$6:$A$4003)),CONCATENATE('Diags Raw Data'!$H$6:$H$4003,", "),""))</f>
        <v xml:space="preserve">gfx.cmm_cp_access_order_monolithic
gfx.cmm_sa_gl2_access_order_monolithic 
gfx.cmm_sa_gl2_same_address_monolithic, </v>
      </c>
      <c r="E35" s="341" t="str">
        <f>VLOOKUP(A35,'Diags Raw Data'!$A$6:$D$4003,4,FALSE)</f>
        <v>CMM</v>
      </c>
      <c r="F35" s="341" t="str">
        <f>VLOOKUP(A35,'Feature Raw Data'!$A$3:$E$3922,5,FALSE)</f>
        <v>New</v>
      </c>
      <c r="G35" s="341" t="str">
        <f t="shared" si="0"/>
        <v>Yes</v>
      </c>
      <c r="H35" s="341" t="str">
        <f t="shared" si="1"/>
        <v>Yes</v>
      </c>
      <c r="I35" s="459">
        <f>SUMIF('Diags Raw Data'!$A$6:$A$4003,"*"&amp;$A35&amp;"*",'Diags Raw Data'!$K$6:$K$4003)</f>
        <v>0</v>
      </c>
      <c r="J35" s="461">
        <f>SUMIF('Diags Raw Data'!$A$6:$A$4003,"*"&amp;$A35&amp;"*",'Diags Raw Data'!$L$6:$L$4003)</f>
        <v>0</v>
      </c>
      <c r="K35" s="513" t="e" cm="1">
        <f t="array" ref="K35">IF(D35="",0, SUMPRODUCT(--(ISNUMBER(SEARCH($A35,'Diags Raw Data'!$A$6:$A$4003))),'Diags Raw Data'!$L$6:$L$4003,'Diags Raw Data'!$N$6:$N$4003)/J35)</f>
        <v>#DIV/0!</v>
      </c>
      <c r="L35" s="514" t="e" cm="1">
        <f t="array" ref="L35">IF(D35="",0, SUMPRODUCT(--(ISNUMBER(SEARCH($A35,'Diags Raw Data'!$A$6:$A$4003))),'Diags Raw Data'!$L$6:$L$4003,'Diags Raw Data'!$P$6:$P$4003)/J35)</f>
        <v>#DIV/0!</v>
      </c>
      <c r="M35" s="515" cm="1">
        <f t="array" ref="M35">SUMPRODUCT(--(ISNUMBER(SEARCH($A35,'Diags Raw Data'!$A$6:$A$4003))),--('Diags Raw Data'!$Q$6:$Q$4003&lt;&gt;"N/A"),'Diags Raw Data'!$R$6:$R$4003)</f>
        <v>1</v>
      </c>
      <c r="N35" s="516" cm="1">
        <f t="array" ref="N35">SUMPRODUCT(--(ISNUMBER(SEARCH($A35,'Diags Raw Data'!$A$6:$A$4003))),--('Diags Raw Data'!$Q$6:$Q$4003&lt;&gt;"N/A"),'Diags Raw Data'!$T$6:$T$4003)+SUMPRODUCT(--(ISNUMBER(SEARCH($A35,'Diags Raw Data'!$A$6:$A$4003))),--('Diags Raw Data'!$Q$6:$Q$4003&lt;&gt;"N/A"),'Diags Raw Data'!$U$6:$U$4003)</f>
        <v>0</v>
      </c>
      <c r="O35" s="517">
        <f t="shared" si="2"/>
        <v>0</v>
      </c>
      <c r="P35" s="518">
        <f>SUMIF('Diags Raw Data'!$A$6:$A$4003,"*"&amp;$A35&amp;"*",'Diags Raw Data'!$Z$6:$Z$4003)</f>
        <v>0</v>
      </c>
      <c r="Q35" s="519">
        <f>SUM(SUMIF('Diags Raw Data'!$A$6:$A$4003,"*"&amp;$A35&amp;"*",'Diags Raw Data'!$AA$6:$AA$4003),SUMIF('Diags Raw Data'!$A$6:$A$4003,"*"&amp;$A35&amp;"*",'Diags Raw Data'!$AB$6:$AB$4003))</f>
        <v>0</v>
      </c>
      <c r="R35" s="520">
        <f t="shared" si="3"/>
        <v>0</v>
      </c>
      <c r="S35" s="520">
        <f t="shared" si="4"/>
        <v>0</v>
      </c>
      <c r="T35" s="521">
        <f t="shared" si="5"/>
        <v>0</v>
      </c>
      <c r="U35" s="456" t="str">
        <f>VLOOKUP(A35,'Diags Raw Data'!$A$6:$AH$4003,33,FALSE)</f>
        <v>WK5</v>
      </c>
      <c r="V35" s="182"/>
    </row>
    <row r="36" spans="1:22" ht="90.75" thickBot="1" x14ac:dyDescent="0.3">
      <c r="A36" s="576">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Data'!$A$6:$A$4003)),CONCATENATE('Diags Raw Data'!$H$6:$H$4003,", "),""))</f>
        <v xml:space="preserve">gfx.cmm_cp_access_order_monolithic
gfx.cmm_sa_gl2_access_order_monolithic 
gfx.cmm_sa_gl2_same_address_monolithic, </v>
      </c>
      <c r="E36" s="341" t="str">
        <f>VLOOKUP(A36,'Diags Raw Data'!$A$6:$D$4003,4,FALSE)</f>
        <v>CMM</v>
      </c>
      <c r="F36" s="341" t="str">
        <f>VLOOKUP(A36,'Feature Raw Data'!$A$3:$E$3922,5,FALSE)</f>
        <v>New</v>
      </c>
      <c r="G36" s="341" t="str">
        <f t="shared" si="0"/>
        <v>Yes</v>
      </c>
      <c r="H36" s="341" t="str">
        <f t="shared" si="1"/>
        <v>Yes</v>
      </c>
      <c r="I36" s="459">
        <f>SUMIF('Diags Raw Data'!$A$6:$A$4003,"*"&amp;$A36&amp;"*",'Diags Raw Data'!$K$6:$K$4003)</f>
        <v>0</v>
      </c>
      <c r="J36" s="461">
        <f>SUMIF('Diags Raw Data'!$A$6:$A$4003,"*"&amp;$A36&amp;"*",'Diags Raw Data'!$L$6:$L$4003)</f>
        <v>0</v>
      </c>
      <c r="K36" s="513" t="e" cm="1">
        <f t="array" ref="K36">IF(D36="",0, SUMPRODUCT(--(ISNUMBER(SEARCH($A36,'Diags Raw Data'!$A$6:$A$4003))),'Diags Raw Data'!$L$6:$L$4003,'Diags Raw Data'!$N$6:$N$4003)/J36)</f>
        <v>#DIV/0!</v>
      </c>
      <c r="L36" s="514" t="e" cm="1">
        <f t="array" ref="L36">IF(D36="",0, SUMPRODUCT(--(ISNUMBER(SEARCH($A36,'Diags Raw Data'!$A$6:$A$4003))),'Diags Raw Data'!$L$6:$L$4003,'Diags Raw Data'!$P$6:$P$4003)/J36)</f>
        <v>#DIV/0!</v>
      </c>
      <c r="M36" s="515" cm="1">
        <f t="array" ref="M36">SUMPRODUCT(--(ISNUMBER(SEARCH($A36,'Diags Raw Data'!$A$6:$A$4003))),--('Diags Raw Data'!$Q$6:$Q$4003&lt;&gt;"N/A"),'Diags Raw Data'!$R$6:$R$4003)</f>
        <v>1</v>
      </c>
      <c r="N36" s="516" cm="1">
        <f t="array" ref="N36">SUMPRODUCT(--(ISNUMBER(SEARCH($A36,'Diags Raw Data'!$A$6:$A$4003))),--('Diags Raw Data'!$Q$6:$Q$4003&lt;&gt;"N/A"),'Diags Raw Data'!$T$6:$T$4003)+SUMPRODUCT(--(ISNUMBER(SEARCH($A36,'Diags Raw Data'!$A$6:$A$4003))),--('Diags Raw Data'!$Q$6:$Q$4003&lt;&gt;"N/A"),'Diags Raw Data'!$U$6:$U$4003)</f>
        <v>0</v>
      </c>
      <c r="O36" s="517">
        <f t="shared" si="2"/>
        <v>0</v>
      </c>
      <c r="P36" s="518">
        <f>SUMIF('Diags Raw Data'!$A$6:$A$4003,"*"&amp;$A36&amp;"*",'Diags Raw Data'!$Z$6:$Z$4003)</f>
        <v>0</v>
      </c>
      <c r="Q36" s="519">
        <f>SUM(SUMIF('Diags Raw Data'!$A$6:$A$4003,"*"&amp;$A36&amp;"*",'Diags Raw Data'!$AA$6:$AA$4003),SUMIF('Diags Raw Data'!$A$6:$A$4003,"*"&amp;$A36&amp;"*",'Diags Raw Data'!$AB$6:$AB$4003))</f>
        <v>0</v>
      </c>
      <c r="R36" s="520">
        <f t="shared" si="3"/>
        <v>0</v>
      </c>
      <c r="S36" s="520">
        <f t="shared" si="4"/>
        <v>0</v>
      </c>
      <c r="T36" s="521">
        <f t="shared" si="5"/>
        <v>0</v>
      </c>
      <c r="U36" s="456" t="str">
        <f>VLOOKUP(A36,'Diags Raw Data'!$A$6:$AH$4003,33,FALSE)</f>
        <v>WK5</v>
      </c>
      <c r="V36" s="182"/>
    </row>
    <row r="37" spans="1:22" ht="45.75" thickBot="1" x14ac:dyDescent="0.3">
      <c r="A37" s="576">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Data'!$A$6:$A$4003)),CONCATENATE('Diags Raw Data'!$H$6:$H$4003,", "),""))</f>
        <v xml:space="preserve">placeholder_m, </v>
      </c>
      <c r="E37" s="341" t="str">
        <f>VLOOKUP(A37,'Diags Raw Data'!$A$6:$D$4003,4,FALSE)</f>
        <v>CMM</v>
      </c>
      <c r="F37" s="341" t="str">
        <f>VLOOKUP(A37,'Feature Raw Data'!$A$3:$E$3922,5,FALSE)</f>
        <v>New</v>
      </c>
      <c r="G37" s="341" t="str">
        <f t="shared" si="0"/>
        <v>Yes</v>
      </c>
      <c r="H37" s="341" t="str">
        <f t="shared" si="1"/>
        <v>Yes</v>
      </c>
      <c r="I37" s="459">
        <f>SUMIF('Diags Raw Data'!$A$6:$A$4003,"*"&amp;$A37&amp;"*",'Diags Raw Data'!$K$6:$K$4003)</f>
        <v>0</v>
      </c>
      <c r="J37" s="461">
        <f>SUMIF('Diags Raw Data'!$A$6:$A$4003,"*"&amp;$A37&amp;"*",'Diags Raw Data'!$L$6:$L$4003)</f>
        <v>0</v>
      </c>
      <c r="K37" s="513" t="e" cm="1">
        <f t="array" ref="K37">IF(D37="",0, SUMPRODUCT(--(ISNUMBER(SEARCH($A37,'Diags Raw Data'!$A$6:$A$4003))),'Diags Raw Data'!$L$6:$L$4003,'Diags Raw Data'!$N$6:$N$4003)/J37)</f>
        <v>#DIV/0!</v>
      </c>
      <c r="L37" s="514" t="e" cm="1">
        <f t="array" ref="L37">IF(D37="",0, SUMPRODUCT(--(ISNUMBER(SEARCH($A37,'Diags Raw Data'!$A$6:$A$4003))),'Diags Raw Data'!$L$6:$L$4003,'Diags Raw Data'!$P$6:$P$4003)/J37)</f>
        <v>#DIV/0!</v>
      </c>
      <c r="M37" s="515" cm="1">
        <f t="array" ref="M37">SUMPRODUCT(--(ISNUMBER(SEARCH($A37,'Diags Raw Data'!$A$6:$A$4003))),--('Diags Raw Data'!$Q$6:$Q$4003&lt;&gt;"N/A"),'Diags Raw Data'!$R$6:$R$4003)</f>
        <v>1</v>
      </c>
      <c r="N37" s="516" cm="1">
        <f t="array" ref="N37">SUMPRODUCT(--(ISNUMBER(SEARCH($A37,'Diags Raw Data'!$A$6:$A$4003))),--('Diags Raw Data'!$Q$6:$Q$4003&lt;&gt;"N/A"),'Diags Raw Data'!$T$6:$T$4003)+SUMPRODUCT(--(ISNUMBER(SEARCH($A37,'Diags Raw Data'!$A$6:$A$4003))),--('Diags Raw Data'!$Q$6:$Q$4003&lt;&gt;"N/A"),'Diags Raw Data'!$U$6:$U$4003)</f>
        <v>0</v>
      </c>
      <c r="O37" s="517">
        <f t="shared" si="2"/>
        <v>0</v>
      </c>
      <c r="P37" s="518">
        <f>SUMIF('Diags Raw Data'!$A$6:$A$4003,"*"&amp;$A37&amp;"*",'Diags Raw Data'!$Z$6:$Z$4003)</f>
        <v>0</v>
      </c>
      <c r="Q37" s="519">
        <f>SUM(SUMIF('Diags Raw Data'!$A$6:$A$4003,"*"&amp;$A37&amp;"*",'Diags Raw Data'!$AA$6:$AA$4003),SUMIF('Diags Raw Data'!$A$6:$A$4003,"*"&amp;$A37&amp;"*",'Diags Raw Data'!$AB$6:$AB$4003))</f>
        <v>0</v>
      </c>
      <c r="R37" s="520">
        <f t="shared" si="3"/>
        <v>0</v>
      </c>
      <c r="S37" s="520">
        <f t="shared" si="4"/>
        <v>0</v>
      </c>
      <c r="T37" s="521">
        <f t="shared" si="5"/>
        <v>0</v>
      </c>
      <c r="U37" s="456" t="str">
        <f>VLOOKUP(A37,'Diags Raw Data'!$A$6:$AH$4003,33,FALSE)</f>
        <v>WK4</v>
      </c>
      <c r="V37" s="182"/>
    </row>
    <row r="38" spans="1:22" s="187" customFormat="1" ht="15.75" thickBot="1" x14ac:dyDescent="0.3">
      <c r="A38" s="576">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Data'!$A$6:$A$4003)),CONCATENATE('Diags Raw Data'!$H$6:$H$4003,", "),""))</f>
        <v xml:space="preserve">placeholder_d.1, </v>
      </c>
      <c r="E38" s="341" t="str">
        <f>VLOOKUP(A38,'Diags Raw Data'!$A$6:$D$4003,4,FALSE)</f>
        <v>CMM</v>
      </c>
      <c r="F38" s="341" t="str">
        <f>VLOOKUP(A38,'Feature Raw Data'!$A$3:$E$3922,5,FALSE)</f>
        <v>New</v>
      </c>
      <c r="G38" s="341" t="str">
        <f t="shared" si="0"/>
        <v>Yes</v>
      </c>
      <c r="H38" s="341" t="str">
        <f t="shared" si="1"/>
        <v>Yes</v>
      </c>
      <c r="I38" s="459">
        <f>SUMIF('Diags Raw Data'!$A$6:$A$4003,"*"&amp;$A38&amp;"*",'Diags Raw Data'!$K$6:$K$4003)</f>
        <v>0</v>
      </c>
      <c r="J38" s="461">
        <f>SUMIF('Diags Raw Data'!$A$6:$A$4003,"*"&amp;$A38&amp;"*",'Diags Raw Data'!$L$6:$L$4003)</f>
        <v>0</v>
      </c>
      <c r="K38" s="513" t="e" cm="1">
        <f t="array" ref="K38">IF(D38="",0, SUMPRODUCT(--(ISNUMBER(SEARCH($A38,'Diags Raw Data'!$A$6:$A$4003))),'Diags Raw Data'!$L$6:$L$4003,'Diags Raw Data'!$N$6:$N$4003)/J38)</f>
        <v>#DIV/0!</v>
      </c>
      <c r="L38" s="514" t="e" cm="1">
        <f t="array" ref="L38">IF(D38="",0, SUMPRODUCT(--(ISNUMBER(SEARCH($A38,'Diags Raw Data'!$A$6:$A$4003))),'Diags Raw Data'!$L$6:$L$4003,'Diags Raw Data'!$P$6:$P$4003)/J38)</f>
        <v>#DIV/0!</v>
      </c>
      <c r="M38" s="515" cm="1">
        <f t="array" ref="M38">SUMPRODUCT(--(ISNUMBER(SEARCH($A38,'Diags Raw Data'!$A$6:$A$4003))),--('Diags Raw Data'!$Q$6:$Q$4003&lt;&gt;"N/A"),'Diags Raw Data'!$R$6:$R$4003)</f>
        <v>1</v>
      </c>
      <c r="N38" s="516" cm="1">
        <f t="array" ref="N38">SUMPRODUCT(--(ISNUMBER(SEARCH($A38,'Diags Raw Data'!$A$6:$A$4003))),--('Diags Raw Data'!$Q$6:$Q$4003&lt;&gt;"N/A"),'Diags Raw Data'!$T$6:$T$4003)+SUMPRODUCT(--(ISNUMBER(SEARCH($A38,'Diags Raw Data'!$A$6:$A$4003))),--('Diags Raw Data'!$Q$6:$Q$4003&lt;&gt;"N/A"),'Diags Raw Data'!$U$6:$U$4003)</f>
        <v>1</v>
      </c>
      <c r="O38" s="517">
        <f t="shared" si="2"/>
        <v>1</v>
      </c>
      <c r="P38" s="518">
        <f>SUMIF('Diags Raw Data'!$A$6:$A$4003,"*"&amp;$A38&amp;"*",'Diags Raw Data'!$Z$6:$Z$4003)</f>
        <v>0</v>
      </c>
      <c r="Q38" s="519">
        <f>SUM(SUMIF('Diags Raw Data'!$A$6:$A$4003,"*"&amp;$A38&amp;"*",'Diags Raw Data'!$AA$6:$AA$4003),SUMIF('Diags Raw Data'!$A$6:$A$4003,"*"&amp;$A38&amp;"*",'Diags Raw Data'!$AB$6:$AB$4003))</f>
        <v>0</v>
      </c>
      <c r="R38" s="520">
        <f t="shared" si="3"/>
        <v>0</v>
      </c>
      <c r="S38" s="520">
        <f t="shared" si="4"/>
        <v>0</v>
      </c>
      <c r="T38" s="521">
        <f t="shared" si="5"/>
        <v>0</v>
      </c>
      <c r="U38" s="456" t="str">
        <f>VLOOKUP(A38,'Diags Raw Data'!$A$6:$AH$4003,33,FALSE)</f>
        <v>WK7</v>
      </c>
      <c r="V38" s="186"/>
    </row>
    <row r="39" spans="1:22" ht="30.75" thickBot="1" x14ac:dyDescent="0.3">
      <c r="A39" s="576">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Data'!$A$6:$A$4003)),CONCATENATE('Diags Raw Data'!$H$6:$H$4003,", "),""))</f>
        <v xml:space="preserve">placeholder_e.1, </v>
      </c>
      <c r="E39" s="341" t="str">
        <f>VLOOKUP(A39,'Diags Raw Data'!$A$6:$D$4003,4,FALSE)</f>
        <v>CMM</v>
      </c>
      <c r="F39" s="341" t="str">
        <f>VLOOKUP(A39,'Feature Raw Data'!$A$3:$E$3922,5,FALSE)</f>
        <v>New</v>
      </c>
      <c r="G39" s="341" t="str">
        <f t="shared" si="0"/>
        <v>Yes</v>
      </c>
      <c r="H39" s="341" t="str">
        <f t="shared" si="1"/>
        <v>Yes</v>
      </c>
      <c r="I39" s="459">
        <f>SUMIF('Diags Raw Data'!$A$6:$A$4003,"*"&amp;$A39&amp;"*",'Diags Raw Data'!$K$6:$K$4003)</f>
        <v>0</v>
      </c>
      <c r="J39" s="461">
        <f>SUMIF('Diags Raw Data'!$A$6:$A$4003,"*"&amp;$A39&amp;"*",'Diags Raw Data'!$L$6:$L$4003)</f>
        <v>0</v>
      </c>
      <c r="K39" s="513" t="e" cm="1">
        <f t="array" ref="K39">IF(D39="",0, SUMPRODUCT(--(ISNUMBER(SEARCH($A39,'Diags Raw Data'!$A$6:$A$4003))),'Diags Raw Data'!$L$6:$L$4003,'Diags Raw Data'!$N$6:$N$4003)/J39)</f>
        <v>#DIV/0!</v>
      </c>
      <c r="L39" s="514" t="e" cm="1">
        <f t="array" ref="L39">IF(D39="",0, SUMPRODUCT(--(ISNUMBER(SEARCH($A39,'Diags Raw Data'!$A$6:$A$4003))),'Diags Raw Data'!$L$6:$L$4003,'Diags Raw Data'!$P$6:$P$4003)/J39)</f>
        <v>#DIV/0!</v>
      </c>
      <c r="M39" s="515" cm="1">
        <f t="array" ref="M39">SUMPRODUCT(--(ISNUMBER(SEARCH($A39,'Diags Raw Data'!$A$6:$A$4003))),--('Diags Raw Data'!$Q$6:$Q$4003&lt;&gt;"N/A"),'Diags Raw Data'!$R$6:$R$4003)</f>
        <v>1</v>
      </c>
      <c r="N39" s="516" cm="1">
        <f t="array" ref="N39">SUMPRODUCT(--(ISNUMBER(SEARCH($A39,'Diags Raw Data'!$A$6:$A$4003))),--('Diags Raw Data'!$Q$6:$Q$4003&lt;&gt;"N/A"),'Diags Raw Data'!$T$6:$T$4003)+SUMPRODUCT(--(ISNUMBER(SEARCH($A39,'Diags Raw Data'!$A$6:$A$4003))),--('Diags Raw Data'!$Q$6:$Q$4003&lt;&gt;"N/A"),'Diags Raw Data'!$U$6:$U$4003)</f>
        <v>1</v>
      </c>
      <c r="O39" s="517">
        <f t="shared" si="2"/>
        <v>1</v>
      </c>
      <c r="P39" s="518">
        <f>SUMIF('Diags Raw Data'!$A$6:$A$4003,"*"&amp;$A39&amp;"*",'Diags Raw Data'!$Z$6:$Z$4003)</f>
        <v>0</v>
      </c>
      <c r="Q39" s="519">
        <f>SUM(SUMIF('Diags Raw Data'!$A$6:$A$4003,"*"&amp;$A39&amp;"*",'Diags Raw Data'!$AA$6:$AA$4003),SUMIF('Diags Raw Data'!$A$6:$A$4003,"*"&amp;$A39&amp;"*",'Diags Raw Data'!$AB$6:$AB$4003))</f>
        <v>0</v>
      </c>
      <c r="R39" s="520">
        <f t="shared" si="3"/>
        <v>0</v>
      </c>
      <c r="S39" s="520">
        <f t="shared" si="4"/>
        <v>0</v>
      </c>
      <c r="T39" s="521">
        <f t="shared" si="5"/>
        <v>0</v>
      </c>
      <c r="U39" s="456" t="str">
        <f>VLOOKUP(A39,'Diags Raw Data'!$A$6:$AH$4003,33,FALSE)</f>
        <v>WK2</v>
      </c>
      <c r="V39" s="182"/>
    </row>
    <row r="40" spans="1:22" ht="30.75" thickBot="1" x14ac:dyDescent="0.3">
      <c r="A40" s="576">
        <v>12.051</v>
      </c>
      <c r="B40" s="458" t="str">
        <f>VLOOKUP(A40,'Feature Raw Data'!$A$3:$B$3922,2,FALSE)</f>
        <v>cache last_use policy (child of 12.041/12.027)</v>
      </c>
      <c r="C40" s="459" t="str">
        <f>VLOOKUP(A40,'Feature Raw Data'!$A$3:$C$3922,3,FALSE)</f>
        <v>P2</v>
      </c>
      <c r="D40" s="460" t="str" cm="1">
        <f t="array" ref="D40">_xlfn.TEXTJOIN("",TRUE,IF(ISNUMBER(SEARCH($A40,'Diags Raw Data'!$A$6:$A$4003)),CONCATENATE('Diags Raw Data'!$H$6:$H$4003,", "),""))</f>
        <v xml:space="preserve">gfx.cmm_cache_last_use_policy_monolithic, </v>
      </c>
      <c r="E40" s="341" t="str">
        <f>VLOOKUP(A40,'Diags Raw Data'!$A$6:$D$4003,4,FALSE)</f>
        <v>CMM</v>
      </c>
      <c r="F40" s="341" t="str">
        <f>VLOOKUP(A40,'Feature Raw Data'!$A$3:$E$3922,5,FALSE)</f>
        <v>New</v>
      </c>
      <c r="G40" s="341" t="str">
        <f t="shared" si="0"/>
        <v>Yes</v>
      </c>
      <c r="H40" s="341" t="str">
        <f t="shared" si="1"/>
        <v>Yes</v>
      </c>
      <c r="I40" s="459">
        <f>SUMIF('Diags Raw Data'!$A$6:$A$4003,"*"&amp;$A40&amp;"*",'Diags Raw Data'!$K$6:$K$4003)</f>
        <v>0</v>
      </c>
      <c r="J40" s="461">
        <f>SUMIF('Diags Raw Data'!$A$6:$A$4003,"*"&amp;$A40&amp;"*",'Diags Raw Data'!$L$6:$L$4003)</f>
        <v>0</v>
      </c>
      <c r="K40" s="513" t="e" cm="1">
        <f t="array" ref="K40">IF(D40="",0, SUMPRODUCT(--(ISNUMBER(SEARCH($A40,'Diags Raw Data'!$A$6:$A$4003))),'Diags Raw Data'!$L$6:$L$4003,'Diags Raw Data'!$N$6:$N$4003)/J40)</f>
        <v>#DIV/0!</v>
      </c>
      <c r="L40" s="514" t="e" cm="1">
        <f t="array" ref="L40">IF(D40="",0, SUMPRODUCT(--(ISNUMBER(SEARCH($A40,'Diags Raw Data'!$A$6:$A$4003))),'Diags Raw Data'!$L$6:$L$4003,'Diags Raw Data'!$P$6:$P$4003)/J40)</f>
        <v>#DIV/0!</v>
      </c>
      <c r="M40" s="515" cm="1">
        <f t="array" ref="M40">SUMPRODUCT(--(ISNUMBER(SEARCH($A40,'Diags Raw Data'!$A$6:$A$4003))),--('Diags Raw Data'!$Q$6:$Q$4003&lt;&gt;"N/A"),'Diags Raw Data'!$R$6:$R$4003)</f>
        <v>0</v>
      </c>
      <c r="N40" s="516" cm="1">
        <f t="array" ref="N40">SUMPRODUCT(--(ISNUMBER(SEARCH($A40,'Diags Raw Data'!$A$6:$A$4003))),--('Diags Raw Data'!$Q$6:$Q$4003&lt;&gt;"N/A"),'Diags Raw Data'!$T$6:$T$4003)+SUMPRODUCT(--(ISNUMBER(SEARCH($A40,'Diags Raw Data'!$A$6:$A$4003))),--('Diags Raw Data'!$Q$6:$Q$4003&lt;&gt;"N/A"),'Diags Raw Data'!$U$6:$U$4003)</f>
        <v>0</v>
      </c>
      <c r="O40" s="517">
        <f t="shared" si="2"/>
        <v>0</v>
      </c>
      <c r="P40" s="518">
        <f>SUMIF('Diags Raw Data'!$A$6:$A$4003,"*"&amp;$A40&amp;"*",'Diags Raw Data'!$Z$6:$Z$4003)</f>
        <v>0</v>
      </c>
      <c r="Q40" s="519">
        <f>SUM(SUMIF('Diags Raw Data'!$A$6:$A$4003,"*"&amp;$A40&amp;"*",'Diags Raw Data'!$AA$6:$AA$4003),SUMIF('Diags Raw Data'!$A$6:$A$4003,"*"&amp;$A40&amp;"*",'Diags Raw Data'!$AB$6:$AB$4003))</f>
        <v>0</v>
      </c>
      <c r="R40" s="520">
        <f t="shared" si="3"/>
        <v>0</v>
      </c>
      <c r="S40" s="520">
        <f t="shared" si="4"/>
        <v>0</v>
      </c>
      <c r="T40" s="521">
        <f t="shared" si="5"/>
        <v>0</v>
      </c>
      <c r="U40" s="456" t="str">
        <f>VLOOKUP(A40,'Diags Raw Data'!$A$6:$AH$4003,33,FALSE)</f>
        <v>WK8</v>
      </c>
      <c r="V40" s="182"/>
    </row>
    <row r="41" spans="1:22" ht="60.75" thickBot="1" x14ac:dyDescent="0.3">
      <c r="A41" s="576">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Data'!$A$6:$A$4003)),CONCATENATE('Diags Raw Data'!$H$6:$H$4003,", "),""))</f>
        <v xml:space="preserve">glxi60.1-3, </v>
      </c>
      <c r="E41" s="341" t="str">
        <f>VLOOKUP(A41,'Diags Raw Data'!$A$6:$D$4003,4,FALSE)</f>
        <v>CMM</v>
      </c>
      <c r="F41" s="341" t="str">
        <f>VLOOKUP(A41,'Feature Raw Data'!$A$3:$E$3922,5,FALSE)</f>
        <v>New</v>
      </c>
      <c r="G41" s="341" t="str">
        <f t="shared" si="0"/>
        <v>Yes</v>
      </c>
      <c r="H41" s="341" t="str">
        <f t="shared" si="1"/>
        <v>Yes</v>
      </c>
      <c r="I41" s="459">
        <f>SUMIF('Diags Raw Data'!$A$6:$A$4003,"*"&amp;$A41&amp;"*",'Diags Raw Data'!$K$6:$K$4003)</f>
        <v>0</v>
      </c>
      <c r="J41" s="461">
        <f>SUMIF('Diags Raw Data'!$A$6:$A$4003,"*"&amp;$A41&amp;"*",'Diags Raw Data'!$L$6:$L$4003)</f>
        <v>0</v>
      </c>
      <c r="K41" s="513" t="e" cm="1">
        <f t="array" ref="K41">IF(D41="",0, SUMPRODUCT(--(ISNUMBER(SEARCH($A41,'Diags Raw Data'!$A$6:$A$4003))),'Diags Raw Data'!$L$6:$L$4003,'Diags Raw Data'!$N$6:$N$4003)/J41)</f>
        <v>#DIV/0!</v>
      </c>
      <c r="L41" s="514" t="e" cm="1">
        <f t="array" ref="L41">IF(D41="",0, SUMPRODUCT(--(ISNUMBER(SEARCH($A41,'Diags Raw Data'!$A$6:$A$4003))),'Diags Raw Data'!$L$6:$L$4003,'Diags Raw Data'!$P$6:$P$4003)/J41)</f>
        <v>#DIV/0!</v>
      </c>
      <c r="M41" s="515" cm="1">
        <f t="array" ref="M41">SUMPRODUCT(--(ISNUMBER(SEARCH($A41,'Diags Raw Data'!$A$6:$A$4003))),--('Diags Raw Data'!$Q$6:$Q$4003&lt;&gt;"N/A"),'Diags Raw Data'!$R$6:$R$4003)</f>
        <v>1</v>
      </c>
      <c r="N41" s="516" cm="1">
        <f t="array" ref="N41">SUMPRODUCT(--(ISNUMBER(SEARCH($A41,'Diags Raw Data'!$A$6:$A$4003))),--('Diags Raw Data'!$Q$6:$Q$4003&lt;&gt;"N/A"),'Diags Raw Data'!$T$6:$T$4003)+SUMPRODUCT(--(ISNUMBER(SEARCH($A41,'Diags Raw Data'!$A$6:$A$4003))),--('Diags Raw Data'!$Q$6:$Q$4003&lt;&gt;"N/A"),'Diags Raw Data'!$U$6:$U$4003)</f>
        <v>1</v>
      </c>
      <c r="O41" s="517">
        <f t="shared" si="2"/>
        <v>1</v>
      </c>
      <c r="P41" s="518">
        <f>SUMIF('Diags Raw Data'!$A$6:$A$4003,"*"&amp;$A41&amp;"*",'Diags Raw Data'!$Z$6:$Z$4003)</f>
        <v>0</v>
      </c>
      <c r="Q41" s="519">
        <f>SUM(SUMIF('Diags Raw Data'!$A$6:$A$4003,"*"&amp;$A41&amp;"*",'Diags Raw Data'!$AA$6:$AA$4003),SUMIF('Diags Raw Data'!$A$6:$A$4003,"*"&amp;$A41&amp;"*",'Diags Raw Data'!$AB$6:$AB$4003))</f>
        <v>0</v>
      </c>
      <c r="R41" s="520">
        <f t="shared" si="3"/>
        <v>0</v>
      </c>
      <c r="S41" s="520">
        <f t="shared" si="4"/>
        <v>0</v>
      </c>
      <c r="T41" s="521">
        <f t="shared" si="5"/>
        <v>0</v>
      </c>
      <c r="U41" s="456" t="str">
        <f>VLOOKUP(A41,'Diags Raw Data'!$A$6:$AH$4003,33,FALSE)</f>
        <v>WK5</v>
      </c>
      <c r="V41" s="182"/>
    </row>
    <row r="42" spans="1:22" ht="30.75" thickBot="1" x14ac:dyDescent="0.3">
      <c r="A42" s="576">
        <v>12.054</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Data'!$A$6:$A$4003)),CONCATENATE('Diags Raw Data'!$H$6:$H$4003,", "),""))</f>
        <v xml:space="preserve">N/A, </v>
      </c>
      <c r="E42" s="341" t="str">
        <f>VLOOKUP(A42,'Diags Raw Data'!$A$6:$D$4003,4,FALSE)</f>
        <v>SH</v>
      </c>
      <c r="F42" s="341" t="str">
        <f>VLOOKUP(A42,'Feature Raw Data'!$A$3:$E$3922,5,FALSE)</f>
        <v>New</v>
      </c>
      <c r="G42" s="341" t="str">
        <f t="shared" si="0"/>
        <v>No</v>
      </c>
      <c r="H42" s="341" t="str">
        <f t="shared" si="1"/>
        <v>No</v>
      </c>
      <c r="I42" s="459">
        <f>SUMIF('Diags Raw Data'!$A$6:$A$4003,"*"&amp;$A42&amp;"*",'Diags Raw Data'!$K$6:$K$4003)</f>
        <v>0</v>
      </c>
      <c r="J42" s="461">
        <f>SUMIF('Diags Raw Data'!$A$6:$A$4003,"*"&amp;$A42&amp;"*",'Diags Raw Data'!$L$6:$L$4003)</f>
        <v>0</v>
      </c>
      <c r="K42" s="513" t="e" cm="1">
        <f t="array" ref="K42">IF(D42="",0, SUMPRODUCT(--(ISNUMBER(SEARCH($A42,'Diags Raw Data'!$A$6:$A$4003))),'Diags Raw Data'!$L$6:$L$4003,'Diags Raw Data'!$N$6:$N$4003)/J42)</f>
        <v>#DIV/0!</v>
      </c>
      <c r="L42" s="514" t="e" cm="1">
        <f t="array" ref="L42">IF(D42="",0, SUMPRODUCT(--(ISNUMBER(SEARCH($A42,'Diags Raw Data'!$A$6:$A$4003))),'Diags Raw Data'!$L$6:$L$4003,'Diags Raw Data'!$P$6:$P$4003)/J42)</f>
        <v>#DIV/0!</v>
      </c>
      <c r="M42" s="515" cm="1">
        <f t="array" ref="M42">SUMPRODUCT(--(ISNUMBER(SEARCH($A42,'Diags Raw Data'!$A$6:$A$4003))),--('Diags Raw Data'!$Q$6:$Q$4003&lt;&gt;"N/A"),'Diags Raw Data'!$R$6:$R$4003)</f>
        <v>0</v>
      </c>
      <c r="N42" s="516" cm="1">
        <f t="array" ref="N42">SUMPRODUCT(--(ISNUMBER(SEARCH($A42,'Diags Raw Data'!$A$6:$A$4003))),--('Diags Raw Data'!$Q$6:$Q$4003&lt;&gt;"N/A"),'Diags Raw Data'!$T$6:$T$4003)+SUMPRODUCT(--(ISNUMBER(SEARCH($A42,'Diags Raw Data'!$A$6:$A$4003))),--('Diags Raw Data'!$Q$6:$Q$4003&lt;&gt;"N/A"),'Diags Raw Data'!$U$6:$U$4003)</f>
        <v>0</v>
      </c>
      <c r="O42" s="517">
        <f t="shared" si="2"/>
        <v>0</v>
      </c>
      <c r="P42" s="518">
        <f>SUMIF('Diags Raw Data'!$A$6:$A$4003,"*"&amp;$A42&amp;"*",'Diags Raw Data'!$Z$6:$Z$4003)</f>
        <v>0</v>
      </c>
      <c r="Q42" s="519">
        <f>SUM(SUMIF('Diags Raw Data'!$A$6:$A$4003,"*"&amp;$A42&amp;"*",'Diags Raw Data'!$AA$6:$AA$4003),SUMIF('Diags Raw Data'!$A$6:$A$4003,"*"&amp;$A42&amp;"*",'Diags Raw Data'!$AB$6:$AB$4003))</f>
        <v>0</v>
      </c>
      <c r="R42" s="520">
        <f t="shared" si="3"/>
        <v>0</v>
      </c>
      <c r="S42" s="520">
        <f t="shared" si="4"/>
        <v>0</v>
      </c>
      <c r="T42" s="521">
        <f t="shared" si="5"/>
        <v>0</v>
      </c>
      <c r="U42" s="456" t="str">
        <f>VLOOKUP(A42,'Diags Raw Data'!$A$6:$AH$4003,33,FALSE)</f>
        <v>N/A</v>
      </c>
      <c r="V42" s="182"/>
    </row>
    <row r="43" spans="1:22" ht="15.75" thickBot="1" x14ac:dyDescent="0.3">
      <c r="A43" s="576">
        <v>12.05499999999997</v>
      </c>
      <c r="B43" s="458" t="str">
        <f>VLOOKUP(A43,'Feature Raw Data'!$A$3:$B$3922,2,FALSE)</f>
        <v>Split workgroup barrier</v>
      </c>
      <c r="C43" s="459" t="str">
        <f>VLOOKUP(A43,'Feature Raw Data'!$A$3:$C$3922,3,FALSE)</f>
        <v>P1</v>
      </c>
      <c r="D43" s="460" t="str" cm="1">
        <f t="array" ref="D43">_xlfn.TEXTJOIN("",TRUE,IF(ISNUMBER(SEARCH($A43,'Diags Raw Data'!$A$6:$A$4003)),CONCATENATE('Diags Raw Data'!$H$6:$H$4003,", "),""))</f>
        <v xml:space="preserve">gci1301.0, </v>
      </c>
      <c r="E43" s="341" t="str">
        <f>VLOOKUP(A43,'Diags Raw Data'!$A$6:$D$4003,4,FALSE)</f>
        <v>SH</v>
      </c>
      <c r="F43" s="341" t="str">
        <f>VLOOKUP(A43,'Feature Raw Data'!$A$3:$E$3922,5,FALSE)</f>
        <v>New</v>
      </c>
      <c r="G43" s="341" t="str">
        <f t="shared" si="0"/>
        <v>Yes</v>
      </c>
      <c r="H43" s="341" t="str">
        <f t="shared" si="1"/>
        <v>Yes</v>
      </c>
      <c r="I43" s="459">
        <f>SUMIF('Diags Raw Data'!$A$6:$A$4003,"*"&amp;$A43&amp;"*",'Diags Raw Data'!$K$6:$K$4003)</f>
        <v>0</v>
      </c>
      <c r="J43" s="461">
        <f>SUMIF('Diags Raw Data'!$A$6:$A$4003,"*"&amp;$A43&amp;"*",'Diags Raw Data'!$L$6:$L$4003)</f>
        <v>0</v>
      </c>
      <c r="K43" s="513" t="e" cm="1">
        <f t="array" ref="K43">IF(D43="",0, SUMPRODUCT(--(ISNUMBER(SEARCH($A43,'Diags Raw Data'!$A$6:$A$4003))),'Diags Raw Data'!$L$6:$L$4003,'Diags Raw Data'!$N$6:$N$4003)/J43)</f>
        <v>#DIV/0!</v>
      </c>
      <c r="L43" s="514" t="e" cm="1">
        <f t="array" ref="L43">IF(D43="",0, SUMPRODUCT(--(ISNUMBER(SEARCH($A43,'Diags Raw Data'!$A$6:$A$4003))),'Diags Raw Data'!$L$6:$L$4003,'Diags Raw Data'!$P$6:$P$4003)/J43)</f>
        <v>#DIV/0!</v>
      </c>
      <c r="M43" s="515" cm="1">
        <f t="array" ref="M43">SUMPRODUCT(--(ISNUMBER(SEARCH($A43,'Diags Raw Data'!$A$6:$A$4003))),--('Diags Raw Data'!$Q$6:$Q$4003&lt;&gt;"N/A"),'Diags Raw Data'!$R$6:$R$4003)</f>
        <v>1</v>
      </c>
      <c r="N43" s="516" cm="1">
        <f t="array" ref="N43">SUMPRODUCT(--(ISNUMBER(SEARCH($A43,'Diags Raw Data'!$A$6:$A$4003))),--('Diags Raw Data'!$Q$6:$Q$4003&lt;&gt;"N/A"),'Diags Raw Data'!$T$6:$T$4003)+SUMPRODUCT(--(ISNUMBER(SEARCH($A43,'Diags Raw Data'!$A$6:$A$4003))),--('Diags Raw Data'!$Q$6:$Q$4003&lt;&gt;"N/A"),'Diags Raw Data'!$U$6:$U$4003)</f>
        <v>1</v>
      </c>
      <c r="O43" s="517">
        <f t="shared" si="2"/>
        <v>1</v>
      </c>
      <c r="P43" s="518">
        <f>SUMIF('Diags Raw Data'!$A$6:$A$4003,"*"&amp;$A43&amp;"*",'Diags Raw Data'!$Z$6:$Z$4003)</f>
        <v>0</v>
      </c>
      <c r="Q43" s="519">
        <f>SUM(SUMIF('Diags Raw Data'!$A$6:$A$4003,"*"&amp;$A43&amp;"*",'Diags Raw Data'!$AA$6:$AA$4003),SUMIF('Diags Raw Data'!$A$6:$A$4003,"*"&amp;$A43&amp;"*",'Diags Raw Data'!$AB$6:$AB$4003))</f>
        <v>0</v>
      </c>
      <c r="R43" s="520">
        <f t="shared" si="3"/>
        <v>0</v>
      </c>
      <c r="S43" s="520">
        <f t="shared" si="4"/>
        <v>0</v>
      </c>
      <c r="T43" s="521">
        <f t="shared" si="5"/>
        <v>0</v>
      </c>
      <c r="U43" s="456" t="str">
        <f>VLOOKUP(A43,'Diags Raw Data'!$A$6:$AH$4003,33,FALSE)</f>
        <v>WK5</v>
      </c>
      <c r="V43" s="182"/>
    </row>
    <row r="44" spans="1:22" ht="30.75" thickBot="1" x14ac:dyDescent="0.3">
      <c r="A44" s="576">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Data'!$A$6:$A$4003)),CONCATENATE('Diags Raw Data'!$H$6:$H$4003,", "),""))</f>
        <v xml:space="preserve">gci1304.0, </v>
      </c>
      <c r="E44" s="341" t="str">
        <f>VLOOKUP(A44,'Diags Raw Data'!$A$6:$D$4003,4,FALSE)</f>
        <v>SH</v>
      </c>
      <c r="F44" s="341" t="str">
        <f>VLOOKUP(A44,'Feature Raw Data'!$A$3:$E$3922,5,FALSE)</f>
        <v>New</v>
      </c>
      <c r="G44" s="341" t="str">
        <f t="shared" si="0"/>
        <v>Yes</v>
      </c>
      <c r="H44" s="341" t="str">
        <f t="shared" si="1"/>
        <v>Yes</v>
      </c>
      <c r="I44" s="459">
        <f>SUMIF('Diags Raw Data'!$A$6:$A$4003,"*"&amp;$A44&amp;"*",'Diags Raw Data'!$K$6:$K$4003)</f>
        <v>0</v>
      </c>
      <c r="J44" s="461">
        <f>SUMIF('Diags Raw Data'!$A$6:$A$4003,"*"&amp;$A44&amp;"*",'Diags Raw Data'!$L$6:$L$4003)</f>
        <v>0</v>
      </c>
      <c r="K44" s="513" t="e" cm="1">
        <f t="array" ref="K44">IF(D44="",0, SUMPRODUCT(--(ISNUMBER(SEARCH($A44,'Diags Raw Data'!$A$6:$A$4003))),'Diags Raw Data'!$L$6:$L$4003,'Diags Raw Data'!$N$6:$N$4003)/J44)</f>
        <v>#DIV/0!</v>
      </c>
      <c r="L44" s="514" t="e" cm="1">
        <f t="array" ref="L44">IF(D44="",0, SUMPRODUCT(--(ISNUMBER(SEARCH($A44,'Diags Raw Data'!$A$6:$A$4003))),'Diags Raw Data'!$L$6:$L$4003,'Diags Raw Data'!$P$6:$P$4003)/J44)</f>
        <v>#DIV/0!</v>
      </c>
      <c r="M44" s="515" cm="1">
        <f t="array" ref="M44">SUMPRODUCT(--(ISNUMBER(SEARCH($A44,'Diags Raw Data'!$A$6:$A$4003))),--('Diags Raw Data'!$Q$6:$Q$4003&lt;&gt;"N/A"),'Diags Raw Data'!$R$6:$R$4003)</f>
        <v>1</v>
      </c>
      <c r="N44" s="516" cm="1">
        <f t="array" ref="N44">SUMPRODUCT(--(ISNUMBER(SEARCH($A44,'Diags Raw Data'!$A$6:$A$4003))),--('Diags Raw Data'!$Q$6:$Q$4003&lt;&gt;"N/A"),'Diags Raw Data'!$T$6:$T$4003)+SUMPRODUCT(--(ISNUMBER(SEARCH($A44,'Diags Raw Data'!$A$6:$A$4003))),--('Diags Raw Data'!$Q$6:$Q$4003&lt;&gt;"N/A"),'Diags Raw Data'!$U$6:$U$4003)</f>
        <v>1</v>
      </c>
      <c r="O44" s="517">
        <f t="shared" si="2"/>
        <v>1</v>
      </c>
      <c r="P44" s="518">
        <f>SUMIF('Diags Raw Data'!$A$6:$A$4003,"*"&amp;$A44&amp;"*",'Diags Raw Data'!$Z$6:$Z$4003)</f>
        <v>0</v>
      </c>
      <c r="Q44" s="519">
        <f>SUM(SUMIF('Diags Raw Data'!$A$6:$A$4003,"*"&amp;$A44&amp;"*",'Diags Raw Data'!$AA$6:$AA$4003),SUMIF('Diags Raw Data'!$A$6:$A$4003,"*"&amp;$A44&amp;"*",'Diags Raw Data'!$AB$6:$AB$4003))</f>
        <v>0</v>
      </c>
      <c r="R44" s="520">
        <f t="shared" si="3"/>
        <v>0</v>
      </c>
      <c r="S44" s="520">
        <f t="shared" si="4"/>
        <v>0</v>
      </c>
      <c r="T44" s="521">
        <f t="shared" si="5"/>
        <v>0</v>
      </c>
      <c r="U44" s="456" t="str">
        <f>VLOOKUP(A44,'Diags Raw Data'!$A$6:$AH$4003,33,FALSE)</f>
        <v>WK5</v>
      </c>
      <c r="V44" s="182"/>
    </row>
    <row r="45" spans="1:22" ht="60.75" thickBot="1" x14ac:dyDescent="0.3">
      <c r="A45" s="576">
        <v>12.057</v>
      </c>
      <c r="B45" s="458" t="str">
        <f>VLOOKUP(A45,'Feature Raw Data'!$A$3:$B$3922,2,FALSE)</f>
        <v>Shader software data dependency control</v>
      </c>
      <c r="C45" s="459" t="str">
        <f>VLOOKUP(A45,'Feature Raw Data'!$A$3:$C$3922,3,FALSE)</f>
        <v>P2</v>
      </c>
      <c r="D45" s="460" t="str" cm="1">
        <f t="array" ref="D45">_xlfn.TEXTJOIN("",TRUE,IF(ISNUMBER(SEARCH($A45,'Diags Raw Data'!$A$6:$A$4003)),CONCATENATE('Diags Raw Data'!$H$6:$H$4003,", "),""))</f>
        <v xml:space="preserve">gfx.inst_perf/sched_mode_dep_mode1
gfx.inst_perf/sched_mode_dep_mode2, </v>
      </c>
      <c r="E45" s="341" t="str">
        <f>VLOOKUP(A45,'Diags Raw Data'!$A$6:$D$4003,4,FALSE)</f>
        <v>SH</v>
      </c>
      <c r="F45" s="341" t="str">
        <f>VLOOKUP(A45,'Feature Raw Data'!$A$3:$E$3922,5,FALSE)</f>
        <v>New</v>
      </c>
      <c r="G45" s="341" t="str">
        <f t="shared" si="0"/>
        <v>Yes</v>
      </c>
      <c r="H45" s="341" t="str">
        <f t="shared" si="1"/>
        <v>Yes</v>
      </c>
      <c r="I45" s="459">
        <f>SUMIF('Diags Raw Data'!$A$6:$A$4003,"*"&amp;$A45&amp;"*",'Diags Raw Data'!$K$6:$K$4003)</f>
        <v>0</v>
      </c>
      <c r="J45" s="461">
        <f>SUMIF('Diags Raw Data'!$A$6:$A$4003,"*"&amp;$A45&amp;"*",'Diags Raw Data'!$L$6:$L$4003)</f>
        <v>0</v>
      </c>
      <c r="K45" s="513" t="e" cm="1">
        <f t="array" ref="K45">IF(D45="",0, SUMPRODUCT(--(ISNUMBER(SEARCH($A45,'Diags Raw Data'!$A$6:$A$4003))),'Diags Raw Data'!$L$6:$L$4003,'Diags Raw Data'!$N$6:$N$4003)/J45)</f>
        <v>#DIV/0!</v>
      </c>
      <c r="L45" s="514" t="e" cm="1">
        <f t="array" ref="L45">IF(D45="",0, SUMPRODUCT(--(ISNUMBER(SEARCH($A45,'Diags Raw Data'!$A$6:$A$4003))),'Diags Raw Data'!$L$6:$L$4003,'Diags Raw Data'!$P$6:$P$4003)/J45)</f>
        <v>#DIV/0!</v>
      </c>
      <c r="M45" s="515" cm="1">
        <f t="array" ref="M45">SUMPRODUCT(--(ISNUMBER(SEARCH($A45,'Diags Raw Data'!$A$6:$A$4003))),--('Diags Raw Data'!$Q$6:$Q$4003&lt;&gt;"N/A"),'Diags Raw Data'!$R$6:$R$4003)</f>
        <v>2</v>
      </c>
      <c r="N45" s="516" cm="1">
        <f t="array" ref="N45">SUMPRODUCT(--(ISNUMBER(SEARCH($A45,'Diags Raw Data'!$A$6:$A$4003))),--('Diags Raw Data'!$Q$6:$Q$4003&lt;&gt;"N/A"),'Diags Raw Data'!$T$6:$T$4003)+SUMPRODUCT(--(ISNUMBER(SEARCH($A45,'Diags Raw Data'!$A$6:$A$4003))),--('Diags Raw Data'!$Q$6:$Q$4003&lt;&gt;"N/A"),'Diags Raw Data'!$U$6:$U$4003)</f>
        <v>2</v>
      </c>
      <c r="O45" s="517">
        <f t="shared" si="2"/>
        <v>1</v>
      </c>
      <c r="P45" s="518">
        <f>SUMIF('Diags Raw Data'!$A$6:$A$4003,"*"&amp;$A45&amp;"*",'Diags Raw Data'!$Z$6:$Z$4003)</f>
        <v>0</v>
      </c>
      <c r="Q45" s="519">
        <f>SUM(SUMIF('Diags Raw Data'!$A$6:$A$4003,"*"&amp;$A45&amp;"*",'Diags Raw Data'!$AA$6:$AA$4003),SUMIF('Diags Raw Data'!$A$6:$A$4003,"*"&amp;$A45&amp;"*",'Diags Raw Data'!$AB$6:$AB$4003))</f>
        <v>0</v>
      </c>
      <c r="R45" s="520">
        <f t="shared" si="3"/>
        <v>0</v>
      </c>
      <c r="S45" s="520">
        <f t="shared" si="4"/>
        <v>0</v>
      </c>
      <c r="T45" s="521">
        <f t="shared" si="5"/>
        <v>0</v>
      </c>
      <c r="U45" s="456" t="str">
        <f>VLOOKUP(A45,'Diags Raw Data'!$A$6:$AH$4003,33,FALSE)</f>
        <v>WK8</v>
      </c>
      <c r="V45" s="182"/>
    </row>
    <row r="46" spans="1:22" ht="409.6" thickBot="1" x14ac:dyDescent="0.3">
      <c r="A46" s="576">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Data'!$A$6:$A$4003)),CONCATENATE('Diags Raw Data'!$H$6:$H$4003,", "),""))</f>
        <v xml:space="preserve">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v>
      </c>
      <c r="E46" s="341" t="str">
        <f>VLOOKUP(A46,'Diags Raw Data'!$A$6:$D$4003,4,FALSE)</f>
        <v>SH</v>
      </c>
      <c r="F46" s="341" t="str">
        <f>VLOOKUP(A46,'Feature Raw Data'!$A$3:$E$3922,5,FALSE)</f>
        <v>New</v>
      </c>
      <c r="G46" s="341" t="str">
        <f t="shared" si="0"/>
        <v>Yes</v>
      </c>
      <c r="H46" s="341" t="str">
        <f t="shared" si="1"/>
        <v>Yes</v>
      </c>
      <c r="I46" s="459">
        <f>SUMIF('Diags Raw Data'!$A$6:$A$4003,"*"&amp;$A46&amp;"*",'Diags Raw Data'!$K$6:$K$4003)</f>
        <v>0</v>
      </c>
      <c r="J46" s="461">
        <f>SUMIF('Diags Raw Data'!$A$6:$A$4003,"*"&amp;$A46&amp;"*",'Diags Raw Data'!$L$6:$L$4003)</f>
        <v>0</v>
      </c>
      <c r="K46" s="513" t="e" cm="1">
        <f t="array" ref="K46">IF(D46="",0, SUMPRODUCT(--(ISNUMBER(SEARCH($A46,'Diags Raw Data'!$A$6:$A$4003))),'Diags Raw Data'!$L$6:$L$4003,'Diags Raw Data'!$N$6:$N$4003)/J46)</f>
        <v>#DIV/0!</v>
      </c>
      <c r="L46" s="514" t="e" cm="1">
        <f t="array" ref="L46">IF(D46="",0, SUMPRODUCT(--(ISNUMBER(SEARCH($A46,'Diags Raw Data'!$A$6:$A$4003))),'Diags Raw Data'!$L$6:$L$4003,'Diags Raw Data'!$P$6:$P$4003)/J46)</f>
        <v>#DIV/0!</v>
      </c>
      <c r="M46" s="515" cm="1">
        <f t="array" ref="M46">SUMPRODUCT(--(ISNUMBER(SEARCH($A46,'Diags Raw Data'!$A$6:$A$4003))),--('Diags Raw Data'!$Q$6:$Q$4003&lt;&gt;"N/A"),'Diags Raw Data'!$R$6:$R$4003)</f>
        <v>62</v>
      </c>
      <c r="N46" s="516" cm="1">
        <f t="array" ref="N46">SUMPRODUCT(--(ISNUMBER(SEARCH($A46,'Diags Raw Data'!$A$6:$A$4003))),--('Diags Raw Data'!$Q$6:$Q$4003&lt;&gt;"N/A"),'Diags Raw Data'!$T$6:$T$4003)+SUMPRODUCT(--(ISNUMBER(SEARCH($A46,'Diags Raw Data'!$A$6:$A$4003))),--('Diags Raw Data'!$Q$6:$Q$4003&lt;&gt;"N/A"),'Diags Raw Data'!$U$6:$U$4003)</f>
        <v>62</v>
      </c>
      <c r="O46" s="517">
        <f t="shared" si="2"/>
        <v>1</v>
      </c>
      <c r="P46" s="518">
        <f>SUMIF('Diags Raw Data'!$A$6:$A$4003,"*"&amp;$A46&amp;"*",'Diags Raw Data'!$Z$6:$Z$4003)</f>
        <v>0</v>
      </c>
      <c r="Q46" s="519">
        <f>SUM(SUMIF('Diags Raw Data'!$A$6:$A$4003,"*"&amp;$A46&amp;"*",'Diags Raw Data'!$AA$6:$AA$4003),SUMIF('Diags Raw Data'!$A$6:$A$4003,"*"&amp;$A46&amp;"*",'Diags Raw Data'!$AB$6:$AB$4003))</f>
        <v>0</v>
      </c>
      <c r="R46" s="520">
        <f t="shared" si="3"/>
        <v>0</v>
      </c>
      <c r="S46" s="520">
        <f t="shared" si="4"/>
        <v>0</v>
      </c>
      <c r="T46" s="521">
        <f t="shared" si="5"/>
        <v>0</v>
      </c>
      <c r="U46" s="456" t="str">
        <f>VLOOKUP(A46,'Diags Raw Data'!$A$6:$AH$4003,33,FALSE)</f>
        <v>WK5</v>
      </c>
      <c r="V46" s="182"/>
    </row>
    <row r="47" spans="1:22" ht="315.75" thickBot="1" x14ac:dyDescent="0.3">
      <c r="A47" s="576">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Data'!$A$6:$A$4003)),CONCATENATE('Diags Raw Data'!$H$6:$H$4003,",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Data'!$A$6:$D$4003,4,FALSE)</f>
        <v>SH</v>
      </c>
      <c r="F47" s="341" t="str">
        <f>VLOOKUP(A47,'Feature Raw Data'!$A$3:$E$3922,5,FALSE)</f>
        <v>New</v>
      </c>
      <c r="G47" s="341" t="str">
        <f t="shared" si="0"/>
        <v>Yes</v>
      </c>
      <c r="H47" s="341" t="str">
        <f t="shared" si="1"/>
        <v>Yes</v>
      </c>
      <c r="I47" s="459">
        <f>SUMIF('Diags Raw Data'!$A$6:$A$4003,"*"&amp;$A47&amp;"*",'Diags Raw Data'!$K$6:$K$4003)</f>
        <v>0</v>
      </c>
      <c r="J47" s="461">
        <f>SUMIF('Diags Raw Data'!$A$6:$A$4003,"*"&amp;$A47&amp;"*",'Diags Raw Data'!$L$6:$L$4003)</f>
        <v>0</v>
      </c>
      <c r="K47" s="513" t="e" cm="1">
        <f t="array" ref="K47">IF(D47="",0, SUMPRODUCT(--(ISNUMBER(SEARCH($A47,'Diags Raw Data'!$A$6:$A$4003))),'Diags Raw Data'!$L$6:$L$4003,'Diags Raw Data'!$N$6:$N$4003)/J47)</f>
        <v>#DIV/0!</v>
      </c>
      <c r="L47" s="514" t="e" cm="1">
        <f t="array" ref="L47">IF(D47="",0, SUMPRODUCT(--(ISNUMBER(SEARCH($A47,'Diags Raw Data'!$A$6:$A$4003))),'Diags Raw Data'!$L$6:$L$4003,'Diags Raw Data'!$P$6:$P$4003)/J47)</f>
        <v>#DIV/0!</v>
      </c>
      <c r="M47" s="515" cm="1">
        <f t="array" ref="M47">SUMPRODUCT(--(ISNUMBER(SEARCH($A47,'Diags Raw Data'!$A$6:$A$4003))),--('Diags Raw Data'!$Q$6:$Q$4003&lt;&gt;"N/A"),'Diags Raw Data'!$R$6:$R$4003)</f>
        <v>21</v>
      </c>
      <c r="N47" s="516" cm="1">
        <f t="array" ref="N47">SUMPRODUCT(--(ISNUMBER(SEARCH($A47,'Diags Raw Data'!$A$6:$A$4003))),--('Diags Raw Data'!$Q$6:$Q$4003&lt;&gt;"N/A"),'Diags Raw Data'!$T$6:$T$4003)+SUMPRODUCT(--(ISNUMBER(SEARCH($A47,'Diags Raw Data'!$A$6:$A$4003))),--('Diags Raw Data'!$Q$6:$Q$4003&lt;&gt;"N/A"),'Diags Raw Data'!$U$6:$U$4003)</f>
        <v>21</v>
      </c>
      <c r="O47" s="517">
        <f t="shared" si="2"/>
        <v>1</v>
      </c>
      <c r="P47" s="518">
        <f>SUMIF('Diags Raw Data'!$A$6:$A$4003,"*"&amp;$A47&amp;"*",'Diags Raw Data'!$Z$6:$Z$4003)</f>
        <v>0</v>
      </c>
      <c r="Q47" s="519">
        <f>SUM(SUMIF('Diags Raw Data'!$A$6:$A$4003,"*"&amp;$A47&amp;"*",'Diags Raw Data'!$AA$6:$AA$4003),SUMIF('Diags Raw Data'!$A$6:$A$4003,"*"&amp;$A47&amp;"*",'Diags Raw Data'!$AB$6:$AB$4003))</f>
        <v>0</v>
      </c>
      <c r="R47" s="520">
        <f t="shared" si="3"/>
        <v>0</v>
      </c>
      <c r="S47" s="520">
        <f t="shared" si="4"/>
        <v>0</v>
      </c>
      <c r="T47" s="521">
        <f t="shared" si="5"/>
        <v>0</v>
      </c>
      <c r="U47" s="456" t="str">
        <f>VLOOKUP(A47,'Diags Raw Data'!$A$6:$AH$4003,33,FALSE)</f>
        <v>WK5</v>
      </c>
      <c r="V47" s="182"/>
    </row>
    <row r="48" spans="1:22" ht="30.75" thickBot="1" x14ac:dyDescent="0.3">
      <c r="A48" s="576">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Data'!$A$6:$A$4003)),CONCATENATE('Diags Raw Data'!$H$6:$H$4003,", "),""))</f>
        <v xml:space="preserve">gci1305.0
gci1305.1, </v>
      </c>
      <c r="E48" s="341" t="str">
        <f>VLOOKUP(A48,'Diags Raw Data'!$A$6:$D$4003,4,FALSE)</f>
        <v>SH</v>
      </c>
      <c r="F48" s="341" t="str">
        <f>VLOOKUP(A48,'Feature Raw Data'!$A$3:$E$3922,5,FALSE)</f>
        <v>New</v>
      </c>
      <c r="G48" s="341" t="str">
        <f t="shared" si="0"/>
        <v>Yes</v>
      </c>
      <c r="H48" s="341" t="str">
        <f t="shared" si="1"/>
        <v>Yes</v>
      </c>
      <c r="I48" s="459">
        <f>SUMIF('Diags Raw Data'!$A$6:$A$4003,"*"&amp;$A48&amp;"*",'Diags Raw Data'!$K$6:$K$4003)</f>
        <v>0</v>
      </c>
      <c r="J48" s="461">
        <f>SUMIF('Diags Raw Data'!$A$6:$A$4003,"*"&amp;$A48&amp;"*",'Diags Raw Data'!$L$6:$L$4003)</f>
        <v>0</v>
      </c>
      <c r="K48" s="513" t="e" cm="1">
        <f t="array" ref="K48">IF(D48="",0, SUMPRODUCT(--(ISNUMBER(SEARCH($A48,'Diags Raw Data'!$A$6:$A$4003))),'Diags Raw Data'!$L$6:$L$4003,'Diags Raw Data'!$N$6:$N$4003)/J48)</f>
        <v>#DIV/0!</v>
      </c>
      <c r="L48" s="514" t="e" cm="1">
        <f t="array" ref="L48">IF(D48="",0, SUMPRODUCT(--(ISNUMBER(SEARCH($A48,'Diags Raw Data'!$A$6:$A$4003))),'Diags Raw Data'!$L$6:$L$4003,'Diags Raw Data'!$P$6:$P$4003)/J48)</f>
        <v>#DIV/0!</v>
      </c>
      <c r="M48" s="515" cm="1">
        <f t="array" ref="M48">SUMPRODUCT(--(ISNUMBER(SEARCH($A48,'Diags Raw Data'!$A$6:$A$4003))),--('Diags Raw Data'!$Q$6:$Q$4003&lt;&gt;"N/A"),'Diags Raw Data'!$R$6:$R$4003)</f>
        <v>2</v>
      </c>
      <c r="N48" s="516" cm="1">
        <f t="array" ref="N48">SUMPRODUCT(--(ISNUMBER(SEARCH($A48,'Diags Raw Data'!$A$6:$A$4003))),--('Diags Raw Data'!$Q$6:$Q$4003&lt;&gt;"N/A"),'Diags Raw Data'!$T$6:$T$4003)+SUMPRODUCT(--(ISNUMBER(SEARCH($A48,'Diags Raw Data'!$A$6:$A$4003))),--('Diags Raw Data'!$Q$6:$Q$4003&lt;&gt;"N/A"),'Diags Raw Data'!$U$6:$U$4003)</f>
        <v>2</v>
      </c>
      <c r="O48" s="517">
        <f t="shared" si="2"/>
        <v>1</v>
      </c>
      <c r="P48" s="518">
        <f>SUMIF('Diags Raw Data'!$A$6:$A$4003,"*"&amp;$A48&amp;"*",'Diags Raw Data'!$Z$6:$Z$4003)</f>
        <v>0</v>
      </c>
      <c r="Q48" s="519">
        <f>SUM(SUMIF('Diags Raw Data'!$A$6:$A$4003,"*"&amp;$A48&amp;"*",'Diags Raw Data'!$AA$6:$AA$4003),SUMIF('Diags Raw Data'!$A$6:$A$4003,"*"&amp;$A48&amp;"*",'Diags Raw Data'!$AB$6:$AB$4003))</f>
        <v>0</v>
      </c>
      <c r="R48" s="520">
        <f t="shared" si="3"/>
        <v>0</v>
      </c>
      <c r="S48" s="520">
        <f t="shared" si="4"/>
        <v>0</v>
      </c>
      <c r="T48" s="521">
        <f t="shared" si="5"/>
        <v>0</v>
      </c>
      <c r="U48" s="456" t="str">
        <f>VLOOKUP(A48,'Diags Raw Data'!$A$6:$AH$4003,33,FALSE)</f>
        <v>WK5</v>
      </c>
      <c r="V48" s="182"/>
    </row>
    <row r="49" spans="1:22" ht="30.75" thickBot="1" x14ac:dyDescent="0.3">
      <c r="A49" s="576">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Data'!$A$6:$A$4003)),CONCATENATE('Diags Raw Data'!$H$6:$H$4003,", "),""))</f>
        <v xml:space="preserve">gci1305.2, </v>
      </c>
      <c r="E49" s="341" t="str">
        <f>VLOOKUP(A49,'Diags Raw Data'!$A$6:$D$4003,4,FALSE)</f>
        <v>SH</v>
      </c>
      <c r="F49" s="341" t="str">
        <f>VLOOKUP(A49,'Feature Raw Data'!$A$3:$E$3922,5,FALSE)</f>
        <v>Delta</v>
      </c>
      <c r="G49" s="341" t="str">
        <f t="shared" si="0"/>
        <v>Yes</v>
      </c>
      <c r="H49" s="341" t="str">
        <f t="shared" si="1"/>
        <v>Yes</v>
      </c>
      <c r="I49" s="459">
        <f>SUMIF('Diags Raw Data'!$A$6:$A$4003,"*"&amp;$A49&amp;"*",'Diags Raw Data'!$K$6:$K$4003)</f>
        <v>0</v>
      </c>
      <c r="J49" s="461">
        <f>SUMIF('Diags Raw Data'!$A$6:$A$4003,"*"&amp;$A49&amp;"*",'Diags Raw Data'!$L$6:$L$4003)</f>
        <v>0</v>
      </c>
      <c r="K49" s="513" t="e" cm="1">
        <f t="array" ref="K49">IF(D49="",0, SUMPRODUCT(--(ISNUMBER(SEARCH($A49,'Diags Raw Data'!$A$6:$A$4003))),'Diags Raw Data'!$L$6:$L$4003,'Diags Raw Data'!$N$6:$N$4003)/J49)</f>
        <v>#DIV/0!</v>
      </c>
      <c r="L49" s="514" t="e" cm="1">
        <f t="array" ref="L49">IF(D49="",0, SUMPRODUCT(--(ISNUMBER(SEARCH($A49,'Diags Raw Data'!$A$6:$A$4003))),'Diags Raw Data'!$L$6:$L$4003,'Diags Raw Data'!$P$6:$P$4003)/J49)</f>
        <v>#DIV/0!</v>
      </c>
      <c r="M49" s="515" cm="1">
        <f t="array" ref="M49">SUMPRODUCT(--(ISNUMBER(SEARCH($A49,'Diags Raw Data'!$A$6:$A$4003))),--('Diags Raw Data'!$Q$6:$Q$4003&lt;&gt;"N/A"),'Diags Raw Data'!$R$6:$R$4003)</f>
        <v>1</v>
      </c>
      <c r="N49" s="516" cm="1">
        <f t="array" ref="N49">SUMPRODUCT(--(ISNUMBER(SEARCH($A49,'Diags Raw Data'!$A$6:$A$4003))),--('Diags Raw Data'!$Q$6:$Q$4003&lt;&gt;"N/A"),'Diags Raw Data'!$T$6:$T$4003)+SUMPRODUCT(--(ISNUMBER(SEARCH($A49,'Diags Raw Data'!$A$6:$A$4003))),--('Diags Raw Data'!$Q$6:$Q$4003&lt;&gt;"N/A"),'Diags Raw Data'!$U$6:$U$4003)</f>
        <v>1</v>
      </c>
      <c r="O49" s="517">
        <f t="shared" si="2"/>
        <v>1</v>
      </c>
      <c r="P49" s="518">
        <f>SUMIF('Diags Raw Data'!$A$6:$A$4003,"*"&amp;$A49&amp;"*",'Diags Raw Data'!$Z$6:$Z$4003)</f>
        <v>0</v>
      </c>
      <c r="Q49" s="519">
        <f>SUM(SUMIF('Diags Raw Data'!$A$6:$A$4003,"*"&amp;$A49&amp;"*",'Diags Raw Data'!$AA$6:$AA$4003),SUMIF('Diags Raw Data'!$A$6:$A$4003,"*"&amp;$A49&amp;"*",'Diags Raw Data'!$AB$6:$AB$4003))</f>
        <v>0</v>
      </c>
      <c r="R49" s="520">
        <f t="shared" si="3"/>
        <v>0</v>
      </c>
      <c r="S49" s="520">
        <f t="shared" si="4"/>
        <v>0</v>
      </c>
      <c r="T49" s="521">
        <f t="shared" si="5"/>
        <v>0</v>
      </c>
      <c r="U49" s="456" t="str">
        <f>VLOOKUP(A49,'Diags Raw Data'!$A$6:$AH$4003,33,FALSE)</f>
        <v>WK8</v>
      </c>
      <c r="V49" s="182"/>
    </row>
    <row r="50" spans="1:22" ht="45.75" thickBot="1" x14ac:dyDescent="0.3">
      <c r="A50" s="576">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Data'!$A$6:$A$4003)),CONCATENATE('Diags Raw Data'!$H$6:$H$4003,", "),""))</f>
        <v xml:space="preserve">gfx.inst_perf/ds_permute_b32_w64
gfx.inst_perf/ds_bpermute_b32_w64, </v>
      </c>
      <c r="E50" s="341" t="str">
        <f>VLOOKUP(A50,'Diags Raw Data'!$A$6:$D$4003,4,FALSE)</f>
        <v>SH</v>
      </c>
      <c r="F50" s="341" t="str">
        <f>VLOOKUP(A50,'Feature Raw Data'!$A$3:$E$3922,5,FALSE)</f>
        <v>Delta</v>
      </c>
      <c r="G50" s="341" t="str">
        <f t="shared" si="0"/>
        <v>Yes</v>
      </c>
      <c r="H50" s="341" t="str">
        <f t="shared" si="1"/>
        <v>Yes</v>
      </c>
      <c r="I50" s="459">
        <f>SUMIF('Diags Raw Data'!$A$6:$A$4003,"*"&amp;$A50&amp;"*",'Diags Raw Data'!$K$6:$K$4003)</f>
        <v>0</v>
      </c>
      <c r="J50" s="461">
        <f>SUMIF('Diags Raw Data'!$A$6:$A$4003,"*"&amp;$A50&amp;"*",'Diags Raw Data'!$L$6:$L$4003)</f>
        <v>0</v>
      </c>
      <c r="K50" s="513" t="e" cm="1">
        <f t="array" ref="K50">IF(D50="",0, SUMPRODUCT(--(ISNUMBER(SEARCH($A50,'Diags Raw Data'!$A$6:$A$4003))),'Diags Raw Data'!$L$6:$L$4003,'Diags Raw Data'!$N$6:$N$4003)/J50)</f>
        <v>#DIV/0!</v>
      </c>
      <c r="L50" s="514" t="e" cm="1">
        <f t="array" ref="L50">IF(D50="",0, SUMPRODUCT(--(ISNUMBER(SEARCH($A50,'Diags Raw Data'!$A$6:$A$4003))),'Diags Raw Data'!$L$6:$L$4003,'Diags Raw Data'!$P$6:$P$4003)/J50)</f>
        <v>#DIV/0!</v>
      </c>
      <c r="M50" s="515" cm="1">
        <f t="array" ref="M50">SUMPRODUCT(--(ISNUMBER(SEARCH($A50,'Diags Raw Data'!$A$6:$A$4003))),--('Diags Raw Data'!$Q$6:$Q$4003&lt;&gt;"N/A"),'Diags Raw Data'!$R$6:$R$4003)</f>
        <v>2</v>
      </c>
      <c r="N50" s="516" cm="1">
        <f t="array" ref="N50">SUMPRODUCT(--(ISNUMBER(SEARCH($A50,'Diags Raw Data'!$A$6:$A$4003))),--('Diags Raw Data'!$Q$6:$Q$4003&lt;&gt;"N/A"),'Diags Raw Data'!$T$6:$T$4003)+SUMPRODUCT(--(ISNUMBER(SEARCH($A50,'Diags Raw Data'!$A$6:$A$4003))),--('Diags Raw Data'!$Q$6:$Q$4003&lt;&gt;"N/A"),'Diags Raw Data'!$U$6:$U$4003)</f>
        <v>2</v>
      </c>
      <c r="O50" s="517">
        <f t="shared" si="2"/>
        <v>1</v>
      </c>
      <c r="P50" s="518">
        <f>SUMIF('Diags Raw Data'!$A$6:$A$4003,"*"&amp;$A50&amp;"*",'Diags Raw Data'!$Z$6:$Z$4003)</f>
        <v>0</v>
      </c>
      <c r="Q50" s="519">
        <f>SUM(SUMIF('Diags Raw Data'!$A$6:$A$4003,"*"&amp;$A50&amp;"*",'Diags Raw Data'!$AA$6:$AA$4003),SUMIF('Diags Raw Data'!$A$6:$A$4003,"*"&amp;$A50&amp;"*",'Diags Raw Data'!$AB$6:$AB$4003))</f>
        <v>0</v>
      </c>
      <c r="R50" s="520">
        <f t="shared" si="3"/>
        <v>0</v>
      </c>
      <c r="S50" s="520">
        <f t="shared" si="4"/>
        <v>0</v>
      </c>
      <c r="T50" s="521">
        <f t="shared" si="5"/>
        <v>0</v>
      </c>
      <c r="U50" s="456" t="str">
        <f>VLOOKUP(A50,'Diags Raw Data'!$A$6:$AH$4003,33,FALSE)</f>
        <v>WK8</v>
      </c>
      <c r="V50" s="182"/>
    </row>
    <row r="51" spans="1:22" ht="60.75" thickBot="1" x14ac:dyDescent="0.3">
      <c r="A51" s="576">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Data'!$A$6:$A$4003)),CONCATENATE('Diags Raw Data'!$H$6:$H$4003,", "),""))</f>
        <v xml:space="preserve">gfx.inst_perf/v_permlanex16_var_b32
gfx.inst_perf/v_permlane16_var_b32, </v>
      </c>
      <c r="E51" s="341" t="str">
        <f>VLOOKUP(A51,'Diags Raw Data'!$A$6:$D$4003,4,FALSE)</f>
        <v>SH</v>
      </c>
      <c r="F51" s="341" t="str">
        <f>VLOOKUP(A51,'Feature Raw Data'!$A$3:$E$3922,5,FALSE)</f>
        <v>Delta</v>
      </c>
      <c r="G51" s="341" t="str">
        <f t="shared" si="0"/>
        <v>Yes</v>
      </c>
      <c r="H51" s="341" t="str">
        <f t="shared" si="1"/>
        <v>Yes</v>
      </c>
      <c r="I51" s="459">
        <f>SUMIF('Diags Raw Data'!$A$6:$A$4003,"*"&amp;$A51&amp;"*",'Diags Raw Data'!$K$6:$K$4003)</f>
        <v>0</v>
      </c>
      <c r="J51" s="461">
        <f>SUMIF('Diags Raw Data'!$A$6:$A$4003,"*"&amp;$A51&amp;"*",'Diags Raw Data'!$L$6:$L$4003)</f>
        <v>0</v>
      </c>
      <c r="K51" s="513" t="e" cm="1">
        <f t="array" ref="K51">IF(D51="",0, SUMPRODUCT(--(ISNUMBER(SEARCH($A51,'Diags Raw Data'!$A$6:$A$4003))),'Diags Raw Data'!$L$6:$L$4003,'Diags Raw Data'!$N$6:$N$4003)/J51)</f>
        <v>#DIV/0!</v>
      </c>
      <c r="L51" s="514" t="e" cm="1">
        <f t="array" ref="L51">IF(D51="",0, SUMPRODUCT(--(ISNUMBER(SEARCH($A51,'Diags Raw Data'!$A$6:$A$4003))),'Diags Raw Data'!$L$6:$L$4003,'Diags Raw Data'!$P$6:$P$4003)/J51)</f>
        <v>#DIV/0!</v>
      </c>
      <c r="M51" s="515" cm="1">
        <f t="array" ref="M51">SUMPRODUCT(--(ISNUMBER(SEARCH($A51,'Diags Raw Data'!$A$6:$A$4003))),--('Diags Raw Data'!$Q$6:$Q$4003&lt;&gt;"N/A"),'Diags Raw Data'!$R$6:$R$4003)</f>
        <v>2</v>
      </c>
      <c r="N51" s="516" cm="1">
        <f t="array" ref="N51">SUMPRODUCT(--(ISNUMBER(SEARCH($A51,'Diags Raw Data'!$A$6:$A$4003))),--('Diags Raw Data'!$Q$6:$Q$4003&lt;&gt;"N/A"),'Diags Raw Data'!$T$6:$T$4003)+SUMPRODUCT(--(ISNUMBER(SEARCH($A51,'Diags Raw Data'!$A$6:$A$4003))),--('Diags Raw Data'!$Q$6:$Q$4003&lt;&gt;"N/A"),'Diags Raw Data'!$U$6:$U$4003)</f>
        <v>2</v>
      </c>
      <c r="O51" s="517">
        <f t="shared" si="2"/>
        <v>1</v>
      </c>
      <c r="P51" s="518">
        <f>SUMIF('Diags Raw Data'!$A$6:$A$4003,"*"&amp;$A51&amp;"*",'Diags Raw Data'!$Z$6:$Z$4003)</f>
        <v>0</v>
      </c>
      <c r="Q51" s="519">
        <f>SUM(SUMIF('Diags Raw Data'!$A$6:$A$4003,"*"&amp;$A51&amp;"*",'Diags Raw Data'!$AA$6:$AA$4003),SUMIF('Diags Raw Data'!$A$6:$A$4003,"*"&amp;$A51&amp;"*",'Diags Raw Data'!$AB$6:$AB$4003))</f>
        <v>0</v>
      </c>
      <c r="R51" s="520">
        <f t="shared" si="3"/>
        <v>0</v>
      </c>
      <c r="S51" s="520">
        <f t="shared" si="4"/>
        <v>0</v>
      </c>
      <c r="T51" s="521">
        <f t="shared" si="5"/>
        <v>0</v>
      </c>
      <c r="U51" s="456" t="str">
        <f>VLOOKUP(A51,'Diags Raw Data'!$A$6:$AH$4003,33,FALSE)</f>
        <v>WK2</v>
      </c>
      <c r="V51" s="182"/>
    </row>
    <row r="52" spans="1:22" ht="90.75" thickBot="1" x14ac:dyDescent="0.3">
      <c r="A52" s="576">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Data'!$A$6:$A$4003)),CONCATENATE('Diags Raw Data'!$H$6:$H$4003,", "),""))</f>
        <v xml:space="preserve">gfx.inst_perf/s_sleep_var
gfx.inst_perf/s_sleep
gfx.inst_perf/s_add_nc_u64
gfx.inst_perf/s_sub_nc_u64
gfx.inst_perf/s_mul_u64
gfx.inst_perf/s_mul_i32, </v>
      </c>
      <c r="E52" s="341" t="str">
        <f>VLOOKUP(A52,'Diags Raw Data'!$A$6:$D$4003,4,FALSE)</f>
        <v>SH</v>
      </c>
      <c r="F52" s="341" t="str">
        <f>VLOOKUP(A52,'Feature Raw Data'!$A$3:$E$3922,5,FALSE)</f>
        <v>Delta</v>
      </c>
      <c r="G52" s="341" t="str">
        <f t="shared" si="0"/>
        <v>Yes</v>
      </c>
      <c r="H52" s="341" t="str">
        <f t="shared" si="1"/>
        <v>Yes</v>
      </c>
      <c r="I52" s="459">
        <f>SUMIF('Diags Raw Data'!$A$6:$A$4003,"*"&amp;$A52&amp;"*",'Diags Raw Data'!$K$6:$K$4003)</f>
        <v>0</v>
      </c>
      <c r="J52" s="461">
        <f>SUMIF('Diags Raw Data'!$A$6:$A$4003,"*"&amp;$A52&amp;"*",'Diags Raw Data'!$L$6:$L$4003)</f>
        <v>0</v>
      </c>
      <c r="K52" s="513" t="e" cm="1">
        <f t="array" ref="K52">IF(D52="",0, SUMPRODUCT(--(ISNUMBER(SEARCH($A52,'Diags Raw Data'!$A$6:$A$4003))),'Diags Raw Data'!$L$6:$L$4003,'Diags Raw Data'!$N$6:$N$4003)/J52)</f>
        <v>#DIV/0!</v>
      </c>
      <c r="L52" s="514" t="e" cm="1">
        <f t="array" ref="L52">IF(D52="",0, SUMPRODUCT(--(ISNUMBER(SEARCH($A52,'Diags Raw Data'!$A$6:$A$4003))),'Diags Raw Data'!$L$6:$L$4003,'Diags Raw Data'!$P$6:$P$4003)/J52)</f>
        <v>#DIV/0!</v>
      </c>
      <c r="M52" s="515" cm="1">
        <f t="array" ref="M52">SUMPRODUCT(--(ISNUMBER(SEARCH($A52,'Diags Raw Data'!$A$6:$A$4003))),--('Diags Raw Data'!$Q$6:$Q$4003&lt;&gt;"N/A"),'Diags Raw Data'!$R$6:$R$4003)</f>
        <v>6</v>
      </c>
      <c r="N52" s="516" cm="1">
        <f t="array" ref="N52">SUMPRODUCT(--(ISNUMBER(SEARCH($A52,'Diags Raw Data'!$A$6:$A$4003))),--('Diags Raw Data'!$Q$6:$Q$4003&lt;&gt;"N/A"),'Diags Raw Data'!$T$6:$T$4003)+SUMPRODUCT(--(ISNUMBER(SEARCH($A52,'Diags Raw Data'!$A$6:$A$4003))),--('Diags Raw Data'!$Q$6:$Q$4003&lt;&gt;"N/A"),'Diags Raw Data'!$U$6:$U$4003)</f>
        <v>6</v>
      </c>
      <c r="O52" s="517">
        <f t="shared" si="2"/>
        <v>1</v>
      </c>
      <c r="P52" s="518">
        <f>SUMIF('Diags Raw Data'!$A$6:$A$4003,"*"&amp;$A52&amp;"*",'Diags Raw Data'!$Z$6:$Z$4003)</f>
        <v>0</v>
      </c>
      <c r="Q52" s="519">
        <f>SUM(SUMIF('Diags Raw Data'!$A$6:$A$4003,"*"&amp;$A52&amp;"*",'Diags Raw Data'!$AA$6:$AA$4003),SUMIF('Diags Raw Data'!$A$6:$A$4003,"*"&amp;$A52&amp;"*",'Diags Raw Data'!$AB$6:$AB$4003))</f>
        <v>0</v>
      </c>
      <c r="R52" s="520">
        <f t="shared" si="3"/>
        <v>0</v>
      </c>
      <c r="S52" s="520">
        <f t="shared" si="4"/>
        <v>0</v>
      </c>
      <c r="T52" s="521">
        <f t="shared" si="5"/>
        <v>0</v>
      </c>
      <c r="U52" s="456" t="str">
        <f>VLOOKUP(A52,'Diags Raw Data'!$A$6:$AH$4003,33,FALSE)</f>
        <v>WK8</v>
      </c>
      <c r="V52" s="182"/>
    </row>
    <row r="53" spans="1:22" ht="15.75" thickBot="1" x14ac:dyDescent="0.3">
      <c r="A53" s="576">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Data'!$A$6:$A$4003)),CONCATENATE('Diags Raw Data'!$H$6:$H$4003,", "),""))</f>
        <v xml:space="preserve">gci1303.0, </v>
      </c>
      <c r="E53" s="341" t="str">
        <f>VLOOKUP(A53,'Diags Raw Data'!$A$6:$D$4003,4,FALSE)</f>
        <v>SH</v>
      </c>
      <c r="F53" s="341" t="str">
        <f>VLOOKUP(A53,'Feature Raw Data'!$A$3:$E$3922,5,FALSE)</f>
        <v>Delta</v>
      </c>
      <c r="G53" s="341" t="str">
        <f t="shared" si="0"/>
        <v>Yes</v>
      </c>
      <c r="H53" s="341" t="str">
        <f t="shared" si="1"/>
        <v>Yes</v>
      </c>
      <c r="I53" s="459">
        <f>SUMIF('Diags Raw Data'!$A$6:$A$4003,"*"&amp;$A53&amp;"*",'Diags Raw Data'!$K$6:$K$4003)</f>
        <v>0</v>
      </c>
      <c r="J53" s="461">
        <f>SUMIF('Diags Raw Data'!$A$6:$A$4003,"*"&amp;$A53&amp;"*",'Diags Raw Data'!$L$6:$L$4003)</f>
        <v>0</v>
      </c>
      <c r="K53" s="513" t="e" cm="1">
        <f t="array" ref="K53">IF(D53="",0, SUMPRODUCT(--(ISNUMBER(SEARCH($A53,'Diags Raw Data'!$A$6:$A$4003))),'Diags Raw Data'!$L$6:$L$4003,'Diags Raw Data'!$N$6:$N$4003)/J53)</f>
        <v>#DIV/0!</v>
      </c>
      <c r="L53" s="514" t="e" cm="1">
        <f t="array" ref="L53">IF(D53="",0, SUMPRODUCT(--(ISNUMBER(SEARCH($A53,'Diags Raw Data'!$A$6:$A$4003))),'Diags Raw Data'!$L$6:$L$4003,'Diags Raw Data'!$P$6:$P$4003)/J53)</f>
        <v>#DIV/0!</v>
      </c>
      <c r="M53" s="515" cm="1">
        <f t="array" ref="M53">SUMPRODUCT(--(ISNUMBER(SEARCH($A53,'Diags Raw Data'!$A$6:$A$4003))),--('Diags Raw Data'!$Q$6:$Q$4003&lt;&gt;"N/A"),'Diags Raw Data'!$R$6:$R$4003)</f>
        <v>1</v>
      </c>
      <c r="N53" s="516" cm="1">
        <f t="array" ref="N53">SUMPRODUCT(--(ISNUMBER(SEARCH($A53,'Diags Raw Data'!$A$6:$A$4003))),--('Diags Raw Data'!$Q$6:$Q$4003&lt;&gt;"N/A"),'Diags Raw Data'!$T$6:$T$4003)+SUMPRODUCT(--(ISNUMBER(SEARCH($A53,'Diags Raw Data'!$A$6:$A$4003))),--('Diags Raw Data'!$Q$6:$Q$4003&lt;&gt;"N/A"),'Diags Raw Data'!$U$6:$U$4003)</f>
        <v>1</v>
      </c>
      <c r="O53" s="517">
        <f t="shared" si="2"/>
        <v>1</v>
      </c>
      <c r="P53" s="518">
        <f>SUMIF('Diags Raw Data'!$A$6:$A$4003,"*"&amp;$A53&amp;"*",'Diags Raw Data'!$Z$6:$Z$4003)</f>
        <v>0</v>
      </c>
      <c r="Q53" s="519">
        <f>SUM(SUMIF('Diags Raw Data'!$A$6:$A$4003,"*"&amp;$A53&amp;"*",'Diags Raw Data'!$AA$6:$AA$4003),SUMIF('Diags Raw Data'!$A$6:$A$4003,"*"&amp;$A53&amp;"*",'Diags Raw Data'!$AB$6:$AB$4003))</f>
        <v>0</v>
      </c>
      <c r="R53" s="520">
        <f t="shared" si="3"/>
        <v>0</v>
      </c>
      <c r="S53" s="520">
        <f t="shared" si="4"/>
        <v>0</v>
      </c>
      <c r="T53" s="521">
        <f t="shared" si="5"/>
        <v>0</v>
      </c>
      <c r="U53" s="456" t="str">
        <f>VLOOKUP(A53,'Diags Raw Data'!$A$6:$AH$4003,33,FALSE)</f>
        <v>WK5</v>
      </c>
      <c r="V53" s="182"/>
    </row>
    <row r="54" spans="1:22" ht="30.75" thickBot="1" x14ac:dyDescent="0.3">
      <c r="A54" s="576">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Data'!$A$6:$A$4003)),CONCATENATE('Diags Raw Data'!$H$6:$H$4003,", "),""))</f>
        <v xml:space="preserve">N/A, </v>
      </c>
      <c r="E54" s="341" t="str">
        <f>VLOOKUP(A54,'Diags Raw Data'!$A$6:$D$4003,4,FALSE)</f>
        <v>SH</v>
      </c>
      <c r="F54" s="341" t="str">
        <f>VLOOKUP(A54,'Feature Raw Data'!$A$3:$E$3922,5,FALSE)</f>
        <v>Legacy</v>
      </c>
      <c r="G54" s="341" t="str">
        <f t="shared" si="0"/>
        <v>No</v>
      </c>
      <c r="H54" s="341" t="str">
        <f t="shared" si="1"/>
        <v>No</v>
      </c>
      <c r="I54" s="459">
        <f>SUMIF('Diags Raw Data'!$A$6:$A$4003,"*"&amp;$A54&amp;"*",'Diags Raw Data'!$K$6:$K$4003)</f>
        <v>0</v>
      </c>
      <c r="J54" s="461">
        <f>SUMIF('Diags Raw Data'!$A$6:$A$4003,"*"&amp;$A54&amp;"*",'Diags Raw Data'!$L$6:$L$4003)</f>
        <v>0</v>
      </c>
      <c r="K54" s="513" t="e" cm="1">
        <f t="array" ref="K54">IF(D54="",0, SUMPRODUCT(--(ISNUMBER(SEARCH($A54,'Diags Raw Data'!$A$6:$A$4003))),'Diags Raw Data'!$L$6:$L$4003,'Diags Raw Data'!$N$6:$N$4003)/J54)</f>
        <v>#DIV/0!</v>
      </c>
      <c r="L54" s="514" t="e" cm="1">
        <f t="array" ref="L54">IF(D54="",0, SUMPRODUCT(--(ISNUMBER(SEARCH($A54,'Diags Raw Data'!$A$6:$A$4003))),'Diags Raw Data'!$L$6:$L$4003,'Diags Raw Data'!$P$6:$P$4003)/J54)</f>
        <v>#DIV/0!</v>
      </c>
      <c r="M54" s="515" cm="1">
        <f t="array" ref="M54">SUMPRODUCT(--(ISNUMBER(SEARCH($A54,'Diags Raw Data'!$A$6:$A$4003))),--('Diags Raw Data'!$Q$6:$Q$4003&lt;&gt;"N/A"),'Diags Raw Data'!$R$6:$R$4003)</f>
        <v>0</v>
      </c>
      <c r="N54" s="516" cm="1">
        <f t="array" ref="N54">SUMPRODUCT(--(ISNUMBER(SEARCH($A54,'Diags Raw Data'!$A$6:$A$4003))),--('Diags Raw Data'!$Q$6:$Q$4003&lt;&gt;"N/A"),'Diags Raw Data'!$T$6:$T$4003)+SUMPRODUCT(--(ISNUMBER(SEARCH($A54,'Diags Raw Data'!$A$6:$A$4003))),--('Diags Raw Data'!$Q$6:$Q$4003&lt;&gt;"N/A"),'Diags Raw Data'!$U$6:$U$4003)</f>
        <v>0</v>
      </c>
      <c r="O54" s="517">
        <f t="shared" si="2"/>
        <v>0</v>
      </c>
      <c r="P54" s="518">
        <f>SUMIF('Diags Raw Data'!$A$6:$A$4003,"*"&amp;$A54&amp;"*",'Diags Raw Data'!$Z$6:$Z$4003)</f>
        <v>0</v>
      </c>
      <c r="Q54" s="519">
        <f>SUM(SUMIF('Diags Raw Data'!$A$6:$A$4003,"*"&amp;$A54&amp;"*",'Diags Raw Data'!$AA$6:$AA$4003),SUMIF('Diags Raw Data'!$A$6:$A$4003,"*"&amp;$A54&amp;"*",'Diags Raw Data'!$AB$6:$AB$4003))</f>
        <v>0</v>
      </c>
      <c r="R54" s="520">
        <f t="shared" si="3"/>
        <v>0</v>
      </c>
      <c r="S54" s="520">
        <f t="shared" si="4"/>
        <v>0</v>
      </c>
      <c r="T54" s="521">
        <f t="shared" si="5"/>
        <v>0</v>
      </c>
      <c r="U54" s="456" t="str">
        <f>VLOOKUP(A54,'Diags Raw Data'!$A$6:$AH$4003,33,FALSE)</f>
        <v>N/A</v>
      </c>
      <c r="V54" s="182"/>
    </row>
    <row r="55" spans="1:22" ht="45.75" thickBot="1" x14ac:dyDescent="0.3">
      <c r="A55" s="576">
        <v>12.068999999999962</v>
      </c>
      <c r="B55" s="458" t="str">
        <f>VLOOKUP(A55,'Feature Raw Data'!$A$3:$B$3922,2,FALSE)</f>
        <v xml:space="preserve">WGP-takeover mode </v>
      </c>
      <c r="C55" s="459" t="str">
        <f>VLOOKUP(A55,'Feature Raw Data'!$A$3:$C$3922,3,FALSE)</f>
        <v>P1</v>
      </c>
      <c r="D55" s="460" t="str" cm="1">
        <f t="array" ref="D55">_xlfn.TEXTJOIN("",TRUE,IF(ISNUMBER(SEARCH($A55,'Diags Raw Data'!$A$6:$A$4003)),CONCATENATE('Diags Raw Data'!$H$6:$H$4003,", "),""))</f>
        <v xml:space="preserve">gci1303.0
gci1303.1
gci1303.2, </v>
      </c>
      <c r="E55" s="341" t="str">
        <f>VLOOKUP(A55,'Diags Raw Data'!$A$6:$D$4003,4,FALSE)</f>
        <v>SH</v>
      </c>
      <c r="F55" s="341" t="str">
        <f>VLOOKUP(A55,'Feature Raw Data'!$A$3:$E$3922,5,FALSE)</f>
        <v>New</v>
      </c>
      <c r="G55" s="341" t="str">
        <f t="shared" si="0"/>
        <v>Yes</v>
      </c>
      <c r="H55" s="341" t="str">
        <f t="shared" si="1"/>
        <v>Yes</v>
      </c>
      <c r="I55" s="459">
        <f>SUMIF('Diags Raw Data'!$A$6:$A$4003,"*"&amp;$A55&amp;"*",'Diags Raw Data'!$K$6:$K$4003)</f>
        <v>0</v>
      </c>
      <c r="J55" s="461">
        <f>SUMIF('Diags Raw Data'!$A$6:$A$4003,"*"&amp;$A55&amp;"*",'Diags Raw Data'!$L$6:$L$4003)</f>
        <v>0</v>
      </c>
      <c r="K55" s="513" t="e" cm="1">
        <f t="array" ref="K55">IF(D55="",0, SUMPRODUCT(--(ISNUMBER(SEARCH($A55,'Diags Raw Data'!$A$6:$A$4003))),'Diags Raw Data'!$L$6:$L$4003,'Diags Raw Data'!$N$6:$N$4003)/J55)</f>
        <v>#DIV/0!</v>
      </c>
      <c r="L55" s="514" t="e" cm="1">
        <f t="array" ref="L55">IF(D55="",0, SUMPRODUCT(--(ISNUMBER(SEARCH($A55,'Diags Raw Data'!$A$6:$A$4003))),'Diags Raw Data'!$L$6:$L$4003,'Diags Raw Data'!$P$6:$P$4003)/J55)</f>
        <v>#DIV/0!</v>
      </c>
      <c r="M55" s="515" cm="1">
        <f t="array" ref="M55">SUMPRODUCT(--(ISNUMBER(SEARCH($A55,'Diags Raw Data'!$A$6:$A$4003))),--('Diags Raw Data'!$Q$6:$Q$4003&lt;&gt;"N/A"),'Diags Raw Data'!$R$6:$R$4003)</f>
        <v>3</v>
      </c>
      <c r="N55" s="516" cm="1">
        <f t="array" ref="N55">SUMPRODUCT(--(ISNUMBER(SEARCH($A55,'Diags Raw Data'!$A$6:$A$4003))),--('Diags Raw Data'!$Q$6:$Q$4003&lt;&gt;"N/A"),'Diags Raw Data'!$T$6:$T$4003)+SUMPRODUCT(--(ISNUMBER(SEARCH($A55,'Diags Raw Data'!$A$6:$A$4003))),--('Diags Raw Data'!$Q$6:$Q$4003&lt;&gt;"N/A"),'Diags Raw Data'!$U$6:$U$4003)</f>
        <v>3</v>
      </c>
      <c r="O55" s="517">
        <f t="shared" si="2"/>
        <v>1</v>
      </c>
      <c r="P55" s="518">
        <f>SUMIF('Diags Raw Data'!$A$6:$A$4003,"*"&amp;$A55&amp;"*",'Diags Raw Data'!$Z$6:$Z$4003)</f>
        <v>0</v>
      </c>
      <c r="Q55" s="519">
        <f>SUM(SUMIF('Diags Raw Data'!$A$6:$A$4003,"*"&amp;$A55&amp;"*",'Diags Raw Data'!$AA$6:$AA$4003),SUMIF('Diags Raw Data'!$A$6:$A$4003,"*"&amp;$A55&amp;"*",'Diags Raw Data'!$AB$6:$AB$4003))</f>
        <v>0</v>
      </c>
      <c r="R55" s="520">
        <f t="shared" si="3"/>
        <v>0</v>
      </c>
      <c r="S55" s="520">
        <f t="shared" si="4"/>
        <v>0</v>
      </c>
      <c r="T55" s="521">
        <f t="shared" si="5"/>
        <v>0</v>
      </c>
      <c r="U55" s="456" t="str">
        <f>VLOOKUP(A55,'Diags Raw Data'!$A$6:$AH$4003,33,FALSE)</f>
        <v>WK5</v>
      </c>
      <c r="V55" s="182"/>
    </row>
    <row r="56" spans="1:22" ht="45.75" thickBot="1" x14ac:dyDescent="0.3">
      <c r="A56" s="576">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Data'!$A$6:$A$4003)),CONCATENATE('Diags Raw Data'!$H$6:$H$4003,", "),""))</f>
        <v xml:space="preserve">N/A, </v>
      </c>
      <c r="E56" s="341" t="str">
        <f>VLOOKUP(A56,'Diags Raw Data'!$A$6:$D$4003,4,FALSE)</f>
        <v>SH</v>
      </c>
      <c r="F56" s="341" t="str">
        <f>VLOOKUP(A56,'Feature Raw Data'!$A$3:$E$3922,5,FALSE)</f>
        <v>New</v>
      </c>
      <c r="G56" s="341" t="str">
        <f t="shared" si="0"/>
        <v>No</v>
      </c>
      <c r="H56" s="341" t="str">
        <f t="shared" si="1"/>
        <v>No</v>
      </c>
      <c r="I56" s="459">
        <f>SUMIF('Diags Raw Data'!$A$6:$A$4003,"*"&amp;$A56&amp;"*",'Diags Raw Data'!$K$6:$K$4003)</f>
        <v>0</v>
      </c>
      <c r="J56" s="461">
        <f>SUMIF('Diags Raw Data'!$A$6:$A$4003,"*"&amp;$A56&amp;"*",'Diags Raw Data'!$L$6:$L$4003)</f>
        <v>0</v>
      </c>
      <c r="K56" s="513" t="e" cm="1">
        <f t="array" ref="K56">IF(D56="",0, SUMPRODUCT(--(ISNUMBER(SEARCH($A56,'Diags Raw Data'!$A$6:$A$4003))),'Diags Raw Data'!$L$6:$L$4003,'Diags Raw Data'!$N$6:$N$4003)/J56)</f>
        <v>#DIV/0!</v>
      </c>
      <c r="L56" s="514" t="e" cm="1">
        <f t="array" ref="L56">IF(D56="",0, SUMPRODUCT(--(ISNUMBER(SEARCH($A56,'Diags Raw Data'!$A$6:$A$4003))),'Diags Raw Data'!$L$6:$L$4003,'Diags Raw Data'!$P$6:$P$4003)/J56)</f>
        <v>#DIV/0!</v>
      </c>
      <c r="M56" s="515" cm="1">
        <f t="array" ref="M56">SUMPRODUCT(--(ISNUMBER(SEARCH($A56,'Diags Raw Data'!$A$6:$A$4003))),--('Diags Raw Data'!$Q$6:$Q$4003&lt;&gt;"N/A"),'Diags Raw Data'!$R$6:$R$4003)</f>
        <v>0</v>
      </c>
      <c r="N56" s="516" cm="1">
        <f t="array" ref="N56">SUMPRODUCT(--(ISNUMBER(SEARCH($A56,'Diags Raw Data'!$A$6:$A$4003))),--('Diags Raw Data'!$Q$6:$Q$4003&lt;&gt;"N/A"),'Diags Raw Data'!$T$6:$T$4003)+SUMPRODUCT(--(ISNUMBER(SEARCH($A56,'Diags Raw Data'!$A$6:$A$4003))),--('Diags Raw Data'!$Q$6:$Q$4003&lt;&gt;"N/A"),'Diags Raw Data'!$U$6:$U$4003)</f>
        <v>0</v>
      </c>
      <c r="O56" s="517">
        <f t="shared" si="2"/>
        <v>0</v>
      </c>
      <c r="P56" s="518">
        <f>SUMIF('Diags Raw Data'!$A$6:$A$4003,"*"&amp;$A56&amp;"*",'Diags Raw Data'!$Z$6:$Z$4003)</f>
        <v>0</v>
      </c>
      <c r="Q56" s="519">
        <f>SUM(SUMIF('Diags Raw Data'!$A$6:$A$4003,"*"&amp;$A56&amp;"*",'Diags Raw Data'!$AA$6:$AA$4003),SUMIF('Diags Raw Data'!$A$6:$A$4003,"*"&amp;$A56&amp;"*",'Diags Raw Data'!$AB$6:$AB$4003))</f>
        <v>0</v>
      </c>
      <c r="R56" s="520">
        <f t="shared" si="3"/>
        <v>0</v>
      </c>
      <c r="S56" s="520">
        <f t="shared" si="4"/>
        <v>0</v>
      </c>
      <c r="T56" s="521">
        <f t="shared" si="5"/>
        <v>0</v>
      </c>
      <c r="U56" s="456" t="str">
        <f>VLOOKUP(A56,'Diags Raw Data'!$A$6:$AH$4003,33,FALSE)</f>
        <v>N/A</v>
      </c>
      <c r="V56" s="182"/>
    </row>
    <row r="57" spans="1:22" ht="30.75" thickBot="1" x14ac:dyDescent="0.3">
      <c r="A57" s="576">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Data'!$A$6:$A$4003)),CONCATENATE('Diags Raw Data'!$H$6:$H$4003,", "),""))</f>
        <v xml:space="preserve">gfx.inst_perf/vglobal_signed_offset, </v>
      </c>
      <c r="E57" s="341" t="str">
        <f>VLOOKUP(A57,'Diags Raw Data'!$A$6:$D$4003,4,FALSE)</f>
        <v>SH</v>
      </c>
      <c r="F57" s="341" t="str">
        <f>VLOOKUP(A57,'Feature Raw Data'!$A$3:$E$3922,5,FALSE)</f>
        <v>New</v>
      </c>
      <c r="G57" s="341" t="str">
        <f t="shared" si="0"/>
        <v>Yes</v>
      </c>
      <c r="H57" s="341" t="str">
        <f t="shared" si="1"/>
        <v>Yes</v>
      </c>
      <c r="I57" s="459">
        <f>SUMIF('Diags Raw Data'!$A$6:$A$4003,"*"&amp;$A57&amp;"*",'Diags Raw Data'!$K$6:$K$4003)</f>
        <v>0</v>
      </c>
      <c r="J57" s="461">
        <f>SUMIF('Diags Raw Data'!$A$6:$A$4003,"*"&amp;$A57&amp;"*",'Diags Raw Data'!$L$6:$L$4003)</f>
        <v>0</v>
      </c>
      <c r="K57" s="513" t="e" cm="1">
        <f t="array" ref="K57">IF(D57="",0, SUMPRODUCT(--(ISNUMBER(SEARCH($A57,'Diags Raw Data'!$A$6:$A$4003))),'Diags Raw Data'!$L$6:$L$4003,'Diags Raw Data'!$N$6:$N$4003)/J57)</f>
        <v>#DIV/0!</v>
      </c>
      <c r="L57" s="514" t="e" cm="1">
        <f t="array" ref="L57">IF(D57="",0, SUMPRODUCT(--(ISNUMBER(SEARCH($A57,'Diags Raw Data'!$A$6:$A$4003))),'Diags Raw Data'!$L$6:$L$4003,'Diags Raw Data'!$P$6:$P$4003)/J57)</f>
        <v>#DIV/0!</v>
      </c>
      <c r="M57" s="515" cm="1">
        <f t="array" ref="M57">SUMPRODUCT(--(ISNUMBER(SEARCH($A57,'Diags Raw Data'!$A$6:$A$4003))),--('Diags Raw Data'!$Q$6:$Q$4003&lt;&gt;"N/A"),'Diags Raw Data'!$R$6:$R$4003)</f>
        <v>1</v>
      </c>
      <c r="N57" s="516" cm="1">
        <f t="array" ref="N57">SUMPRODUCT(--(ISNUMBER(SEARCH($A57,'Diags Raw Data'!$A$6:$A$4003))),--('Diags Raw Data'!$Q$6:$Q$4003&lt;&gt;"N/A"),'Diags Raw Data'!$T$6:$T$4003)+SUMPRODUCT(--(ISNUMBER(SEARCH($A57,'Diags Raw Data'!$A$6:$A$4003))),--('Diags Raw Data'!$Q$6:$Q$4003&lt;&gt;"N/A"),'Diags Raw Data'!$U$6:$U$4003)</f>
        <v>1</v>
      </c>
      <c r="O57" s="517">
        <f t="shared" si="2"/>
        <v>1</v>
      </c>
      <c r="P57" s="518">
        <f>SUMIF('Diags Raw Data'!$A$6:$A$4003,"*"&amp;$A57&amp;"*",'Diags Raw Data'!$Z$6:$Z$4003)</f>
        <v>0</v>
      </c>
      <c r="Q57" s="519">
        <f>SUM(SUMIF('Diags Raw Data'!$A$6:$A$4003,"*"&amp;$A57&amp;"*",'Diags Raw Data'!$AA$6:$AA$4003),SUMIF('Diags Raw Data'!$A$6:$A$4003,"*"&amp;$A57&amp;"*",'Diags Raw Data'!$AB$6:$AB$4003))</f>
        <v>0</v>
      </c>
      <c r="R57" s="520">
        <f t="shared" si="3"/>
        <v>0</v>
      </c>
      <c r="S57" s="520">
        <f t="shared" si="4"/>
        <v>0</v>
      </c>
      <c r="T57" s="521">
        <f t="shared" si="5"/>
        <v>0</v>
      </c>
      <c r="U57" s="456" t="str">
        <f>VLOOKUP(A57,'Diags Raw Data'!$A$6:$AH$4003,33,FALSE)</f>
        <v>WK8</v>
      </c>
      <c r="V57" s="182"/>
    </row>
    <row r="58" spans="1:22" ht="15.75" thickBot="1" x14ac:dyDescent="0.3">
      <c r="A58" s="576">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9">
        <f>SUMIF('Diags Raw Data'!$A$6:$A$4003,"*"&amp;$A58&amp;"*",'Diags Raw Data'!$K$6:$K$4003)</f>
        <v>0</v>
      </c>
      <c r="J58" s="461">
        <f>SUMIF('Diags Raw Data'!$A$6:$A$4003,"*"&amp;$A58&amp;"*",'Diags Raw Data'!$L$6:$L$4003)</f>
        <v>0</v>
      </c>
      <c r="K58" s="513" t="e" cm="1">
        <f t="array" ref="K58">IF(D58="",0, SUMPRODUCT(--(ISNUMBER(SEARCH($A58,'Diags Raw Data'!$A$6:$A$4003))),'Diags Raw Data'!$L$6:$L$4003,'Diags Raw Data'!$N$6:$N$4003)/J58)</f>
        <v>#DIV/0!</v>
      </c>
      <c r="L58" s="514" t="e" cm="1">
        <f t="array" ref="L58">IF(D58="",0, SUMPRODUCT(--(ISNUMBER(SEARCH($A58,'Diags Raw Data'!$A$6:$A$4003))),'Diags Raw Data'!$L$6:$L$4003,'Diags Raw Data'!$P$6:$P$4003)/J58)</f>
        <v>#DIV/0!</v>
      </c>
      <c r="M58" s="515" cm="1">
        <f t="array" ref="M58">SUMPRODUCT(--(ISNUMBER(SEARCH($A58,'Diags Raw Data'!$A$6:$A$4003))),--('Diags Raw Data'!$Q$6:$Q$4003&lt;&gt;"N/A"),'Diags Raw Data'!$R$6:$R$4003)</f>
        <v>0</v>
      </c>
      <c r="N58" s="516" cm="1">
        <f t="array" ref="N58">SUMPRODUCT(--(ISNUMBER(SEARCH($A58,'Diags Raw Data'!$A$6:$A$4003))),--('Diags Raw Data'!$Q$6:$Q$4003&lt;&gt;"N/A"),'Diags Raw Data'!$T$6:$T$4003)+SUMPRODUCT(--(ISNUMBER(SEARCH($A58,'Diags Raw Data'!$A$6:$A$4003))),--('Diags Raw Data'!$Q$6:$Q$4003&lt;&gt;"N/A"),'Diags Raw Data'!$U$6:$U$4003)</f>
        <v>0</v>
      </c>
      <c r="O58" s="517">
        <f t="shared" si="2"/>
        <v>0</v>
      </c>
      <c r="P58" s="518">
        <f>SUMIF('Diags Raw Data'!$A$6:$A$4003,"*"&amp;$A58&amp;"*",'Diags Raw Data'!$Z$6:$Z$4003)</f>
        <v>0</v>
      </c>
      <c r="Q58" s="519">
        <f>SUM(SUMIF('Diags Raw Data'!$A$6:$A$4003,"*"&amp;$A58&amp;"*",'Diags Raw Data'!$AA$6:$AA$4003),SUMIF('Diags Raw Data'!$A$6:$A$4003,"*"&amp;$A58&amp;"*",'Diags Raw Data'!$AB$6:$AB$4003))</f>
        <v>0</v>
      </c>
      <c r="R58" s="520">
        <f t="shared" si="3"/>
        <v>0</v>
      </c>
      <c r="S58" s="520">
        <f t="shared" si="4"/>
        <v>0</v>
      </c>
      <c r="T58" s="521">
        <f t="shared" si="5"/>
        <v>0</v>
      </c>
      <c r="U58" s="456" t="str">
        <f>VLOOKUP(A58,'Diags Raw Data'!$A$6:$AH$4003,33,FALSE)</f>
        <v>N/A</v>
      </c>
      <c r="V58" s="182"/>
    </row>
    <row r="59" spans="1:22" ht="15.75" thickBot="1" x14ac:dyDescent="0.3">
      <c r="A59" s="576">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Data'!$A$6:$A$4003)),CONCATENATE('Diags Raw Data'!$H$6:$H$4003,", "),""))</f>
        <v xml:space="preserve">gci1302.0 / gci1302.1, </v>
      </c>
      <c r="E59" s="341" t="str">
        <f>VLOOKUP(A59,'Diags Raw Data'!$A$6:$D$4003,4,FALSE)</f>
        <v>SH</v>
      </c>
      <c r="F59" s="341" t="str">
        <f>VLOOKUP(A59,'Feature Raw Data'!$A$3:$E$3922,5,FALSE)</f>
        <v>New</v>
      </c>
      <c r="G59" s="341" t="str">
        <f t="shared" si="0"/>
        <v>Yes</v>
      </c>
      <c r="H59" s="341" t="str">
        <f t="shared" si="1"/>
        <v>Yes</v>
      </c>
      <c r="I59" s="459">
        <f>SUMIF('Diags Raw Data'!$A$6:$A$4003,"*"&amp;$A59&amp;"*",'Diags Raw Data'!$K$6:$K$4003)</f>
        <v>0</v>
      </c>
      <c r="J59" s="461">
        <f>SUMIF('Diags Raw Data'!$A$6:$A$4003,"*"&amp;$A59&amp;"*",'Diags Raw Data'!$L$6:$L$4003)</f>
        <v>0</v>
      </c>
      <c r="K59" s="513" t="e" cm="1">
        <f t="array" ref="K59">IF(D59="",0, SUMPRODUCT(--(ISNUMBER(SEARCH($A59,'Diags Raw Data'!$A$6:$A$4003))),'Diags Raw Data'!$L$6:$L$4003,'Diags Raw Data'!$N$6:$N$4003)/J59)</f>
        <v>#DIV/0!</v>
      </c>
      <c r="L59" s="514" t="e" cm="1">
        <f t="array" ref="L59">IF(D59="",0, SUMPRODUCT(--(ISNUMBER(SEARCH($A59,'Diags Raw Data'!$A$6:$A$4003))),'Diags Raw Data'!$L$6:$L$4003,'Diags Raw Data'!$P$6:$P$4003)/J59)</f>
        <v>#DIV/0!</v>
      </c>
      <c r="M59" s="515" cm="1">
        <f t="array" ref="M59">SUMPRODUCT(--(ISNUMBER(SEARCH($A59,'Diags Raw Data'!$A$6:$A$4003))),--('Diags Raw Data'!$Q$6:$Q$4003&lt;&gt;"N/A"),'Diags Raw Data'!$R$6:$R$4003)</f>
        <v>2</v>
      </c>
      <c r="N59" s="516" cm="1">
        <f t="array" ref="N59">SUMPRODUCT(--(ISNUMBER(SEARCH($A59,'Diags Raw Data'!$A$6:$A$4003))),--('Diags Raw Data'!$Q$6:$Q$4003&lt;&gt;"N/A"),'Diags Raw Data'!$T$6:$T$4003)+SUMPRODUCT(--(ISNUMBER(SEARCH($A59,'Diags Raw Data'!$A$6:$A$4003))),--('Diags Raw Data'!$Q$6:$Q$4003&lt;&gt;"N/A"),'Diags Raw Data'!$U$6:$U$4003)</f>
        <v>2</v>
      </c>
      <c r="O59" s="517">
        <f t="shared" si="2"/>
        <v>1</v>
      </c>
      <c r="P59" s="518">
        <f>SUMIF('Diags Raw Data'!$A$6:$A$4003,"*"&amp;$A59&amp;"*",'Diags Raw Data'!$Z$6:$Z$4003)</f>
        <v>0</v>
      </c>
      <c r="Q59" s="519">
        <f>SUM(SUMIF('Diags Raw Data'!$A$6:$A$4003,"*"&amp;$A59&amp;"*",'Diags Raw Data'!$AA$6:$AA$4003),SUMIF('Diags Raw Data'!$A$6:$A$4003,"*"&amp;$A59&amp;"*",'Diags Raw Data'!$AB$6:$AB$4003))</f>
        <v>0</v>
      </c>
      <c r="R59" s="520">
        <f t="shared" si="3"/>
        <v>0</v>
      </c>
      <c r="S59" s="520">
        <f t="shared" si="4"/>
        <v>0</v>
      </c>
      <c r="T59" s="521">
        <f t="shared" si="5"/>
        <v>0</v>
      </c>
      <c r="U59" s="456" t="str">
        <f>VLOOKUP(A59,'Diags Raw Data'!$A$6:$AH$4003,33,FALSE)</f>
        <v>WK1</v>
      </c>
      <c r="V59" s="182"/>
    </row>
    <row r="60" spans="1:22" ht="45.75" thickBot="1" x14ac:dyDescent="0.3">
      <c r="A60" s="576">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Data'!$A$6:$A$4003)),CONCATENATE('Diags Raw Data'!$H$6:$H$4003,", "),""))</f>
        <v xml:space="preserve">gfx.inst_perf/v_add_f64
gfx.inst_perf/v_mul_f64
gfx.inst_perf/v_lshlrev_b64, </v>
      </c>
      <c r="E60" s="341" t="str">
        <f>VLOOKUP(A60,'Diags Raw Data'!$A$6:$D$4003,4,FALSE)</f>
        <v>SH</v>
      </c>
      <c r="F60" s="341" t="str">
        <f>VLOOKUP(A60,'Feature Raw Data'!$A$3:$E$3922,5,FALSE)</f>
        <v>New</v>
      </c>
      <c r="G60" s="341" t="str">
        <f t="shared" si="0"/>
        <v>Yes</v>
      </c>
      <c r="H60" s="341" t="str">
        <f t="shared" si="1"/>
        <v>Yes</v>
      </c>
      <c r="I60" s="459">
        <f>SUMIF('Diags Raw Data'!$A$6:$A$4003,"*"&amp;$A60&amp;"*",'Diags Raw Data'!$K$6:$K$4003)</f>
        <v>0</v>
      </c>
      <c r="J60" s="461">
        <f>SUMIF('Diags Raw Data'!$A$6:$A$4003,"*"&amp;$A60&amp;"*",'Diags Raw Data'!$L$6:$L$4003)</f>
        <v>0</v>
      </c>
      <c r="K60" s="513" t="e" cm="1">
        <f t="array" ref="K60">IF(D60="",0, SUMPRODUCT(--(ISNUMBER(SEARCH($A60,'Diags Raw Data'!$A$6:$A$4003))),'Diags Raw Data'!$L$6:$L$4003,'Diags Raw Data'!$N$6:$N$4003)/J60)</f>
        <v>#DIV/0!</v>
      </c>
      <c r="L60" s="514" t="e" cm="1">
        <f t="array" ref="L60">IF(D60="",0, SUMPRODUCT(--(ISNUMBER(SEARCH($A60,'Diags Raw Data'!$A$6:$A$4003))),'Diags Raw Data'!$L$6:$L$4003,'Diags Raw Data'!$P$6:$P$4003)/J60)</f>
        <v>#DIV/0!</v>
      </c>
      <c r="M60" s="515" cm="1">
        <f t="array" ref="M60">SUMPRODUCT(--(ISNUMBER(SEARCH($A60,'Diags Raw Data'!$A$6:$A$4003))),--('Diags Raw Data'!$Q$6:$Q$4003&lt;&gt;"N/A"),'Diags Raw Data'!$R$6:$R$4003)</f>
        <v>3</v>
      </c>
      <c r="N60" s="516" cm="1">
        <f t="array" ref="N60">SUMPRODUCT(--(ISNUMBER(SEARCH($A60,'Diags Raw Data'!$A$6:$A$4003))),--('Diags Raw Data'!$Q$6:$Q$4003&lt;&gt;"N/A"),'Diags Raw Data'!$T$6:$T$4003)+SUMPRODUCT(--(ISNUMBER(SEARCH($A60,'Diags Raw Data'!$A$6:$A$4003))),--('Diags Raw Data'!$Q$6:$Q$4003&lt;&gt;"N/A"),'Diags Raw Data'!$U$6:$U$4003)</f>
        <v>3</v>
      </c>
      <c r="O60" s="517">
        <f t="shared" si="2"/>
        <v>1</v>
      </c>
      <c r="P60" s="518">
        <f>SUMIF('Diags Raw Data'!$A$6:$A$4003,"*"&amp;$A60&amp;"*",'Diags Raw Data'!$Z$6:$Z$4003)</f>
        <v>0</v>
      </c>
      <c r="Q60" s="519">
        <f>SUM(SUMIF('Diags Raw Data'!$A$6:$A$4003,"*"&amp;$A60&amp;"*",'Diags Raw Data'!$AA$6:$AA$4003),SUMIF('Diags Raw Data'!$A$6:$A$4003,"*"&amp;$A60&amp;"*",'Diags Raw Data'!$AB$6:$AB$4003))</f>
        <v>0</v>
      </c>
      <c r="R60" s="520">
        <f t="shared" si="3"/>
        <v>0</v>
      </c>
      <c r="S60" s="520">
        <f t="shared" si="4"/>
        <v>0</v>
      </c>
      <c r="T60" s="521">
        <f t="shared" si="5"/>
        <v>0</v>
      </c>
      <c r="U60" s="456" t="str">
        <f>VLOOKUP(A60,'Diags Raw Data'!$A$6:$AH$4003,33,FALSE)</f>
        <v>WK8</v>
      </c>
      <c r="V60" s="182"/>
    </row>
    <row r="61" spans="1:22" ht="15.75" thickBot="1" x14ac:dyDescent="0.3">
      <c r="A61" s="576">
        <v>12.092000000000001</v>
      </c>
      <c r="B61" s="458" t="str">
        <f>VLOOKUP(A61,'Feature Raw Data'!$A$3:$B$3922,2,FALSE)</f>
        <v>Documentation - UTCL* MAS</v>
      </c>
      <c r="C61" s="459" t="str">
        <f>VLOOKUP(A61,'Feature Raw Data'!$A$3:$C$3922,3,FALSE)</f>
        <v>P2</v>
      </c>
      <c r="D61" s="460"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9">
        <f>SUMIF('Diags Raw Data'!$A$6:$A$4003,"*"&amp;$A61&amp;"*",'Diags Raw Data'!$K$6:$K$4003)</f>
        <v>0</v>
      </c>
      <c r="J61" s="461">
        <f>SUMIF('Diags Raw Data'!$A$6:$A$4003,"*"&amp;$A61&amp;"*",'Diags Raw Data'!$L$6:$L$4003)</f>
        <v>0</v>
      </c>
      <c r="K61" s="513" t="e" cm="1">
        <f t="array" ref="K61">IF(D61="",0, SUMPRODUCT(--(ISNUMBER(SEARCH($A61,'Diags Raw Data'!$A$6:$A$4003))),'Diags Raw Data'!$L$6:$L$4003,'Diags Raw Data'!$N$6:$N$4003)/J61)</f>
        <v>#DIV/0!</v>
      </c>
      <c r="L61" s="514" t="e" cm="1">
        <f t="array" ref="L61">IF(D61="",0, SUMPRODUCT(--(ISNUMBER(SEARCH($A61,'Diags Raw Data'!$A$6:$A$4003))),'Diags Raw Data'!$L$6:$L$4003,'Diags Raw Data'!$P$6:$P$4003)/J61)</f>
        <v>#DIV/0!</v>
      </c>
      <c r="M61" s="515" cm="1">
        <f t="array" ref="M61">SUMPRODUCT(--(ISNUMBER(SEARCH($A61,'Diags Raw Data'!$A$6:$A$4003))),--('Diags Raw Data'!$Q$6:$Q$4003&lt;&gt;"N/A"),'Diags Raw Data'!$R$6:$R$4003)</f>
        <v>0</v>
      </c>
      <c r="N61" s="516" cm="1">
        <f t="array" ref="N61">SUMPRODUCT(--(ISNUMBER(SEARCH($A61,'Diags Raw Data'!$A$6:$A$4003))),--('Diags Raw Data'!$Q$6:$Q$4003&lt;&gt;"N/A"),'Diags Raw Data'!$T$6:$T$4003)+SUMPRODUCT(--(ISNUMBER(SEARCH($A61,'Diags Raw Data'!$A$6:$A$4003))),--('Diags Raw Data'!$Q$6:$Q$4003&lt;&gt;"N/A"),'Diags Raw Data'!$U$6:$U$4003)</f>
        <v>0</v>
      </c>
      <c r="O61" s="517">
        <f t="shared" si="2"/>
        <v>0</v>
      </c>
      <c r="P61" s="518">
        <f>SUMIF('Diags Raw Data'!$A$6:$A$4003,"*"&amp;$A61&amp;"*",'Diags Raw Data'!$Z$6:$Z$4003)</f>
        <v>0</v>
      </c>
      <c r="Q61" s="519">
        <f>SUM(SUMIF('Diags Raw Data'!$A$6:$A$4003,"*"&amp;$A61&amp;"*",'Diags Raw Data'!$AA$6:$AA$4003),SUMIF('Diags Raw Data'!$A$6:$A$4003,"*"&amp;$A61&amp;"*",'Diags Raw Data'!$AB$6:$AB$4003))</f>
        <v>0</v>
      </c>
      <c r="R61" s="520">
        <f t="shared" si="3"/>
        <v>0</v>
      </c>
      <c r="S61" s="520">
        <f t="shared" si="4"/>
        <v>0</v>
      </c>
      <c r="T61" s="521">
        <f t="shared" si="5"/>
        <v>0</v>
      </c>
      <c r="U61" s="456" t="str">
        <f>VLOOKUP(A61,'Diags Raw Data'!$A$6:$AH$4003,33,FALSE)</f>
        <v>N/A</v>
      </c>
      <c r="V61" s="585" t="s">
        <v>380</v>
      </c>
    </row>
    <row r="62" spans="1:22" ht="30.75" thickBot="1" x14ac:dyDescent="0.3">
      <c r="A62" s="576">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Data'!$A$6:$A$4003)),CONCATENATE('Diags Raw Data'!$H$6:$H$4003,", "),""))</f>
        <v xml:space="preserve">N/A, </v>
      </c>
      <c r="E62" s="341" t="str">
        <f>VLOOKUP(A62,'Diags Raw Data'!$A$6:$D$4003,4,FALSE)</f>
        <v>CMM</v>
      </c>
      <c r="F62" s="341" t="str">
        <f>VLOOKUP(A62,'Feature Raw Data'!$A$3:$E$3922,5,FALSE)</f>
        <v>New</v>
      </c>
      <c r="G62" s="341" t="str">
        <f t="shared" ref="G62:G125" si="6">IF(D62="N/A, ","No","Yes")</f>
        <v>No</v>
      </c>
      <c r="H62" s="341" t="str">
        <f t="shared" si="1"/>
        <v>No</v>
      </c>
      <c r="I62" s="459">
        <f>SUMIF('Diags Raw Data'!$A$6:$A$4003,"*"&amp;$A62&amp;"*",'Diags Raw Data'!$K$6:$K$4003)</f>
        <v>0</v>
      </c>
      <c r="J62" s="461">
        <f>SUMIF('Diags Raw Data'!$A$6:$A$4003,"*"&amp;$A62&amp;"*",'Diags Raw Data'!$L$6:$L$4003)</f>
        <v>0</v>
      </c>
      <c r="K62" s="513" t="e" cm="1">
        <f t="array" ref="K62">IF(D62="",0, SUMPRODUCT(--(ISNUMBER(SEARCH($A62,'Diags Raw Data'!$A$6:$A$4003))),'Diags Raw Data'!$L$6:$L$4003,'Diags Raw Data'!$N$6:$N$4003)/J62)</f>
        <v>#DIV/0!</v>
      </c>
      <c r="L62" s="514" t="e" cm="1">
        <f t="array" ref="L62">IF(D62="",0, SUMPRODUCT(--(ISNUMBER(SEARCH($A62,'Diags Raw Data'!$A$6:$A$4003))),'Diags Raw Data'!$L$6:$L$4003,'Diags Raw Data'!$P$6:$P$4003)/J62)</f>
        <v>#DIV/0!</v>
      </c>
      <c r="M62" s="515" cm="1">
        <f t="array" ref="M62">SUMPRODUCT(--(ISNUMBER(SEARCH($A62,'Diags Raw Data'!$A$6:$A$4003))),--('Diags Raw Data'!$Q$6:$Q$4003&lt;&gt;"N/A"),'Diags Raw Data'!$R$6:$R$4003)</f>
        <v>0</v>
      </c>
      <c r="N62" s="516" cm="1">
        <f t="array" ref="N62">SUMPRODUCT(--(ISNUMBER(SEARCH($A62,'Diags Raw Data'!$A$6:$A$4003))),--('Diags Raw Data'!$Q$6:$Q$4003&lt;&gt;"N/A"),'Diags Raw Data'!$T$6:$T$4003)+SUMPRODUCT(--(ISNUMBER(SEARCH($A62,'Diags Raw Data'!$A$6:$A$4003))),--('Diags Raw Data'!$Q$6:$Q$4003&lt;&gt;"N/A"),'Diags Raw Data'!$U$6:$U$4003)</f>
        <v>0</v>
      </c>
      <c r="O62" s="517">
        <f t="shared" si="2"/>
        <v>0</v>
      </c>
      <c r="P62" s="518">
        <f>SUMIF('Diags Raw Data'!$A$6:$A$4003,"*"&amp;$A62&amp;"*",'Diags Raw Data'!$Z$6:$Z$4003)</f>
        <v>0</v>
      </c>
      <c r="Q62" s="519">
        <f>SUM(SUMIF('Diags Raw Data'!$A$6:$A$4003,"*"&amp;$A62&amp;"*",'Diags Raw Data'!$AA$6:$AA$4003),SUMIF('Diags Raw Data'!$A$6:$A$4003,"*"&amp;$A62&amp;"*",'Diags Raw Data'!$AB$6:$AB$4003))</f>
        <v>0</v>
      </c>
      <c r="R62" s="520">
        <f t="shared" si="3"/>
        <v>0</v>
      </c>
      <c r="S62" s="520">
        <f t="shared" si="4"/>
        <v>0</v>
      </c>
      <c r="T62" s="521">
        <f t="shared" si="5"/>
        <v>0</v>
      </c>
      <c r="U62" s="456" t="str">
        <f>VLOOKUP(A62,'Diags Raw Data'!$A$6:$AH$4003,33,FALSE)</f>
        <v>N/A</v>
      </c>
      <c r="V62" s="182"/>
    </row>
    <row r="63" spans="1:22" ht="30.75" thickBot="1" x14ac:dyDescent="0.3">
      <c r="A63" s="576">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9">
        <f>SUMIF('Diags Raw Data'!$A$6:$A$4003,"*"&amp;$A63&amp;"*",'Diags Raw Data'!$K$6:$K$4003)</f>
        <v>0</v>
      </c>
      <c r="J63" s="461">
        <f>SUMIF('Diags Raw Data'!$A$6:$A$4003,"*"&amp;$A63&amp;"*",'Diags Raw Data'!$L$6:$L$4003)</f>
        <v>0</v>
      </c>
      <c r="K63" s="513" t="e" cm="1">
        <f t="array" ref="K63">IF(D63="",0, SUMPRODUCT(--(ISNUMBER(SEARCH($A63,'Diags Raw Data'!$A$6:$A$4003))),'Diags Raw Data'!$L$6:$L$4003,'Diags Raw Data'!$N$6:$N$4003)/J63)</f>
        <v>#DIV/0!</v>
      </c>
      <c r="L63" s="514" t="e" cm="1">
        <f t="array" ref="L63">IF(D63="",0, SUMPRODUCT(--(ISNUMBER(SEARCH($A63,'Diags Raw Data'!$A$6:$A$4003))),'Diags Raw Data'!$L$6:$L$4003,'Diags Raw Data'!$P$6:$P$4003)/J63)</f>
        <v>#DIV/0!</v>
      </c>
      <c r="M63" s="515" cm="1">
        <f t="array" ref="M63">SUMPRODUCT(--(ISNUMBER(SEARCH($A63,'Diags Raw Data'!$A$6:$A$4003))),--('Diags Raw Data'!$Q$6:$Q$4003&lt;&gt;"N/A"),'Diags Raw Data'!$R$6:$R$4003)</f>
        <v>0</v>
      </c>
      <c r="N63" s="516" cm="1">
        <f t="array" ref="N63">SUMPRODUCT(--(ISNUMBER(SEARCH($A63,'Diags Raw Data'!$A$6:$A$4003))),--('Diags Raw Data'!$Q$6:$Q$4003&lt;&gt;"N/A"),'Diags Raw Data'!$T$6:$T$4003)+SUMPRODUCT(--(ISNUMBER(SEARCH($A63,'Diags Raw Data'!$A$6:$A$4003))),--('Diags Raw Data'!$Q$6:$Q$4003&lt;&gt;"N/A"),'Diags Raw Data'!$U$6:$U$4003)</f>
        <v>0</v>
      </c>
      <c r="O63" s="517">
        <f t="shared" si="2"/>
        <v>0</v>
      </c>
      <c r="P63" s="518">
        <f>SUMIF('Diags Raw Data'!$A$6:$A$4003,"*"&amp;$A63&amp;"*",'Diags Raw Data'!$Z$6:$Z$4003)</f>
        <v>0</v>
      </c>
      <c r="Q63" s="519">
        <f>SUM(SUMIF('Diags Raw Data'!$A$6:$A$4003,"*"&amp;$A63&amp;"*",'Diags Raw Data'!$AA$6:$AA$4003),SUMIF('Diags Raw Data'!$A$6:$A$4003,"*"&amp;$A63&amp;"*",'Diags Raw Data'!$AB$6:$AB$4003))</f>
        <v>0</v>
      </c>
      <c r="R63" s="520">
        <f t="shared" si="3"/>
        <v>0</v>
      </c>
      <c r="S63" s="520">
        <f t="shared" si="4"/>
        <v>0</v>
      </c>
      <c r="T63" s="521">
        <f t="shared" si="5"/>
        <v>0</v>
      </c>
      <c r="U63" s="456" t="str">
        <f>VLOOKUP(A63,'Diags Raw Data'!$A$6:$AH$4003,33,FALSE)</f>
        <v>N/A</v>
      </c>
      <c r="V63" s="585" t="s">
        <v>382</v>
      </c>
    </row>
    <row r="64" spans="1:22" ht="15.75" thickBot="1" x14ac:dyDescent="0.3">
      <c r="A64" s="576">
        <v>12.103999999999999</v>
      </c>
      <c r="B64" s="458" t="str">
        <f>VLOOKUP(A64,'Feature Raw Data'!$A$3:$B$3922,2,FALSE)</f>
        <v xml:space="preserve">GPUVM PTE bits </v>
      </c>
      <c r="C64" s="459" t="str">
        <f>VLOOKUP(A64,'Feature Raw Data'!$A$3:$C$3922,3,FALSE)</f>
        <v>P1</v>
      </c>
      <c r="D64" s="460" t="str" cm="1">
        <f t="array" ref="D64">_xlfn.TEXTJOIN("",TRUE,IF(ISNUMBER(SEARCH($A64,'Diags Raw Data'!$A$6:$A$4003)),CONCATENATE('Diags Raw Data'!$H$6:$H$4003,", "),""))</f>
        <v xml:space="preserve">N/A, </v>
      </c>
      <c r="E64" s="341" t="str">
        <f>VLOOKUP(A64,'Diags Raw Data'!$A$6:$D$4003,4,FALSE)</f>
        <v>UTCL2</v>
      </c>
      <c r="F64" s="341" t="str">
        <f>VLOOKUP(A64,'Feature Raw Data'!$A$3:$E$3922,5,FALSE)</f>
        <v>New</v>
      </c>
      <c r="G64" s="341" t="str">
        <f t="shared" si="6"/>
        <v>No</v>
      </c>
      <c r="H64" s="341" t="str">
        <f t="shared" ref="H64:H127" si="7">IF(D64="N/A, ","No","Yes")</f>
        <v>No</v>
      </c>
      <c r="I64" s="459">
        <f>SUMIF('Diags Raw Data'!$A$6:$A$4003,"*"&amp;$A64&amp;"*",'Diags Raw Data'!$K$6:$K$4003)</f>
        <v>0</v>
      </c>
      <c r="J64" s="461">
        <f>SUMIF('Diags Raw Data'!$A$6:$A$4003,"*"&amp;$A64&amp;"*",'Diags Raw Data'!$L$6:$L$4003)</f>
        <v>0</v>
      </c>
      <c r="K64" s="513" t="e" cm="1">
        <f t="array" ref="K64">IF(D64="",0, SUMPRODUCT(--(ISNUMBER(SEARCH($A64,'Diags Raw Data'!$A$6:$A$4003))),'Diags Raw Data'!$L$6:$L$4003,'Diags Raw Data'!$N$6:$N$4003)/J64)</f>
        <v>#DIV/0!</v>
      </c>
      <c r="L64" s="514" t="e" cm="1">
        <f t="array" ref="L64">IF(D64="",0, SUMPRODUCT(--(ISNUMBER(SEARCH($A64,'Diags Raw Data'!$A$6:$A$4003))),'Diags Raw Data'!$L$6:$L$4003,'Diags Raw Data'!$P$6:$P$4003)/J64)</f>
        <v>#DIV/0!</v>
      </c>
      <c r="M64" s="515" cm="1">
        <f t="array" ref="M64">SUMPRODUCT(--(ISNUMBER(SEARCH($A64,'Diags Raw Data'!$A$6:$A$4003))),--('Diags Raw Data'!$Q$6:$Q$4003&lt;&gt;"N/A"),'Diags Raw Data'!$R$6:$R$4003)</f>
        <v>0</v>
      </c>
      <c r="N64" s="516" cm="1">
        <f t="array" ref="N64">SUMPRODUCT(--(ISNUMBER(SEARCH($A64,'Diags Raw Data'!$A$6:$A$4003))),--('Diags Raw Data'!$Q$6:$Q$4003&lt;&gt;"N/A"),'Diags Raw Data'!$T$6:$T$4003)+SUMPRODUCT(--(ISNUMBER(SEARCH($A64,'Diags Raw Data'!$A$6:$A$4003))),--('Diags Raw Data'!$Q$6:$Q$4003&lt;&gt;"N/A"),'Diags Raw Data'!$U$6:$U$4003)</f>
        <v>0</v>
      </c>
      <c r="O64" s="517">
        <f t="shared" si="2"/>
        <v>0</v>
      </c>
      <c r="P64" s="518">
        <f>SUMIF('Diags Raw Data'!$A$6:$A$4003,"*"&amp;$A64&amp;"*",'Diags Raw Data'!$Z$6:$Z$4003)</f>
        <v>0</v>
      </c>
      <c r="Q64" s="519">
        <f>SUM(SUMIF('Diags Raw Data'!$A$6:$A$4003,"*"&amp;$A64&amp;"*",'Diags Raw Data'!$AA$6:$AA$4003),SUMIF('Diags Raw Data'!$A$6:$A$4003,"*"&amp;$A64&amp;"*",'Diags Raw Data'!$AB$6:$AB$4003))</f>
        <v>0</v>
      </c>
      <c r="R64" s="520">
        <f t="shared" si="3"/>
        <v>0</v>
      </c>
      <c r="S64" s="520">
        <f t="shared" si="4"/>
        <v>0</v>
      </c>
      <c r="T64" s="521">
        <f t="shared" si="5"/>
        <v>0</v>
      </c>
      <c r="U64" s="456" t="str">
        <f>VLOOKUP(A64,'Diags Raw Data'!$A$6:$AH$4003,33,FALSE)</f>
        <v>N/A</v>
      </c>
      <c r="V64" s="182"/>
    </row>
    <row r="65" spans="1:22" ht="45.75" thickBot="1" x14ac:dyDescent="0.3">
      <c r="A65" s="576">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9">
        <f>SUMIF('Diags Raw Data'!$A$6:$A$4003,"*"&amp;$A65&amp;"*",'Diags Raw Data'!$K$6:$K$4003)</f>
        <v>0</v>
      </c>
      <c r="J65" s="461">
        <f>SUMIF('Diags Raw Data'!$A$6:$A$4003,"*"&amp;$A65&amp;"*",'Diags Raw Data'!$L$6:$L$4003)</f>
        <v>0</v>
      </c>
      <c r="K65" s="513" t="e" cm="1">
        <f t="array" ref="K65">IF(D65="",0, SUMPRODUCT(--(ISNUMBER(SEARCH($A65,'Diags Raw Data'!$A$6:$A$4003))),'Diags Raw Data'!$L$6:$L$4003,'Diags Raw Data'!$N$6:$N$4003)/J65)</f>
        <v>#DIV/0!</v>
      </c>
      <c r="L65" s="514" t="e" cm="1">
        <f t="array" ref="L65">IF(D65="",0, SUMPRODUCT(--(ISNUMBER(SEARCH($A65,'Diags Raw Data'!$A$6:$A$4003))),'Diags Raw Data'!$L$6:$L$4003,'Diags Raw Data'!$P$6:$P$4003)/J65)</f>
        <v>#DIV/0!</v>
      </c>
      <c r="M65" s="515" cm="1">
        <f t="array" ref="M65">SUMPRODUCT(--(ISNUMBER(SEARCH($A65,'Diags Raw Data'!$A$6:$A$4003))),--('Diags Raw Data'!$Q$6:$Q$4003&lt;&gt;"N/A"),'Diags Raw Data'!$R$6:$R$4003)</f>
        <v>0</v>
      </c>
      <c r="N65" s="516" cm="1">
        <f t="array" ref="N65">SUMPRODUCT(--(ISNUMBER(SEARCH($A65,'Diags Raw Data'!$A$6:$A$4003))),--('Diags Raw Data'!$Q$6:$Q$4003&lt;&gt;"N/A"),'Diags Raw Data'!$T$6:$T$4003)+SUMPRODUCT(--(ISNUMBER(SEARCH($A65,'Diags Raw Data'!$A$6:$A$4003))),--('Diags Raw Data'!$Q$6:$Q$4003&lt;&gt;"N/A"),'Diags Raw Data'!$U$6:$U$4003)</f>
        <v>0</v>
      </c>
      <c r="O65" s="517">
        <f t="shared" si="2"/>
        <v>0</v>
      </c>
      <c r="P65" s="518">
        <f>SUMIF('Diags Raw Data'!$A$6:$A$4003,"*"&amp;$A65&amp;"*",'Diags Raw Data'!$Z$6:$Z$4003)</f>
        <v>0</v>
      </c>
      <c r="Q65" s="519">
        <f>SUM(SUMIF('Diags Raw Data'!$A$6:$A$4003,"*"&amp;$A65&amp;"*",'Diags Raw Data'!$AA$6:$AA$4003),SUMIF('Diags Raw Data'!$A$6:$A$4003,"*"&amp;$A65&amp;"*",'Diags Raw Data'!$AB$6:$AB$4003))</f>
        <v>0</v>
      </c>
      <c r="R65" s="520">
        <f t="shared" si="3"/>
        <v>0</v>
      </c>
      <c r="S65" s="520">
        <f t="shared" si="4"/>
        <v>0</v>
      </c>
      <c r="T65" s="521">
        <f t="shared" si="5"/>
        <v>0</v>
      </c>
      <c r="U65" s="456" t="str">
        <f>VLOOKUP(A65,'Diags Raw Data'!$A$6:$AH$4003,33,FALSE)</f>
        <v>N/A</v>
      </c>
      <c r="V65" s="585" t="s">
        <v>382</v>
      </c>
    </row>
    <row r="66" spans="1:22" ht="30.75" thickBot="1" x14ac:dyDescent="0.3">
      <c r="A66" s="576">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Data'!$A$6:$A$4003)),CONCATENATE('Diags Raw Data'!$H$6:$H$4003,", "),""))</f>
        <v xml:space="preserve">glxi82.1-6, </v>
      </c>
      <c r="E66" s="341" t="str">
        <f>VLOOKUP(A66,'Diags Raw Data'!$A$6:$D$4003,4,FALSE)</f>
        <v>CMM</v>
      </c>
      <c r="F66" s="341" t="str">
        <f>VLOOKUP(A66,'Feature Raw Data'!$A$3:$E$3922,5,FALSE)</f>
        <v>New</v>
      </c>
      <c r="G66" s="341" t="str">
        <f t="shared" si="6"/>
        <v>Yes</v>
      </c>
      <c r="H66" s="341" t="str">
        <f t="shared" si="7"/>
        <v>Yes</v>
      </c>
      <c r="I66" s="459">
        <f>SUMIF('Diags Raw Data'!$A$6:$A$4003,"*"&amp;$A66&amp;"*",'Diags Raw Data'!$K$6:$K$4003)</f>
        <v>0</v>
      </c>
      <c r="J66" s="461">
        <f>SUMIF('Diags Raw Data'!$A$6:$A$4003,"*"&amp;$A66&amp;"*",'Diags Raw Data'!$L$6:$L$4003)</f>
        <v>0</v>
      </c>
      <c r="K66" s="513" t="e" cm="1">
        <f t="array" ref="K66">IF(D66="",0, SUMPRODUCT(--(ISNUMBER(SEARCH($A66,'Diags Raw Data'!$A$6:$A$4003))),'Diags Raw Data'!$L$6:$L$4003,'Diags Raw Data'!$N$6:$N$4003)/J66)</f>
        <v>#DIV/0!</v>
      </c>
      <c r="L66" s="514" t="e" cm="1">
        <f t="array" ref="L66">IF(D66="",0, SUMPRODUCT(--(ISNUMBER(SEARCH($A66,'Diags Raw Data'!$A$6:$A$4003))),'Diags Raw Data'!$L$6:$L$4003,'Diags Raw Data'!$P$6:$P$4003)/J66)</f>
        <v>#DIV/0!</v>
      </c>
      <c r="M66" s="515" cm="1">
        <f t="array" ref="M66">SUMPRODUCT(--(ISNUMBER(SEARCH($A66,'Diags Raw Data'!$A$6:$A$4003))),--('Diags Raw Data'!$Q$6:$Q$4003&lt;&gt;"N/A"),'Diags Raw Data'!$R$6:$R$4003)</f>
        <v>1</v>
      </c>
      <c r="N66" s="516" cm="1">
        <f t="array" ref="N66">SUMPRODUCT(--(ISNUMBER(SEARCH($A66,'Diags Raw Data'!$A$6:$A$4003))),--('Diags Raw Data'!$Q$6:$Q$4003&lt;&gt;"N/A"),'Diags Raw Data'!$T$6:$T$4003)+SUMPRODUCT(--(ISNUMBER(SEARCH($A66,'Diags Raw Data'!$A$6:$A$4003))),--('Diags Raw Data'!$Q$6:$Q$4003&lt;&gt;"N/A"),'Diags Raw Data'!$U$6:$U$4003)</f>
        <v>0</v>
      </c>
      <c r="O66" s="517">
        <f t="shared" si="2"/>
        <v>0</v>
      </c>
      <c r="P66" s="518">
        <f>SUMIF('Diags Raw Data'!$A$6:$A$4003,"*"&amp;$A66&amp;"*",'Diags Raw Data'!$Z$6:$Z$4003)</f>
        <v>0</v>
      </c>
      <c r="Q66" s="519">
        <f>SUM(SUMIF('Diags Raw Data'!$A$6:$A$4003,"*"&amp;$A66&amp;"*",'Diags Raw Data'!$AA$6:$AA$4003),SUMIF('Diags Raw Data'!$A$6:$A$4003,"*"&amp;$A66&amp;"*",'Diags Raw Data'!$AB$6:$AB$4003))</f>
        <v>0</v>
      </c>
      <c r="R66" s="520">
        <f t="shared" si="3"/>
        <v>0</v>
      </c>
      <c r="S66" s="520">
        <f t="shared" si="4"/>
        <v>0</v>
      </c>
      <c r="T66" s="521">
        <f t="shared" si="5"/>
        <v>0</v>
      </c>
      <c r="U66" s="456" t="str">
        <f>VLOOKUP(A66,'Diags Raw Data'!$A$6:$AH$4003,33,FALSE)</f>
        <v>WK8</v>
      </c>
      <c r="V66" s="182"/>
    </row>
    <row r="67" spans="1:22" ht="30.75" thickBot="1" x14ac:dyDescent="0.3">
      <c r="A67" s="576">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Data'!$A$6:$A$4003)),CONCATENATE('Diags Raw Data'!$H$6:$H$4003,", "),""))</f>
        <v xml:space="preserve">N/A, </v>
      </c>
      <c r="E67" s="341" t="str">
        <f>VLOOKUP(A67,'Diags Raw Data'!$A$6:$D$4003,4,FALSE)</f>
        <v>CTL</v>
      </c>
      <c r="F67" s="341" t="str">
        <f>VLOOKUP(A67,'Feature Raw Data'!$A$3:$E$3922,5,FALSE)</f>
        <v>New</v>
      </c>
      <c r="G67" s="341" t="str">
        <f t="shared" si="6"/>
        <v>No</v>
      </c>
      <c r="H67" s="341" t="str">
        <f t="shared" si="7"/>
        <v>No</v>
      </c>
      <c r="I67" s="459">
        <f>SUMIF('Diags Raw Data'!$A$6:$A$4003,"*"&amp;$A67&amp;"*",'Diags Raw Data'!$K$6:$K$4003)</f>
        <v>0</v>
      </c>
      <c r="J67" s="461">
        <f>SUMIF('Diags Raw Data'!$A$6:$A$4003,"*"&amp;$A67&amp;"*",'Diags Raw Data'!$L$6:$L$4003)</f>
        <v>0</v>
      </c>
      <c r="K67" s="513" t="e" cm="1">
        <f t="array" ref="K67">IF(D67="",0, SUMPRODUCT(--(ISNUMBER(SEARCH($A67,'Diags Raw Data'!$A$6:$A$4003))),'Diags Raw Data'!$L$6:$L$4003,'Diags Raw Data'!$N$6:$N$4003)/J67)</f>
        <v>#DIV/0!</v>
      </c>
      <c r="L67" s="514" t="e" cm="1">
        <f t="array" ref="L67">IF(D67="",0, SUMPRODUCT(--(ISNUMBER(SEARCH($A67,'Diags Raw Data'!$A$6:$A$4003))),'Diags Raw Data'!$L$6:$L$4003,'Diags Raw Data'!$P$6:$P$4003)/J67)</f>
        <v>#DIV/0!</v>
      </c>
      <c r="M67" s="515" cm="1">
        <f t="array" ref="M67">SUMPRODUCT(--(ISNUMBER(SEARCH($A67,'Diags Raw Data'!$A$6:$A$4003))),--('Diags Raw Data'!$Q$6:$Q$4003&lt;&gt;"N/A"),'Diags Raw Data'!$R$6:$R$4003)</f>
        <v>0</v>
      </c>
      <c r="N67" s="516" cm="1">
        <f t="array" ref="N67">SUMPRODUCT(--(ISNUMBER(SEARCH($A67,'Diags Raw Data'!$A$6:$A$4003))),--('Diags Raw Data'!$Q$6:$Q$4003&lt;&gt;"N/A"),'Diags Raw Data'!$T$6:$T$4003)+SUMPRODUCT(--(ISNUMBER(SEARCH($A67,'Diags Raw Data'!$A$6:$A$4003))),--('Diags Raw Data'!$Q$6:$Q$4003&lt;&gt;"N/A"),'Diags Raw Data'!$U$6:$U$4003)</f>
        <v>0</v>
      </c>
      <c r="O67" s="517">
        <f t="shared" si="2"/>
        <v>0</v>
      </c>
      <c r="P67" s="518">
        <f>SUMIF('Diags Raw Data'!$A$6:$A$4003,"*"&amp;$A67&amp;"*",'Diags Raw Data'!$Z$6:$Z$4003)</f>
        <v>0</v>
      </c>
      <c r="Q67" s="519">
        <f>SUM(SUMIF('Diags Raw Data'!$A$6:$A$4003,"*"&amp;$A67&amp;"*",'Diags Raw Data'!$AA$6:$AA$4003),SUMIF('Diags Raw Data'!$A$6:$A$4003,"*"&amp;$A67&amp;"*",'Diags Raw Data'!$AB$6:$AB$4003))</f>
        <v>0</v>
      </c>
      <c r="R67" s="520">
        <f t="shared" si="3"/>
        <v>0</v>
      </c>
      <c r="S67" s="520">
        <f t="shared" si="4"/>
        <v>0</v>
      </c>
      <c r="T67" s="521">
        <f t="shared" si="5"/>
        <v>0</v>
      </c>
      <c r="U67" s="456" t="str">
        <f>VLOOKUP(A67,'Diags Raw Data'!$A$6:$AH$4003,33,FALSE)</f>
        <v>N/A</v>
      </c>
      <c r="V67" s="182"/>
    </row>
    <row r="68" spans="1:22" ht="30.75" thickBot="1" x14ac:dyDescent="0.3">
      <c r="A68" s="576">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Data'!$A$6:$A$4003)),CONCATENATE('Diags Raw Data'!$H$6:$H$4003,", "),""))</f>
        <v xml:space="preserve">N/A, </v>
      </c>
      <c r="E68" s="341" t="str">
        <f>VLOOKUP(A68,'Diags Raw Data'!$A$6:$D$4003,4,FALSE)</f>
        <v>CTL</v>
      </c>
      <c r="F68" s="341" t="str">
        <f>VLOOKUP(A68,'Feature Raw Data'!$A$3:$E$3922,5,FALSE)</f>
        <v>New</v>
      </c>
      <c r="G68" s="341" t="str">
        <f t="shared" si="6"/>
        <v>No</v>
      </c>
      <c r="H68" s="341" t="str">
        <f t="shared" si="7"/>
        <v>No</v>
      </c>
      <c r="I68" s="459">
        <f>SUMIF('Diags Raw Data'!$A$6:$A$4003,"*"&amp;$A68&amp;"*",'Diags Raw Data'!$K$6:$K$4003)</f>
        <v>0</v>
      </c>
      <c r="J68" s="461">
        <f>SUMIF('Diags Raw Data'!$A$6:$A$4003,"*"&amp;$A68&amp;"*",'Diags Raw Data'!$L$6:$L$4003)</f>
        <v>0</v>
      </c>
      <c r="K68" s="513" t="e" cm="1">
        <f t="array" ref="K68">IF(D68="",0, SUMPRODUCT(--(ISNUMBER(SEARCH($A68,'Diags Raw Data'!$A$6:$A$4003))),'Diags Raw Data'!$L$6:$L$4003,'Diags Raw Data'!$N$6:$N$4003)/J68)</f>
        <v>#DIV/0!</v>
      </c>
      <c r="L68" s="514" t="e" cm="1">
        <f t="array" ref="L68">IF(D68="",0, SUMPRODUCT(--(ISNUMBER(SEARCH($A68,'Diags Raw Data'!$A$6:$A$4003))),'Diags Raw Data'!$L$6:$L$4003,'Diags Raw Data'!$P$6:$P$4003)/J68)</f>
        <v>#DIV/0!</v>
      </c>
      <c r="M68" s="515" cm="1">
        <f t="array" ref="M68">SUMPRODUCT(--(ISNUMBER(SEARCH($A68,'Diags Raw Data'!$A$6:$A$4003))),--('Diags Raw Data'!$Q$6:$Q$4003&lt;&gt;"N/A"),'Diags Raw Data'!$R$6:$R$4003)</f>
        <v>0</v>
      </c>
      <c r="N68" s="516" cm="1">
        <f t="array" ref="N68">SUMPRODUCT(--(ISNUMBER(SEARCH($A68,'Diags Raw Data'!$A$6:$A$4003))),--('Diags Raw Data'!$Q$6:$Q$4003&lt;&gt;"N/A"),'Diags Raw Data'!$T$6:$T$4003)+SUMPRODUCT(--(ISNUMBER(SEARCH($A68,'Diags Raw Data'!$A$6:$A$4003))),--('Diags Raw Data'!$Q$6:$Q$4003&lt;&gt;"N/A"),'Diags Raw Data'!$U$6:$U$4003)</f>
        <v>0</v>
      </c>
      <c r="O68" s="517">
        <f t="shared" si="2"/>
        <v>0</v>
      </c>
      <c r="P68" s="518">
        <f>SUMIF('Diags Raw Data'!$A$6:$A$4003,"*"&amp;$A68&amp;"*",'Diags Raw Data'!$Z$6:$Z$4003)</f>
        <v>0</v>
      </c>
      <c r="Q68" s="519">
        <f>SUM(SUMIF('Diags Raw Data'!$A$6:$A$4003,"*"&amp;$A68&amp;"*",'Diags Raw Data'!$AA$6:$AA$4003),SUMIF('Diags Raw Data'!$A$6:$A$4003,"*"&amp;$A68&amp;"*",'Diags Raw Data'!$AB$6:$AB$4003))</f>
        <v>0</v>
      </c>
      <c r="R68" s="520">
        <f t="shared" si="3"/>
        <v>0</v>
      </c>
      <c r="S68" s="520">
        <f t="shared" si="4"/>
        <v>0</v>
      </c>
      <c r="T68" s="521">
        <f t="shared" si="5"/>
        <v>0</v>
      </c>
      <c r="U68" s="456" t="str">
        <f>VLOOKUP(A68,'Diags Raw Data'!$A$6:$AH$4003,33,FALSE)</f>
        <v>N/A</v>
      </c>
      <c r="V68" s="182"/>
    </row>
    <row r="69" spans="1:22" ht="225.75" thickBot="1" x14ac:dyDescent="0.3">
      <c r="A69" s="576">
        <v>12.115</v>
      </c>
      <c r="B69" s="458" t="str">
        <f>VLOOKUP(A69,'Feature Raw Data'!$A$3:$B$3922,2,FALSE)</f>
        <v>Single Pass Wave64 Trans Issue (in M2)</v>
      </c>
      <c r="C69" s="459" t="str">
        <f>VLOOKUP(A69,'Feature Raw Data'!$A$3:$C$3922,3,FALSE)</f>
        <v>P1</v>
      </c>
      <c r="D69" s="460" t="str" cm="1">
        <f t="array" ref="D69">_xlfn.TEXTJOIN("",TRUE,IF(ISNUMBER(SEARCH($A69,'Diags Raw Data'!$A$6:$A$4003)),CONCATENATE('Diags Raw Data'!$H$6:$H$4003,",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Data'!$A$6:$D$4003,4,FALSE)</f>
        <v>SH</v>
      </c>
      <c r="F69" s="341" t="str">
        <f>VLOOKUP(A69,'Feature Raw Data'!$A$3:$E$3922,5,FALSE)</f>
        <v>New</v>
      </c>
      <c r="G69" s="341" t="str">
        <f t="shared" si="6"/>
        <v>Yes</v>
      </c>
      <c r="H69" s="341" t="str">
        <f t="shared" si="7"/>
        <v>Yes</v>
      </c>
      <c r="I69" s="459">
        <f>SUMIF('Diags Raw Data'!$A$6:$A$4003,"*"&amp;$A69&amp;"*",'Diags Raw Data'!$K$6:$K$4003)</f>
        <v>0</v>
      </c>
      <c r="J69" s="461">
        <f>SUMIF('Diags Raw Data'!$A$6:$A$4003,"*"&amp;$A69&amp;"*",'Diags Raw Data'!$L$6:$L$4003)</f>
        <v>0</v>
      </c>
      <c r="K69" s="513" t="e" cm="1">
        <f t="array" ref="K69">IF(D69="",0, SUMPRODUCT(--(ISNUMBER(SEARCH($A69,'Diags Raw Data'!$A$6:$A$4003))),'Diags Raw Data'!$L$6:$L$4003,'Diags Raw Data'!$N$6:$N$4003)/J69)</f>
        <v>#DIV/0!</v>
      </c>
      <c r="L69" s="514" t="e" cm="1">
        <f t="array" ref="L69">IF(D69="",0, SUMPRODUCT(--(ISNUMBER(SEARCH($A69,'Diags Raw Data'!$A$6:$A$4003))),'Diags Raw Data'!$L$6:$L$4003,'Diags Raw Data'!$P$6:$P$4003)/J69)</f>
        <v>#DIV/0!</v>
      </c>
      <c r="M69" s="515" cm="1">
        <f t="array" ref="M69">SUMPRODUCT(--(ISNUMBER(SEARCH($A69,'Diags Raw Data'!$A$6:$A$4003))),--('Diags Raw Data'!$Q$6:$Q$4003&lt;&gt;"N/A"),'Diags Raw Data'!$R$6:$R$4003)</f>
        <v>14</v>
      </c>
      <c r="N69" s="516" cm="1">
        <f t="array" ref="N69">SUMPRODUCT(--(ISNUMBER(SEARCH($A69,'Diags Raw Data'!$A$6:$A$4003))),--('Diags Raw Data'!$Q$6:$Q$4003&lt;&gt;"N/A"),'Diags Raw Data'!$T$6:$T$4003)+SUMPRODUCT(--(ISNUMBER(SEARCH($A69,'Diags Raw Data'!$A$6:$A$4003))),--('Diags Raw Data'!$Q$6:$Q$4003&lt;&gt;"N/A"),'Diags Raw Data'!$U$6:$U$4003)</f>
        <v>14</v>
      </c>
      <c r="O69" s="517">
        <f t="shared" si="2"/>
        <v>1</v>
      </c>
      <c r="P69" s="518">
        <f>SUMIF('Diags Raw Data'!$A$6:$A$4003,"*"&amp;$A69&amp;"*",'Diags Raw Data'!$Z$6:$Z$4003)</f>
        <v>0</v>
      </c>
      <c r="Q69" s="519">
        <f>SUM(SUMIF('Diags Raw Data'!$A$6:$A$4003,"*"&amp;$A69&amp;"*",'Diags Raw Data'!$AA$6:$AA$4003),SUMIF('Diags Raw Data'!$A$6:$A$4003,"*"&amp;$A69&amp;"*",'Diags Raw Data'!$AB$6:$AB$4003))</f>
        <v>0</v>
      </c>
      <c r="R69" s="520">
        <f t="shared" si="3"/>
        <v>0</v>
      </c>
      <c r="S69" s="520">
        <f t="shared" si="4"/>
        <v>0</v>
      </c>
      <c r="T69" s="521">
        <f t="shared" si="5"/>
        <v>0</v>
      </c>
      <c r="U69" s="456" t="str">
        <f>VLOOKUP(A69,'Diags Raw Data'!$A$6:$AH$4003,33,FALSE)</f>
        <v>WK5</v>
      </c>
      <c r="V69" s="182"/>
    </row>
    <row r="70" spans="1:22" ht="15.75" thickBot="1" x14ac:dyDescent="0.3">
      <c r="A70" s="576">
        <v>12.118</v>
      </c>
      <c r="B70" s="458" t="str">
        <f>VLOOKUP(A70,'Feature Raw Data'!$A$3:$B$3922,2,FALSE)</f>
        <v xml:space="preserve">PH Memory Queues </v>
      </c>
      <c r="C70" s="459" t="str">
        <f>VLOOKUP(A70,'Feature Raw Data'!$A$3:$C$3922,3,FALSE)</f>
        <v>P1</v>
      </c>
      <c r="D70" s="460" t="str" cm="1">
        <f t="array" ref="D70">_xlfn.TEXTJOIN("",TRUE,IF(ISNUMBER(SEARCH($A70,'Diags Raw Data'!$A$6:$A$4003)),CONCATENATE('Diags Raw Data'!$H$6:$H$4003,", "),""))</f>
        <v xml:space="preserve">ge2.0, ge2.1, std1.6, </v>
      </c>
      <c r="E70" s="341" t="str">
        <f>VLOOKUP(A70,'Diags Raw Data'!$A$6:$D$4003,4,FALSE)</f>
        <v>GEO</v>
      </c>
      <c r="F70" s="341" t="str">
        <f>VLOOKUP(A70,'Feature Raw Data'!$A$3:$E$3922,5,FALSE)</f>
        <v>New</v>
      </c>
      <c r="G70" s="341" t="str">
        <f t="shared" si="6"/>
        <v>Yes</v>
      </c>
      <c r="H70" s="341" t="str">
        <f t="shared" si="7"/>
        <v>Yes</v>
      </c>
      <c r="I70" s="459">
        <f>SUMIF('Diags Raw Data'!$A$6:$A$4003,"*"&amp;$A70&amp;"*",'Diags Raw Data'!$K$6:$K$4003)</f>
        <v>0</v>
      </c>
      <c r="J70" s="461">
        <f>SUMIF('Diags Raw Data'!$A$6:$A$4003,"*"&amp;$A70&amp;"*",'Diags Raw Data'!$L$6:$L$4003)</f>
        <v>0</v>
      </c>
      <c r="K70" s="513" t="e" cm="1">
        <f t="array" ref="K70">IF(D70="",0, SUMPRODUCT(--(ISNUMBER(SEARCH($A70,'Diags Raw Data'!$A$6:$A$4003))),'Diags Raw Data'!$L$6:$L$4003,'Diags Raw Data'!$N$6:$N$4003)/J70)</f>
        <v>#DIV/0!</v>
      </c>
      <c r="L70" s="514" t="e" cm="1">
        <f t="array" ref="L70">IF(D70="",0, SUMPRODUCT(--(ISNUMBER(SEARCH($A70,'Diags Raw Data'!$A$6:$A$4003))),'Diags Raw Data'!$L$6:$L$4003,'Diags Raw Data'!$P$6:$P$4003)/J70)</f>
        <v>#DIV/0!</v>
      </c>
      <c r="M70" s="515" cm="1">
        <f t="array" ref="M70">SUMPRODUCT(--(ISNUMBER(SEARCH($A70,'Diags Raw Data'!$A$6:$A$4003))),--('Diags Raw Data'!$Q$6:$Q$4003&lt;&gt;"N/A"),'Diags Raw Data'!$R$6:$R$4003)</f>
        <v>3</v>
      </c>
      <c r="N70" s="516" cm="1">
        <f t="array" ref="N70">SUMPRODUCT(--(ISNUMBER(SEARCH($A70,'Diags Raw Data'!$A$6:$A$4003))),--('Diags Raw Data'!$Q$6:$Q$4003&lt;&gt;"N/A"),'Diags Raw Data'!$T$6:$T$4003)+SUMPRODUCT(--(ISNUMBER(SEARCH($A70,'Diags Raw Data'!$A$6:$A$4003))),--('Diags Raw Data'!$Q$6:$Q$4003&lt;&gt;"N/A"),'Diags Raw Data'!$U$6:$U$4003)</f>
        <v>3</v>
      </c>
      <c r="O70" s="517">
        <f t="shared" si="2"/>
        <v>1</v>
      </c>
      <c r="P70" s="518">
        <f>SUMIF('Diags Raw Data'!$A$6:$A$4003,"*"&amp;$A70&amp;"*",'Diags Raw Data'!$Z$6:$Z$4003)</f>
        <v>0</v>
      </c>
      <c r="Q70" s="519">
        <f>SUM(SUMIF('Diags Raw Data'!$A$6:$A$4003,"*"&amp;$A70&amp;"*",'Diags Raw Data'!$AA$6:$AA$4003),SUMIF('Diags Raw Data'!$A$6:$A$4003,"*"&amp;$A70&amp;"*",'Diags Raw Data'!$AB$6:$AB$4003))</f>
        <v>0</v>
      </c>
      <c r="R70" s="520">
        <f t="shared" si="3"/>
        <v>0</v>
      </c>
      <c r="S70" s="520">
        <f t="shared" si="4"/>
        <v>0</v>
      </c>
      <c r="T70" s="521">
        <f t="shared" si="5"/>
        <v>0</v>
      </c>
      <c r="U70" s="456" t="str">
        <f>VLOOKUP(A70,'Diags Raw Data'!$A$6:$AH$4003,33,FALSE)</f>
        <v>WK5</v>
      </c>
      <c r="V70" s="182"/>
    </row>
    <row r="71" spans="1:22" ht="15.75" thickBot="1" x14ac:dyDescent="0.3">
      <c r="A71" s="576">
        <v>12.119</v>
      </c>
      <c r="B71" s="458" t="str">
        <f>VLOOKUP(A71,'Feature Raw Data'!$A$3:$B$3922,2,FALSE)</f>
        <v xml:space="preserve">Harvesting enabled by default </v>
      </c>
      <c r="C71" s="459" t="str">
        <f>VLOOKUP(A71,'Feature Raw Data'!$A$3:$C$3922,3,FALSE)</f>
        <v>P1</v>
      </c>
      <c r="D71" s="460" t="str" cm="1">
        <f t="array" ref="D71">_xlfn.TEXTJOIN("",TRUE,IF(ISNUMBER(SEARCH($A71,'Diags Raw Data'!$A$6:$A$4003)),CONCATENATE('Diags Raw Data'!$H$6:$H$4003,", "),""))</f>
        <v xml:space="preserve">N/A, </v>
      </c>
      <c r="E71" s="341" t="str">
        <f>VLOOKUP(A71,'Diags Raw Data'!$A$6:$D$4003,4,FALSE)</f>
        <v>GC</v>
      </c>
      <c r="F71" s="341" t="str">
        <f>VLOOKUP(A71,'Feature Raw Data'!$A$3:$E$3922,5,FALSE)</f>
        <v>New</v>
      </c>
      <c r="G71" s="341" t="str">
        <f t="shared" si="6"/>
        <v>No</v>
      </c>
      <c r="H71" s="341" t="str">
        <f t="shared" si="7"/>
        <v>No</v>
      </c>
      <c r="I71" s="459">
        <f>SUMIF('Diags Raw Data'!$A$6:$A$4003,"*"&amp;$A71&amp;"*",'Diags Raw Data'!$K$6:$K$4003)</f>
        <v>0</v>
      </c>
      <c r="J71" s="461">
        <f>SUMIF('Diags Raw Data'!$A$6:$A$4003,"*"&amp;$A71&amp;"*",'Diags Raw Data'!$L$6:$L$4003)</f>
        <v>0</v>
      </c>
      <c r="K71" s="513" t="e" cm="1">
        <f t="array" ref="K71">IF(D71="",0, SUMPRODUCT(--(ISNUMBER(SEARCH($A71,'Diags Raw Data'!$A$6:$A$4003))),'Diags Raw Data'!$L$6:$L$4003,'Diags Raw Data'!$N$6:$N$4003)/J71)</f>
        <v>#DIV/0!</v>
      </c>
      <c r="L71" s="514" t="e" cm="1">
        <f t="array" ref="L71">IF(D71="",0, SUMPRODUCT(--(ISNUMBER(SEARCH($A71,'Diags Raw Data'!$A$6:$A$4003))),'Diags Raw Data'!$L$6:$L$4003,'Diags Raw Data'!$P$6:$P$4003)/J71)</f>
        <v>#DIV/0!</v>
      </c>
      <c r="M71" s="515" cm="1">
        <f t="array" ref="M71">SUMPRODUCT(--(ISNUMBER(SEARCH($A71,'Diags Raw Data'!$A$6:$A$4003))),--('Diags Raw Data'!$Q$6:$Q$4003&lt;&gt;"N/A"),'Diags Raw Data'!$R$6:$R$4003)</f>
        <v>0</v>
      </c>
      <c r="N71" s="516" cm="1">
        <f t="array" ref="N71">SUMPRODUCT(--(ISNUMBER(SEARCH($A71,'Diags Raw Data'!$A$6:$A$4003))),--('Diags Raw Data'!$Q$6:$Q$4003&lt;&gt;"N/A"),'Diags Raw Data'!$T$6:$T$4003)+SUMPRODUCT(--(ISNUMBER(SEARCH($A71,'Diags Raw Data'!$A$6:$A$4003))),--('Diags Raw Data'!$Q$6:$Q$4003&lt;&gt;"N/A"),'Diags Raw Data'!$U$6:$U$4003)</f>
        <v>0</v>
      </c>
      <c r="O71" s="517">
        <f t="shared" si="2"/>
        <v>0</v>
      </c>
      <c r="P71" s="518">
        <f>SUMIF('Diags Raw Data'!$A$6:$A$4003,"*"&amp;$A71&amp;"*",'Diags Raw Data'!$Z$6:$Z$4003)</f>
        <v>0</v>
      </c>
      <c r="Q71" s="519">
        <f>SUM(SUMIF('Diags Raw Data'!$A$6:$A$4003,"*"&amp;$A71&amp;"*",'Diags Raw Data'!$AA$6:$AA$4003),SUMIF('Diags Raw Data'!$A$6:$A$4003,"*"&amp;$A71&amp;"*",'Diags Raw Data'!$AB$6:$AB$4003))</f>
        <v>0</v>
      </c>
      <c r="R71" s="520">
        <f t="shared" ref="R71:R100" si="8">IF((J71=0),0,P71/J71)</f>
        <v>0</v>
      </c>
      <c r="S71" s="520">
        <f t="shared" ref="S71:S103" si="9">IF((P71=0),0,Q71/P71)</f>
        <v>0</v>
      </c>
      <c r="T71" s="521">
        <f t="shared" ref="T71:T102" si="10">R71*S71</f>
        <v>0</v>
      </c>
      <c r="U71" s="456" t="str">
        <f>VLOOKUP(A71,'Diags Raw Data'!$A$6:$AH$4003,33,FALSE)</f>
        <v>WK5</v>
      </c>
      <c r="V71" s="182"/>
    </row>
    <row r="72" spans="1:22" ht="45.75" thickBot="1" x14ac:dyDescent="0.3">
      <c r="A72" s="576">
        <v>12.12</v>
      </c>
      <c r="B72" s="458" t="str">
        <f>VLOOKUP(A72,'Feature Raw Data'!$A$3:$B$3922,2,FALSE)</f>
        <v>WGP&amp;RB GRBM Index Remapping (possible gfx11.5)</v>
      </c>
      <c r="C72" s="459" t="str">
        <f>VLOOKUP(A72,'Feature Raw Data'!$A$3:$C$3922,3,FALSE)</f>
        <v>P1</v>
      </c>
      <c r="D72" s="460" t="str" cm="1">
        <f t="array" ref="D72">_xlfn.TEXTJOIN("",TRUE,IF(ISNUMBER(SEARCH($A72,'Diags Raw Data'!$A$6:$A$4003)),CONCATENATE('Diags Raw Data'!$H$6:$H$4003,", "),""))</f>
        <v xml:space="preserve">gci1300.0,gci1300.1,gci1300.2,gci1300.3, spi124.0,spi124.1, spi125, placeholder_f.1, </v>
      </c>
      <c r="E72" s="341" t="str">
        <f>VLOOKUP(A72,'Diags Raw Data'!$A$6:$D$4003,4,FALSE)</f>
        <v>CTL</v>
      </c>
      <c r="F72" s="341" t="str">
        <f>VLOOKUP(A72,'Feature Raw Data'!$A$3:$E$3922,5,FALSE)</f>
        <v>New</v>
      </c>
      <c r="G72" s="341" t="str">
        <f t="shared" si="6"/>
        <v>Yes</v>
      </c>
      <c r="H72" s="341" t="str">
        <f t="shared" si="7"/>
        <v>Yes</v>
      </c>
      <c r="I72" s="459">
        <f>SUMIF('Diags Raw Data'!$A$6:$A$4003,"*"&amp;$A72&amp;"*",'Diags Raw Data'!$K$6:$K$4003)</f>
        <v>0</v>
      </c>
      <c r="J72" s="461">
        <f>SUMIF('Diags Raw Data'!$A$6:$A$4003,"*"&amp;$A72&amp;"*",'Diags Raw Data'!$L$6:$L$4003)</f>
        <v>0</v>
      </c>
      <c r="K72" s="513" t="e" cm="1">
        <f t="array" ref="K72">IF(D72="",0, SUMPRODUCT(--(ISNUMBER(SEARCH($A72,'Diags Raw Data'!$A$6:$A$4003))),'Diags Raw Data'!$L$6:$L$4003,'Diags Raw Data'!$N$6:$N$4003)/J72)</f>
        <v>#DIV/0!</v>
      </c>
      <c r="L72" s="514" t="e" cm="1">
        <f t="array" ref="L72">IF(D72="",0, SUMPRODUCT(--(ISNUMBER(SEARCH($A72,'Diags Raw Data'!$A$6:$A$4003))),'Diags Raw Data'!$L$6:$L$4003,'Diags Raw Data'!$P$6:$P$4003)/J72)</f>
        <v>#DIV/0!</v>
      </c>
      <c r="M72" s="515" cm="1">
        <f t="array" ref="M72">SUMPRODUCT(--(ISNUMBER(SEARCH($A72,'Diags Raw Data'!$A$6:$A$4003))),--('Diags Raw Data'!$Q$6:$Q$4003&lt;&gt;"N/A"),'Diags Raw Data'!$R$6:$R$4003)</f>
        <v>8</v>
      </c>
      <c r="N72" s="516" cm="1">
        <f t="array" ref="N72">SUMPRODUCT(--(ISNUMBER(SEARCH($A72,'Diags Raw Data'!$A$6:$A$4003))),--('Diags Raw Data'!$Q$6:$Q$4003&lt;&gt;"N/A"),'Diags Raw Data'!$T$6:$T$4003)+SUMPRODUCT(--(ISNUMBER(SEARCH($A72,'Diags Raw Data'!$A$6:$A$4003))),--('Diags Raw Data'!$Q$6:$Q$4003&lt;&gt;"N/A"),'Diags Raw Data'!$U$6:$U$4003)</f>
        <v>7</v>
      </c>
      <c r="O72" s="517">
        <f t="shared" ref="O72:O103" si="11">IF((M72=0),0,N72/M72)</f>
        <v>0.875</v>
      </c>
      <c r="P72" s="518">
        <f>SUMIF('Diags Raw Data'!$A$6:$A$4003,"*"&amp;$A72&amp;"*",'Diags Raw Data'!$Z$6:$Z$4003)</f>
        <v>0</v>
      </c>
      <c r="Q72" s="519">
        <f>SUM(SUMIF('Diags Raw Data'!$A$6:$A$4003,"*"&amp;$A72&amp;"*",'Diags Raw Data'!$AA$6:$AA$4003),SUMIF('Diags Raw Data'!$A$6:$A$4003,"*"&amp;$A72&amp;"*",'Diags Raw Data'!$AB$6:$AB$4003))</f>
        <v>0</v>
      </c>
      <c r="R72" s="520">
        <f t="shared" si="8"/>
        <v>0</v>
      </c>
      <c r="S72" s="520">
        <f t="shared" si="9"/>
        <v>0</v>
      </c>
      <c r="T72" s="521">
        <f t="shared" si="10"/>
        <v>0</v>
      </c>
      <c r="U72" s="456" t="str">
        <f>VLOOKUP(A72,'Diags Raw Data'!$A$6:$AH$4003,33,FALSE)</f>
        <v>WK5</v>
      </c>
      <c r="V72" s="182"/>
    </row>
    <row r="73" spans="1:22" ht="15.75" thickBot="1" x14ac:dyDescent="0.3">
      <c r="A73" s="576">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Data'!$A$6:$A$4003)),CONCATENATE('Diags Raw Data'!$H$6:$H$4003,", "),""))</f>
        <v xml:space="preserve">spi124.0,spi124.1, </v>
      </c>
      <c r="E73" s="341" t="str">
        <f>VLOOKUP(A73,'Diags Raw Data'!$A$6:$D$4003,4,FALSE)</f>
        <v>SIO</v>
      </c>
      <c r="F73" s="341" t="str">
        <f>VLOOKUP(A73,'Feature Raw Data'!$A$3:$E$3922,5,FALSE)</f>
        <v>New</v>
      </c>
      <c r="G73" s="341" t="str">
        <f t="shared" si="6"/>
        <v>Yes</v>
      </c>
      <c r="H73" s="341" t="str">
        <f t="shared" si="7"/>
        <v>Yes</v>
      </c>
      <c r="I73" s="459">
        <f>SUMIF('Diags Raw Data'!$A$6:$A$4003,"*"&amp;$A73&amp;"*",'Diags Raw Data'!$K$6:$K$4003)</f>
        <v>0</v>
      </c>
      <c r="J73" s="461">
        <f>SUMIF('Diags Raw Data'!$A$6:$A$4003,"*"&amp;$A73&amp;"*",'Diags Raw Data'!$L$6:$L$4003)</f>
        <v>0</v>
      </c>
      <c r="K73" s="513" t="e" cm="1">
        <f t="array" ref="K73">IF(D73="",0, SUMPRODUCT(--(ISNUMBER(SEARCH($A73,'Diags Raw Data'!$A$6:$A$4003))),'Diags Raw Data'!$L$6:$L$4003,'Diags Raw Data'!$N$6:$N$4003)/J73)</f>
        <v>#DIV/0!</v>
      </c>
      <c r="L73" s="514" t="e" cm="1">
        <f t="array" ref="L73">IF(D73="",0, SUMPRODUCT(--(ISNUMBER(SEARCH($A73,'Diags Raw Data'!$A$6:$A$4003))),'Diags Raw Data'!$L$6:$L$4003,'Diags Raw Data'!$P$6:$P$4003)/J73)</f>
        <v>#DIV/0!</v>
      </c>
      <c r="M73" s="515" cm="1">
        <f t="array" ref="M73">SUMPRODUCT(--(ISNUMBER(SEARCH($A73,'Diags Raw Data'!$A$6:$A$4003))),--('Diags Raw Data'!$Q$6:$Q$4003&lt;&gt;"N/A"),'Diags Raw Data'!$R$6:$R$4003)</f>
        <v>2</v>
      </c>
      <c r="N73" s="516" cm="1">
        <f t="array" ref="N73">SUMPRODUCT(--(ISNUMBER(SEARCH($A73,'Diags Raw Data'!$A$6:$A$4003))),--('Diags Raw Data'!$Q$6:$Q$4003&lt;&gt;"N/A"),'Diags Raw Data'!$T$6:$T$4003)+SUMPRODUCT(--(ISNUMBER(SEARCH($A73,'Diags Raw Data'!$A$6:$A$4003))),--('Diags Raw Data'!$Q$6:$Q$4003&lt;&gt;"N/A"),'Diags Raw Data'!$U$6:$U$4003)</f>
        <v>2</v>
      </c>
      <c r="O73" s="517">
        <f t="shared" si="11"/>
        <v>1</v>
      </c>
      <c r="P73" s="518">
        <f>SUMIF('Diags Raw Data'!$A$6:$A$4003,"*"&amp;$A73&amp;"*",'Diags Raw Data'!$Z$6:$Z$4003)</f>
        <v>0</v>
      </c>
      <c r="Q73" s="519">
        <f>SUM(SUMIF('Diags Raw Data'!$A$6:$A$4003,"*"&amp;$A73&amp;"*",'Diags Raw Data'!$AA$6:$AA$4003),SUMIF('Diags Raw Data'!$A$6:$A$4003,"*"&amp;$A73&amp;"*",'Diags Raw Data'!$AB$6:$AB$4003))</f>
        <v>0</v>
      </c>
      <c r="R73" s="520">
        <f t="shared" si="8"/>
        <v>0</v>
      </c>
      <c r="S73" s="520">
        <f t="shared" si="9"/>
        <v>0</v>
      </c>
      <c r="T73" s="521">
        <f t="shared" si="10"/>
        <v>0</v>
      </c>
      <c r="U73" s="456" t="str">
        <f>VLOOKUP(A73,'Diags Raw Data'!$A$6:$AH$4003,33,FALSE)</f>
        <v>WK7</v>
      </c>
      <c r="V73" s="182"/>
    </row>
    <row r="74" spans="1:22" ht="30.75" thickBot="1" x14ac:dyDescent="0.3">
      <c r="A74" s="576">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Data'!$A$6:$A$4003)),CONCATENATE('Diags Raw Data'!$H$6:$H$4003,", "),""))</f>
        <v xml:space="preserve">spi125, </v>
      </c>
      <c r="E74" s="341" t="str">
        <f>VLOOKUP(A74,'Diags Raw Data'!$A$6:$D$4003,4,FALSE)</f>
        <v>SIO</v>
      </c>
      <c r="F74" s="341" t="str">
        <f>VLOOKUP(A74,'Feature Raw Data'!$A$3:$E$3922,5,FALSE)</f>
        <v>New</v>
      </c>
      <c r="G74" s="341" t="str">
        <f t="shared" si="6"/>
        <v>Yes</v>
      </c>
      <c r="H74" s="341" t="str">
        <f t="shared" si="7"/>
        <v>Yes</v>
      </c>
      <c r="I74" s="459">
        <f>SUMIF('Diags Raw Data'!$A$6:$A$4003,"*"&amp;$A74&amp;"*",'Diags Raw Data'!$K$6:$K$4003)</f>
        <v>0</v>
      </c>
      <c r="J74" s="461">
        <f>SUMIF('Diags Raw Data'!$A$6:$A$4003,"*"&amp;$A74&amp;"*",'Diags Raw Data'!$L$6:$L$4003)</f>
        <v>0</v>
      </c>
      <c r="K74" s="513" t="e" cm="1">
        <f t="array" ref="K74">IF(D74="",0, SUMPRODUCT(--(ISNUMBER(SEARCH($A74,'Diags Raw Data'!$A$6:$A$4003))),'Diags Raw Data'!$L$6:$L$4003,'Diags Raw Data'!$N$6:$N$4003)/J74)</f>
        <v>#DIV/0!</v>
      </c>
      <c r="L74" s="514" t="e" cm="1">
        <f t="array" ref="L74">IF(D74="",0, SUMPRODUCT(--(ISNUMBER(SEARCH($A74,'Diags Raw Data'!$A$6:$A$4003))),'Diags Raw Data'!$L$6:$L$4003,'Diags Raw Data'!$P$6:$P$4003)/J74)</f>
        <v>#DIV/0!</v>
      </c>
      <c r="M74" s="515" cm="1">
        <f t="array" ref="M74">SUMPRODUCT(--(ISNUMBER(SEARCH($A74,'Diags Raw Data'!$A$6:$A$4003))),--('Diags Raw Data'!$Q$6:$Q$4003&lt;&gt;"N/A"),'Diags Raw Data'!$R$6:$R$4003)</f>
        <v>1</v>
      </c>
      <c r="N74" s="516" cm="1">
        <f t="array" ref="N74">SUMPRODUCT(--(ISNUMBER(SEARCH($A74,'Diags Raw Data'!$A$6:$A$4003))),--('Diags Raw Data'!$Q$6:$Q$4003&lt;&gt;"N/A"),'Diags Raw Data'!$T$6:$T$4003)+SUMPRODUCT(--(ISNUMBER(SEARCH($A74,'Diags Raw Data'!$A$6:$A$4003))),--('Diags Raw Data'!$Q$6:$Q$4003&lt;&gt;"N/A"),'Diags Raw Data'!$U$6:$U$4003)</f>
        <v>1</v>
      </c>
      <c r="O74" s="517">
        <f t="shared" si="11"/>
        <v>1</v>
      </c>
      <c r="P74" s="518">
        <f>SUMIF('Diags Raw Data'!$A$6:$A$4003,"*"&amp;$A74&amp;"*",'Diags Raw Data'!$Z$6:$Z$4003)</f>
        <v>0</v>
      </c>
      <c r="Q74" s="519">
        <f>SUM(SUMIF('Diags Raw Data'!$A$6:$A$4003,"*"&amp;$A74&amp;"*",'Diags Raw Data'!$AA$6:$AA$4003),SUMIF('Diags Raw Data'!$A$6:$A$4003,"*"&amp;$A74&amp;"*",'Diags Raw Data'!$AB$6:$AB$4003))</f>
        <v>0</v>
      </c>
      <c r="R74" s="520">
        <f t="shared" si="8"/>
        <v>0</v>
      </c>
      <c r="S74" s="520">
        <f t="shared" si="9"/>
        <v>0</v>
      </c>
      <c r="T74" s="521">
        <f t="shared" si="10"/>
        <v>0</v>
      </c>
      <c r="U74" s="456" t="str">
        <f>VLOOKUP(A74,'Diags Raw Data'!$A$6:$AH$4003,33,FALSE)</f>
        <v>WK6</v>
      </c>
      <c r="V74" s="182"/>
    </row>
    <row r="75" spans="1:22" ht="30.75" thickBot="1" x14ac:dyDescent="0.3">
      <c r="A75" s="576">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Data'!$A$6:$A$4003)),CONCATENATE('Diags Raw Data'!$H$6:$H$4003,", "),""))</f>
        <v xml:space="preserve">placeholder_f.1, </v>
      </c>
      <c r="E75" s="341" t="str">
        <f>VLOOKUP(A75,'Diags Raw Data'!$A$6:$D$4003,4,FALSE)</f>
        <v>CTL</v>
      </c>
      <c r="F75" s="341" t="str">
        <f>VLOOKUP(A75,'Feature Raw Data'!$A$3:$E$3922,5,FALSE)</f>
        <v>New</v>
      </c>
      <c r="G75" s="341" t="str">
        <f t="shared" si="6"/>
        <v>Yes</v>
      </c>
      <c r="H75" s="341" t="str">
        <f t="shared" si="7"/>
        <v>Yes</v>
      </c>
      <c r="I75" s="459">
        <f>SUMIF('Diags Raw Data'!$A$6:$A$4003,"*"&amp;$A75&amp;"*",'Diags Raw Data'!$K$6:$K$4003)</f>
        <v>0</v>
      </c>
      <c r="J75" s="461">
        <f>SUMIF('Diags Raw Data'!$A$6:$A$4003,"*"&amp;$A75&amp;"*",'Diags Raw Data'!$L$6:$L$4003)</f>
        <v>0</v>
      </c>
      <c r="K75" s="513" t="e" cm="1">
        <f t="array" ref="K75">IF(D75="",0, SUMPRODUCT(--(ISNUMBER(SEARCH($A75,'Diags Raw Data'!$A$6:$A$4003))),'Diags Raw Data'!$L$6:$L$4003,'Diags Raw Data'!$N$6:$N$4003)/J75)</f>
        <v>#DIV/0!</v>
      </c>
      <c r="L75" s="514" t="e" cm="1">
        <f t="array" ref="L75">IF(D75="",0, SUMPRODUCT(--(ISNUMBER(SEARCH($A75,'Diags Raw Data'!$A$6:$A$4003))),'Diags Raw Data'!$L$6:$L$4003,'Diags Raw Data'!$P$6:$P$4003)/J75)</f>
        <v>#DIV/0!</v>
      </c>
      <c r="M75" s="515" cm="1">
        <f t="array" ref="M75">SUMPRODUCT(--(ISNUMBER(SEARCH($A75,'Diags Raw Data'!$A$6:$A$4003))),--('Diags Raw Data'!$Q$6:$Q$4003&lt;&gt;"N/A"),'Diags Raw Data'!$R$6:$R$4003)</f>
        <v>1</v>
      </c>
      <c r="N75" s="516" cm="1">
        <f t="array" ref="N75">SUMPRODUCT(--(ISNUMBER(SEARCH($A75,'Diags Raw Data'!$A$6:$A$4003))),--('Diags Raw Data'!$Q$6:$Q$4003&lt;&gt;"N/A"),'Diags Raw Data'!$T$6:$T$4003)+SUMPRODUCT(--(ISNUMBER(SEARCH($A75,'Diags Raw Data'!$A$6:$A$4003))),--('Diags Raw Data'!$Q$6:$Q$4003&lt;&gt;"N/A"),'Diags Raw Data'!$U$6:$U$4003)</f>
        <v>0</v>
      </c>
      <c r="O75" s="517">
        <f t="shared" si="11"/>
        <v>0</v>
      </c>
      <c r="P75" s="518">
        <f>SUMIF('Diags Raw Data'!$A$6:$A$4003,"*"&amp;$A75&amp;"*",'Diags Raw Data'!$Z$6:$Z$4003)</f>
        <v>0</v>
      </c>
      <c r="Q75" s="519">
        <f>SUM(SUMIF('Diags Raw Data'!$A$6:$A$4003,"*"&amp;$A75&amp;"*",'Diags Raw Data'!$AA$6:$AA$4003),SUMIF('Diags Raw Data'!$A$6:$A$4003,"*"&amp;$A75&amp;"*",'Diags Raw Data'!$AB$6:$AB$4003))</f>
        <v>0</v>
      </c>
      <c r="R75" s="520">
        <f t="shared" si="8"/>
        <v>0</v>
      </c>
      <c r="S75" s="520">
        <f t="shared" si="9"/>
        <v>0</v>
      </c>
      <c r="T75" s="521">
        <f t="shared" si="10"/>
        <v>0</v>
      </c>
      <c r="U75" s="456" t="str">
        <f>VLOOKUP(A75,'Diags Raw Data'!$A$6:$AH$4003,33,FALSE)</f>
        <v>WK5</v>
      </c>
      <c r="V75" s="182"/>
    </row>
    <row r="76" spans="1:22" ht="45.75" thickBot="1" x14ac:dyDescent="0.3">
      <c r="A76" s="576">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Data'!$A$6:$A$4003)),CONCATENATE('Diags Raw Data'!$H$6:$H$4003,", "),""))</f>
        <v xml:space="preserve">glxi85.1 + std test + glxi85.2, cpi400.0, cpi410.0, placeholder_r.1, spi1390,spi1391, </v>
      </c>
      <c r="E76" s="341" t="str">
        <f>VLOOKUP(A76,'Diags Raw Data'!$A$6:$D$4003,4,FALSE)</f>
        <v>CMM</v>
      </c>
      <c r="F76" s="341" t="str">
        <f>VLOOKUP(A76,'Feature Raw Data'!$A$3:$E$3922,5,FALSE)</f>
        <v>New</v>
      </c>
      <c r="G76" s="341" t="str">
        <f t="shared" si="6"/>
        <v>Yes</v>
      </c>
      <c r="H76" s="341" t="str">
        <f t="shared" si="7"/>
        <v>Yes</v>
      </c>
      <c r="I76" s="459">
        <f>SUMIF('Diags Raw Data'!$A$6:$A$4003,"*"&amp;$A76&amp;"*",'Diags Raw Data'!$K$6:$K$4003)</f>
        <v>0</v>
      </c>
      <c r="J76" s="461">
        <f>SUMIF('Diags Raw Data'!$A$6:$A$4003,"*"&amp;$A76&amp;"*",'Diags Raw Data'!$L$6:$L$4003)</f>
        <v>0</v>
      </c>
      <c r="K76" s="513" t="e" cm="1">
        <f t="array" ref="K76">IF(D76="",0, SUMPRODUCT(--(ISNUMBER(SEARCH($A76,'Diags Raw Data'!$A$6:$A$4003))),'Diags Raw Data'!$L$6:$L$4003,'Diags Raw Data'!$N$6:$N$4003)/J76)</f>
        <v>#DIV/0!</v>
      </c>
      <c r="L76" s="514" t="e" cm="1">
        <f t="array" ref="L76">IF(D76="",0, SUMPRODUCT(--(ISNUMBER(SEARCH($A76,'Diags Raw Data'!$A$6:$A$4003))),'Diags Raw Data'!$L$6:$L$4003,'Diags Raw Data'!$P$6:$P$4003)/J76)</f>
        <v>#DIV/0!</v>
      </c>
      <c r="M76" s="515" cm="1">
        <f t="array" ref="M76">SUMPRODUCT(--(ISNUMBER(SEARCH($A76,'Diags Raw Data'!$A$6:$A$4003))),--('Diags Raw Data'!$Q$6:$Q$4003&lt;&gt;"N/A"),'Diags Raw Data'!$R$6:$R$4003)</f>
        <v>7</v>
      </c>
      <c r="N76" s="516" cm="1">
        <f t="array" ref="N76">SUMPRODUCT(--(ISNUMBER(SEARCH($A76,'Diags Raw Data'!$A$6:$A$4003))),--('Diags Raw Data'!$Q$6:$Q$4003&lt;&gt;"N/A"),'Diags Raw Data'!$T$6:$T$4003)+SUMPRODUCT(--(ISNUMBER(SEARCH($A76,'Diags Raw Data'!$A$6:$A$4003))),--('Diags Raw Data'!$Q$6:$Q$4003&lt;&gt;"N/A"),'Diags Raw Data'!$U$6:$U$4003)</f>
        <v>2</v>
      </c>
      <c r="O76" s="517">
        <f t="shared" si="11"/>
        <v>0.2857142857142857</v>
      </c>
      <c r="P76" s="518">
        <f>SUMIF('Diags Raw Data'!$A$6:$A$4003,"*"&amp;$A76&amp;"*",'Diags Raw Data'!$Z$6:$Z$4003)</f>
        <v>0</v>
      </c>
      <c r="Q76" s="519">
        <f>SUM(SUMIF('Diags Raw Data'!$A$6:$A$4003,"*"&amp;$A76&amp;"*",'Diags Raw Data'!$AA$6:$AA$4003),SUMIF('Diags Raw Data'!$A$6:$A$4003,"*"&amp;$A76&amp;"*",'Diags Raw Data'!$AB$6:$AB$4003))</f>
        <v>0</v>
      </c>
      <c r="R76" s="520">
        <f t="shared" si="8"/>
        <v>0</v>
      </c>
      <c r="S76" s="520">
        <f t="shared" si="9"/>
        <v>0</v>
      </c>
      <c r="T76" s="521">
        <f t="shared" si="10"/>
        <v>0</v>
      </c>
      <c r="U76" s="456" t="str">
        <f>VLOOKUP(A76,'Diags Raw Data'!$A$6:$AH$4003,33,FALSE)</f>
        <v>WK4</v>
      </c>
      <c r="V76" s="182"/>
    </row>
    <row r="77" spans="1:22" ht="30.75" thickBot="1" x14ac:dyDescent="0.3">
      <c r="A77" s="576">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Data'!$A$6:$A$4003)),CONCATENATE('Diags Raw Data'!$H$6:$H$4003,", "),""))</f>
        <v xml:space="preserve">cpi400.0, </v>
      </c>
      <c r="E77" s="341" t="str">
        <f>VLOOKUP(A77,'Diags Raw Data'!$A$6:$D$4003,4,FALSE)</f>
        <v>CTL</v>
      </c>
      <c r="F77" s="341" t="str">
        <f>VLOOKUP(A77,'Feature Raw Data'!$A$3:$E$3922,5,FALSE)</f>
        <v>New</v>
      </c>
      <c r="G77" s="341" t="str">
        <f t="shared" si="6"/>
        <v>Yes</v>
      </c>
      <c r="H77" s="341" t="str">
        <f t="shared" si="7"/>
        <v>Yes</v>
      </c>
      <c r="I77" s="459">
        <f>SUMIF('Diags Raw Data'!$A$6:$A$4003,"*"&amp;$A77&amp;"*",'Diags Raw Data'!$K$6:$K$4003)</f>
        <v>0</v>
      </c>
      <c r="J77" s="461">
        <f>SUMIF('Diags Raw Data'!$A$6:$A$4003,"*"&amp;$A77&amp;"*",'Diags Raw Data'!$L$6:$L$4003)</f>
        <v>0</v>
      </c>
      <c r="K77" s="513" t="e" cm="1">
        <f t="array" ref="K77">IF(D77="",0, SUMPRODUCT(--(ISNUMBER(SEARCH($A77,'Diags Raw Data'!$A$6:$A$4003))),'Diags Raw Data'!$L$6:$L$4003,'Diags Raw Data'!$N$6:$N$4003)/J77)</f>
        <v>#DIV/0!</v>
      </c>
      <c r="L77" s="514" t="e" cm="1">
        <f t="array" ref="L77">IF(D77="",0, SUMPRODUCT(--(ISNUMBER(SEARCH($A77,'Diags Raw Data'!$A$6:$A$4003))),'Diags Raw Data'!$L$6:$L$4003,'Diags Raw Data'!$P$6:$P$4003)/J77)</f>
        <v>#DIV/0!</v>
      </c>
      <c r="M77" s="515" cm="1">
        <f t="array" ref="M77">SUMPRODUCT(--(ISNUMBER(SEARCH($A77,'Diags Raw Data'!$A$6:$A$4003))),--('Diags Raw Data'!$Q$6:$Q$4003&lt;&gt;"N/A"),'Diags Raw Data'!$R$6:$R$4003)</f>
        <v>2</v>
      </c>
      <c r="N77" s="516" cm="1">
        <f t="array" ref="N77">SUMPRODUCT(--(ISNUMBER(SEARCH($A77,'Diags Raw Data'!$A$6:$A$4003))),--('Diags Raw Data'!$Q$6:$Q$4003&lt;&gt;"N/A"),'Diags Raw Data'!$T$6:$T$4003)+SUMPRODUCT(--(ISNUMBER(SEARCH($A77,'Diags Raw Data'!$A$6:$A$4003))),--('Diags Raw Data'!$Q$6:$Q$4003&lt;&gt;"N/A"),'Diags Raw Data'!$U$6:$U$4003)</f>
        <v>0</v>
      </c>
      <c r="O77" s="517">
        <f t="shared" si="11"/>
        <v>0</v>
      </c>
      <c r="P77" s="518">
        <f>SUMIF('Diags Raw Data'!$A$6:$A$4003,"*"&amp;$A77&amp;"*",'Diags Raw Data'!$Z$6:$Z$4003)</f>
        <v>0</v>
      </c>
      <c r="Q77" s="519">
        <f>SUM(SUMIF('Diags Raw Data'!$A$6:$A$4003,"*"&amp;$A77&amp;"*",'Diags Raw Data'!$AA$6:$AA$4003),SUMIF('Diags Raw Data'!$A$6:$A$4003,"*"&amp;$A77&amp;"*",'Diags Raw Data'!$AB$6:$AB$4003))</f>
        <v>0</v>
      </c>
      <c r="R77" s="520">
        <f t="shared" si="8"/>
        <v>0</v>
      </c>
      <c r="S77" s="520">
        <f t="shared" si="9"/>
        <v>0</v>
      </c>
      <c r="T77" s="521">
        <f t="shared" si="10"/>
        <v>0</v>
      </c>
      <c r="U77" s="456" t="str">
        <f>VLOOKUP(A77,'Diags Raw Data'!$A$6:$AH$4003,33,FALSE)</f>
        <v>WK2</v>
      </c>
      <c r="V77" s="182"/>
    </row>
    <row r="78" spans="1:22" ht="45.75" thickBot="1" x14ac:dyDescent="0.3">
      <c r="A78" s="576">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Data'!$A$6:$A$4003)),CONCATENATE('Diags Raw Data'!$H$6:$H$4003,", "),""))</f>
        <v xml:space="preserve">cpi410.0, </v>
      </c>
      <c r="E78" s="341" t="str">
        <f>VLOOKUP(A78,'Diags Raw Data'!$A$6:$D$4003,4,FALSE)</f>
        <v>CTL</v>
      </c>
      <c r="F78" s="341" t="str">
        <f>VLOOKUP(A78,'Feature Raw Data'!$A$3:$E$3922,5,FALSE)</f>
        <v>New</v>
      </c>
      <c r="G78" s="341" t="str">
        <f t="shared" si="6"/>
        <v>Yes</v>
      </c>
      <c r="H78" s="341" t="str">
        <f t="shared" si="7"/>
        <v>Yes</v>
      </c>
      <c r="I78" s="459">
        <f>SUMIF('Diags Raw Data'!$A$6:$A$4003,"*"&amp;$A78&amp;"*",'Diags Raw Data'!$K$6:$K$4003)</f>
        <v>0</v>
      </c>
      <c r="J78" s="461">
        <f>SUMIF('Diags Raw Data'!$A$6:$A$4003,"*"&amp;$A78&amp;"*",'Diags Raw Data'!$L$6:$L$4003)</f>
        <v>0</v>
      </c>
      <c r="K78" s="513" t="e" cm="1">
        <f t="array" ref="K78">IF(D78="",0, SUMPRODUCT(--(ISNUMBER(SEARCH($A78,'Diags Raw Data'!$A$6:$A$4003))),'Diags Raw Data'!$L$6:$L$4003,'Diags Raw Data'!$N$6:$N$4003)/J78)</f>
        <v>#DIV/0!</v>
      </c>
      <c r="L78" s="514" t="e" cm="1">
        <f t="array" ref="L78">IF(D78="",0, SUMPRODUCT(--(ISNUMBER(SEARCH($A78,'Diags Raw Data'!$A$6:$A$4003))),'Diags Raw Data'!$L$6:$L$4003,'Diags Raw Data'!$P$6:$P$4003)/J78)</f>
        <v>#DIV/0!</v>
      </c>
      <c r="M78" s="515" cm="1">
        <f t="array" ref="M78">SUMPRODUCT(--(ISNUMBER(SEARCH($A78,'Diags Raw Data'!$A$6:$A$4003))),--('Diags Raw Data'!$Q$6:$Q$4003&lt;&gt;"N/A"),'Diags Raw Data'!$R$6:$R$4003)</f>
        <v>1</v>
      </c>
      <c r="N78" s="516" cm="1">
        <f t="array" ref="N78">SUMPRODUCT(--(ISNUMBER(SEARCH($A78,'Diags Raw Data'!$A$6:$A$4003))),--('Diags Raw Data'!$Q$6:$Q$4003&lt;&gt;"N/A"),'Diags Raw Data'!$T$6:$T$4003)+SUMPRODUCT(--(ISNUMBER(SEARCH($A78,'Diags Raw Data'!$A$6:$A$4003))),--('Diags Raw Data'!$Q$6:$Q$4003&lt;&gt;"N/A"),'Diags Raw Data'!$U$6:$U$4003)</f>
        <v>0</v>
      </c>
      <c r="O78" s="517">
        <f t="shared" si="11"/>
        <v>0</v>
      </c>
      <c r="P78" s="518">
        <f>SUMIF('Diags Raw Data'!$A$6:$A$4003,"*"&amp;$A78&amp;"*",'Diags Raw Data'!$Z$6:$Z$4003)</f>
        <v>0</v>
      </c>
      <c r="Q78" s="519">
        <f>SUM(SUMIF('Diags Raw Data'!$A$6:$A$4003,"*"&amp;$A78&amp;"*",'Diags Raw Data'!$AA$6:$AA$4003),SUMIF('Diags Raw Data'!$A$6:$A$4003,"*"&amp;$A78&amp;"*",'Diags Raw Data'!$AB$6:$AB$4003))</f>
        <v>0</v>
      </c>
      <c r="R78" s="520">
        <f t="shared" si="8"/>
        <v>0</v>
      </c>
      <c r="S78" s="520">
        <f t="shared" si="9"/>
        <v>0</v>
      </c>
      <c r="T78" s="521">
        <f t="shared" si="10"/>
        <v>0</v>
      </c>
      <c r="U78" s="456" t="str">
        <f>VLOOKUP(A78,'Diags Raw Data'!$A$6:$AH$4003,33,FALSE)</f>
        <v>WK5</v>
      </c>
      <c r="V78" s="182"/>
    </row>
    <row r="79" spans="1:22" ht="15.75" thickBot="1" x14ac:dyDescent="0.3">
      <c r="A79" s="576">
        <v>12.134</v>
      </c>
      <c r="B79" s="458" t="str">
        <f>VLOOKUP(A79,'Feature Raw Data'!$A$3:$B$3922,2,FALSE)</f>
        <v xml:space="preserve">MES Handling Doorbell Misses </v>
      </c>
      <c r="C79" s="459" t="str">
        <f>VLOOKUP(A79,'Feature Raw Data'!$A$3:$C$3922,3,FALSE)</f>
        <v>P1</v>
      </c>
      <c r="D79" s="460" t="str" cm="1">
        <f t="array" ref="D79">_xlfn.TEXTJOIN("",TRUE,IF(ISNUMBER(SEARCH($A79,'Diags Raw Data'!$A$6:$A$4003)),CONCATENATE('Diags Raw Data'!$H$6:$H$4003,", "),""))</f>
        <v xml:space="preserve">placeholder_r.1, </v>
      </c>
      <c r="E79" s="341" t="str">
        <f>VLOOKUP(A79,'Diags Raw Data'!$A$6:$D$4003,4,FALSE)</f>
        <v>CTL</v>
      </c>
      <c r="F79" s="341" t="str">
        <f>VLOOKUP(A79,'Feature Raw Data'!$A$3:$E$3922,5,FALSE)</f>
        <v>New</v>
      </c>
      <c r="G79" s="341" t="str">
        <f t="shared" si="6"/>
        <v>Yes</v>
      </c>
      <c r="H79" s="341" t="str">
        <f t="shared" si="7"/>
        <v>Yes</v>
      </c>
      <c r="I79" s="459">
        <f>SUMIF('Diags Raw Data'!$A$6:$A$4003,"*"&amp;$A79&amp;"*",'Diags Raw Data'!$K$6:$K$4003)</f>
        <v>0</v>
      </c>
      <c r="J79" s="461">
        <f>SUMIF('Diags Raw Data'!$A$6:$A$4003,"*"&amp;$A79&amp;"*",'Diags Raw Data'!$L$6:$L$4003)</f>
        <v>0</v>
      </c>
      <c r="K79" s="513" t="e" cm="1">
        <f t="array" ref="K79">IF(D79="",0, SUMPRODUCT(--(ISNUMBER(SEARCH($A79,'Diags Raw Data'!$A$6:$A$4003))),'Diags Raw Data'!$L$6:$L$4003,'Diags Raw Data'!$N$6:$N$4003)/J79)</f>
        <v>#DIV/0!</v>
      </c>
      <c r="L79" s="514" t="e" cm="1">
        <f t="array" ref="L79">IF(D79="",0, SUMPRODUCT(--(ISNUMBER(SEARCH($A79,'Diags Raw Data'!$A$6:$A$4003))),'Diags Raw Data'!$L$6:$L$4003,'Diags Raw Data'!$P$6:$P$4003)/J79)</f>
        <v>#DIV/0!</v>
      </c>
      <c r="M79" s="515" cm="1">
        <f t="array" ref="M79">SUMPRODUCT(--(ISNUMBER(SEARCH($A79,'Diags Raw Data'!$A$6:$A$4003))),--('Diags Raw Data'!$Q$6:$Q$4003&lt;&gt;"N/A"),'Diags Raw Data'!$R$6:$R$4003)</f>
        <v>1</v>
      </c>
      <c r="N79" s="516" cm="1">
        <f t="array" ref="N79">SUMPRODUCT(--(ISNUMBER(SEARCH($A79,'Diags Raw Data'!$A$6:$A$4003))),--('Diags Raw Data'!$Q$6:$Q$4003&lt;&gt;"N/A"),'Diags Raw Data'!$T$6:$T$4003)+SUMPRODUCT(--(ISNUMBER(SEARCH($A79,'Diags Raw Data'!$A$6:$A$4003))),--('Diags Raw Data'!$Q$6:$Q$4003&lt;&gt;"N/A"),'Diags Raw Data'!$U$6:$U$4003)</f>
        <v>0</v>
      </c>
      <c r="O79" s="517">
        <f t="shared" si="11"/>
        <v>0</v>
      </c>
      <c r="P79" s="518">
        <f>SUMIF('Diags Raw Data'!$A$6:$A$4003,"*"&amp;$A79&amp;"*",'Diags Raw Data'!$Z$6:$Z$4003)</f>
        <v>0</v>
      </c>
      <c r="Q79" s="519">
        <f>SUM(SUMIF('Diags Raw Data'!$A$6:$A$4003,"*"&amp;$A79&amp;"*",'Diags Raw Data'!$AA$6:$AA$4003),SUMIF('Diags Raw Data'!$A$6:$A$4003,"*"&amp;$A79&amp;"*",'Diags Raw Data'!$AB$6:$AB$4003))</f>
        <v>0</v>
      </c>
      <c r="R79" s="520">
        <f t="shared" si="8"/>
        <v>0</v>
      </c>
      <c r="S79" s="520">
        <f t="shared" si="9"/>
        <v>0</v>
      </c>
      <c r="T79" s="521">
        <f t="shared" si="10"/>
        <v>0</v>
      </c>
      <c r="U79" s="456" t="str">
        <f>VLOOKUP(A79,'Diags Raw Data'!$A$6:$AH$4003,33,FALSE)</f>
        <v>WK5</v>
      </c>
      <c r="V79" s="182"/>
    </row>
    <row r="80" spans="1:22" ht="30.75" thickBot="1" x14ac:dyDescent="0.3">
      <c r="A80" s="576">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Data'!$A$6:$A$4003)),CONCATENATE('Diags Raw Data'!$H$6:$H$4003,", "),""))</f>
        <v xml:space="preserve">spi1390,spi1391, </v>
      </c>
      <c r="E80" s="341" t="str">
        <f>VLOOKUP(A80,'Diags Raw Data'!$A$6:$D$4003,4,FALSE)</f>
        <v>SIO</v>
      </c>
      <c r="F80" s="341" t="str">
        <f>VLOOKUP(A80,'Feature Raw Data'!$A$3:$E$3922,5,FALSE)</f>
        <v>New</v>
      </c>
      <c r="G80" s="341" t="str">
        <f t="shared" si="6"/>
        <v>Yes</v>
      </c>
      <c r="H80" s="341" t="str">
        <f t="shared" si="7"/>
        <v>Yes</v>
      </c>
      <c r="I80" s="459">
        <f>SUMIF('Diags Raw Data'!$A$6:$A$4003,"*"&amp;$A80&amp;"*",'Diags Raw Data'!$K$6:$K$4003)</f>
        <v>0</v>
      </c>
      <c r="J80" s="461">
        <f>SUMIF('Diags Raw Data'!$A$6:$A$4003,"*"&amp;$A80&amp;"*",'Diags Raw Data'!$L$6:$L$4003)</f>
        <v>0</v>
      </c>
      <c r="K80" s="513" t="e" cm="1">
        <f t="array" ref="K80">IF(D80="",0, SUMPRODUCT(--(ISNUMBER(SEARCH($A80,'Diags Raw Data'!$A$6:$A$4003))),'Diags Raw Data'!$L$6:$L$4003,'Diags Raw Data'!$N$6:$N$4003)/J80)</f>
        <v>#DIV/0!</v>
      </c>
      <c r="L80" s="514" t="e" cm="1">
        <f t="array" ref="L80">IF(D80="",0, SUMPRODUCT(--(ISNUMBER(SEARCH($A80,'Diags Raw Data'!$A$6:$A$4003))),'Diags Raw Data'!$L$6:$L$4003,'Diags Raw Data'!$P$6:$P$4003)/J80)</f>
        <v>#DIV/0!</v>
      </c>
      <c r="M80" s="515" cm="1">
        <f t="array" ref="M80">SUMPRODUCT(--(ISNUMBER(SEARCH($A80,'Diags Raw Data'!$A$6:$A$4003))),--('Diags Raw Data'!$Q$6:$Q$4003&lt;&gt;"N/A"),'Diags Raw Data'!$R$6:$R$4003)</f>
        <v>2</v>
      </c>
      <c r="N80" s="516" cm="1">
        <f t="array" ref="N80">SUMPRODUCT(--(ISNUMBER(SEARCH($A80,'Diags Raw Data'!$A$6:$A$4003))),--('Diags Raw Data'!$Q$6:$Q$4003&lt;&gt;"N/A"),'Diags Raw Data'!$T$6:$T$4003)+SUMPRODUCT(--(ISNUMBER(SEARCH($A80,'Diags Raw Data'!$A$6:$A$4003))),--('Diags Raw Data'!$Q$6:$Q$4003&lt;&gt;"N/A"),'Diags Raw Data'!$U$6:$U$4003)</f>
        <v>2</v>
      </c>
      <c r="O80" s="517">
        <f t="shared" si="11"/>
        <v>1</v>
      </c>
      <c r="P80" s="518">
        <f>SUMIF('Diags Raw Data'!$A$6:$A$4003,"*"&amp;$A80&amp;"*",'Diags Raw Data'!$Z$6:$Z$4003)</f>
        <v>0</v>
      </c>
      <c r="Q80" s="519">
        <f>SUM(SUMIF('Diags Raw Data'!$A$6:$A$4003,"*"&amp;$A80&amp;"*",'Diags Raw Data'!$AA$6:$AA$4003),SUMIF('Diags Raw Data'!$A$6:$A$4003,"*"&amp;$A80&amp;"*",'Diags Raw Data'!$AB$6:$AB$4003))</f>
        <v>0</v>
      </c>
      <c r="R80" s="520">
        <f t="shared" si="8"/>
        <v>0</v>
      </c>
      <c r="S80" s="520">
        <f t="shared" si="9"/>
        <v>0</v>
      </c>
      <c r="T80" s="521">
        <f t="shared" si="10"/>
        <v>0</v>
      </c>
      <c r="U80" s="456" t="str">
        <f>VLOOKUP(A80,'Diags Raw Data'!$A$6:$AH$4003,33,FALSE)</f>
        <v>WK4</v>
      </c>
      <c r="V80" s="182"/>
    </row>
    <row r="81" spans="1:22" ht="150.75" thickBot="1" x14ac:dyDescent="0.3">
      <c r="A81" s="576">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Data'!$A$6:$A$4003)),CONCATENATE('Diags Raw Data'!$H$6:$H$4003,",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Data'!$A$6:$D$4003,4,FALSE)</f>
        <v>SH</v>
      </c>
      <c r="F81" s="341" t="str">
        <f>VLOOKUP(A81,'Feature Raw Data'!$A$3:$E$3922,5,FALSE)</f>
        <v>Delta</v>
      </c>
      <c r="G81" s="341" t="str">
        <f t="shared" si="6"/>
        <v>Yes</v>
      </c>
      <c r="H81" s="341" t="str">
        <f t="shared" si="7"/>
        <v>Yes</v>
      </c>
      <c r="I81" s="459">
        <f>SUMIF('Diags Raw Data'!$A$6:$A$4003,"*"&amp;$A81&amp;"*",'Diags Raw Data'!$K$6:$K$4003)</f>
        <v>0</v>
      </c>
      <c r="J81" s="461">
        <f>SUMIF('Diags Raw Data'!$A$6:$A$4003,"*"&amp;$A81&amp;"*",'Diags Raw Data'!$L$6:$L$4003)</f>
        <v>0</v>
      </c>
      <c r="K81" s="513" t="e" cm="1">
        <f t="array" ref="K81">IF(D81="",0, SUMPRODUCT(--(ISNUMBER(SEARCH($A81,'Diags Raw Data'!$A$6:$A$4003))),'Diags Raw Data'!$L$6:$L$4003,'Diags Raw Data'!$N$6:$N$4003)/J81)</f>
        <v>#DIV/0!</v>
      </c>
      <c r="L81" s="514" t="e" cm="1">
        <f t="array" ref="L81">IF(D81="",0, SUMPRODUCT(--(ISNUMBER(SEARCH($A81,'Diags Raw Data'!$A$6:$A$4003))),'Diags Raw Data'!$L$6:$L$4003,'Diags Raw Data'!$P$6:$P$4003)/J81)</f>
        <v>#DIV/0!</v>
      </c>
      <c r="M81" s="515" cm="1">
        <f t="array" ref="M81">SUMPRODUCT(--(ISNUMBER(SEARCH($A81,'Diags Raw Data'!$A$6:$A$4003))),--('Diags Raw Data'!$Q$6:$Q$4003&lt;&gt;"N/A"),'Diags Raw Data'!$R$6:$R$4003)</f>
        <v>7</v>
      </c>
      <c r="N81" s="516" cm="1">
        <f t="array" ref="N81">SUMPRODUCT(--(ISNUMBER(SEARCH($A81,'Diags Raw Data'!$A$6:$A$4003))),--('Diags Raw Data'!$Q$6:$Q$4003&lt;&gt;"N/A"),'Diags Raw Data'!$T$6:$T$4003)+SUMPRODUCT(--(ISNUMBER(SEARCH($A81,'Diags Raw Data'!$A$6:$A$4003))),--('Diags Raw Data'!$Q$6:$Q$4003&lt;&gt;"N/A"),'Diags Raw Data'!$U$6:$U$4003)</f>
        <v>7</v>
      </c>
      <c r="O81" s="517">
        <f t="shared" si="11"/>
        <v>1</v>
      </c>
      <c r="P81" s="518">
        <f>SUMIF('Diags Raw Data'!$A$6:$A$4003,"*"&amp;$A81&amp;"*",'Diags Raw Data'!$Z$6:$Z$4003)</f>
        <v>0</v>
      </c>
      <c r="Q81" s="519">
        <f>SUM(SUMIF('Diags Raw Data'!$A$6:$A$4003,"*"&amp;$A81&amp;"*",'Diags Raw Data'!$AA$6:$AA$4003),SUMIF('Diags Raw Data'!$A$6:$A$4003,"*"&amp;$A81&amp;"*",'Diags Raw Data'!$AB$6:$AB$4003))</f>
        <v>0</v>
      </c>
      <c r="R81" s="520">
        <f t="shared" si="8"/>
        <v>0</v>
      </c>
      <c r="S81" s="520">
        <f t="shared" si="9"/>
        <v>0</v>
      </c>
      <c r="T81" s="521">
        <f t="shared" si="10"/>
        <v>0</v>
      </c>
      <c r="U81" s="456" t="str">
        <f>VLOOKUP(A81,'Diags Raw Data'!$A$6:$AH$4003,33,FALSE)</f>
        <v>WK1</v>
      </c>
      <c r="V81" s="182"/>
    </row>
    <row r="82" spans="1:22" ht="30.75" thickBot="1" x14ac:dyDescent="0.3">
      <c r="A82" s="576">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9">
        <f>SUMIF('Diags Raw Data'!$A$6:$A$4003,"*"&amp;$A82&amp;"*",'Diags Raw Data'!$K$6:$K$4003)</f>
        <v>0</v>
      </c>
      <c r="J82" s="461">
        <f>SUMIF('Diags Raw Data'!$A$6:$A$4003,"*"&amp;$A82&amp;"*",'Diags Raw Data'!$L$6:$L$4003)</f>
        <v>0</v>
      </c>
      <c r="K82" s="513" t="e" cm="1">
        <f t="array" ref="K82">IF(D82="",0, SUMPRODUCT(--(ISNUMBER(SEARCH($A82,'Diags Raw Data'!$A$6:$A$4003))),'Diags Raw Data'!$L$6:$L$4003,'Diags Raw Data'!$N$6:$N$4003)/J82)</f>
        <v>#DIV/0!</v>
      </c>
      <c r="L82" s="514" t="e" cm="1">
        <f t="array" ref="L82">IF(D82="",0, SUMPRODUCT(--(ISNUMBER(SEARCH($A82,'Diags Raw Data'!$A$6:$A$4003))),'Diags Raw Data'!$L$6:$L$4003,'Diags Raw Data'!$P$6:$P$4003)/J82)</f>
        <v>#DIV/0!</v>
      </c>
      <c r="M82" s="515" cm="1">
        <f t="array" ref="M82">SUMPRODUCT(--(ISNUMBER(SEARCH($A82,'Diags Raw Data'!$A$6:$A$4003))),--('Diags Raw Data'!$Q$6:$Q$4003&lt;&gt;"N/A"),'Diags Raw Data'!$R$6:$R$4003)</f>
        <v>0</v>
      </c>
      <c r="N82" s="516" cm="1">
        <f t="array" ref="N82">SUMPRODUCT(--(ISNUMBER(SEARCH($A82,'Diags Raw Data'!$A$6:$A$4003))),--('Diags Raw Data'!$Q$6:$Q$4003&lt;&gt;"N/A"),'Diags Raw Data'!$T$6:$T$4003)+SUMPRODUCT(--(ISNUMBER(SEARCH($A82,'Diags Raw Data'!$A$6:$A$4003))),--('Diags Raw Data'!$Q$6:$Q$4003&lt;&gt;"N/A"),'Diags Raw Data'!$U$6:$U$4003)</f>
        <v>0</v>
      </c>
      <c r="O82" s="517">
        <f t="shared" si="11"/>
        <v>0</v>
      </c>
      <c r="P82" s="518">
        <f>SUMIF('Diags Raw Data'!$A$6:$A$4003,"*"&amp;$A82&amp;"*",'Diags Raw Data'!$Z$6:$Z$4003)</f>
        <v>0</v>
      </c>
      <c r="Q82" s="519">
        <f>SUM(SUMIF('Diags Raw Data'!$A$6:$A$4003,"*"&amp;$A82&amp;"*",'Diags Raw Data'!$AA$6:$AA$4003),SUMIF('Diags Raw Data'!$A$6:$A$4003,"*"&amp;$A82&amp;"*",'Diags Raw Data'!$AB$6:$AB$4003))</f>
        <v>0</v>
      </c>
      <c r="R82" s="520">
        <f t="shared" si="8"/>
        <v>0</v>
      </c>
      <c r="S82" s="520">
        <f t="shared" si="9"/>
        <v>0</v>
      </c>
      <c r="T82" s="521">
        <f t="shared" si="10"/>
        <v>0</v>
      </c>
      <c r="U82" s="456" t="str">
        <f>VLOOKUP(A82,'Diags Raw Data'!$A$6:$AH$4003,33,FALSE)</f>
        <v>N/A</v>
      </c>
      <c r="V82" s="585" t="s">
        <v>404</v>
      </c>
    </row>
    <row r="83" spans="1:22" ht="15.75" thickBot="1" x14ac:dyDescent="0.3">
      <c r="A83" s="576">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Data'!$A$6:$A$4003)),CONCATENATE('Diags Raw Data'!$H$6:$H$4003,", "),""))</f>
        <v xml:space="preserve">std1.1, gci30.4, </v>
      </c>
      <c r="E83" s="341" t="str">
        <f>VLOOKUP(A83,'Diags Raw Data'!$A$6:$D$4003,4,FALSE)</f>
        <v>CTL</v>
      </c>
      <c r="F83" s="341" t="str">
        <f>VLOOKUP(A83,'Feature Raw Data'!$A$3:$E$3922,5,FALSE)</f>
        <v>New</v>
      </c>
      <c r="G83" s="341" t="str">
        <f t="shared" si="6"/>
        <v>Yes</v>
      </c>
      <c r="H83" s="341" t="str">
        <f t="shared" si="7"/>
        <v>Yes</v>
      </c>
      <c r="I83" s="459">
        <f>SUMIF('Diags Raw Data'!$A$6:$A$4003,"*"&amp;$A83&amp;"*",'Diags Raw Data'!$K$6:$K$4003)</f>
        <v>0</v>
      </c>
      <c r="J83" s="461">
        <f>SUMIF('Diags Raw Data'!$A$6:$A$4003,"*"&amp;$A83&amp;"*",'Diags Raw Data'!$L$6:$L$4003)</f>
        <v>0</v>
      </c>
      <c r="K83" s="513" t="e" cm="1">
        <f t="array" ref="K83">IF(D83="",0, SUMPRODUCT(--(ISNUMBER(SEARCH($A83,'Diags Raw Data'!$A$6:$A$4003))),'Diags Raw Data'!$L$6:$L$4003,'Diags Raw Data'!$N$6:$N$4003)/J83)</f>
        <v>#DIV/0!</v>
      </c>
      <c r="L83" s="514" t="e" cm="1">
        <f t="array" ref="L83">IF(D83="",0, SUMPRODUCT(--(ISNUMBER(SEARCH($A83,'Diags Raw Data'!$A$6:$A$4003))),'Diags Raw Data'!$L$6:$L$4003,'Diags Raw Data'!$P$6:$P$4003)/J83)</f>
        <v>#DIV/0!</v>
      </c>
      <c r="M83" s="515" cm="1">
        <f t="array" ref="M83">SUMPRODUCT(--(ISNUMBER(SEARCH($A83,'Diags Raw Data'!$A$6:$A$4003))),--('Diags Raw Data'!$Q$6:$Q$4003&lt;&gt;"N/A"),'Diags Raw Data'!$R$6:$R$4003)</f>
        <v>2</v>
      </c>
      <c r="N83" s="516" cm="1">
        <f t="array" ref="N83">SUMPRODUCT(--(ISNUMBER(SEARCH($A83,'Diags Raw Data'!$A$6:$A$4003))),--('Diags Raw Data'!$Q$6:$Q$4003&lt;&gt;"N/A"),'Diags Raw Data'!$T$6:$T$4003)+SUMPRODUCT(--(ISNUMBER(SEARCH($A83,'Diags Raw Data'!$A$6:$A$4003))),--('Diags Raw Data'!$Q$6:$Q$4003&lt;&gt;"N/A"),'Diags Raw Data'!$U$6:$U$4003)</f>
        <v>1</v>
      </c>
      <c r="O83" s="517">
        <f t="shared" si="11"/>
        <v>0.5</v>
      </c>
      <c r="P83" s="518">
        <f>SUMIF('Diags Raw Data'!$A$6:$A$4003,"*"&amp;$A83&amp;"*",'Diags Raw Data'!$Z$6:$Z$4003)</f>
        <v>0</v>
      </c>
      <c r="Q83" s="519">
        <f>SUM(SUMIF('Diags Raw Data'!$A$6:$A$4003,"*"&amp;$A83&amp;"*",'Diags Raw Data'!$AA$6:$AA$4003),SUMIF('Diags Raw Data'!$A$6:$A$4003,"*"&amp;$A83&amp;"*",'Diags Raw Data'!$AB$6:$AB$4003))</f>
        <v>0</v>
      </c>
      <c r="R83" s="520">
        <f t="shared" si="8"/>
        <v>0</v>
      </c>
      <c r="S83" s="520">
        <f t="shared" si="9"/>
        <v>0</v>
      </c>
      <c r="T83" s="521">
        <f t="shared" si="10"/>
        <v>0</v>
      </c>
      <c r="U83" s="456" t="str">
        <f>VLOOKUP(A83,'Diags Raw Data'!$A$6:$AH$4003,33,FALSE)</f>
        <v>WK5</v>
      </c>
      <c r="V83" s="182"/>
    </row>
    <row r="84" spans="1:22" ht="15.75" thickBot="1" x14ac:dyDescent="0.3">
      <c r="A84" s="576">
        <v>12.148</v>
      </c>
      <c r="B84" s="458" t="str">
        <f>VLOOKUP(A84,'Feature Raw Data'!$A$3:$B$3922,2,FALSE)</f>
        <v xml:space="preserve">RS64 L0 Data Cache </v>
      </c>
      <c r="C84" s="459" t="str">
        <f>VLOOKUP(A84,'Feature Raw Data'!$A$3:$C$3922,3,FALSE)</f>
        <v>P1</v>
      </c>
      <c r="D84" s="460" t="str" cm="1">
        <f t="array" ref="D84">_xlfn.TEXTJOIN("",TRUE,IF(ISNUMBER(SEARCH($A84,'Diags Raw Data'!$A$6:$A$4003)),CONCATENATE('Diags Raw Data'!$H$6:$H$4003,", "),""))</f>
        <v xml:space="preserve">std1.1, gci30.4, </v>
      </c>
      <c r="E84" s="341" t="str">
        <f>VLOOKUP(A84,'Diags Raw Data'!$A$6:$D$4003,4,FALSE)</f>
        <v>CTL</v>
      </c>
      <c r="F84" s="341" t="str">
        <f>VLOOKUP(A84,'Feature Raw Data'!$A$3:$E$3922,5,FALSE)</f>
        <v>New</v>
      </c>
      <c r="G84" s="341" t="str">
        <f t="shared" si="6"/>
        <v>Yes</v>
      </c>
      <c r="H84" s="341" t="str">
        <f t="shared" si="7"/>
        <v>Yes</v>
      </c>
      <c r="I84" s="459">
        <f>SUMIF('Diags Raw Data'!$A$6:$A$4003,"*"&amp;$A84&amp;"*",'Diags Raw Data'!$K$6:$K$4003)</f>
        <v>0</v>
      </c>
      <c r="J84" s="461">
        <f>SUMIF('Diags Raw Data'!$A$6:$A$4003,"*"&amp;$A84&amp;"*",'Diags Raw Data'!$L$6:$L$4003)</f>
        <v>0</v>
      </c>
      <c r="K84" s="513" t="e" cm="1">
        <f t="array" ref="K84">IF(D84="",0, SUMPRODUCT(--(ISNUMBER(SEARCH($A84,'Diags Raw Data'!$A$6:$A$4003))),'Diags Raw Data'!$L$6:$L$4003,'Diags Raw Data'!$N$6:$N$4003)/J84)</f>
        <v>#DIV/0!</v>
      </c>
      <c r="L84" s="514" t="e" cm="1">
        <f t="array" ref="L84">IF(D84="",0, SUMPRODUCT(--(ISNUMBER(SEARCH($A84,'Diags Raw Data'!$A$6:$A$4003))),'Diags Raw Data'!$L$6:$L$4003,'Diags Raw Data'!$P$6:$P$4003)/J84)</f>
        <v>#DIV/0!</v>
      </c>
      <c r="M84" s="515" cm="1">
        <f t="array" ref="M84">SUMPRODUCT(--(ISNUMBER(SEARCH($A84,'Diags Raw Data'!$A$6:$A$4003))),--('Diags Raw Data'!$Q$6:$Q$4003&lt;&gt;"N/A"),'Diags Raw Data'!$R$6:$R$4003)</f>
        <v>2</v>
      </c>
      <c r="N84" s="516" cm="1">
        <f t="array" ref="N84">SUMPRODUCT(--(ISNUMBER(SEARCH($A84,'Diags Raw Data'!$A$6:$A$4003))),--('Diags Raw Data'!$Q$6:$Q$4003&lt;&gt;"N/A"),'Diags Raw Data'!$T$6:$T$4003)+SUMPRODUCT(--(ISNUMBER(SEARCH($A84,'Diags Raw Data'!$A$6:$A$4003))),--('Diags Raw Data'!$Q$6:$Q$4003&lt;&gt;"N/A"),'Diags Raw Data'!$U$6:$U$4003)</f>
        <v>1</v>
      </c>
      <c r="O84" s="517">
        <f t="shared" si="11"/>
        <v>0.5</v>
      </c>
      <c r="P84" s="518">
        <f>SUMIF('Diags Raw Data'!$A$6:$A$4003,"*"&amp;$A84&amp;"*",'Diags Raw Data'!$Z$6:$Z$4003)</f>
        <v>0</v>
      </c>
      <c r="Q84" s="519">
        <f>SUM(SUMIF('Diags Raw Data'!$A$6:$A$4003,"*"&amp;$A84&amp;"*",'Diags Raw Data'!$AA$6:$AA$4003),SUMIF('Diags Raw Data'!$A$6:$A$4003,"*"&amp;$A84&amp;"*",'Diags Raw Data'!$AB$6:$AB$4003))</f>
        <v>0</v>
      </c>
      <c r="R84" s="520">
        <f t="shared" si="8"/>
        <v>0</v>
      </c>
      <c r="S84" s="520">
        <f t="shared" si="9"/>
        <v>0</v>
      </c>
      <c r="T84" s="521">
        <f t="shared" si="10"/>
        <v>0</v>
      </c>
      <c r="U84" s="456" t="str">
        <f>VLOOKUP(A84,'Diags Raw Data'!$A$6:$AH$4003,33,FALSE)</f>
        <v>WK5</v>
      </c>
      <c r="V84" s="182"/>
    </row>
    <row r="85" spans="1:22" ht="30.75" thickBot="1" x14ac:dyDescent="0.3">
      <c r="A85" s="576">
        <v>12.15</v>
      </c>
      <c r="B85" s="458" t="str">
        <f>VLOOKUP(A85,'Feature Raw Data'!$A$3:$B$3922,2,FALSE)</f>
        <v xml:space="preserve">RS64 Bit Manip Instructions </v>
      </c>
      <c r="C85" s="459" t="str">
        <f>VLOOKUP(A85,'Feature Raw Data'!$A$3:$C$3922,3,FALSE)</f>
        <v>P1</v>
      </c>
      <c r="D85" s="460" t="str" cm="1">
        <f t="array" ref="D85">_xlfn.TEXTJOIN("",TRUE,IF(ISNUMBER(SEARCH($A85,'Diags Raw Data'!$A$6:$A$4003)),CONCATENATE('Diags Raw Data'!$H$6:$H$4003,", "),""))</f>
        <v xml:space="preserve">gci3.12, N/A, gfx.inst_perf/v_s_.*, shci2038.0-3,104, </v>
      </c>
      <c r="E85" s="341" t="str">
        <f>VLOOKUP(A85,'Diags Raw Data'!$A$6:$D$4003,4,FALSE)</f>
        <v>CTL</v>
      </c>
      <c r="F85" s="341" t="str">
        <f>VLOOKUP(A85,'Feature Raw Data'!$A$3:$E$3922,5,FALSE)</f>
        <v>New</v>
      </c>
      <c r="G85" s="341" t="str">
        <f t="shared" si="6"/>
        <v>Yes</v>
      </c>
      <c r="H85" s="341" t="str">
        <f t="shared" si="7"/>
        <v>Yes</v>
      </c>
      <c r="I85" s="459">
        <f>SUMIF('Diags Raw Data'!$A$6:$A$4003,"*"&amp;$A85&amp;"*",'Diags Raw Data'!$K$6:$K$4003)</f>
        <v>0</v>
      </c>
      <c r="J85" s="461">
        <f>SUMIF('Diags Raw Data'!$A$6:$A$4003,"*"&amp;$A85&amp;"*",'Diags Raw Data'!$L$6:$L$4003)</f>
        <v>0</v>
      </c>
      <c r="K85" s="513" t="e" cm="1">
        <f t="array" ref="K85">IF(D85="",0, SUMPRODUCT(--(ISNUMBER(SEARCH($A85,'Diags Raw Data'!$A$6:$A$4003))),'Diags Raw Data'!$L$6:$L$4003,'Diags Raw Data'!$N$6:$N$4003)/J85)</f>
        <v>#DIV/0!</v>
      </c>
      <c r="L85" s="514" t="e" cm="1">
        <f t="array" ref="L85">IF(D85="",0, SUMPRODUCT(--(ISNUMBER(SEARCH($A85,'Diags Raw Data'!$A$6:$A$4003))),'Diags Raw Data'!$L$6:$L$4003,'Diags Raw Data'!$P$6:$P$4003)/J85)</f>
        <v>#DIV/0!</v>
      </c>
      <c r="M85" s="515" cm="1">
        <f t="array" ref="M85">SUMPRODUCT(--(ISNUMBER(SEARCH($A85,'Diags Raw Data'!$A$6:$A$4003))),--('Diags Raw Data'!$Q$6:$Q$4003&lt;&gt;"N/A"),'Diags Raw Data'!$R$6:$R$4003)</f>
        <v>16</v>
      </c>
      <c r="N85" s="516" cm="1">
        <f t="array" ref="N85">SUMPRODUCT(--(ISNUMBER(SEARCH($A85,'Diags Raw Data'!$A$6:$A$4003))),--('Diags Raw Data'!$Q$6:$Q$4003&lt;&gt;"N/A"),'Diags Raw Data'!$T$6:$T$4003)+SUMPRODUCT(--(ISNUMBER(SEARCH($A85,'Diags Raw Data'!$A$6:$A$4003))),--('Diags Raw Data'!$Q$6:$Q$4003&lt;&gt;"N/A"),'Diags Raw Data'!$U$6:$U$4003)</f>
        <v>16</v>
      </c>
      <c r="O85" s="517">
        <f t="shared" si="11"/>
        <v>1</v>
      </c>
      <c r="P85" s="518">
        <f>SUMIF('Diags Raw Data'!$A$6:$A$4003,"*"&amp;$A85&amp;"*",'Diags Raw Data'!$Z$6:$Z$4003)</f>
        <v>0</v>
      </c>
      <c r="Q85" s="519">
        <f>SUM(SUMIF('Diags Raw Data'!$A$6:$A$4003,"*"&amp;$A85&amp;"*",'Diags Raw Data'!$AA$6:$AA$4003),SUMIF('Diags Raw Data'!$A$6:$A$4003,"*"&amp;$A85&amp;"*",'Diags Raw Data'!$AB$6:$AB$4003))</f>
        <v>0</v>
      </c>
      <c r="R85" s="520">
        <f t="shared" si="8"/>
        <v>0</v>
      </c>
      <c r="S85" s="520">
        <f t="shared" si="9"/>
        <v>0</v>
      </c>
      <c r="T85" s="521">
        <f t="shared" si="10"/>
        <v>0</v>
      </c>
      <c r="U85" s="456" t="str">
        <f>VLOOKUP(A85,'Diags Raw Data'!$A$6:$AH$4003,33,FALSE)</f>
        <v>WK5</v>
      </c>
      <c r="V85" s="182"/>
    </row>
    <row r="86" spans="1:22" ht="15.75" thickBot="1" x14ac:dyDescent="0.3">
      <c r="A86" s="576">
        <v>12.151999999999999</v>
      </c>
      <c r="B86" s="458" t="str">
        <f>VLOOKUP(A86,'Feature Raw Data'!$A$3:$B$3922,2,FALSE)</f>
        <v>RS64 Dynamic TMR Loading</v>
      </c>
      <c r="C86" s="459" t="str">
        <f>VLOOKUP(A86,'Feature Raw Data'!$A$3:$C$3922,3,FALSE)</f>
        <v>P1</v>
      </c>
      <c r="D86" s="460" t="str" cm="1">
        <f t="array" ref="D86">_xlfn.TEXTJOIN("",TRUE,IF(ISNUMBER(SEARCH($A86,'Diags Raw Data'!$A$6:$A$4003)),CONCATENATE('Diags Raw Data'!$H$6:$H$4003,", "),""))</f>
        <v xml:space="preserve">N/A, </v>
      </c>
      <c r="E86" s="341" t="str">
        <f>VLOOKUP(A86,'Diags Raw Data'!$A$6:$D$4003,4,FALSE)</f>
        <v>CTL</v>
      </c>
      <c r="F86" s="341" t="str">
        <f>VLOOKUP(A86,'Feature Raw Data'!$A$3:$E$3922,5,FALSE)</f>
        <v>New</v>
      </c>
      <c r="G86" s="341" t="str">
        <f t="shared" si="6"/>
        <v>No</v>
      </c>
      <c r="H86" s="341" t="str">
        <f t="shared" si="7"/>
        <v>No</v>
      </c>
      <c r="I86" s="459">
        <f>SUMIF('Diags Raw Data'!$A$6:$A$4003,"*"&amp;$A86&amp;"*",'Diags Raw Data'!$K$6:$K$4003)</f>
        <v>0</v>
      </c>
      <c r="J86" s="461">
        <f>SUMIF('Diags Raw Data'!$A$6:$A$4003,"*"&amp;$A86&amp;"*",'Diags Raw Data'!$L$6:$L$4003)</f>
        <v>0</v>
      </c>
      <c r="K86" s="513" t="e" cm="1">
        <f t="array" ref="K86">IF(D86="",0, SUMPRODUCT(--(ISNUMBER(SEARCH($A86,'Diags Raw Data'!$A$6:$A$4003))),'Diags Raw Data'!$L$6:$L$4003,'Diags Raw Data'!$N$6:$N$4003)/J86)</f>
        <v>#DIV/0!</v>
      </c>
      <c r="L86" s="514" t="e" cm="1">
        <f t="array" ref="L86">IF(D86="",0, SUMPRODUCT(--(ISNUMBER(SEARCH($A86,'Diags Raw Data'!$A$6:$A$4003))),'Diags Raw Data'!$L$6:$L$4003,'Diags Raw Data'!$P$6:$P$4003)/J86)</f>
        <v>#DIV/0!</v>
      </c>
      <c r="M86" s="515" cm="1">
        <f t="array" ref="M86">SUMPRODUCT(--(ISNUMBER(SEARCH($A86,'Diags Raw Data'!$A$6:$A$4003))),--('Diags Raw Data'!$Q$6:$Q$4003&lt;&gt;"N/A"),'Diags Raw Data'!$R$6:$R$4003)</f>
        <v>0</v>
      </c>
      <c r="N86" s="516" cm="1">
        <f t="array" ref="N86">SUMPRODUCT(--(ISNUMBER(SEARCH($A86,'Diags Raw Data'!$A$6:$A$4003))),--('Diags Raw Data'!$Q$6:$Q$4003&lt;&gt;"N/A"),'Diags Raw Data'!$T$6:$T$4003)+SUMPRODUCT(--(ISNUMBER(SEARCH($A86,'Diags Raw Data'!$A$6:$A$4003))),--('Diags Raw Data'!$Q$6:$Q$4003&lt;&gt;"N/A"),'Diags Raw Data'!$U$6:$U$4003)</f>
        <v>0</v>
      </c>
      <c r="O86" s="517">
        <f t="shared" si="11"/>
        <v>0</v>
      </c>
      <c r="P86" s="518">
        <f>SUMIF('Diags Raw Data'!$A$6:$A$4003,"*"&amp;$A86&amp;"*",'Diags Raw Data'!$Z$6:$Z$4003)</f>
        <v>0</v>
      </c>
      <c r="Q86" s="519">
        <f>SUM(SUMIF('Diags Raw Data'!$A$6:$A$4003,"*"&amp;$A86&amp;"*",'Diags Raw Data'!$AA$6:$AA$4003),SUMIF('Diags Raw Data'!$A$6:$A$4003,"*"&amp;$A86&amp;"*",'Diags Raw Data'!$AB$6:$AB$4003))</f>
        <v>0</v>
      </c>
      <c r="R86" s="520">
        <f t="shared" si="8"/>
        <v>0</v>
      </c>
      <c r="S86" s="520">
        <f t="shared" si="9"/>
        <v>0</v>
      </c>
      <c r="T86" s="521">
        <f t="shared" si="10"/>
        <v>0</v>
      </c>
      <c r="U86" s="456" t="str">
        <f>VLOOKUP(A86,'Diags Raw Data'!$A$6:$AH$4003,33,FALSE)</f>
        <v>N/A</v>
      </c>
      <c r="V86" s="182"/>
    </row>
    <row r="87" spans="1:22" ht="30.75" thickBot="1" x14ac:dyDescent="0.3">
      <c r="A87" s="576">
        <v>12.157</v>
      </c>
      <c r="B87" s="458" t="str">
        <f>VLOOKUP(A87,'Feature Raw Data'!$A$3:$B$3922,2,FALSE)</f>
        <v>Shader pseudo-scalar trans ops (M2 item)</v>
      </c>
      <c r="C87" s="459" t="str">
        <f>VLOOKUP(A87,'Feature Raw Data'!$A$3:$C$3922,3,FALSE)</f>
        <v>P2</v>
      </c>
      <c r="D87" s="460" t="str" cm="1">
        <f t="array" ref="D87">_xlfn.TEXTJOIN("",TRUE,IF(ISNUMBER(SEARCH($A87,'Diags Raw Data'!$A$6:$A$4003)),CONCATENATE('Diags Raw Data'!$H$6:$H$4003,", "),""))</f>
        <v xml:space="preserve">gfx.inst_perf/v_s_.*, </v>
      </c>
      <c r="E87" s="341" t="str">
        <f>VLOOKUP(A87,'Diags Raw Data'!$A$6:$D$4003,4,FALSE)</f>
        <v>SH</v>
      </c>
      <c r="F87" s="341" t="str">
        <f>VLOOKUP(A87,'Feature Raw Data'!$A$3:$E$3922,5,FALSE)</f>
        <v>New</v>
      </c>
      <c r="G87" s="341" t="str">
        <f t="shared" si="6"/>
        <v>Yes</v>
      </c>
      <c r="H87" s="341" t="str">
        <f t="shared" si="7"/>
        <v>Yes</v>
      </c>
      <c r="I87" s="459">
        <f>SUMIF('Diags Raw Data'!$A$6:$A$4003,"*"&amp;$A87&amp;"*",'Diags Raw Data'!$K$6:$K$4003)</f>
        <v>0</v>
      </c>
      <c r="J87" s="461">
        <f>SUMIF('Diags Raw Data'!$A$6:$A$4003,"*"&amp;$A87&amp;"*",'Diags Raw Data'!$L$6:$L$4003)</f>
        <v>0</v>
      </c>
      <c r="K87" s="513" t="e" cm="1">
        <f t="array" ref="K87">IF(D87="",0, SUMPRODUCT(--(ISNUMBER(SEARCH($A87,'Diags Raw Data'!$A$6:$A$4003))),'Diags Raw Data'!$L$6:$L$4003,'Diags Raw Data'!$N$6:$N$4003)/J87)</f>
        <v>#DIV/0!</v>
      </c>
      <c r="L87" s="514" t="e" cm="1">
        <f t="array" ref="L87">IF(D87="",0, SUMPRODUCT(--(ISNUMBER(SEARCH($A87,'Diags Raw Data'!$A$6:$A$4003))),'Diags Raw Data'!$L$6:$L$4003,'Diags Raw Data'!$P$6:$P$4003)/J87)</f>
        <v>#DIV/0!</v>
      </c>
      <c r="M87" s="515" cm="1">
        <f t="array" ref="M87">SUMPRODUCT(--(ISNUMBER(SEARCH($A87,'Diags Raw Data'!$A$6:$A$4003))),--('Diags Raw Data'!$Q$6:$Q$4003&lt;&gt;"N/A"),'Diags Raw Data'!$R$6:$R$4003)</f>
        <v>10</v>
      </c>
      <c r="N87" s="516" cm="1">
        <f t="array" ref="N87">SUMPRODUCT(--(ISNUMBER(SEARCH($A87,'Diags Raw Data'!$A$6:$A$4003))),--('Diags Raw Data'!$Q$6:$Q$4003&lt;&gt;"N/A"),'Diags Raw Data'!$T$6:$T$4003)+SUMPRODUCT(--(ISNUMBER(SEARCH($A87,'Diags Raw Data'!$A$6:$A$4003))),--('Diags Raw Data'!$Q$6:$Q$4003&lt;&gt;"N/A"),'Diags Raw Data'!$U$6:$U$4003)</f>
        <v>10</v>
      </c>
      <c r="O87" s="517">
        <f t="shared" si="11"/>
        <v>1</v>
      </c>
      <c r="P87" s="518">
        <f>SUMIF('Diags Raw Data'!$A$6:$A$4003,"*"&amp;$A87&amp;"*",'Diags Raw Data'!$Z$6:$Z$4003)</f>
        <v>0</v>
      </c>
      <c r="Q87" s="519">
        <f>SUM(SUMIF('Diags Raw Data'!$A$6:$A$4003,"*"&amp;$A87&amp;"*",'Diags Raw Data'!$AA$6:$AA$4003),SUMIF('Diags Raw Data'!$A$6:$A$4003,"*"&amp;$A87&amp;"*",'Diags Raw Data'!$AB$6:$AB$4003))</f>
        <v>0</v>
      </c>
      <c r="R87" s="520">
        <f t="shared" si="8"/>
        <v>0</v>
      </c>
      <c r="S87" s="520">
        <f t="shared" si="9"/>
        <v>0</v>
      </c>
      <c r="T87" s="521">
        <f t="shared" si="10"/>
        <v>0</v>
      </c>
      <c r="U87" s="456" t="str">
        <f>VLOOKUP(A87,'Diags Raw Data'!$A$6:$AH$4003,33,FALSE)</f>
        <v>WK8</v>
      </c>
      <c r="V87" s="182"/>
    </row>
    <row r="88" spans="1:22" ht="45.75" thickBot="1" x14ac:dyDescent="0.3">
      <c r="A88" s="576">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Data'!$A$6:$A$4003)),CONCATENATE('Diags Raw Data'!$H$6:$H$4003,", "),""))</f>
        <v xml:space="preserve">shci2038.0-3,104, </v>
      </c>
      <c r="E88" s="341" t="str">
        <f>VLOOKUP(A88,'Diags Raw Data'!$A$6:$D$4003,4,FALSE)</f>
        <v>SH</v>
      </c>
      <c r="F88" s="341" t="str">
        <f>VLOOKUP(A88,'Feature Raw Data'!$A$3:$E$3922,5,FALSE)</f>
        <v>New</v>
      </c>
      <c r="G88" s="341" t="str">
        <f t="shared" si="6"/>
        <v>Yes</v>
      </c>
      <c r="H88" s="341" t="str">
        <f t="shared" si="7"/>
        <v>Yes</v>
      </c>
      <c r="I88" s="459">
        <f>SUMIF('Diags Raw Data'!$A$6:$A$4003,"*"&amp;$A88&amp;"*",'Diags Raw Data'!$K$6:$K$4003)</f>
        <v>0</v>
      </c>
      <c r="J88" s="461">
        <f>SUMIF('Diags Raw Data'!$A$6:$A$4003,"*"&amp;$A88&amp;"*",'Diags Raw Data'!$L$6:$L$4003)</f>
        <v>0</v>
      </c>
      <c r="K88" s="513" t="e" cm="1">
        <f t="array" ref="K88">IF(D88="",0, SUMPRODUCT(--(ISNUMBER(SEARCH($A88,'Diags Raw Data'!$A$6:$A$4003))),'Diags Raw Data'!$L$6:$L$4003,'Diags Raw Data'!$N$6:$N$4003)/J88)</f>
        <v>#DIV/0!</v>
      </c>
      <c r="L88" s="514" t="e" cm="1">
        <f t="array" ref="L88">IF(D88="",0, SUMPRODUCT(--(ISNUMBER(SEARCH($A88,'Diags Raw Data'!$A$6:$A$4003))),'Diags Raw Data'!$L$6:$L$4003,'Diags Raw Data'!$P$6:$P$4003)/J88)</f>
        <v>#DIV/0!</v>
      </c>
      <c r="M88" s="515" cm="1">
        <f t="array" ref="M88">SUMPRODUCT(--(ISNUMBER(SEARCH($A88,'Diags Raw Data'!$A$6:$A$4003))),--('Diags Raw Data'!$Q$6:$Q$4003&lt;&gt;"N/A"),'Diags Raw Data'!$R$6:$R$4003)</f>
        <v>5</v>
      </c>
      <c r="N88" s="516" cm="1">
        <f t="array" ref="N88">SUMPRODUCT(--(ISNUMBER(SEARCH($A88,'Diags Raw Data'!$A$6:$A$4003))),--('Diags Raw Data'!$Q$6:$Q$4003&lt;&gt;"N/A"),'Diags Raw Data'!$T$6:$T$4003)+SUMPRODUCT(--(ISNUMBER(SEARCH($A88,'Diags Raw Data'!$A$6:$A$4003))),--('Diags Raw Data'!$Q$6:$Q$4003&lt;&gt;"N/A"),'Diags Raw Data'!$U$6:$U$4003)</f>
        <v>5</v>
      </c>
      <c r="O88" s="517">
        <f t="shared" si="11"/>
        <v>1</v>
      </c>
      <c r="P88" s="518">
        <f>SUMIF('Diags Raw Data'!$A$6:$A$4003,"*"&amp;$A88&amp;"*",'Diags Raw Data'!$Z$6:$Z$4003)</f>
        <v>0</v>
      </c>
      <c r="Q88" s="519">
        <f>SUM(SUMIF('Diags Raw Data'!$A$6:$A$4003,"*"&amp;$A88&amp;"*",'Diags Raw Data'!$AA$6:$AA$4003),SUMIF('Diags Raw Data'!$A$6:$A$4003,"*"&amp;$A88&amp;"*",'Diags Raw Data'!$AB$6:$AB$4003))</f>
        <v>0</v>
      </c>
      <c r="R88" s="520">
        <f t="shared" si="8"/>
        <v>0</v>
      </c>
      <c r="S88" s="520">
        <f t="shared" si="9"/>
        <v>0</v>
      </c>
      <c r="T88" s="521">
        <f t="shared" si="10"/>
        <v>0</v>
      </c>
      <c r="U88" s="456" t="str">
        <f>VLOOKUP(A88,'Diags Raw Data'!$A$6:$AH$4003,33,FALSE)</f>
        <v>WK1</v>
      </c>
      <c r="V88" s="182"/>
    </row>
    <row r="89" spans="1:22" ht="210.75" thickBot="1" x14ac:dyDescent="0.3">
      <c r="A89" s="576">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Data'!$A$6:$A$4003)),CONCATENATE('Diags Raw Data'!$H$6:$H$4003,", "),""))</f>
        <v xml:space="preserve">shci2041, std1.1
std3.1
std4.1
rt1.300
rt1.320
gci1304
gci1305
gci1308
shci2033
shci2036
gssi212.10, sh1630, sh1631, PPI406.1-8  PPI406.11-18 PPI406.21-28 PPI406.31-38 PPI406.41-48, std5.9, Same to 12.164, N/A, </v>
      </c>
      <c r="E89" s="341" t="str">
        <f>VLOOKUP(A89,'Diags Raw Data'!$A$6:$D$4003,4,FALSE)</f>
        <v>SH</v>
      </c>
      <c r="F89" s="341" t="str">
        <f>VLOOKUP(A89,'Feature Raw Data'!$A$3:$E$3922,5,FALSE)</f>
        <v>New</v>
      </c>
      <c r="G89" s="341" t="str">
        <f t="shared" si="6"/>
        <v>Yes</v>
      </c>
      <c r="H89" s="341" t="str">
        <f t="shared" si="7"/>
        <v>Yes</v>
      </c>
      <c r="I89" s="459">
        <f>SUMIF('Diags Raw Data'!$A$6:$A$4003,"*"&amp;$A89&amp;"*",'Diags Raw Data'!$K$6:$K$4003)</f>
        <v>0</v>
      </c>
      <c r="J89" s="461">
        <f>SUMIF('Diags Raw Data'!$A$6:$A$4003,"*"&amp;$A89&amp;"*",'Diags Raw Data'!$L$6:$L$4003)</f>
        <v>0</v>
      </c>
      <c r="K89" s="513" t="e" cm="1">
        <f t="array" ref="K89">IF(D89="",0, SUMPRODUCT(--(ISNUMBER(SEARCH($A89,'Diags Raw Data'!$A$6:$A$4003))),'Diags Raw Data'!$L$6:$L$4003,'Diags Raw Data'!$N$6:$N$4003)/J89)</f>
        <v>#DIV/0!</v>
      </c>
      <c r="L89" s="514" t="e" cm="1">
        <f t="array" ref="L89">IF(D89="",0, SUMPRODUCT(--(ISNUMBER(SEARCH($A89,'Diags Raw Data'!$A$6:$A$4003))),'Diags Raw Data'!$L$6:$L$4003,'Diags Raw Data'!$P$6:$P$4003)/J89)</f>
        <v>#DIV/0!</v>
      </c>
      <c r="M89" s="515" cm="1">
        <f t="array" ref="M89">SUMPRODUCT(--(ISNUMBER(SEARCH($A89,'Diags Raw Data'!$A$6:$A$4003))),--('Diags Raw Data'!$Q$6:$Q$4003&lt;&gt;"N/A"),'Diags Raw Data'!$R$6:$R$4003)</f>
        <v>23</v>
      </c>
      <c r="N89" s="516" cm="1">
        <f t="array" ref="N89">SUMPRODUCT(--(ISNUMBER(SEARCH($A89,'Diags Raw Data'!$A$6:$A$4003))),--('Diags Raw Data'!$Q$6:$Q$4003&lt;&gt;"N/A"),'Diags Raw Data'!$T$6:$T$4003)+SUMPRODUCT(--(ISNUMBER(SEARCH($A89,'Diags Raw Data'!$A$6:$A$4003))),--('Diags Raw Data'!$Q$6:$Q$4003&lt;&gt;"N/A"),'Diags Raw Data'!$U$6:$U$4003)</f>
        <v>18</v>
      </c>
      <c r="O89" s="517">
        <f t="shared" si="11"/>
        <v>0.78260869565217395</v>
      </c>
      <c r="P89" s="518">
        <f>SUMIF('Diags Raw Data'!$A$6:$A$4003,"*"&amp;$A89&amp;"*",'Diags Raw Data'!$Z$6:$Z$4003)</f>
        <v>0</v>
      </c>
      <c r="Q89" s="519">
        <f>SUM(SUMIF('Diags Raw Data'!$A$6:$A$4003,"*"&amp;$A89&amp;"*",'Diags Raw Data'!$AA$6:$AA$4003),SUMIF('Diags Raw Data'!$A$6:$A$4003,"*"&amp;$A89&amp;"*",'Diags Raw Data'!$AB$6:$AB$4003))</f>
        <v>0</v>
      </c>
      <c r="R89" s="520">
        <f t="shared" si="8"/>
        <v>0</v>
      </c>
      <c r="S89" s="520">
        <f t="shared" si="9"/>
        <v>0</v>
      </c>
      <c r="T89" s="521">
        <f t="shared" si="10"/>
        <v>0</v>
      </c>
      <c r="U89" s="456" t="str">
        <f>VLOOKUP(A89,'Diags Raw Data'!$A$6:$AH$4003,33,FALSE)</f>
        <v>WK6</v>
      </c>
      <c r="V89" s="182"/>
    </row>
    <row r="90" spans="1:22" ht="165.75" thickBot="1" x14ac:dyDescent="0.3">
      <c r="A90" s="576">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Data'!$A$6:$A$4003)),CONCATENATE('Diags Raw Data'!$H$6:$H$4003,", "),""))</f>
        <v xml:space="preserve">std1.1
std3.1
std4.1
rt1.300
rt1.320
gci1304
gci1305
gci1308
shci2033
shci2036
gssi212.10, </v>
      </c>
      <c r="E90" s="341" t="str">
        <f>VLOOKUP(A90,'Diags Raw Data'!$A$6:$D$4003,4,FALSE)</f>
        <v>SH</v>
      </c>
      <c r="F90" s="341" t="str">
        <f>VLOOKUP(A90,'Feature Raw Data'!$A$3:$E$3922,5,FALSE)</f>
        <v>Delta</v>
      </c>
      <c r="G90" s="341" t="str">
        <f t="shared" si="6"/>
        <v>Yes</v>
      </c>
      <c r="H90" s="341" t="str">
        <f t="shared" si="7"/>
        <v>Yes</v>
      </c>
      <c r="I90" s="459">
        <f>SUMIF('Diags Raw Data'!$A$6:$A$4003,"*"&amp;$A90&amp;"*",'Diags Raw Data'!$K$6:$K$4003)</f>
        <v>0</v>
      </c>
      <c r="J90" s="461">
        <f>SUMIF('Diags Raw Data'!$A$6:$A$4003,"*"&amp;$A90&amp;"*",'Diags Raw Data'!$L$6:$L$4003)</f>
        <v>0</v>
      </c>
      <c r="K90" s="513" t="e" cm="1">
        <f t="array" ref="K90">IF(D90="",0, SUMPRODUCT(--(ISNUMBER(SEARCH($A90,'Diags Raw Data'!$A$6:$A$4003))),'Diags Raw Data'!$L$6:$L$4003,'Diags Raw Data'!$N$6:$N$4003)/J90)</f>
        <v>#DIV/0!</v>
      </c>
      <c r="L90" s="514" t="e" cm="1">
        <f t="array" ref="L90">IF(D90="",0, SUMPRODUCT(--(ISNUMBER(SEARCH($A90,'Diags Raw Data'!$A$6:$A$4003))),'Diags Raw Data'!$L$6:$L$4003,'Diags Raw Data'!$P$6:$P$4003)/J90)</f>
        <v>#DIV/0!</v>
      </c>
      <c r="M90" s="515" cm="1">
        <f t="array" ref="M90">SUMPRODUCT(--(ISNUMBER(SEARCH($A90,'Diags Raw Data'!$A$6:$A$4003))),--('Diags Raw Data'!$Q$6:$Q$4003&lt;&gt;"N/A"),'Diags Raw Data'!$R$6:$R$4003)</f>
        <v>14</v>
      </c>
      <c r="N90" s="516" cm="1">
        <f t="array" ref="N90">SUMPRODUCT(--(ISNUMBER(SEARCH($A90,'Diags Raw Data'!$A$6:$A$4003))),--('Diags Raw Data'!$Q$6:$Q$4003&lt;&gt;"N/A"),'Diags Raw Data'!$T$6:$T$4003)+SUMPRODUCT(--(ISNUMBER(SEARCH($A90,'Diags Raw Data'!$A$6:$A$4003))),--('Diags Raw Data'!$Q$6:$Q$4003&lt;&gt;"N/A"),'Diags Raw Data'!$U$6:$U$4003)</f>
        <v>11</v>
      </c>
      <c r="O90" s="517">
        <f>IF((M90=0),0,N90/M90)</f>
        <v>0.7857142857142857</v>
      </c>
      <c r="P90" s="518">
        <f>SUMIF('Diags Raw Data'!$A$6:$A$4003,"*"&amp;$A90&amp;"*",'Diags Raw Data'!$Z$6:$Z$4003)</f>
        <v>0</v>
      </c>
      <c r="Q90" s="519">
        <f>SUM(SUMIF('Diags Raw Data'!$A$6:$A$4003,"*"&amp;$A90&amp;"*",'Diags Raw Data'!$AA$6:$AA$4003),SUMIF('Diags Raw Data'!$A$6:$A$4003,"*"&amp;$A90&amp;"*",'Diags Raw Data'!$AB$6:$AB$4003))</f>
        <v>0</v>
      </c>
      <c r="R90" s="520">
        <f>IF((J90=0),0,P90/J90)</f>
        <v>0</v>
      </c>
      <c r="S90" s="520">
        <f>IF((P90=0),0,Q90/P90)</f>
        <v>0</v>
      </c>
      <c r="T90" s="521">
        <f>R90*S90</f>
        <v>0</v>
      </c>
      <c r="U90" s="456" t="str">
        <f>VLOOKUP(A90,'Diags Raw Data'!$A$6:$AH$4003,33,FALSE)</f>
        <v>WK5</v>
      </c>
      <c r="V90" s="182"/>
    </row>
    <row r="91" spans="1:22" ht="15.75" thickBot="1" x14ac:dyDescent="0.3">
      <c r="A91" s="576">
        <v>12.163</v>
      </c>
      <c r="B91" s="458" t="str">
        <f>VLOOKUP(A91,'Feature Raw Data'!$A$3:$B$3922,2,FALSE)</f>
        <v xml:space="preserve">Architected SGPR Values </v>
      </c>
      <c r="C91" s="459" t="str">
        <f>VLOOKUP(A91,'Feature Raw Data'!$A$3:$C$3922,3,FALSE)</f>
        <v>P2</v>
      </c>
      <c r="D91" s="460" t="str" cm="1">
        <f t="array" ref="D91">_xlfn.TEXTJOIN("",TRUE,IF(ISNUMBER(SEARCH($A91,'Diags Raw Data'!$A$6:$A$4003)),CONCATENATE('Diags Raw Data'!$H$6:$H$4003,", "),""))</f>
        <v xml:space="preserve">sh1630, sh1631, </v>
      </c>
      <c r="E91" s="341" t="str">
        <f>VLOOKUP(A91,'Diags Raw Data'!$A$6:$D$4003,4,FALSE)</f>
        <v>SIO</v>
      </c>
      <c r="F91" s="341" t="str">
        <f>VLOOKUP(A91,'Feature Raw Data'!$A$3:$E$3922,5,FALSE)</f>
        <v>New</v>
      </c>
      <c r="G91" s="341" t="str">
        <f t="shared" si="6"/>
        <v>Yes</v>
      </c>
      <c r="H91" s="341" t="str">
        <f t="shared" si="7"/>
        <v>Yes</v>
      </c>
      <c r="I91" s="459">
        <f>SUMIF('Diags Raw Data'!$A$6:$A$4003,"*"&amp;$A91&amp;"*",'Diags Raw Data'!$K$6:$K$4003)</f>
        <v>0</v>
      </c>
      <c r="J91" s="461">
        <f>SUMIF('Diags Raw Data'!$A$6:$A$4003,"*"&amp;$A91&amp;"*",'Diags Raw Data'!$L$6:$L$4003)</f>
        <v>0</v>
      </c>
      <c r="K91" s="513" t="e" cm="1">
        <f t="array" ref="K91">IF(D91="",0, SUMPRODUCT(--(ISNUMBER(SEARCH($A91,'Diags Raw Data'!$A$6:$A$4003))),'Diags Raw Data'!$L$6:$L$4003,'Diags Raw Data'!$N$6:$N$4003)/J91)</f>
        <v>#DIV/0!</v>
      </c>
      <c r="L91" s="514" t="e" cm="1">
        <f t="array" ref="L91">IF(D91="",0, SUMPRODUCT(--(ISNUMBER(SEARCH($A91,'Diags Raw Data'!$A$6:$A$4003))),'Diags Raw Data'!$L$6:$L$4003,'Diags Raw Data'!$P$6:$P$4003)/J91)</f>
        <v>#DIV/0!</v>
      </c>
      <c r="M91" s="515" cm="1">
        <f t="array" ref="M91">SUMPRODUCT(--(ISNUMBER(SEARCH($A91,'Diags Raw Data'!$A$6:$A$4003))),--('Diags Raw Data'!$Q$6:$Q$4003&lt;&gt;"N/A"),'Diags Raw Data'!$R$6:$R$4003)</f>
        <v>2</v>
      </c>
      <c r="N91" s="516" cm="1">
        <f t="array" ref="N91">SUMPRODUCT(--(ISNUMBER(SEARCH($A91,'Diags Raw Data'!$A$6:$A$4003))),--('Diags Raw Data'!$Q$6:$Q$4003&lt;&gt;"N/A"),'Diags Raw Data'!$T$6:$T$4003)+SUMPRODUCT(--(ISNUMBER(SEARCH($A91,'Diags Raw Data'!$A$6:$A$4003))),--('Diags Raw Data'!$Q$6:$Q$4003&lt;&gt;"N/A"),'Diags Raw Data'!$U$6:$U$4003)</f>
        <v>1</v>
      </c>
      <c r="O91" s="517">
        <f>IF((M91=0),0,N91/M91)</f>
        <v>0.5</v>
      </c>
      <c r="P91" s="518">
        <f>SUMIF('Diags Raw Data'!$A$6:$A$4003,"*"&amp;$A91&amp;"*",'Diags Raw Data'!$Z$6:$Z$4003)</f>
        <v>0</v>
      </c>
      <c r="Q91" s="519">
        <f>SUM(SUMIF('Diags Raw Data'!$A$6:$A$4003,"*"&amp;$A91&amp;"*",'Diags Raw Data'!$AA$6:$AA$4003),SUMIF('Diags Raw Data'!$A$6:$A$4003,"*"&amp;$A91&amp;"*",'Diags Raw Data'!$AB$6:$AB$4003))</f>
        <v>0</v>
      </c>
      <c r="R91" s="520">
        <f>IF((J91=0),0,P91/J91)</f>
        <v>0</v>
      </c>
      <c r="S91" s="520">
        <f>IF((P91=0),0,Q91/P91)</f>
        <v>0</v>
      </c>
      <c r="T91" s="521">
        <f>R91*S91</f>
        <v>0</v>
      </c>
      <c r="U91" s="456" t="str">
        <f>VLOOKUP(A91,'Diags Raw Data'!$A$6:$AH$4003,33,FALSE)</f>
        <v>WK6</v>
      </c>
      <c r="V91" s="182"/>
    </row>
    <row r="92" spans="1:22" ht="30.75" thickBot="1" x14ac:dyDescent="0.3">
      <c r="A92" s="576">
        <v>12.164</v>
      </c>
      <c r="B92" s="458" t="str">
        <f>VLOOKUP(A92,'Feature Raw Data'!$A$3:$B$3922,2,FALSE)</f>
        <v xml:space="preserve">Hybrid Depth Compression </v>
      </c>
      <c r="C92" s="459" t="str">
        <f>VLOOKUP(A92,'Feature Raw Data'!$A$3:$C$3922,3,FALSE)</f>
        <v>P1</v>
      </c>
      <c r="D92" s="460" t="str" cm="1">
        <f t="array" ref="D92">_xlfn.TEXTJOIN("",TRUE,IF(ISNUMBER(SEARCH($A92,'Diags Raw Data'!$A$6:$A$4003)),CONCATENATE('Diags Raw Data'!$H$6:$H$4003,", "),""))</f>
        <v xml:space="preserve">PPI406.1-8  PPI406.11-18 PPI406.21-28 PPI406.31-38 PPI406.41-48, </v>
      </c>
      <c r="E92" s="341" t="str">
        <f>VLOOKUP(A92,'Diags Raw Data'!$A$6:$D$4003,4,FALSE)</f>
        <v>PP</v>
      </c>
      <c r="F92" s="341" t="str">
        <f>VLOOKUP(A92,'Feature Raw Data'!$A$3:$E$3922,5,FALSE)</f>
        <v>New</v>
      </c>
      <c r="G92" s="341" t="str">
        <f t="shared" si="6"/>
        <v>Yes</v>
      </c>
      <c r="H92" s="341" t="str">
        <f t="shared" si="7"/>
        <v>Yes</v>
      </c>
      <c r="I92" s="459">
        <f>SUMIF('Diags Raw Data'!$A$6:$A$4003,"*"&amp;$A92&amp;"*",'Diags Raw Data'!$K$6:$K$4003)</f>
        <v>0</v>
      </c>
      <c r="J92" s="461">
        <f>SUMIF('Diags Raw Data'!$A$6:$A$4003,"*"&amp;$A92&amp;"*",'Diags Raw Data'!$L$6:$L$4003)</f>
        <v>0</v>
      </c>
      <c r="K92" s="513" t="e" cm="1">
        <f t="array" ref="K92">IF(D92="",0, SUMPRODUCT(--(ISNUMBER(SEARCH($A92,'Diags Raw Data'!$A$6:$A$4003))),'Diags Raw Data'!$L$6:$L$4003,'Diags Raw Data'!$N$6:$N$4003)/J92)</f>
        <v>#DIV/0!</v>
      </c>
      <c r="L92" s="514" t="e" cm="1">
        <f t="array" ref="L92">IF(D92="",0, SUMPRODUCT(--(ISNUMBER(SEARCH($A92,'Diags Raw Data'!$A$6:$A$4003))),'Diags Raw Data'!$L$6:$L$4003,'Diags Raw Data'!$P$6:$P$4003)/J92)</f>
        <v>#DIV/0!</v>
      </c>
      <c r="M92" s="515" cm="1">
        <f t="array" ref="M92">SUMPRODUCT(--(ISNUMBER(SEARCH($A92,'Diags Raw Data'!$A$6:$A$4003))),--('Diags Raw Data'!$Q$6:$Q$4003&lt;&gt;"N/A"),'Diags Raw Data'!$R$6:$R$4003)</f>
        <v>4</v>
      </c>
      <c r="N92" s="516" cm="1">
        <f t="array" ref="N92">SUMPRODUCT(--(ISNUMBER(SEARCH($A92,'Diags Raw Data'!$A$6:$A$4003))),--('Diags Raw Data'!$Q$6:$Q$4003&lt;&gt;"N/A"),'Diags Raw Data'!$T$6:$T$4003)+SUMPRODUCT(--(ISNUMBER(SEARCH($A92,'Diags Raw Data'!$A$6:$A$4003))),--('Diags Raw Data'!$Q$6:$Q$4003&lt;&gt;"N/A"),'Diags Raw Data'!$U$6:$U$4003)</f>
        <v>4</v>
      </c>
      <c r="O92" s="517">
        <f t="shared" si="11"/>
        <v>1</v>
      </c>
      <c r="P92" s="518">
        <f>SUMIF('Diags Raw Data'!$A$6:$A$4003,"*"&amp;$A92&amp;"*",'Diags Raw Data'!$Z$6:$Z$4003)</f>
        <v>0</v>
      </c>
      <c r="Q92" s="519">
        <f>SUM(SUMIF('Diags Raw Data'!$A$6:$A$4003,"*"&amp;$A92&amp;"*",'Diags Raw Data'!$AA$6:$AA$4003),SUMIF('Diags Raw Data'!$A$6:$A$4003,"*"&amp;$A92&amp;"*",'Diags Raw Data'!$AB$6:$AB$4003))</f>
        <v>0</v>
      </c>
      <c r="R92" s="520">
        <f t="shared" si="8"/>
        <v>0</v>
      </c>
      <c r="S92" s="520">
        <f t="shared" si="9"/>
        <v>0</v>
      </c>
      <c r="T92" s="521">
        <f t="shared" si="10"/>
        <v>0</v>
      </c>
      <c r="U92" s="456" t="str">
        <f>VLOOKUP(A92,'Diags Raw Data'!$A$6:$AH$4003,33,FALSE)</f>
        <v>WK2</v>
      </c>
      <c r="V92" s="182"/>
    </row>
    <row r="93" spans="1:22" ht="15.75" thickBot="1" x14ac:dyDescent="0.3">
      <c r="A93" s="576">
        <v>12.164999999999999</v>
      </c>
      <c r="B93" s="458" t="str">
        <f>VLOOKUP(A93,'Feature Raw Data'!$A$3:$B$3922,2,FALSE)</f>
        <v xml:space="preserve">HiZ/S in SC </v>
      </c>
      <c r="C93" s="459" t="str">
        <f>VLOOKUP(A93,'Feature Raw Data'!$A$3:$C$3922,3,FALSE)</f>
        <v>P1</v>
      </c>
      <c r="D93" s="460" t="str" cm="1">
        <f t="array" ref="D93">_xlfn.TEXTJOIN("",TRUE,IF(ISNUMBER(SEARCH($A93,'Diags Raw Data'!$A$6:$A$4003)),CONCATENATE('Diags Raw Data'!$H$6:$H$4003,", "),""))</f>
        <v xml:space="preserve">std5.9, </v>
      </c>
      <c r="E93" s="341" t="str">
        <f>VLOOKUP(A93,'Diags Raw Data'!$A$6:$D$4003,4,FALSE)</f>
        <v>PP</v>
      </c>
      <c r="F93" s="341" t="str">
        <f>VLOOKUP(A93,'Feature Raw Data'!$A$3:$E$3922,5,FALSE)</f>
        <v>New</v>
      </c>
      <c r="G93" s="341" t="str">
        <f t="shared" si="6"/>
        <v>Yes</v>
      </c>
      <c r="H93" s="341" t="str">
        <f t="shared" si="7"/>
        <v>Yes</v>
      </c>
      <c r="I93" s="459">
        <f>SUMIF('Diags Raw Data'!$A$6:$A$4003,"*"&amp;$A93&amp;"*",'Diags Raw Data'!$K$6:$K$4003)</f>
        <v>0</v>
      </c>
      <c r="J93" s="461">
        <f>SUMIF('Diags Raw Data'!$A$6:$A$4003,"*"&amp;$A93&amp;"*",'Diags Raw Data'!$L$6:$L$4003)</f>
        <v>0</v>
      </c>
      <c r="K93" s="513" t="e" cm="1">
        <f t="array" ref="K93">IF(D93="",0, SUMPRODUCT(--(ISNUMBER(SEARCH($A93,'Diags Raw Data'!$A$6:$A$4003))),'Diags Raw Data'!$L$6:$L$4003,'Diags Raw Data'!$N$6:$N$4003)/J93)</f>
        <v>#DIV/0!</v>
      </c>
      <c r="L93" s="514" t="e" cm="1">
        <f t="array" ref="L93">IF(D93="",0, SUMPRODUCT(--(ISNUMBER(SEARCH($A93,'Diags Raw Data'!$A$6:$A$4003))),'Diags Raw Data'!$L$6:$L$4003,'Diags Raw Data'!$P$6:$P$4003)/J93)</f>
        <v>#DIV/0!</v>
      </c>
      <c r="M93" s="515" cm="1">
        <f t="array" ref="M93">SUMPRODUCT(--(ISNUMBER(SEARCH($A93,'Diags Raw Data'!$A$6:$A$4003))),--('Diags Raw Data'!$Q$6:$Q$4003&lt;&gt;"N/A"),'Diags Raw Data'!$R$6:$R$4003)</f>
        <v>1</v>
      </c>
      <c r="N93" s="516" cm="1">
        <f t="array" ref="N93">SUMPRODUCT(--(ISNUMBER(SEARCH($A93,'Diags Raw Data'!$A$6:$A$4003))),--('Diags Raw Data'!$Q$6:$Q$4003&lt;&gt;"N/A"),'Diags Raw Data'!$T$6:$T$4003)+SUMPRODUCT(--(ISNUMBER(SEARCH($A93,'Diags Raw Data'!$A$6:$A$4003))),--('Diags Raw Data'!$Q$6:$Q$4003&lt;&gt;"N/A"),'Diags Raw Data'!$U$6:$U$4003)</f>
        <v>1</v>
      </c>
      <c r="O93" s="517">
        <f t="shared" si="11"/>
        <v>1</v>
      </c>
      <c r="P93" s="518">
        <f>SUMIF('Diags Raw Data'!$A$6:$A$4003,"*"&amp;$A93&amp;"*",'Diags Raw Data'!$Z$6:$Z$4003)</f>
        <v>0</v>
      </c>
      <c r="Q93" s="519">
        <f>SUM(SUMIF('Diags Raw Data'!$A$6:$A$4003,"*"&amp;$A93&amp;"*",'Diags Raw Data'!$AA$6:$AA$4003),SUMIF('Diags Raw Data'!$A$6:$A$4003,"*"&amp;$A93&amp;"*",'Diags Raw Data'!$AB$6:$AB$4003))</f>
        <v>0</v>
      </c>
      <c r="R93" s="520">
        <f t="shared" si="8"/>
        <v>0</v>
      </c>
      <c r="S93" s="520">
        <f>IF((P93=0),0,Q93/P93)</f>
        <v>0</v>
      </c>
      <c r="T93" s="521">
        <f>R93*S93</f>
        <v>0</v>
      </c>
      <c r="U93" s="456" t="str">
        <f>VLOOKUP(A93,'Diags Raw Data'!$A$6:$AH$4003,33,FALSE)</f>
        <v>WK2</v>
      </c>
      <c r="V93" s="182"/>
    </row>
    <row r="94" spans="1:22" ht="30.75" thickBot="1" x14ac:dyDescent="0.3">
      <c r="A94" s="576">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Data'!$A$6:$A$4003)),CONCATENATE('Diags Raw Data'!$H$6:$H$4003,", "),""))</f>
        <v xml:space="preserve">Same to 12.164, </v>
      </c>
      <c r="E94" s="341" t="str">
        <f>VLOOKUP(A94,'Diags Raw Data'!$A$6:$D$4003,4,FALSE)</f>
        <v>PP</v>
      </c>
      <c r="F94" s="341" t="str">
        <f>VLOOKUP(A94,'Feature Raw Data'!$A$3:$E$3922,5,FALSE)</f>
        <v>New</v>
      </c>
      <c r="G94" s="341" t="str">
        <f t="shared" si="6"/>
        <v>Yes</v>
      </c>
      <c r="H94" s="341" t="str">
        <f t="shared" si="7"/>
        <v>Yes</v>
      </c>
      <c r="I94" s="459">
        <f>SUMIF('Diags Raw Data'!$A$6:$A$4003,"*"&amp;$A94&amp;"*",'Diags Raw Data'!$K$6:$K$4003)</f>
        <v>0</v>
      </c>
      <c r="J94" s="461">
        <f>SUMIF('Diags Raw Data'!$A$6:$A$4003,"*"&amp;$A94&amp;"*",'Diags Raw Data'!$L$6:$L$4003)</f>
        <v>0</v>
      </c>
      <c r="K94" s="513" t="e" cm="1">
        <f t="array" ref="K94">IF(D94="",0, SUMPRODUCT(--(ISNUMBER(SEARCH($A94,'Diags Raw Data'!$A$6:$A$4003))),'Diags Raw Data'!$L$6:$L$4003,'Diags Raw Data'!$N$6:$N$4003)/J94)</f>
        <v>#DIV/0!</v>
      </c>
      <c r="L94" s="514" t="e" cm="1">
        <f t="array" ref="L94">IF(D94="",0, SUMPRODUCT(--(ISNUMBER(SEARCH($A94,'Diags Raw Data'!$A$6:$A$4003))),'Diags Raw Data'!$L$6:$L$4003,'Diags Raw Data'!$P$6:$P$4003)/J94)</f>
        <v>#DIV/0!</v>
      </c>
      <c r="M94" s="515" cm="1">
        <f t="array" ref="M94">SUMPRODUCT(--(ISNUMBER(SEARCH($A94,'Diags Raw Data'!$A$6:$A$4003))),--('Diags Raw Data'!$Q$6:$Q$4003&lt;&gt;"N/A"),'Diags Raw Data'!$R$6:$R$4003)</f>
        <v>1</v>
      </c>
      <c r="N94" s="516" cm="1">
        <f t="array" ref="N94">SUMPRODUCT(--(ISNUMBER(SEARCH($A94,'Diags Raw Data'!$A$6:$A$4003))),--('Diags Raw Data'!$Q$6:$Q$4003&lt;&gt;"N/A"),'Diags Raw Data'!$T$6:$T$4003)+SUMPRODUCT(--(ISNUMBER(SEARCH($A94,'Diags Raw Data'!$A$6:$A$4003))),--('Diags Raw Data'!$Q$6:$Q$4003&lt;&gt;"N/A"),'Diags Raw Data'!$U$6:$U$4003)</f>
        <v>0</v>
      </c>
      <c r="O94" s="517">
        <f>IF((M94=0),0,N94/M94)</f>
        <v>0</v>
      </c>
      <c r="P94" s="518">
        <f>SUMIF('Diags Raw Data'!$A$6:$A$4003,"*"&amp;$A94&amp;"*",'Diags Raw Data'!$Z$6:$Z$4003)</f>
        <v>0</v>
      </c>
      <c r="Q94" s="519">
        <f>SUM(SUMIF('Diags Raw Data'!$A$6:$A$4003,"*"&amp;$A94&amp;"*",'Diags Raw Data'!$AA$6:$AA$4003),SUMIF('Diags Raw Data'!$A$6:$A$4003,"*"&amp;$A94&amp;"*",'Diags Raw Data'!$AB$6:$AB$4003))</f>
        <v>0</v>
      </c>
      <c r="R94" s="520">
        <f>IF((J94=0),0,P94/J94)</f>
        <v>0</v>
      </c>
      <c r="S94" s="520">
        <f t="shared" si="9"/>
        <v>0</v>
      </c>
      <c r="T94" s="521">
        <f t="shared" si="10"/>
        <v>0</v>
      </c>
      <c r="U94" s="456" t="str">
        <f>VLOOKUP(A94,'Diags Raw Data'!$A$6:$AH$4003,33,FALSE)</f>
        <v>WK5</v>
      </c>
      <c r="V94" s="182"/>
    </row>
    <row r="95" spans="1:22" ht="15.75" thickBot="1" x14ac:dyDescent="0.3">
      <c r="A95" s="576">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Data'!$A$6:$A$4003)),CONCATENATE('Diags Raw Data'!$H$6:$H$4003,", "),""))</f>
        <v xml:space="preserve">N/A, </v>
      </c>
      <c r="E95" s="341" t="str">
        <f>VLOOKUP(A95,'Diags Raw Data'!$A$6:$D$4003,4,FALSE)</f>
        <v>PP</v>
      </c>
      <c r="F95" s="341" t="str">
        <f>VLOOKUP(A95,'Feature Raw Data'!$A$3:$E$3922,5,FALSE)</f>
        <v>New</v>
      </c>
      <c r="G95" s="341" t="str">
        <f t="shared" si="6"/>
        <v>No</v>
      </c>
      <c r="H95" s="341" t="str">
        <f t="shared" si="7"/>
        <v>No</v>
      </c>
      <c r="I95" s="459">
        <f>SUMIF('Diags Raw Data'!$A$6:$A$4003,"*"&amp;$A95&amp;"*",'Diags Raw Data'!$K$6:$K$4003)</f>
        <v>0</v>
      </c>
      <c r="J95" s="461">
        <f>SUMIF('Diags Raw Data'!$A$6:$A$4003,"*"&amp;$A95&amp;"*",'Diags Raw Data'!$L$6:$L$4003)</f>
        <v>0</v>
      </c>
      <c r="K95" s="513" t="e" cm="1">
        <f t="array" ref="K95">IF(D95="",0, SUMPRODUCT(--(ISNUMBER(SEARCH($A95,'Diags Raw Data'!$A$6:$A$4003))),'Diags Raw Data'!$L$6:$L$4003,'Diags Raw Data'!$N$6:$N$4003)/J95)</f>
        <v>#DIV/0!</v>
      </c>
      <c r="L95" s="514" t="e" cm="1">
        <f t="array" ref="L95">IF(D95="",0, SUMPRODUCT(--(ISNUMBER(SEARCH($A95,'Diags Raw Data'!$A$6:$A$4003))),'Diags Raw Data'!$L$6:$L$4003,'Diags Raw Data'!$P$6:$P$4003)/J95)</f>
        <v>#DIV/0!</v>
      </c>
      <c r="M95" s="515" cm="1">
        <f t="array" ref="M95">SUMPRODUCT(--(ISNUMBER(SEARCH($A95,'Diags Raw Data'!$A$6:$A$4003))),--('Diags Raw Data'!$Q$6:$Q$4003&lt;&gt;"N/A"),'Diags Raw Data'!$R$6:$R$4003)</f>
        <v>0</v>
      </c>
      <c r="N95" s="516" cm="1">
        <f t="array" ref="N95">SUMPRODUCT(--(ISNUMBER(SEARCH($A95,'Diags Raw Data'!$A$6:$A$4003))),--('Diags Raw Data'!$Q$6:$Q$4003&lt;&gt;"N/A"),'Diags Raw Data'!$T$6:$T$4003)+SUMPRODUCT(--(ISNUMBER(SEARCH($A95,'Diags Raw Data'!$A$6:$A$4003))),--('Diags Raw Data'!$Q$6:$Q$4003&lt;&gt;"N/A"),'Diags Raw Data'!$U$6:$U$4003)</f>
        <v>0</v>
      </c>
      <c r="O95" s="517">
        <f>IF((M95=0),0,N95/M95)</f>
        <v>0</v>
      </c>
      <c r="P95" s="518">
        <f>SUMIF('Diags Raw Data'!$A$6:$A$4003,"*"&amp;$A95&amp;"*",'Diags Raw Data'!$Z$6:$Z$4003)</f>
        <v>0</v>
      </c>
      <c r="Q95" s="519">
        <f>SUM(SUMIF('Diags Raw Data'!$A$6:$A$4003,"*"&amp;$A95&amp;"*",'Diags Raw Data'!$AA$6:$AA$4003),SUMIF('Diags Raw Data'!$A$6:$A$4003,"*"&amp;$A95&amp;"*",'Diags Raw Data'!$AB$6:$AB$4003))</f>
        <v>0</v>
      </c>
      <c r="R95" s="520">
        <f t="shared" si="8"/>
        <v>0</v>
      </c>
      <c r="S95" s="520">
        <f t="shared" si="9"/>
        <v>0</v>
      </c>
      <c r="T95" s="521">
        <f t="shared" si="10"/>
        <v>0</v>
      </c>
      <c r="U95" s="456" t="str">
        <f>VLOOKUP(A95,'Diags Raw Data'!$A$6:$AH$4003,33,FALSE)</f>
        <v>N/A</v>
      </c>
      <c r="V95" s="182"/>
    </row>
    <row r="96" spans="1:22" ht="15.75" thickBot="1" x14ac:dyDescent="0.3">
      <c r="A96" s="576">
        <v>12.173999999999999</v>
      </c>
      <c r="B96" s="458" t="str">
        <f>VLOOKUP(A96,'Feature Raw Data'!$A$3:$B$3922,2,FALSE)</f>
        <v>RS64 64bit Stream Input</v>
      </c>
      <c r="C96" s="459" t="str">
        <f>VLOOKUP(A96,'Feature Raw Data'!$A$3:$C$3922,3,FALSE)</f>
        <v>P1</v>
      </c>
      <c r="D96" s="460" t="str" cm="1">
        <f t="array" ref="D96">_xlfn.TEXTJOIN("",TRUE,IF(ISNUMBER(SEARCH($A96,'Diags Raw Data'!$A$6:$A$4003)),CONCATENATE('Diags Raw Data'!$H$6:$H$4003,", "),""))</f>
        <v xml:space="preserve">N/A, </v>
      </c>
      <c r="E96" s="341" t="str">
        <f>VLOOKUP(A96,'Diags Raw Data'!$A$6:$D$4003,4,FALSE)</f>
        <v>CTL</v>
      </c>
      <c r="F96" s="341" t="str">
        <f>VLOOKUP(A96,'Feature Raw Data'!$A$3:$E$3922,5,FALSE)</f>
        <v>New</v>
      </c>
      <c r="G96" s="341" t="str">
        <f t="shared" si="6"/>
        <v>No</v>
      </c>
      <c r="H96" s="341" t="str">
        <f t="shared" si="7"/>
        <v>No</v>
      </c>
      <c r="I96" s="459">
        <f>SUMIF('Diags Raw Data'!$A$6:$A$4003,"*"&amp;$A96&amp;"*",'Diags Raw Data'!$K$6:$K$4003)</f>
        <v>0</v>
      </c>
      <c r="J96" s="461">
        <f>SUMIF('Diags Raw Data'!$A$6:$A$4003,"*"&amp;$A96&amp;"*",'Diags Raw Data'!$L$6:$L$4003)</f>
        <v>0</v>
      </c>
      <c r="K96" s="513" t="e" cm="1">
        <f t="array" ref="K96">IF(D96="",0, SUMPRODUCT(--(ISNUMBER(SEARCH($A96,'Diags Raw Data'!$A$6:$A$4003))),'Diags Raw Data'!$L$6:$L$4003,'Diags Raw Data'!$N$6:$N$4003)/J96)</f>
        <v>#DIV/0!</v>
      </c>
      <c r="L96" s="514" t="e" cm="1">
        <f t="array" ref="L96">IF(D96="",0, SUMPRODUCT(--(ISNUMBER(SEARCH($A96,'Diags Raw Data'!$A$6:$A$4003))),'Diags Raw Data'!$L$6:$L$4003,'Diags Raw Data'!$P$6:$P$4003)/J96)</f>
        <v>#DIV/0!</v>
      </c>
      <c r="M96" s="515" cm="1">
        <f t="array" ref="M96">SUMPRODUCT(--(ISNUMBER(SEARCH($A96,'Diags Raw Data'!$A$6:$A$4003))),--('Diags Raw Data'!$Q$6:$Q$4003&lt;&gt;"N/A"),'Diags Raw Data'!$R$6:$R$4003)</f>
        <v>0</v>
      </c>
      <c r="N96" s="516" cm="1">
        <f t="array" ref="N96">SUMPRODUCT(--(ISNUMBER(SEARCH($A96,'Diags Raw Data'!$A$6:$A$4003))),--('Diags Raw Data'!$Q$6:$Q$4003&lt;&gt;"N/A"),'Diags Raw Data'!$T$6:$T$4003)+SUMPRODUCT(--(ISNUMBER(SEARCH($A96,'Diags Raw Data'!$A$6:$A$4003))),--('Diags Raw Data'!$Q$6:$Q$4003&lt;&gt;"N/A"),'Diags Raw Data'!$U$6:$U$4003)</f>
        <v>0</v>
      </c>
      <c r="O96" s="517">
        <f>IF((M96=0),0,N96/M96)</f>
        <v>0</v>
      </c>
      <c r="P96" s="518">
        <f>SUMIF('Diags Raw Data'!$A$6:$A$4003,"*"&amp;$A96&amp;"*",'Diags Raw Data'!$Z$6:$Z$4003)</f>
        <v>0</v>
      </c>
      <c r="Q96" s="519">
        <f>SUM(SUMIF('Diags Raw Data'!$A$6:$A$4003,"*"&amp;$A96&amp;"*",'Diags Raw Data'!$AA$6:$AA$4003),SUMIF('Diags Raw Data'!$A$6:$A$4003,"*"&amp;$A96&amp;"*",'Diags Raw Data'!$AB$6:$AB$4003))</f>
        <v>0</v>
      </c>
      <c r="R96" s="520">
        <f t="shared" si="8"/>
        <v>0</v>
      </c>
      <c r="S96" s="520">
        <f t="shared" si="9"/>
        <v>0</v>
      </c>
      <c r="T96" s="521">
        <f t="shared" si="10"/>
        <v>0</v>
      </c>
      <c r="U96" s="456" t="str">
        <f>VLOOKUP(A96,'Diags Raw Data'!$A$6:$AH$4003,33,FALSE)</f>
        <v>N/A</v>
      </c>
      <c r="V96" s="182"/>
    </row>
    <row r="97" spans="1:22" ht="15.75" thickBot="1" x14ac:dyDescent="0.3">
      <c r="A97" s="576">
        <v>12.175000000000001</v>
      </c>
      <c r="B97" s="458" t="str">
        <f>VLOOKUP(A97,'Feature Raw Data'!$A$3:$B$3922,2,FALSE)</f>
        <v>RS64 Atomic ISA Ext</v>
      </c>
      <c r="C97" s="459" t="str">
        <f>VLOOKUP(A97,'Feature Raw Data'!$A$3:$C$3922,3,FALSE)</f>
        <v>P1</v>
      </c>
      <c r="D97" s="460" t="str" cm="1">
        <f t="array" ref="D97">_xlfn.TEXTJOIN("",TRUE,IF(ISNUMBER(SEARCH($A97,'Diags Raw Data'!$A$6:$A$4003)),CONCATENATE('Diags Raw Data'!$H$6:$H$4003,", "),""))</f>
        <v xml:space="preserve">gci30.3 with aql, </v>
      </c>
      <c r="E97" s="341" t="str">
        <f>VLOOKUP(A97,'Diags Raw Data'!$A$6:$D$4003,4,FALSE)</f>
        <v>CTL</v>
      </c>
      <c r="F97" s="341" t="str">
        <f>VLOOKUP(A97,'Feature Raw Data'!$A$3:$E$3922,5,FALSE)</f>
        <v>New</v>
      </c>
      <c r="G97" s="341" t="str">
        <f t="shared" si="6"/>
        <v>Yes</v>
      </c>
      <c r="H97" s="341" t="str">
        <f t="shared" si="7"/>
        <v>Yes</v>
      </c>
      <c r="I97" s="459">
        <f>SUMIF('Diags Raw Data'!$A$6:$A$4003,"*"&amp;$A97&amp;"*",'Diags Raw Data'!$K$6:$K$4003)</f>
        <v>0</v>
      </c>
      <c r="J97" s="461">
        <f>SUMIF('Diags Raw Data'!$A$6:$A$4003,"*"&amp;$A97&amp;"*",'Diags Raw Data'!$L$6:$L$4003)</f>
        <v>0</v>
      </c>
      <c r="K97" s="513" t="e" cm="1">
        <f t="array" ref="K97">IF(D97="",0, SUMPRODUCT(--(ISNUMBER(SEARCH($A97,'Diags Raw Data'!$A$6:$A$4003))),'Diags Raw Data'!$L$6:$L$4003,'Diags Raw Data'!$N$6:$N$4003)/J97)</f>
        <v>#DIV/0!</v>
      </c>
      <c r="L97" s="514" t="e" cm="1">
        <f t="array" ref="L97">IF(D97="",0, SUMPRODUCT(--(ISNUMBER(SEARCH($A97,'Diags Raw Data'!$A$6:$A$4003))),'Diags Raw Data'!$L$6:$L$4003,'Diags Raw Data'!$P$6:$P$4003)/J97)</f>
        <v>#DIV/0!</v>
      </c>
      <c r="M97" s="515" cm="1">
        <f t="array" ref="M97">SUMPRODUCT(--(ISNUMBER(SEARCH($A97,'Diags Raw Data'!$A$6:$A$4003))),--('Diags Raw Data'!$Q$6:$Q$4003&lt;&gt;"N/A"),'Diags Raw Data'!$R$6:$R$4003)</f>
        <v>1</v>
      </c>
      <c r="N97" s="516" cm="1">
        <f t="array" ref="N97">SUMPRODUCT(--(ISNUMBER(SEARCH($A97,'Diags Raw Data'!$A$6:$A$4003))),--('Diags Raw Data'!$Q$6:$Q$4003&lt;&gt;"N/A"),'Diags Raw Data'!$T$6:$T$4003)+SUMPRODUCT(--(ISNUMBER(SEARCH($A97,'Diags Raw Data'!$A$6:$A$4003))),--('Diags Raw Data'!$Q$6:$Q$4003&lt;&gt;"N/A"),'Diags Raw Data'!$U$6:$U$4003)</f>
        <v>0</v>
      </c>
      <c r="O97" s="517">
        <f>IF((M97=0),0,N97/M97)</f>
        <v>0</v>
      </c>
      <c r="P97" s="518">
        <f>SUMIF('Diags Raw Data'!$A$6:$A$4003,"*"&amp;$A97&amp;"*",'Diags Raw Data'!$Z$6:$Z$4003)</f>
        <v>0</v>
      </c>
      <c r="Q97" s="519">
        <f>SUM(SUMIF('Diags Raw Data'!$A$6:$A$4003,"*"&amp;$A97&amp;"*",'Diags Raw Data'!$AA$6:$AA$4003),SUMIF('Diags Raw Data'!$A$6:$A$4003,"*"&amp;$A97&amp;"*",'Diags Raw Data'!$AB$6:$AB$4003))</f>
        <v>0</v>
      </c>
      <c r="R97" s="520">
        <f>IF((J97=0),0,P97/J97)</f>
        <v>0</v>
      </c>
      <c r="S97" s="520">
        <f>IF((P97=0),0,Q97/P97)</f>
        <v>0</v>
      </c>
      <c r="T97" s="521">
        <f>R97*S97</f>
        <v>0</v>
      </c>
      <c r="U97" s="456" t="str">
        <f>VLOOKUP(A97,'Diags Raw Data'!$A$6:$AH$4003,33,FALSE)</f>
        <v>WK5</v>
      </c>
      <c r="V97" s="182"/>
    </row>
    <row r="98" spans="1:22" ht="30.75" thickBot="1" x14ac:dyDescent="0.3">
      <c r="A98" s="576">
        <v>12.183999999999999</v>
      </c>
      <c r="B98" s="458" t="str">
        <f>VLOOKUP(A98,'Feature Raw Data'!$A$3:$B$3922,2,FALSE)</f>
        <v>GLx bus widths and configuration</v>
      </c>
      <c r="C98" s="459" t="str">
        <f>VLOOKUP(A98,'Feature Raw Data'!$A$3:$C$3922,3,FALSE)</f>
        <v>P1</v>
      </c>
      <c r="D98" s="460" t="str" cm="1">
        <f t="array" ref="D98">_xlfn.TEXTJOIN("",TRUE,IF(ISNUMBER(SEARCH($A98,'Diags Raw Data'!$A$6:$A$4003)),CONCATENATE('Diags Raw Data'!$H$6:$H$4003,", "),""))</f>
        <v xml:space="preserve">placeholder_g.1-8, </v>
      </c>
      <c r="E98" s="341" t="str">
        <f>VLOOKUP(A98,'Diags Raw Data'!$A$6:$D$4003,4,FALSE)</f>
        <v>CMM</v>
      </c>
      <c r="F98" s="341" t="str">
        <f>VLOOKUP(A98,'Feature Raw Data'!$A$3:$E$3922,5,FALSE)</f>
        <v>New</v>
      </c>
      <c r="G98" s="341" t="str">
        <f t="shared" si="6"/>
        <v>Yes</v>
      </c>
      <c r="H98" s="341" t="str">
        <f t="shared" si="7"/>
        <v>Yes</v>
      </c>
      <c r="I98" s="459">
        <f>SUMIF('Diags Raw Data'!$A$6:$A$4003,"*"&amp;$A98&amp;"*",'Diags Raw Data'!$K$6:$K$4003)</f>
        <v>0</v>
      </c>
      <c r="J98" s="461">
        <f>SUMIF('Diags Raw Data'!$A$6:$A$4003,"*"&amp;$A98&amp;"*",'Diags Raw Data'!$L$6:$L$4003)</f>
        <v>0</v>
      </c>
      <c r="K98" s="513" t="e" cm="1">
        <f t="array" ref="K98">IF(D98="",0, SUMPRODUCT(--(ISNUMBER(SEARCH($A98,'Diags Raw Data'!$A$6:$A$4003))),'Diags Raw Data'!$L$6:$L$4003,'Diags Raw Data'!$N$6:$N$4003)/J98)</f>
        <v>#DIV/0!</v>
      </c>
      <c r="L98" s="514" t="e" cm="1">
        <f t="array" ref="L98">IF(D98="",0, SUMPRODUCT(--(ISNUMBER(SEARCH($A98,'Diags Raw Data'!$A$6:$A$4003))),'Diags Raw Data'!$L$6:$L$4003,'Diags Raw Data'!$P$6:$P$4003)/J98)</f>
        <v>#DIV/0!</v>
      </c>
      <c r="M98" s="515" cm="1">
        <f t="array" ref="M98">SUMPRODUCT(--(ISNUMBER(SEARCH($A98,'Diags Raw Data'!$A$6:$A$4003))),--('Diags Raw Data'!$Q$6:$Q$4003&lt;&gt;"N/A"),'Diags Raw Data'!$R$6:$R$4003)</f>
        <v>8</v>
      </c>
      <c r="N98" s="516" cm="1">
        <f t="array" ref="N98">SUMPRODUCT(--(ISNUMBER(SEARCH($A98,'Diags Raw Data'!$A$6:$A$4003))),--('Diags Raw Data'!$Q$6:$Q$4003&lt;&gt;"N/A"),'Diags Raw Data'!$T$6:$T$4003)+SUMPRODUCT(--(ISNUMBER(SEARCH($A98,'Diags Raw Data'!$A$6:$A$4003))),--('Diags Raw Data'!$Q$6:$Q$4003&lt;&gt;"N/A"),'Diags Raw Data'!$U$6:$U$4003)</f>
        <v>8</v>
      </c>
      <c r="O98" s="517">
        <f t="shared" si="11"/>
        <v>1</v>
      </c>
      <c r="P98" s="518">
        <f>SUMIF('Diags Raw Data'!$A$6:$A$4003,"*"&amp;$A98&amp;"*",'Diags Raw Data'!$Z$6:$Z$4003)</f>
        <v>0</v>
      </c>
      <c r="Q98" s="519">
        <f>SUM(SUMIF('Diags Raw Data'!$A$6:$A$4003,"*"&amp;$A98&amp;"*",'Diags Raw Data'!$AA$6:$AA$4003),SUMIF('Diags Raw Data'!$A$6:$A$4003,"*"&amp;$A98&amp;"*",'Diags Raw Data'!$AB$6:$AB$4003))</f>
        <v>0</v>
      </c>
      <c r="R98" s="520">
        <f t="shared" si="8"/>
        <v>0</v>
      </c>
      <c r="S98" s="520">
        <f t="shared" si="9"/>
        <v>0</v>
      </c>
      <c r="T98" s="521">
        <f t="shared" si="10"/>
        <v>0</v>
      </c>
      <c r="U98" s="456" t="str">
        <f>VLOOKUP(A98,'Diags Raw Data'!$A$6:$AH$4003,33,FALSE)</f>
        <v>WK2</v>
      </c>
      <c r="V98" s="182"/>
    </row>
    <row r="99" spans="1:22" ht="60.75" thickBot="1" x14ac:dyDescent="0.3">
      <c r="A99" s="576">
        <v>12.185</v>
      </c>
      <c r="B99" s="458" t="str">
        <f>VLOOKUP(A99,'Feature Raw Data'!$A$3:$B$3922,2,FALSE)</f>
        <v>CH 256B read/write support</v>
      </c>
      <c r="C99" s="459" t="str">
        <f>VLOOKUP(A99,'Feature Raw Data'!$A$3:$C$3922,3,FALSE)</f>
        <v>P1</v>
      </c>
      <c r="D99" s="460" t="str" cm="1">
        <f t="array" ref="D99">_xlfn.TEXTJOIN("",TRUE,IF(ISNUMBER(SEARCH($A99,'Diags Raw Data'!$A$6:$A$4003)),CONCATENATE('Diags Raw Data'!$H$6:$H$4003,", "),""))</f>
        <v xml:space="preserve">gfx.cmm_cp_ch_access_size_monolithic_gfx12
gfx.cmm_sdma_access_size_monolithic, </v>
      </c>
      <c r="E99" s="341" t="str">
        <f>VLOOKUP(A99,'Diags Raw Data'!$A$6:$D$4003,4,FALSE)</f>
        <v>CMM</v>
      </c>
      <c r="F99" s="341" t="str">
        <f>VLOOKUP(A99,'Feature Raw Data'!$A$3:$E$3922,5,FALSE)</f>
        <v>New</v>
      </c>
      <c r="G99" s="341" t="str">
        <f t="shared" si="6"/>
        <v>Yes</v>
      </c>
      <c r="H99" s="341" t="str">
        <f t="shared" si="7"/>
        <v>Yes</v>
      </c>
      <c r="I99" s="459">
        <f>SUMIF('Diags Raw Data'!$A$6:$A$4003,"*"&amp;$A99&amp;"*",'Diags Raw Data'!$K$6:$K$4003)</f>
        <v>0</v>
      </c>
      <c r="J99" s="461">
        <f>SUMIF('Diags Raw Data'!$A$6:$A$4003,"*"&amp;$A99&amp;"*",'Diags Raw Data'!$L$6:$L$4003)</f>
        <v>0</v>
      </c>
      <c r="K99" s="513" t="e" cm="1">
        <f t="array" ref="K99">IF(D99="",0, SUMPRODUCT(--(ISNUMBER(SEARCH($A99,'Diags Raw Data'!$A$6:$A$4003))),'Diags Raw Data'!$L$6:$L$4003,'Diags Raw Data'!$N$6:$N$4003)/J99)</f>
        <v>#DIV/0!</v>
      </c>
      <c r="L99" s="514" t="e" cm="1">
        <f t="array" ref="L99">IF(D99="",0, SUMPRODUCT(--(ISNUMBER(SEARCH($A99,'Diags Raw Data'!$A$6:$A$4003))),'Diags Raw Data'!$L$6:$L$4003,'Diags Raw Data'!$P$6:$P$4003)/J99)</f>
        <v>#DIV/0!</v>
      </c>
      <c r="M99" s="515" cm="1">
        <f t="array" ref="M99">SUMPRODUCT(--(ISNUMBER(SEARCH($A99,'Diags Raw Data'!$A$6:$A$4003))),--('Diags Raw Data'!$Q$6:$Q$4003&lt;&gt;"N/A"),'Diags Raw Data'!$R$6:$R$4003)</f>
        <v>2</v>
      </c>
      <c r="N99" s="516" cm="1">
        <f t="array" ref="N99">SUMPRODUCT(--(ISNUMBER(SEARCH($A99,'Diags Raw Data'!$A$6:$A$4003))),--('Diags Raw Data'!$Q$6:$Q$4003&lt;&gt;"N/A"),'Diags Raw Data'!$T$6:$T$4003)+SUMPRODUCT(--(ISNUMBER(SEARCH($A99,'Diags Raw Data'!$A$6:$A$4003))),--('Diags Raw Data'!$Q$6:$Q$4003&lt;&gt;"N/A"),'Diags Raw Data'!$U$6:$U$4003)</f>
        <v>2</v>
      </c>
      <c r="O99" s="517">
        <f t="shared" si="11"/>
        <v>1</v>
      </c>
      <c r="P99" s="518">
        <f>SUMIF('Diags Raw Data'!$A$6:$A$4003,"*"&amp;$A99&amp;"*",'Diags Raw Data'!$Z$6:$Z$4003)</f>
        <v>0</v>
      </c>
      <c r="Q99" s="519">
        <f>SUM(SUMIF('Diags Raw Data'!$A$6:$A$4003,"*"&amp;$A99&amp;"*",'Diags Raw Data'!$AA$6:$AA$4003),SUMIF('Diags Raw Data'!$A$6:$A$4003,"*"&amp;$A99&amp;"*",'Diags Raw Data'!$AB$6:$AB$4003))</f>
        <v>0</v>
      </c>
      <c r="R99" s="520">
        <f t="shared" si="8"/>
        <v>0</v>
      </c>
      <c r="S99" s="520">
        <f t="shared" si="9"/>
        <v>0</v>
      </c>
      <c r="T99" s="521">
        <f t="shared" si="10"/>
        <v>0</v>
      </c>
      <c r="U99" s="456" t="str">
        <f>VLOOKUP(A99,'Diags Raw Data'!$A$6:$AH$4003,33,FALSE)</f>
        <v>WK3</v>
      </c>
      <c r="V99" s="182"/>
    </row>
    <row r="100" spans="1:22" ht="45.75" thickBot="1" x14ac:dyDescent="0.3">
      <c r="A100" s="576">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Data'!$A$6:$A$4003)),CONCATENATE('Diags Raw Data'!$H$6:$H$4003,", "),""))</f>
        <v xml:space="preserve">gfx.inst_perf/v_wmma.*
gfx.inst_perf/v_cvt.*
gfx.inst_perf/v_dot4_f32.*, </v>
      </c>
      <c r="E100" s="341" t="str">
        <f>VLOOKUP(A100,'Diags Raw Data'!$A$6:$D$4003,4,FALSE)</f>
        <v>SH</v>
      </c>
      <c r="F100" s="341" t="str">
        <f>VLOOKUP(A100,'Feature Raw Data'!$A$3:$E$3922,5,FALSE)</f>
        <v>New</v>
      </c>
      <c r="G100" s="341" t="str">
        <f t="shared" si="6"/>
        <v>Yes</v>
      </c>
      <c r="H100" s="341" t="str">
        <f t="shared" si="7"/>
        <v>Yes</v>
      </c>
      <c r="I100" s="459">
        <f>SUMIF('Diags Raw Data'!$A$6:$A$4003,"*"&amp;$A100&amp;"*",'Diags Raw Data'!$K$6:$K$4003)</f>
        <v>0</v>
      </c>
      <c r="J100" s="461">
        <f>SUMIF('Diags Raw Data'!$A$6:$A$4003,"*"&amp;$A100&amp;"*",'Diags Raw Data'!$L$6:$L$4003)</f>
        <v>0</v>
      </c>
      <c r="K100" s="513" t="e" cm="1">
        <f t="array" ref="K100">IF(D100="",0, SUMPRODUCT(--(ISNUMBER(SEARCH($A100,'Diags Raw Data'!$A$6:$A$4003))),'Diags Raw Data'!$L$6:$L$4003,'Diags Raw Data'!$N$6:$N$4003)/J100)</f>
        <v>#DIV/0!</v>
      </c>
      <c r="L100" s="514" t="e" cm="1">
        <f t="array" ref="L100">IF(D100="",0, SUMPRODUCT(--(ISNUMBER(SEARCH($A100,'Diags Raw Data'!$A$6:$A$4003))),'Diags Raw Data'!$L$6:$L$4003,'Diags Raw Data'!$P$6:$P$4003)/J100)</f>
        <v>#DIV/0!</v>
      </c>
      <c r="M100" s="515" cm="1">
        <f t="array" ref="M100">SUMPRODUCT(--(ISNUMBER(SEARCH($A100,'Diags Raw Data'!$A$6:$A$4003))),--('Diags Raw Data'!$Q$6:$Q$4003&lt;&gt;"N/A"),'Diags Raw Data'!$R$6:$R$4003)</f>
        <v>15</v>
      </c>
      <c r="N100" s="516" cm="1">
        <f t="array" ref="N100">SUMPRODUCT(--(ISNUMBER(SEARCH($A100,'Diags Raw Data'!$A$6:$A$4003))),--('Diags Raw Data'!$Q$6:$Q$4003&lt;&gt;"N/A"),'Diags Raw Data'!$T$6:$T$4003)+SUMPRODUCT(--(ISNUMBER(SEARCH($A100,'Diags Raw Data'!$A$6:$A$4003))),--('Diags Raw Data'!$Q$6:$Q$4003&lt;&gt;"N/A"),'Diags Raw Data'!$U$6:$U$4003)</f>
        <v>15</v>
      </c>
      <c r="O100" s="517">
        <f t="shared" si="11"/>
        <v>1</v>
      </c>
      <c r="P100" s="518">
        <f>SUMIF('Diags Raw Data'!$A$6:$A$4003,"*"&amp;$A100&amp;"*",'Diags Raw Data'!$Z$6:$Z$4003)</f>
        <v>0</v>
      </c>
      <c r="Q100" s="519">
        <f>SUM(SUMIF('Diags Raw Data'!$A$6:$A$4003,"*"&amp;$A100&amp;"*",'Diags Raw Data'!$AA$6:$AA$4003),SUMIF('Diags Raw Data'!$A$6:$A$4003,"*"&amp;$A100&amp;"*",'Diags Raw Data'!$AB$6:$AB$4003))</f>
        <v>0</v>
      </c>
      <c r="R100" s="520">
        <f t="shared" si="8"/>
        <v>0</v>
      </c>
      <c r="S100" s="520">
        <f t="shared" si="9"/>
        <v>0</v>
      </c>
      <c r="T100" s="521">
        <f t="shared" si="10"/>
        <v>0</v>
      </c>
      <c r="U100" s="456" t="str">
        <f>VLOOKUP(A100,'Diags Raw Data'!$A$6:$AH$4003,33,FALSE)</f>
        <v>WK3</v>
      </c>
      <c r="V100" s="182"/>
    </row>
    <row r="101" spans="1:22" ht="30.75" thickBot="1" x14ac:dyDescent="0.3">
      <c r="A101" s="576">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Data'!$A$6:$A$4003)),CONCATENATE('Diags Raw Data'!$H$6:$H$4003,", "),""))</f>
        <v xml:space="preserve">gci1306.0-2, gssi212.11, </v>
      </c>
      <c r="E101" s="341" t="str">
        <f>VLOOKUP(A101,'Diags Raw Data'!$A$6:$D$4003,4,FALSE)</f>
        <v>SH</v>
      </c>
      <c r="F101" s="341" t="str">
        <f>VLOOKUP(A101,'Feature Raw Data'!$A$3:$E$3922,5,FALSE)</f>
        <v>New</v>
      </c>
      <c r="G101" s="341" t="str">
        <f t="shared" si="6"/>
        <v>Yes</v>
      </c>
      <c r="H101" s="341" t="str">
        <f t="shared" si="7"/>
        <v>Yes</v>
      </c>
      <c r="I101" s="459">
        <f>SUMIF('Diags Raw Data'!$A$6:$A$4003,"*"&amp;$A101&amp;"*",'Diags Raw Data'!$K$6:$K$4003)</f>
        <v>0</v>
      </c>
      <c r="J101" s="461">
        <f>SUMIF('Diags Raw Data'!$A$6:$A$4003,"*"&amp;$A101&amp;"*",'Diags Raw Data'!$L$6:$L$4003)</f>
        <v>0</v>
      </c>
      <c r="K101" s="513" t="e" cm="1">
        <f t="array" ref="K101">IF(D101="",0, SUMPRODUCT(--(ISNUMBER(SEARCH($A101,'Diags Raw Data'!$A$6:$A$4003))),'Diags Raw Data'!$L$6:$L$4003,'Diags Raw Data'!$N$6:$N$4003)/J101)</f>
        <v>#DIV/0!</v>
      </c>
      <c r="L101" s="514" t="e" cm="1">
        <f t="array" ref="L101">IF(D101="",0, SUMPRODUCT(--(ISNUMBER(SEARCH($A101,'Diags Raw Data'!$A$6:$A$4003))),'Diags Raw Data'!$L$6:$L$4003,'Diags Raw Data'!$P$6:$P$4003)/J101)</f>
        <v>#DIV/0!</v>
      </c>
      <c r="M101" s="515" cm="1">
        <f t="array" ref="M101">SUMPRODUCT(--(ISNUMBER(SEARCH($A101,'Diags Raw Data'!$A$6:$A$4003))),--('Diags Raw Data'!$Q$6:$Q$4003&lt;&gt;"N/A"),'Diags Raw Data'!$R$6:$R$4003)</f>
        <v>3</v>
      </c>
      <c r="N101" s="516" cm="1">
        <f t="array" ref="N101">SUMPRODUCT(--(ISNUMBER(SEARCH($A101,'Diags Raw Data'!$A$6:$A$4003))),--('Diags Raw Data'!$Q$6:$Q$4003&lt;&gt;"N/A"),'Diags Raw Data'!$T$6:$T$4003)+SUMPRODUCT(--(ISNUMBER(SEARCH($A101,'Diags Raw Data'!$A$6:$A$4003))),--('Diags Raw Data'!$Q$6:$Q$4003&lt;&gt;"N/A"),'Diags Raw Data'!$U$6:$U$4003)</f>
        <v>3</v>
      </c>
      <c r="O101" s="517">
        <f>IF((M101=0),0,N101/M101)</f>
        <v>1</v>
      </c>
      <c r="P101" s="518">
        <f>SUMIF('Diags Raw Data'!$A$6:$A$4003,"*"&amp;$A101&amp;"*",'Diags Raw Data'!$Z$6:$Z$4003)</f>
        <v>0</v>
      </c>
      <c r="Q101" s="519">
        <f>SUM(SUMIF('Diags Raw Data'!$A$6:$A$4003,"*"&amp;$A101&amp;"*",'Diags Raw Data'!$AA$6:$AA$4003),SUMIF('Diags Raw Data'!$A$6:$A$4003,"*"&amp;$A101&amp;"*",'Diags Raw Data'!$AB$6:$AB$4003))</f>
        <v>0</v>
      </c>
      <c r="R101" s="520">
        <f>IF((J101=0),0,P101/J101)</f>
        <v>0</v>
      </c>
      <c r="S101" s="520">
        <f t="shared" si="9"/>
        <v>0</v>
      </c>
      <c r="T101" s="521">
        <f t="shared" si="10"/>
        <v>0</v>
      </c>
      <c r="U101" s="456" t="str">
        <f>VLOOKUP(A101,'Diags Raw Data'!$A$6:$AH$4003,33,FALSE)</f>
        <v>WK4</v>
      </c>
      <c r="V101" s="182"/>
    </row>
    <row r="102" spans="1:22" ht="45.75" thickBot="1" x14ac:dyDescent="0.3">
      <c r="A102" s="576">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Data'!$A$6:$A$4003)),CONCATENATE('Diags Raw Data'!$H$6:$H$4003,", "),""))</f>
        <v xml:space="preserve">gci1305.0,3,4,5,6, </v>
      </c>
      <c r="E102" s="341" t="str">
        <f>VLOOKUP(A102,'Diags Raw Data'!$A$6:$D$4003,4,FALSE)</f>
        <v>SH</v>
      </c>
      <c r="F102" s="341" t="str">
        <f>VLOOKUP(A102,'Feature Raw Data'!$A$3:$E$3922,5,FALSE)</f>
        <v>New</v>
      </c>
      <c r="G102" s="341" t="str">
        <f t="shared" si="6"/>
        <v>Yes</v>
      </c>
      <c r="H102" s="341" t="str">
        <f t="shared" si="7"/>
        <v>Yes</v>
      </c>
      <c r="I102" s="459">
        <f>SUMIF('Diags Raw Data'!$A$6:$A$4003,"*"&amp;$A102&amp;"*",'Diags Raw Data'!$K$6:$K$4003)</f>
        <v>0</v>
      </c>
      <c r="J102" s="461">
        <f>SUMIF('Diags Raw Data'!$A$6:$A$4003,"*"&amp;$A102&amp;"*",'Diags Raw Data'!$L$6:$L$4003)</f>
        <v>0</v>
      </c>
      <c r="K102" s="513" t="e" cm="1">
        <f t="array" ref="K102">IF(D102="",0, SUMPRODUCT(--(ISNUMBER(SEARCH($A102,'Diags Raw Data'!$A$6:$A$4003))),'Diags Raw Data'!$L$6:$L$4003,'Diags Raw Data'!$N$6:$N$4003)/J102)</f>
        <v>#DIV/0!</v>
      </c>
      <c r="L102" s="514" t="e" cm="1">
        <f t="array" ref="L102">IF(D102="",0, SUMPRODUCT(--(ISNUMBER(SEARCH($A102,'Diags Raw Data'!$A$6:$A$4003))),'Diags Raw Data'!$L$6:$L$4003,'Diags Raw Data'!$P$6:$P$4003)/J102)</f>
        <v>#DIV/0!</v>
      </c>
      <c r="M102" s="515" cm="1">
        <f t="array" ref="M102">SUMPRODUCT(--(ISNUMBER(SEARCH($A102,'Diags Raw Data'!$A$6:$A$4003))),--('Diags Raw Data'!$Q$6:$Q$4003&lt;&gt;"N/A"),'Diags Raw Data'!$R$6:$R$4003)</f>
        <v>5</v>
      </c>
      <c r="N102" s="516" cm="1">
        <f t="array" ref="N102">SUMPRODUCT(--(ISNUMBER(SEARCH($A102,'Diags Raw Data'!$A$6:$A$4003))),--('Diags Raw Data'!$Q$6:$Q$4003&lt;&gt;"N/A"),'Diags Raw Data'!$T$6:$T$4003)+SUMPRODUCT(--(ISNUMBER(SEARCH($A102,'Diags Raw Data'!$A$6:$A$4003))),--('Diags Raw Data'!$Q$6:$Q$4003&lt;&gt;"N/A"),'Diags Raw Data'!$U$6:$U$4003)</f>
        <v>5</v>
      </c>
      <c r="O102" s="517">
        <f t="shared" si="11"/>
        <v>1</v>
      </c>
      <c r="P102" s="518">
        <f>SUMIF('Diags Raw Data'!$A$6:$A$4003,"*"&amp;$A102&amp;"*",'Diags Raw Data'!$Z$6:$Z$4003)</f>
        <v>0</v>
      </c>
      <c r="Q102" s="519">
        <f>SUM(SUMIF('Diags Raw Data'!$A$6:$A$4003,"*"&amp;$A102&amp;"*",'Diags Raw Data'!$AA$6:$AA$4003),SUMIF('Diags Raw Data'!$A$6:$A$4003,"*"&amp;$A102&amp;"*",'Diags Raw Data'!$AB$6:$AB$4003))</f>
        <v>0</v>
      </c>
      <c r="R102" s="520">
        <f>IF((J102=0),0,P102/J102)</f>
        <v>0</v>
      </c>
      <c r="S102" s="520">
        <f t="shared" si="9"/>
        <v>0</v>
      </c>
      <c r="T102" s="521">
        <f t="shared" si="10"/>
        <v>0</v>
      </c>
      <c r="U102" s="456" t="str">
        <f>VLOOKUP(A102,'Diags Raw Data'!$A$6:$AH$4003,33,FALSE)</f>
        <v>WK5</v>
      </c>
      <c r="V102" s="182"/>
    </row>
    <row r="103" spans="1:22" ht="30.75" thickBot="1" x14ac:dyDescent="0.3">
      <c r="A103" s="576">
        <v>12.192</v>
      </c>
      <c r="B103" s="458" t="str">
        <f>VLOOKUP(A103,'Feature Raw Data'!$A$3:$B$3922,2,FALSE)</f>
        <v>UTCL2 UTCL1 Dummy INV interface removal</v>
      </c>
      <c r="C103" s="459" t="str">
        <f>VLOOKUP(A103,'Feature Raw Data'!$A$3:$C$3922,3,FALSE)</f>
        <v>P2</v>
      </c>
      <c r="D103" s="460"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9">
        <f>SUMIF('Diags Raw Data'!$A$6:$A$4003,"*"&amp;$A103&amp;"*",'Diags Raw Data'!$K$6:$K$4003)</f>
        <v>0</v>
      </c>
      <c r="J103" s="461">
        <f>SUMIF('Diags Raw Data'!$A$6:$A$4003,"*"&amp;$A103&amp;"*",'Diags Raw Data'!$L$6:$L$4003)</f>
        <v>0</v>
      </c>
      <c r="K103" s="513" t="e" cm="1">
        <f t="array" ref="K103">IF(D103="",0, SUMPRODUCT(--(ISNUMBER(SEARCH($A103,'Diags Raw Data'!$A$6:$A$4003))),'Diags Raw Data'!$L$6:$L$4003,'Diags Raw Data'!$N$6:$N$4003)/J103)</f>
        <v>#DIV/0!</v>
      </c>
      <c r="L103" s="514" t="e" cm="1">
        <f t="array" ref="L103">IF(D103="",0, SUMPRODUCT(--(ISNUMBER(SEARCH($A103,'Diags Raw Data'!$A$6:$A$4003))),'Diags Raw Data'!$L$6:$L$4003,'Diags Raw Data'!$P$6:$P$4003)/J103)</f>
        <v>#DIV/0!</v>
      </c>
      <c r="M103" s="515" cm="1">
        <f t="array" ref="M103">SUMPRODUCT(--(ISNUMBER(SEARCH($A103,'Diags Raw Data'!$A$6:$A$4003))),--('Diags Raw Data'!$Q$6:$Q$4003&lt;&gt;"N/A"),'Diags Raw Data'!$R$6:$R$4003)</f>
        <v>0</v>
      </c>
      <c r="N103" s="516" cm="1">
        <f t="array" ref="N103">SUMPRODUCT(--(ISNUMBER(SEARCH($A103,'Diags Raw Data'!$A$6:$A$4003))),--('Diags Raw Data'!$Q$6:$Q$4003&lt;&gt;"N/A"),'Diags Raw Data'!$T$6:$T$4003)+SUMPRODUCT(--(ISNUMBER(SEARCH($A103,'Diags Raw Data'!$A$6:$A$4003))),--('Diags Raw Data'!$Q$6:$Q$4003&lt;&gt;"N/A"),'Diags Raw Data'!$U$6:$U$4003)</f>
        <v>0</v>
      </c>
      <c r="O103" s="517">
        <f t="shared" si="11"/>
        <v>0</v>
      </c>
      <c r="P103" s="518">
        <f>SUMIF('Diags Raw Data'!$A$6:$A$4003,"*"&amp;$A103&amp;"*",'Diags Raw Data'!$Z$6:$Z$4003)</f>
        <v>0</v>
      </c>
      <c r="Q103" s="519">
        <f>SUM(SUMIF('Diags Raw Data'!$A$6:$A$4003,"*"&amp;$A103&amp;"*",'Diags Raw Data'!$AA$6:$AA$4003),SUMIF('Diags Raw Data'!$A$6:$A$4003,"*"&amp;$A103&amp;"*",'Diags Raw Data'!$AB$6:$AB$4003))</f>
        <v>0</v>
      </c>
      <c r="R103" s="520">
        <f>IF((J103=0),0,P103/J103)</f>
        <v>0</v>
      </c>
      <c r="S103" s="520">
        <f t="shared" si="9"/>
        <v>0</v>
      </c>
      <c r="T103" s="521">
        <f>R103*S103</f>
        <v>0</v>
      </c>
      <c r="U103" s="456" t="str">
        <f>VLOOKUP(A103,'Diags Raw Data'!$A$6:$AH$4003,33,FALSE)</f>
        <v>N/A</v>
      </c>
      <c r="V103" s="585" t="s">
        <v>382</v>
      </c>
    </row>
    <row r="104" spans="1:22" ht="30.75" thickBot="1" x14ac:dyDescent="0.3">
      <c r="A104" s="576">
        <v>12.193</v>
      </c>
      <c r="B104" s="458" t="str">
        <f>VLOOKUP(A104,'Feature Raw Data'!$A$3:$B$3922,2,FALSE)</f>
        <v>Additional SAx client to UTCL1 (from 12.</v>
      </c>
      <c r="C104" s="459" t="str">
        <f>VLOOKUP(A104,'Feature Raw Data'!$A$3:$C$3922,3,FALSE)</f>
        <v>P1</v>
      </c>
      <c r="D104" s="460" t="str" cm="1">
        <f t="array" ref="D104">_xlfn.TEXTJOIN("",TRUE,IF(ISNUMBER(SEARCH($A104,'Diags Raw Data'!$A$6:$A$4003)),CONCATENATE('Diags Raw Data'!$H$6:$H$4003,", "),""))</f>
        <v xml:space="preserve">gfx.cmm_sax_utcl1_monolithic/utcl0_disable, </v>
      </c>
      <c r="E104" s="341" t="str">
        <f>VLOOKUP(A104,'Diags Raw Data'!$A$6:$D$4003,4,FALSE)</f>
        <v>CMM</v>
      </c>
      <c r="F104" s="341" t="str">
        <f>VLOOKUP(A104,'Feature Raw Data'!$A$3:$E$3922,5,FALSE)</f>
        <v>New</v>
      </c>
      <c r="G104" s="341" t="str">
        <f t="shared" si="6"/>
        <v>Yes</v>
      </c>
      <c r="H104" s="341" t="str">
        <f t="shared" si="7"/>
        <v>Yes</v>
      </c>
      <c r="I104" s="459">
        <f>SUMIF('Diags Raw Data'!$A$6:$A$4003,"*"&amp;$A104&amp;"*",'Diags Raw Data'!$K$6:$K$4003)</f>
        <v>0</v>
      </c>
      <c r="J104" s="461">
        <f>SUMIF('Diags Raw Data'!$A$6:$A$4003,"*"&amp;$A104&amp;"*",'Diags Raw Data'!$L$6:$L$4003)</f>
        <v>0</v>
      </c>
      <c r="K104" s="513" t="e" cm="1">
        <f t="array" ref="K104">IF(D104="",0, SUMPRODUCT(--(ISNUMBER(SEARCH($A104,'Diags Raw Data'!$A$6:$A$4003))),'Diags Raw Data'!$L$6:$L$4003,'Diags Raw Data'!$N$6:$N$4003)/J104)</f>
        <v>#DIV/0!</v>
      </c>
      <c r="L104" s="514" t="e" cm="1">
        <f t="array" ref="L104">IF(D104="",0, SUMPRODUCT(--(ISNUMBER(SEARCH($A104,'Diags Raw Data'!$A$6:$A$4003))),'Diags Raw Data'!$L$6:$L$4003,'Diags Raw Data'!$P$6:$P$4003)/J104)</f>
        <v>#DIV/0!</v>
      </c>
      <c r="M104" s="515" cm="1">
        <f t="array" ref="M104">SUMPRODUCT(--(ISNUMBER(SEARCH($A104,'Diags Raw Data'!$A$6:$A$4003))),--('Diags Raw Data'!$Q$6:$Q$4003&lt;&gt;"N/A"),'Diags Raw Data'!$R$6:$R$4003)</f>
        <v>1</v>
      </c>
      <c r="N104" s="516" cm="1">
        <f t="array" ref="N104">SUMPRODUCT(--(ISNUMBER(SEARCH($A104,'Diags Raw Data'!$A$6:$A$4003))),--('Diags Raw Data'!$Q$6:$Q$4003&lt;&gt;"N/A"),'Diags Raw Data'!$T$6:$T$4003)+SUMPRODUCT(--(ISNUMBER(SEARCH($A104,'Diags Raw Data'!$A$6:$A$4003))),--('Diags Raw Data'!$Q$6:$Q$4003&lt;&gt;"N/A"),'Diags Raw Data'!$U$6:$U$4003)</f>
        <v>1</v>
      </c>
      <c r="O104" s="517">
        <f>IF((M104=0),0,N104/M104)</f>
        <v>1</v>
      </c>
      <c r="P104" s="518">
        <f>SUMIF('Diags Raw Data'!$A$6:$A$4003,"*"&amp;$A104&amp;"*",'Diags Raw Data'!$Z$6:$Z$4003)</f>
        <v>0</v>
      </c>
      <c r="Q104" s="519">
        <f>SUM(SUMIF('Diags Raw Data'!$A$6:$A$4003,"*"&amp;$A104&amp;"*",'Diags Raw Data'!$AA$6:$AA$4003),SUMIF('Diags Raw Data'!$A$6:$A$4003,"*"&amp;$A104&amp;"*",'Diags Raw Data'!$AB$6:$AB$4003))</f>
        <v>0</v>
      </c>
      <c r="R104" s="520">
        <f>IF((J104=0),0,P104/J104)</f>
        <v>0</v>
      </c>
      <c r="S104" s="520">
        <f>IF((P104=0),0,Q104/P104)</f>
        <v>0</v>
      </c>
      <c r="T104" s="521">
        <f>R104*S104</f>
        <v>0</v>
      </c>
      <c r="U104" s="456" t="str">
        <f>VLOOKUP(A104,'Diags Raw Data'!$A$6:$AH$4003,33,FALSE)</f>
        <v>WK5</v>
      </c>
      <c r="V104" s="182"/>
    </row>
    <row r="105" spans="1:22" ht="30.75" thickBot="1" x14ac:dyDescent="0.3">
      <c r="A105" s="576">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Data'!$A$6:$A$4003)),CONCATENATE('Diags Raw Data'!$H$6:$H$4003,", "),""))</f>
        <v xml:space="preserve">spi197, </v>
      </c>
      <c r="E105" s="341" t="str">
        <f>VLOOKUP(A105,'Diags Raw Data'!$A$6:$D$4003,4,FALSE)</f>
        <v>SIO</v>
      </c>
      <c r="F105" s="341" t="str">
        <f>VLOOKUP(A105,'Feature Raw Data'!$A$3:$E$3922,5,FALSE)</f>
        <v>New</v>
      </c>
      <c r="G105" s="341" t="str">
        <f t="shared" si="6"/>
        <v>Yes</v>
      </c>
      <c r="H105" s="341" t="str">
        <f t="shared" si="7"/>
        <v>Yes</v>
      </c>
      <c r="I105" s="459">
        <f>SUMIF('Diags Raw Data'!$A$6:$A$4003,"*"&amp;$A105&amp;"*",'Diags Raw Data'!$K$6:$K$4003)</f>
        <v>0</v>
      </c>
      <c r="J105" s="461">
        <f>SUMIF('Diags Raw Data'!$A$6:$A$4003,"*"&amp;$A105&amp;"*",'Diags Raw Data'!$L$6:$L$4003)</f>
        <v>0</v>
      </c>
      <c r="K105" s="513" t="e" cm="1">
        <f t="array" ref="K105">IF(D105="",0, SUMPRODUCT(--(ISNUMBER(SEARCH($A105,'Diags Raw Data'!$A$6:$A$4003))),'Diags Raw Data'!$L$6:$L$4003,'Diags Raw Data'!$N$6:$N$4003)/J105)</f>
        <v>#DIV/0!</v>
      </c>
      <c r="L105" s="514" t="e" cm="1">
        <f t="array" ref="L105">IF(D105="",0, SUMPRODUCT(--(ISNUMBER(SEARCH($A105,'Diags Raw Data'!$A$6:$A$4003))),'Diags Raw Data'!$L$6:$L$4003,'Diags Raw Data'!$P$6:$P$4003)/J105)</f>
        <v>#DIV/0!</v>
      </c>
      <c r="M105" s="515" cm="1">
        <f t="array" ref="M105">SUMPRODUCT(--(ISNUMBER(SEARCH($A105,'Diags Raw Data'!$A$6:$A$4003))),--('Diags Raw Data'!$Q$6:$Q$4003&lt;&gt;"N/A"),'Diags Raw Data'!$R$6:$R$4003)</f>
        <v>1</v>
      </c>
      <c r="N105" s="516" cm="1">
        <f t="array" ref="N105">SUMPRODUCT(--(ISNUMBER(SEARCH($A105,'Diags Raw Data'!$A$6:$A$4003))),--('Diags Raw Data'!$Q$6:$Q$4003&lt;&gt;"N/A"),'Diags Raw Data'!$T$6:$T$4003)+SUMPRODUCT(--(ISNUMBER(SEARCH($A105,'Diags Raw Data'!$A$6:$A$4003))),--('Diags Raw Data'!$Q$6:$Q$4003&lt;&gt;"N/A"),'Diags Raw Data'!$U$6:$U$4003)</f>
        <v>1</v>
      </c>
      <c r="O105" s="517">
        <f t="shared" ref="O105:O110" si="12">IF((M105=0),0,N105/M105)</f>
        <v>1</v>
      </c>
      <c r="P105" s="518">
        <f>SUMIF('Diags Raw Data'!$A$6:$A$4003,"*"&amp;$A105&amp;"*",'Diags Raw Data'!$Z$6:$Z$4003)</f>
        <v>0</v>
      </c>
      <c r="Q105" s="519">
        <f>SUM(SUMIF('Diags Raw Data'!$A$6:$A$4003,"*"&amp;$A105&amp;"*",'Diags Raw Data'!$AA$6:$AA$4003),SUMIF('Diags Raw Data'!$A$6:$A$4003,"*"&amp;$A105&amp;"*",'Diags Raw Data'!$AB$6:$AB$4003))</f>
        <v>0</v>
      </c>
      <c r="R105" s="520">
        <f t="shared" ref="R105:R127" si="13">IF((J105=0),0,P105/J105)</f>
        <v>0</v>
      </c>
      <c r="S105" s="520">
        <f t="shared" ref="S105:S127" si="14">IF((P105=0),0,Q105/P105)</f>
        <v>0</v>
      </c>
      <c r="T105" s="521">
        <f>R105*S105</f>
        <v>0</v>
      </c>
      <c r="U105" s="456" t="str">
        <f>VLOOKUP(A105,'Diags Raw Data'!$A$6:$AH$4003,33,FALSE)</f>
        <v>WK8</v>
      </c>
      <c r="V105" s="182"/>
    </row>
    <row r="106" spans="1:22" ht="105.75" thickBot="1" x14ac:dyDescent="0.3">
      <c r="A106" s="576">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Data'!$A$6:$A$4003)),CONCATENATE('Diags Raw Data'!$H$6:$H$4003,", "),""))</f>
        <v xml:space="preserve">spi2010,spi2011, </v>
      </c>
      <c r="E106" s="341" t="str">
        <f>VLOOKUP(A106,'Diags Raw Data'!$A$6:$D$4003,4,FALSE)</f>
        <v>SIO</v>
      </c>
      <c r="F106" s="341" t="str">
        <f>VLOOKUP(A106,'Feature Raw Data'!$A$3:$E$3922,5,FALSE)</f>
        <v>New</v>
      </c>
      <c r="G106" s="341" t="str">
        <f t="shared" si="6"/>
        <v>Yes</v>
      </c>
      <c r="H106" s="341" t="str">
        <f t="shared" si="7"/>
        <v>Yes</v>
      </c>
      <c r="I106" s="459">
        <f>SUMIF('Diags Raw Data'!$A$6:$A$4003,"*"&amp;$A106&amp;"*",'Diags Raw Data'!$K$6:$K$4003)</f>
        <v>0</v>
      </c>
      <c r="J106" s="461">
        <f>SUMIF('Diags Raw Data'!$A$6:$A$4003,"*"&amp;$A106&amp;"*",'Diags Raw Data'!$L$6:$L$4003)</f>
        <v>0</v>
      </c>
      <c r="K106" s="513" t="e" cm="1">
        <f t="array" ref="K106">IF(D106="",0, SUMPRODUCT(--(ISNUMBER(SEARCH($A106,'Diags Raw Data'!$A$6:$A$4003))),'Diags Raw Data'!$L$6:$L$4003,'Diags Raw Data'!$N$6:$N$4003)/J106)</f>
        <v>#DIV/0!</v>
      </c>
      <c r="L106" s="514" t="e" cm="1">
        <f t="array" ref="L106">IF(D106="",0, SUMPRODUCT(--(ISNUMBER(SEARCH($A106,'Diags Raw Data'!$A$6:$A$4003))),'Diags Raw Data'!$L$6:$L$4003,'Diags Raw Data'!$P$6:$P$4003)/J106)</f>
        <v>#DIV/0!</v>
      </c>
      <c r="M106" s="515" cm="1">
        <f t="array" ref="M106">SUMPRODUCT(--(ISNUMBER(SEARCH($A106,'Diags Raw Data'!$A$6:$A$4003))),--('Diags Raw Data'!$Q$6:$Q$4003&lt;&gt;"N/A"),'Diags Raw Data'!$R$6:$R$4003)</f>
        <v>2</v>
      </c>
      <c r="N106" s="516" cm="1">
        <f t="array" ref="N106">SUMPRODUCT(--(ISNUMBER(SEARCH($A106,'Diags Raw Data'!$A$6:$A$4003))),--('Diags Raw Data'!$Q$6:$Q$4003&lt;&gt;"N/A"),'Diags Raw Data'!$T$6:$T$4003)+SUMPRODUCT(--(ISNUMBER(SEARCH($A106,'Diags Raw Data'!$A$6:$A$4003))),--('Diags Raw Data'!$Q$6:$Q$4003&lt;&gt;"N/A"),'Diags Raw Data'!$U$6:$U$4003)</f>
        <v>2</v>
      </c>
      <c r="O106" s="517">
        <f t="shared" si="12"/>
        <v>1</v>
      </c>
      <c r="P106" s="518">
        <f>SUMIF('Diags Raw Data'!$A$6:$A$4003,"*"&amp;$A106&amp;"*",'Diags Raw Data'!$Z$6:$Z$4003)</f>
        <v>0</v>
      </c>
      <c r="Q106" s="519">
        <f>SUM(SUMIF('Diags Raw Data'!$A$6:$A$4003,"*"&amp;$A106&amp;"*",'Diags Raw Data'!$AA$6:$AA$4003),SUMIF('Diags Raw Data'!$A$6:$A$4003,"*"&amp;$A106&amp;"*",'Diags Raw Data'!$AB$6:$AB$4003))</f>
        <v>0</v>
      </c>
      <c r="R106" s="520">
        <f t="shared" si="13"/>
        <v>0</v>
      </c>
      <c r="S106" s="520">
        <f t="shared" si="14"/>
        <v>0</v>
      </c>
      <c r="T106" s="521">
        <f t="shared" ref="T106:T127" si="15">R106*S106</f>
        <v>0</v>
      </c>
      <c r="U106" s="456" t="str">
        <f>VLOOKUP(A106,'Diags Raw Data'!$A$6:$AH$4003,33,FALSE)</f>
        <v>WK5</v>
      </c>
      <c r="V106" s="182"/>
    </row>
    <row r="107" spans="1:22" ht="30.75" thickBot="1" x14ac:dyDescent="0.3">
      <c r="A107" s="576">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Data'!$A$6:$A$4003)),CONCATENATE('Diags Raw Data'!$H$6:$H$4003,", "),""))</f>
        <v xml:space="preserve">spi2020,spi2021, </v>
      </c>
      <c r="E107" s="341" t="str">
        <f>VLOOKUP(A107,'Diags Raw Data'!$A$6:$D$4003,4,FALSE)</f>
        <v>SIO</v>
      </c>
      <c r="F107" s="341" t="str">
        <f>VLOOKUP(A107,'Feature Raw Data'!$A$3:$E$3922,5,FALSE)</f>
        <v>New</v>
      </c>
      <c r="G107" s="341" t="str">
        <f t="shared" si="6"/>
        <v>Yes</v>
      </c>
      <c r="H107" s="341" t="str">
        <f t="shared" si="7"/>
        <v>Yes</v>
      </c>
      <c r="I107" s="459">
        <f>SUMIF('Diags Raw Data'!$A$6:$A$4003,"*"&amp;$A107&amp;"*",'Diags Raw Data'!$K$6:$K$4003)</f>
        <v>0</v>
      </c>
      <c r="J107" s="461">
        <f>SUMIF('Diags Raw Data'!$A$6:$A$4003,"*"&amp;$A107&amp;"*",'Diags Raw Data'!$L$6:$L$4003)</f>
        <v>0</v>
      </c>
      <c r="K107" s="513" t="e" cm="1">
        <f t="array" ref="K107">IF(D107="",0, SUMPRODUCT(--(ISNUMBER(SEARCH($A107,'Diags Raw Data'!$A$6:$A$4003))),'Diags Raw Data'!$L$6:$L$4003,'Diags Raw Data'!$N$6:$N$4003)/J107)</f>
        <v>#DIV/0!</v>
      </c>
      <c r="L107" s="514" t="e" cm="1">
        <f t="array" ref="L107">IF(D107="",0, SUMPRODUCT(--(ISNUMBER(SEARCH($A107,'Diags Raw Data'!$A$6:$A$4003))),'Diags Raw Data'!$L$6:$L$4003,'Diags Raw Data'!$P$6:$P$4003)/J107)</f>
        <v>#DIV/0!</v>
      </c>
      <c r="M107" s="515" cm="1">
        <f t="array" ref="M107">SUMPRODUCT(--(ISNUMBER(SEARCH($A107,'Diags Raw Data'!$A$6:$A$4003))),--('Diags Raw Data'!$Q$6:$Q$4003&lt;&gt;"N/A"),'Diags Raw Data'!$R$6:$R$4003)</f>
        <v>2</v>
      </c>
      <c r="N107" s="516" cm="1">
        <f t="array" ref="N107">SUMPRODUCT(--(ISNUMBER(SEARCH($A107,'Diags Raw Data'!$A$6:$A$4003))),--('Diags Raw Data'!$Q$6:$Q$4003&lt;&gt;"N/A"),'Diags Raw Data'!$T$6:$T$4003)+SUMPRODUCT(--(ISNUMBER(SEARCH($A107,'Diags Raw Data'!$A$6:$A$4003))),--('Diags Raw Data'!$Q$6:$Q$4003&lt;&gt;"N/A"),'Diags Raw Data'!$U$6:$U$4003)</f>
        <v>2</v>
      </c>
      <c r="O107" s="517">
        <f t="shared" si="12"/>
        <v>1</v>
      </c>
      <c r="P107" s="518">
        <f>SUMIF('Diags Raw Data'!$A$6:$A$4003,"*"&amp;$A107&amp;"*",'Diags Raw Data'!$Z$6:$Z$4003)</f>
        <v>0</v>
      </c>
      <c r="Q107" s="519">
        <f>SUM(SUMIF('Diags Raw Data'!$A$6:$A$4003,"*"&amp;$A107&amp;"*",'Diags Raw Data'!$AA$6:$AA$4003),SUMIF('Diags Raw Data'!$A$6:$A$4003,"*"&amp;$A107&amp;"*",'Diags Raw Data'!$AB$6:$AB$4003))</f>
        <v>0</v>
      </c>
      <c r="R107" s="520">
        <f t="shared" si="13"/>
        <v>0</v>
      </c>
      <c r="S107" s="520">
        <f t="shared" si="14"/>
        <v>0</v>
      </c>
      <c r="T107" s="521">
        <f t="shared" si="15"/>
        <v>0</v>
      </c>
      <c r="U107" s="456" t="str">
        <f>VLOOKUP(A107,'Diags Raw Data'!$A$6:$AH$4003,33,FALSE)</f>
        <v>WK4</v>
      </c>
      <c r="V107" s="182"/>
    </row>
    <row r="108" spans="1:22" ht="15.75" thickBot="1" x14ac:dyDescent="0.3">
      <c r="A108" s="576">
        <v>12.206</v>
      </c>
      <c r="B108" s="458" t="str">
        <f>VLOOKUP(A108,'Feature Raw Data'!$A$3:$B$3922,2,FALSE)</f>
        <v>DC-&gt;SPI wire reduction</v>
      </c>
      <c r="C108" s="459" t="str">
        <f>VLOOKUP(A108,'Feature Raw Data'!$A$3:$C$3922,3,FALSE)</f>
        <v>P1</v>
      </c>
      <c r="D108" s="460"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9">
        <f>SUMIF('Diags Raw Data'!$A$6:$A$4003,"*"&amp;$A108&amp;"*",'Diags Raw Data'!$K$6:$K$4003)</f>
        <v>0</v>
      </c>
      <c r="J108" s="461">
        <f>SUMIF('Diags Raw Data'!$A$6:$A$4003,"*"&amp;$A108&amp;"*",'Diags Raw Data'!$L$6:$L$4003)</f>
        <v>0</v>
      </c>
      <c r="K108" s="513" t="e" cm="1">
        <f t="array" ref="K108">IF(D108="",0, SUMPRODUCT(--(ISNUMBER(SEARCH($A108,'Diags Raw Data'!$A$6:$A$4003))),'Diags Raw Data'!$L$6:$L$4003,'Diags Raw Data'!$N$6:$N$4003)/J108)</f>
        <v>#DIV/0!</v>
      </c>
      <c r="L108" s="514" t="e" cm="1">
        <f t="array" ref="L108">IF(D108="",0, SUMPRODUCT(--(ISNUMBER(SEARCH($A108,'Diags Raw Data'!$A$6:$A$4003))),'Diags Raw Data'!$L$6:$L$4003,'Diags Raw Data'!$P$6:$P$4003)/J108)</f>
        <v>#DIV/0!</v>
      </c>
      <c r="M108" s="515" cm="1">
        <f t="array" ref="M108">SUMPRODUCT(--(ISNUMBER(SEARCH($A108,'Diags Raw Data'!$A$6:$A$4003))),--('Diags Raw Data'!$Q$6:$Q$4003&lt;&gt;"N/A"),'Diags Raw Data'!$R$6:$R$4003)</f>
        <v>0</v>
      </c>
      <c r="N108" s="516" cm="1">
        <f t="array" ref="N108">SUMPRODUCT(--(ISNUMBER(SEARCH($A108,'Diags Raw Data'!$A$6:$A$4003))),--('Diags Raw Data'!$Q$6:$Q$4003&lt;&gt;"N/A"),'Diags Raw Data'!$T$6:$T$4003)+SUMPRODUCT(--(ISNUMBER(SEARCH($A108,'Diags Raw Data'!$A$6:$A$4003))),--('Diags Raw Data'!$Q$6:$Q$4003&lt;&gt;"N/A"),'Diags Raw Data'!$U$6:$U$4003)</f>
        <v>0</v>
      </c>
      <c r="O108" s="517">
        <f t="shared" si="12"/>
        <v>0</v>
      </c>
      <c r="P108" s="518">
        <f>SUMIF('Diags Raw Data'!$A$6:$A$4003,"*"&amp;$A108&amp;"*",'Diags Raw Data'!$Z$6:$Z$4003)</f>
        <v>0</v>
      </c>
      <c r="Q108" s="519">
        <f>SUM(SUMIF('Diags Raw Data'!$A$6:$A$4003,"*"&amp;$A108&amp;"*",'Diags Raw Data'!$AA$6:$AA$4003),SUMIF('Diags Raw Data'!$A$6:$A$4003,"*"&amp;$A108&amp;"*",'Diags Raw Data'!$AB$6:$AB$4003))</f>
        <v>0</v>
      </c>
      <c r="R108" s="520">
        <f t="shared" si="13"/>
        <v>0</v>
      </c>
      <c r="S108" s="520">
        <f t="shared" si="14"/>
        <v>0</v>
      </c>
      <c r="T108" s="521">
        <f t="shared" si="15"/>
        <v>0</v>
      </c>
      <c r="U108" s="456" t="str">
        <f>VLOOKUP(A108,'Diags Raw Data'!$A$6:$AH$4003,33,FALSE)</f>
        <v>N/A</v>
      </c>
      <c r="V108" s="182"/>
    </row>
    <row r="109" spans="1:22" ht="345.75" thickBot="1" x14ac:dyDescent="0.3">
      <c r="A109" s="576">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Data'!$A$6:$A$4003)),CONCATENATE('Diags Raw Data'!$H$6:$H$4003,", "),""))</f>
        <v xml:space="preserve">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 </v>
      </c>
      <c r="E109" s="341" t="str">
        <f>VLOOKUP(A109,'Diags Raw Data'!$A$6:$D$4003,4,FALSE)</f>
        <v>SH</v>
      </c>
      <c r="F109" s="341" t="str">
        <f>VLOOKUP(A109,'Feature Raw Data'!$A$3:$E$3922,5,FALSE)</f>
        <v>New</v>
      </c>
      <c r="G109" s="341" t="str">
        <f t="shared" si="6"/>
        <v>Yes</v>
      </c>
      <c r="H109" s="341" t="str">
        <f t="shared" si="7"/>
        <v>Yes</v>
      </c>
      <c r="I109" s="459">
        <f>SUMIF('Diags Raw Data'!$A$6:$A$4003,"*"&amp;$A109&amp;"*",'Diags Raw Data'!$K$6:$K$4003)</f>
        <v>0</v>
      </c>
      <c r="J109" s="461">
        <f>SUMIF('Diags Raw Data'!$A$6:$A$4003,"*"&amp;$A109&amp;"*",'Diags Raw Data'!$L$6:$L$4003)</f>
        <v>0</v>
      </c>
      <c r="K109" s="513" t="e" cm="1">
        <f t="array" ref="K109">IF(D109="",0, SUMPRODUCT(--(ISNUMBER(SEARCH($A109,'Diags Raw Data'!$A$6:$A$4003))),'Diags Raw Data'!$L$6:$L$4003,'Diags Raw Data'!$N$6:$N$4003)/J109)</f>
        <v>#DIV/0!</v>
      </c>
      <c r="L109" s="514" t="e" cm="1">
        <f t="array" ref="L109">IF(D109="",0, SUMPRODUCT(--(ISNUMBER(SEARCH($A109,'Diags Raw Data'!$A$6:$A$4003))),'Diags Raw Data'!$L$6:$L$4003,'Diags Raw Data'!$P$6:$P$4003)/J109)</f>
        <v>#DIV/0!</v>
      </c>
      <c r="M109" s="515" cm="1">
        <f t="array" ref="M109">SUMPRODUCT(--(ISNUMBER(SEARCH($A109,'Diags Raw Data'!$A$6:$A$4003))),--('Diags Raw Data'!$Q$6:$Q$4003&lt;&gt;"N/A"),'Diags Raw Data'!$R$6:$R$4003)</f>
        <v>64</v>
      </c>
      <c r="N109" s="516" cm="1">
        <f t="array" ref="N109">SUMPRODUCT(--(ISNUMBER(SEARCH($A109,'Diags Raw Data'!$A$6:$A$4003))),--('Diags Raw Data'!$Q$6:$Q$4003&lt;&gt;"N/A"),'Diags Raw Data'!$T$6:$T$4003)+SUMPRODUCT(--(ISNUMBER(SEARCH($A109,'Diags Raw Data'!$A$6:$A$4003))),--('Diags Raw Data'!$Q$6:$Q$4003&lt;&gt;"N/A"),'Diags Raw Data'!$U$6:$U$4003)</f>
        <v>64</v>
      </c>
      <c r="O109" s="517">
        <f t="shared" si="12"/>
        <v>1</v>
      </c>
      <c r="P109" s="518">
        <f>SUMIF('Diags Raw Data'!$A$6:$A$4003,"*"&amp;$A109&amp;"*",'Diags Raw Data'!$Z$6:$Z$4003)</f>
        <v>0</v>
      </c>
      <c r="Q109" s="519">
        <f>SUM(SUMIF('Diags Raw Data'!$A$6:$A$4003,"*"&amp;$A109&amp;"*",'Diags Raw Data'!$AA$6:$AA$4003),SUMIF('Diags Raw Data'!$A$6:$A$4003,"*"&amp;$A109&amp;"*",'Diags Raw Data'!$AB$6:$AB$4003))</f>
        <v>0</v>
      </c>
      <c r="R109" s="520">
        <f t="shared" si="13"/>
        <v>0</v>
      </c>
      <c r="S109" s="520">
        <f t="shared" si="14"/>
        <v>0</v>
      </c>
      <c r="T109" s="521">
        <f t="shared" si="15"/>
        <v>0</v>
      </c>
      <c r="U109" s="456" t="str">
        <f>VLOOKUP(A109,'Diags Raw Data'!$A$6:$AH$4003,33,FALSE)</f>
        <v>WK8</v>
      </c>
      <c r="V109" s="182"/>
    </row>
    <row r="110" spans="1:22" ht="30.75" thickBot="1" x14ac:dyDescent="0.3">
      <c r="A110" s="576">
        <v>12.209</v>
      </c>
      <c r="B110" s="458" t="str">
        <f>VLOOKUP(A110,'Feature Raw Data'!$A$3:$B$3922,2,FALSE)</f>
        <v>Add Structured Sparsity Support</v>
      </c>
      <c r="C110" s="459" t="str">
        <f>VLOOKUP(A110,'Feature Raw Data'!$A$3:$C$3922,3,FALSE)</f>
        <v>P1</v>
      </c>
      <c r="D110" s="460" t="str" cm="1">
        <f t="array" ref="D110">_xlfn.TEXTJOIN("",TRUE,IF(ISNUMBER(SEARCH($A110,'Diags Raw Data'!$A$6:$A$4003)),CONCATENATE('Diags Raw Data'!$H$6:$H$4003,", "),""))</f>
        <v xml:space="preserve">gci950-960.0 for wave32, .1 for wave64, </v>
      </c>
      <c r="E110" s="341" t="str">
        <f>VLOOKUP(A110,'Diags Raw Data'!$A$6:$D$4003,4,FALSE)</f>
        <v>SH</v>
      </c>
      <c r="F110" s="341" t="str">
        <f>VLOOKUP(A110,'Feature Raw Data'!$A$3:$E$3922,5,FALSE)</f>
        <v>New</v>
      </c>
      <c r="G110" s="341" t="str">
        <f t="shared" si="6"/>
        <v>Yes</v>
      </c>
      <c r="H110" s="341" t="str">
        <f t="shared" si="7"/>
        <v>Yes</v>
      </c>
      <c r="I110" s="459">
        <f>SUMIF('Diags Raw Data'!$A$6:$A$4003,"*"&amp;$A110&amp;"*",'Diags Raw Data'!$K$6:$K$4003)</f>
        <v>0</v>
      </c>
      <c r="J110" s="461">
        <f>SUMIF('Diags Raw Data'!$A$6:$A$4003,"*"&amp;$A110&amp;"*",'Diags Raw Data'!$L$6:$L$4003)</f>
        <v>0</v>
      </c>
      <c r="K110" s="513" t="e" cm="1">
        <f t="array" ref="K110">IF(D110="",0, SUMPRODUCT(--(ISNUMBER(SEARCH($A110,'Diags Raw Data'!$A$6:$A$4003))),'Diags Raw Data'!$L$6:$L$4003,'Diags Raw Data'!$N$6:$N$4003)/J110)</f>
        <v>#DIV/0!</v>
      </c>
      <c r="L110" s="514" t="e" cm="1">
        <f t="array" ref="L110">IF(D110="",0, SUMPRODUCT(--(ISNUMBER(SEARCH($A110,'Diags Raw Data'!$A$6:$A$4003))),'Diags Raw Data'!$L$6:$L$4003,'Diags Raw Data'!$P$6:$P$4003)/J110)</f>
        <v>#DIV/0!</v>
      </c>
      <c r="M110" s="515" cm="1">
        <f t="array" ref="M110">SUMPRODUCT(--(ISNUMBER(SEARCH($A110,'Diags Raw Data'!$A$6:$A$4003))),--('Diags Raw Data'!$Q$6:$Q$4003&lt;&gt;"N/A"),'Diags Raw Data'!$R$6:$R$4003)</f>
        <v>22</v>
      </c>
      <c r="N110" s="516" cm="1">
        <f t="array" ref="N110">SUMPRODUCT(--(ISNUMBER(SEARCH($A110,'Diags Raw Data'!$A$6:$A$4003))),--('Diags Raw Data'!$Q$6:$Q$4003&lt;&gt;"N/A"),'Diags Raw Data'!$T$6:$T$4003)+SUMPRODUCT(--(ISNUMBER(SEARCH($A110,'Diags Raw Data'!$A$6:$A$4003))),--('Diags Raw Data'!$Q$6:$Q$4003&lt;&gt;"N/A"),'Diags Raw Data'!$U$6:$U$4003)</f>
        <v>2</v>
      </c>
      <c r="O110" s="517">
        <f t="shared" si="12"/>
        <v>9.0909090909090912E-2</v>
      </c>
      <c r="P110" s="518">
        <f>SUMIF('Diags Raw Data'!$A$6:$A$4003,"*"&amp;$A110&amp;"*",'Diags Raw Data'!$Z$6:$Z$4003)</f>
        <v>0</v>
      </c>
      <c r="Q110" s="519">
        <f>SUM(SUMIF('Diags Raw Data'!$A$6:$A$4003,"*"&amp;$A110&amp;"*",'Diags Raw Data'!$AA$6:$AA$4003),SUMIF('Diags Raw Data'!$A$6:$A$4003,"*"&amp;$A110&amp;"*",'Diags Raw Data'!$AB$6:$AB$4003))</f>
        <v>0</v>
      </c>
      <c r="R110" s="520">
        <f t="shared" si="13"/>
        <v>0</v>
      </c>
      <c r="S110" s="520">
        <f t="shared" si="14"/>
        <v>0</v>
      </c>
      <c r="T110" s="521">
        <f t="shared" si="15"/>
        <v>0</v>
      </c>
      <c r="U110" s="456" t="str">
        <f>VLOOKUP(A110,'Diags Raw Data'!$A$6:$AH$4003,33,FALSE)</f>
        <v>WK3</v>
      </c>
      <c r="V110" s="182"/>
    </row>
    <row r="111" spans="1:22" ht="45.75" thickBot="1" x14ac:dyDescent="0.3">
      <c r="A111" s="576">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Data'!$A$6:$A$4003)),CONCATENATE('Diags Raw Data'!$H$6:$H$4003,", "),""))</f>
        <v xml:space="preserve">gci669.1-12, N/A, N/A, N/A, N/A, gfx.red_triangle_draw_composite, </v>
      </c>
      <c r="E111" s="341" t="str">
        <f>VLOOKUP(A111,'Diags Raw Data'!$A$6:$D$4003,4,FALSE)</f>
        <v>CMM</v>
      </c>
      <c r="F111" s="341" t="str">
        <f>VLOOKUP(A111,'Feature Raw Data'!$A$3:$E$3922,5,FALSE)</f>
        <v>New</v>
      </c>
      <c r="G111" s="341" t="str">
        <f t="shared" si="6"/>
        <v>Yes</v>
      </c>
      <c r="H111" s="341" t="str">
        <f t="shared" si="7"/>
        <v>Yes</v>
      </c>
      <c r="I111" s="459">
        <f>SUMIF('Diags Raw Data'!$A$6:$A$4003,"*"&amp;$A111&amp;"*",'Diags Raw Data'!$K$6:$K$4003)</f>
        <v>0</v>
      </c>
      <c r="J111" s="461">
        <f>SUMIF('Diags Raw Data'!$A$6:$A$4003,"*"&amp;$A111&amp;"*",'Diags Raw Data'!$L$6:$L$4003)</f>
        <v>0</v>
      </c>
      <c r="K111" s="513" t="e" cm="1">
        <f t="array" ref="K111">IF(D111="",0, SUMPRODUCT(--(ISNUMBER(SEARCH($A111,'Diags Raw Data'!$A$6:$A$4003))),'Diags Raw Data'!$L$6:$L$4003,'Diags Raw Data'!$N$6:$N$4003)/J111)</f>
        <v>#DIV/0!</v>
      </c>
      <c r="L111" s="514" t="e" cm="1">
        <f t="array" ref="L111">IF(D111="",0, SUMPRODUCT(--(ISNUMBER(SEARCH($A111,'Diags Raw Data'!$A$6:$A$4003))),'Diags Raw Data'!$L$6:$L$4003,'Diags Raw Data'!$P$6:$P$4003)/J111)</f>
        <v>#DIV/0!</v>
      </c>
      <c r="M111" s="515" cm="1">
        <f t="array" ref="M111">SUMPRODUCT(--(ISNUMBER(SEARCH($A111,'Diags Raw Data'!$A$6:$A$4003))),--('Diags Raw Data'!$Q$6:$Q$4003&lt;&gt;"N/A"),'Diags Raw Data'!$R$6:$R$4003)</f>
        <v>2</v>
      </c>
      <c r="N111" s="516" cm="1">
        <f t="array" ref="N111">SUMPRODUCT(--(ISNUMBER(SEARCH($A111,'Diags Raw Data'!$A$6:$A$4003))),--('Diags Raw Data'!$Q$6:$Q$4003&lt;&gt;"N/A"),'Diags Raw Data'!$T$6:$T$4003)+SUMPRODUCT(--(ISNUMBER(SEARCH($A111,'Diags Raw Data'!$A$6:$A$4003))),--('Diags Raw Data'!$Q$6:$Q$4003&lt;&gt;"N/A"),'Diags Raw Data'!$U$6:$U$4003)</f>
        <v>0</v>
      </c>
      <c r="O111" s="517">
        <f>IF((M111=0),0,N111/M111)</f>
        <v>0</v>
      </c>
      <c r="P111" s="518">
        <f>SUMIF('Diags Raw Data'!$A$6:$A$4003,"*"&amp;$A111&amp;"*",'Diags Raw Data'!$Z$6:$Z$4003)</f>
        <v>0</v>
      </c>
      <c r="Q111" s="519">
        <f>SUM(SUMIF('Diags Raw Data'!$A$6:$A$4003,"*"&amp;$A111&amp;"*",'Diags Raw Data'!$AA$6:$AA$4003),SUMIF('Diags Raw Data'!$A$6:$A$4003,"*"&amp;$A111&amp;"*",'Diags Raw Data'!$AB$6:$AB$4003))</f>
        <v>0</v>
      </c>
      <c r="R111" s="520">
        <f t="shared" si="13"/>
        <v>0</v>
      </c>
      <c r="S111" s="520">
        <f t="shared" si="14"/>
        <v>0</v>
      </c>
      <c r="T111" s="521">
        <f t="shared" si="15"/>
        <v>0</v>
      </c>
      <c r="U111" s="456" t="str">
        <f>VLOOKUP(A111,'Diags Raw Data'!$A$6:$AH$4003,33,FALSE)</f>
        <v>WK4</v>
      </c>
      <c r="V111" s="182"/>
    </row>
    <row r="112" spans="1:22" ht="30.75" thickBot="1" x14ac:dyDescent="0.3">
      <c r="A112" s="576">
        <v>12.211</v>
      </c>
      <c r="B112" s="458" t="str">
        <f>VLOOKUP(A112,'Feature Raw Data'!$A$3:$B$3922,2,FALSE)</f>
        <v>UTCL1_identity_mode  (SED Crest)</v>
      </c>
      <c r="C112" s="459" t="str">
        <f>VLOOKUP(A112,'Feature Raw Data'!$A$3:$C$3922,3,FALSE)</f>
        <v>P1</v>
      </c>
      <c r="D112" s="460" t="str" cm="1">
        <f t="array" ref="D112">_xlfn.TEXTJOIN("",TRUE,IF(ISNUMBER(SEARCH($A112,'Diags Raw Data'!$A$6:$A$4003)),CONCATENATE('Diags Raw Data'!$H$6:$H$4003,", "),""))</f>
        <v xml:space="preserve">N/A, </v>
      </c>
      <c r="E112" s="341" t="str">
        <f>VLOOKUP(A112,'Diags Raw Data'!$A$6:$D$4003,4,FALSE)</f>
        <v>CMM</v>
      </c>
      <c r="F112" s="341" t="str">
        <f>VLOOKUP(A112,'Feature Raw Data'!$A$3:$E$3922,5,FALSE)</f>
        <v>New</v>
      </c>
      <c r="G112" s="341" t="str">
        <f t="shared" si="6"/>
        <v>No</v>
      </c>
      <c r="H112" s="341" t="str">
        <f t="shared" si="7"/>
        <v>No</v>
      </c>
      <c r="I112" s="459">
        <f>SUMIF('Diags Raw Data'!$A$6:$A$4003,"*"&amp;$A112&amp;"*",'Diags Raw Data'!$K$6:$K$4003)</f>
        <v>0</v>
      </c>
      <c r="J112" s="461">
        <f>SUMIF('Diags Raw Data'!$A$6:$A$4003,"*"&amp;$A112&amp;"*",'Diags Raw Data'!$L$6:$L$4003)</f>
        <v>0</v>
      </c>
      <c r="K112" s="513" t="e" cm="1">
        <f t="array" ref="K112">IF(D112="",0, SUMPRODUCT(--(ISNUMBER(SEARCH($A112,'Diags Raw Data'!$A$6:$A$4003))),'Diags Raw Data'!$L$6:$L$4003,'Diags Raw Data'!$N$6:$N$4003)/J112)</f>
        <v>#DIV/0!</v>
      </c>
      <c r="L112" s="514" t="e" cm="1">
        <f t="array" ref="L112">IF(D112="",0, SUMPRODUCT(--(ISNUMBER(SEARCH($A112,'Diags Raw Data'!$A$6:$A$4003))),'Diags Raw Data'!$L$6:$L$4003,'Diags Raw Data'!$P$6:$P$4003)/J112)</f>
        <v>#DIV/0!</v>
      </c>
      <c r="M112" s="515" cm="1">
        <f t="array" ref="M112">SUMPRODUCT(--(ISNUMBER(SEARCH($A112,'Diags Raw Data'!$A$6:$A$4003))),--('Diags Raw Data'!$Q$6:$Q$4003&lt;&gt;"N/A"),'Diags Raw Data'!$R$6:$R$4003)</f>
        <v>0</v>
      </c>
      <c r="N112" s="516" cm="1">
        <f t="array" ref="N112">SUMPRODUCT(--(ISNUMBER(SEARCH($A112,'Diags Raw Data'!$A$6:$A$4003))),--('Diags Raw Data'!$Q$6:$Q$4003&lt;&gt;"N/A"),'Diags Raw Data'!$T$6:$T$4003)+SUMPRODUCT(--(ISNUMBER(SEARCH($A112,'Diags Raw Data'!$A$6:$A$4003))),--('Diags Raw Data'!$Q$6:$Q$4003&lt;&gt;"N/A"),'Diags Raw Data'!$U$6:$U$4003)</f>
        <v>0</v>
      </c>
      <c r="O112" s="517">
        <f t="shared" ref="O112:O127" si="16">IF((M112=0),0,N112/M112)</f>
        <v>0</v>
      </c>
      <c r="P112" s="518">
        <f>SUMIF('Diags Raw Data'!$A$6:$A$4003,"*"&amp;$A112&amp;"*",'Diags Raw Data'!$Z$6:$Z$4003)</f>
        <v>0</v>
      </c>
      <c r="Q112" s="519">
        <f>SUM(SUMIF('Diags Raw Data'!$A$6:$A$4003,"*"&amp;$A112&amp;"*",'Diags Raw Data'!$AA$6:$AA$4003),SUMIF('Diags Raw Data'!$A$6:$A$4003,"*"&amp;$A112&amp;"*",'Diags Raw Data'!$AB$6:$AB$4003))</f>
        <v>0</v>
      </c>
      <c r="R112" s="520">
        <f t="shared" si="13"/>
        <v>0</v>
      </c>
      <c r="S112" s="520">
        <f t="shared" si="14"/>
        <v>0</v>
      </c>
      <c r="T112" s="521">
        <f t="shared" si="15"/>
        <v>0</v>
      </c>
      <c r="U112" s="456" t="str">
        <f>VLOOKUP(A112,'Diags Raw Data'!$A$6:$AH$4003,33,FALSE)</f>
        <v>N/A</v>
      </c>
      <c r="V112" s="182"/>
    </row>
    <row r="113" spans="1:22" ht="15.75" thickBot="1" x14ac:dyDescent="0.3">
      <c r="A113" s="576">
        <v>12.212999999999999</v>
      </c>
      <c r="B113" s="458" t="str">
        <f>VLOOKUP(A113,'Feature Raw Data'!$A$3:$B$3922,2,FALSE)</f>
        <v>deprecate HPG</v>
      </c>
      <c r="C113" s="459" t="str">
        <f>VLOOKUP(A113,'Feature Raw Data'!$A$3:$C$3922,3,FALSE)</f>
        <v>P1</v>
      </c>
      <c r="D113" s="460"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9">
        <f>SUMIF('Diags Raw Data'!$A$6:$A$4003,"*"&amp;$A113&amp;"*",'Diags Raw Data'!$K$6:$K$4003)</f>
        <v>0</v>
      </c>
      <c r="J113" s="461">
        <f>SUMIF('Diags Raw Data'!$A$6:$A$4003,"*"&amp;$A113&amp;"*",'Diags Raw Data'!$L$6:$L$4003)</f>
        <v>0</v>
      </c>
      <c r="K113" s="513" t="e" cm="1">
        <f t="array" ref="K113">IF(D113="",0, SUMPRODUCT(--(ISNUMBER(SEARCH($A113,'Diags Raw Data'!$A$6:$A$4003))),'Diags Raw Data'!$L$6:$L$4003,'Diags Raw Data'!$N$6:$N$4003)/J113)</f>
        <v>#DIV/0!</v>
      </c>
      <c r="L113" s="514" t="e" cm="1">
        <f t="array" ref="L113">IF(D113="",0, SUMPRODUCT(--(ISNUMBER(SEARCH($A113,'Diags Raw Data'!$A$6:$A$4003))),'Diags Raw Data'!$L$6:$L$4003,'Diags Raw Data'!$P$6:$P$4003)/J113)</f>
        <v>#DIV/0!</v>
      </c>
      <c r="M113" s="515" cm="1">
        <f t="array" ref="M113">SUMPRODUCT(--(ISNUMBER(SEARCH($A113,'Diags Raw Data'!$A$6:$A$4003))),--('Diags Raw Data'!$Q$6:$Q$4003&lt;&gt;"N/A"),'Diags Raw Data'!$R$6:$R$4003)</f>
        <v>0</v>
      </c>
      <c r="N113" s="516" cm="1">
        <f t="array" ref="N113">SUMPRODUCT(--(ISNUMBER(SEARCH($A113,'Diags Raw Data'!$A$6:$A$4003))),--('Diags Raw Data'!$Q$6:$Q$4003&lt;&gt;"N/A"),'Diags Raw Data'!$T$6:$T$4003)+SUMPRODUCT(--(ISNUMBER(SEARCH($A113,'Diags Raw Data'!$A$6:$A$4003))),--('Diags Raw Data'!$Q$6:$Q$4003&lt;&gt;"N/A"),'Diags Raw Data'!$U$6:$U$4003)</f>
        <v>0</v>
      </c>
      <c r="O113" s="517">
        <f t="shared" si="16"/>
        <v>0</v>
      </c>
      <c r="P113" s="518">
        <f>SUMIF('Diags Raw Data'!$A$6:$A$4003,"*"&amp;$A113&amp;"*",'Diags Raw Data'!$Z$6:$Z$4003)</f>
        <v>0</v>
      </c>
      <c r="Q113" s="519">
        <f>SUM(SUMIF('Diags Raw Data'!$A$6:$A$4003,"*"&amp;$A113&amp;"*",'Diags Raw Data'!$AA$6:$AA$4003),SUMIF('Diags Raw Data'!$A$6:$A$4003,"*"&amp;$A113&amp;"*",'Diags Raw Data'!$AB$6:$AB$4003))</f>
        <v>0</v>
      </c>
      <c r="R113" s="520">
        <f t="shared" si="13"/>
        <v>0</v>
      </c>
      <c r="S113" s="520">
        <f t="shared" si="14"/>
        <v>0</v>
      </c>
      <c r="T113" s="521">
        <f t="shared" si="15"/>
        <v>0</v>
      </c>
      <c r="U113" s="456" t="str">
        <f>VLOOKUP(A113,'Diags Raw Data'!$A$6:$AH$4003,33,FALSE)</f>
        <v>N/A</v>
      </c>
      <c r="V113" s="585" t="s">
        <v>440</v>
      </c>
    </row>
    <row r="114" spans="1:22" ht="30.75" thickBot="1" x14ac:dyDescent="0.3">
      <c r="A114" s="576">
        <v>12.214</v>
      </c>
      <c r="B114" s="458" t="str">
        <f>VLOOKUP(A114,'Feature Raw Data'!$A$3:$B$3922,2,FALSE)</f>
        <v>reduce GE_DIST to GE_SE wire count</v>
      </c>
      <c r="C114" s="459" t="str">
        <f>VLOOKUP(A114,'Feature Raw Data'!$A$3:$C$3922,3,FALSE)</f>
        <v>P1</v>
      </c>
      <c r="D114" s="460" t="str" cm="1">
        <f t="array" ref="D114">_xlfn.TEXTJOIN("",TRUE,IF(ISNUMBER(SEARCH($A114,'Diags Raw Data'!$A$6:$A$4003)),CONCATENATE('Diags Raw Data'!$H$6:$H$4003,", "),""))</f>
        <v xml:space="preserve">N/A, </v>
      </c>
      <c r="E114" s="341" t="str">
        <f>VLOOKUP(A114,'Diags Raw Data'!$A$6:$D$4003,4,FALSE)</f>
        <v>GEO</v>
      </c>
      <c r="F114" s="341" t="str">
        <f>VLOOKUP(A114,'Feature Raw Data'!$A$3:$E$3922,5,FALSE)</f>
        <v>New</v>
      </c>
      <c r="G114" s="341" t="str">
        <f t="shared" si="6"/>
        <v>No</v>
      </c>
      <c r="H114" s="341" t="str">
        <f t="shared" si="7"/>
        <v>No</v>
      </c>
      <c r="I114" s="459">
        <f>SUMIF('Diags Raw Data'!$A$6:$A$4003,"*"&amp;$A114&amp;"*",'Diags Raw Data'!$K$6:$K$4003)</f>
        <v>0</v>
      </c>
      <c r="J114" s="461">
        <f>SUMIF('Diags Raw Data'!$A$6:$A$4003,"*"&amp;$A114&amp;"*",'Diags Raw Data'!$L$6:$L$4003)</f>
        <v>0</v>
      </c>
      <c r="K114" s="513" t="e" cm="1">
        <f t="array" ref="K114">IF(D114="",0, SUMPRODUCT(--(ISNUMBER(SEARCH($A114,'Diags Raw Data'!$A$6:$A$4003))),'Diags Raw Data'!$L$6:$L$4003,'Diags Raw Data'!$N$6:$N$4003)/J114)</f>
        <v>#DIV/0!</v>
      </c>
      <c r="L114" s="514" t="e" cm="1">
        <f t="array" ref="L114">IF(D114="",0, SUMPRODUCT(--(ISNUMBER(SEARCH($A114,'Diags Raw Data'!$A$6:$A$4003))),'Diags Raw Data'!$L$6:$L$4003,'Diags Raw Data'!$P$6:$P$4003)/J114)</f>
        <v>#DIV/0!</v>
      </c>
      <c r="M114" s="515" cm="1">
        <f t="array" ref="M114">SUMPRODUCT(--(ISNUMBER(SEARCH($A114,'Diags Raw Data'!$A$6:$A$4003))),--('Diags Raw Data'!$Q$6:$Q$4003&lt;&gt;"N/A"),'Diags Raw Data'!$R$6:$R$4003)</f>
        <v>0</v>
      </c>
      <c r="N114" s="516" cm="1">
        <f t="array" ref="N114">SUMPRODUCT(--(ISNUMBER(SEARCH($A114,'Diags Raw Data'!$A$6:$A$4003))),--('Diags Raw Data'!$Q$6:$Q$4003&lt;&gt;"N/A"),'Diags Raw Data'!$T$6:$T$4003)+SUMPRODUCT(--(ISNUMBER(SEARCH($A114,'Diags Raw Data'!$A$6:$A$4003))),--('Diags Raw Data'!$Q$6:$Q$4003&lt;&gt;"N/A"),'Diags Raw Data'!$U$6:$U$4003)</f>
        <v>0</v>
      </c>
      <c r="O114" s="517">
        <f t="shared" si="16"/>
        <v>0</v>
      </c>
      <c r="P114" s="518">
        <f>SUMIF('Diags Raw Data'!$A$6:$A$4003,"*"&amp;$A114&amp;"*",'Diags Raw Data'!$Z$6:$Z$4003)</f>
        <v>0</v>
      </c>
      <c r="Q114" s="519">
        <f>SUM(SUMIF('Diags Raw Data'!$A$6:$A$4003,"*"&amp;$A114&amp;"*",'Diags Raw Data'!$AA$6:$AA$4003),SUMIF('Diags Raw Data'!$A$6:$A$4003,"*"&amp;$A114&amp;"*",'Diags Raw Data'!$AB$6:$AB$4003))</f>
        <v>0</v>
      </c>
      <c r="R114" s="520">
        <f t="shared" si="13"/>
        <v>0</v>
      </c>
      <c r="S114" s="520">
        <f t="shared" si="14"/>
        <v>0</v>
      </c>
      <c r="T114" s="521">
        <f t="shared" si="15"/>
        <v>0</v>
      </c>
      <c r="U114" s="456" t="str">
        <f>VLOOKUP(A114,'Diags Raw Data'!$A$6:$AH$4003,33,FALSE)</f>
        <v>N/A</v>
      </c>
      <c r="V114" s="182"/>
    </row>
    <row r="115" spans="1:22" s="185" customFormat="1" ht="30.75" thickBot="1" x14ac:dyDescent="0.3">
      <c r="A115" s="576">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Data'!$A$6:$A$4003)),CONCATENATE('Diags Raw Data'!$H$6:$H$4003,", "),""))</f>
        <v xml:space="preserve">N/A, </v>
      </c>
      <c r="E115" s="341" t="str">
        <f>VLOOKUP(A115,'Diags Raw Data'!$A$6:$D$4003,4,FALSE)</f>
        <v>CTL</v>
      </c>
      <c r="F115" s="341" t="str">
        <f>VLOOKUP(A115,'Feature Raw Data'!$A$3:$E$3922,5,FALSE)</f>
        <v>New</v>
      </c>
      <c r="G115" s="341" t="str">
        <f t="shared" si="6"/>
        <v>No</v>
      </c>
      <c r="H115" s="341" t="str">
        <f t="shared" si="7"/>
        <v>No</v>
      </c>
      <c r="I115" s="459">
        <f>SUMIF('Diags Raw Data'!$A$6:$A$4003,"*"&amp;$A115&amp;"*",'Diags Raw Data'!$K$6:$K$4003)</f>
        <v>0</v>
      </c>
      <c r="J115" s="461">
        <f>SUMIF('Diags Raw Data'!$A$6:$A$4003,"*"&amp;$A115&amp;"*",'Diags Raw Data'!$L$6:$L$4003)</f>
        <v>0</v>
      </c>
      <c r="K115" s="513" t="e" cm="1">
        <f t="array" ref="K115">IF(D115="",0, SUMPRODUCT(--(ISNUMBER(SEARCH($A115,'Diags Raw Data'!$A$6:$A$4003))),'Diags Raw Data'!$L$6:$L$4003,'Diags Raw Data'!$N$6:$N$4003)/J115)</f>
        <v>#DIV/0!</v>
      </c>
      <c r="L115" s="514" t="e" cm="1">
        <f t="array" ref="L115">IF(D115="",0, SUMPRODUCT(--(ISNUMBER(SEARCH($A115,'Diags Raw Data'!$A$6:$A$4003))),'Diags Raw Data'!$L$6:$L$4003,'Diags Raw Data'!$P$6:$P$4003)/J115)</f>
        <v>#DIV/0!</v>
      </c>
      <c r="M115" s="515" cm="1">
        <f t="array" ref="M115">SUMPRODUCT(--(ISNUMBER(SEARCH($A115,'Diags Raw Data'!$A$6:$A$4003))),--('Diags Raw Data'!$Q$6:$Q$4003&lt;&gt;"N/A"),'Diags Raw Data'!$R$6:$R$4003)</f>
        <v>0</v>
      </c>
      <c r="N115" s="516" cm="1">
        <f t="array" ref="N115">SUMPRODUCT(--(ISNUMBER(SEARCH($A115,'Diags Raw Data'!$A$6:$A$4003))),--('Diags Raw Data'!$Q$6:$Q$4003&lt;&gt;"N/A"),'Diags Raw Data'!$T$6:$T$4003)+SUMPRODUCT(--(ISNUMBER(SEARCH($A115,'Diags Raw Data'!$A$6:$A$4003))),--('Diags Raw Data'!$Q$6:$Q$4003&lt;&gt;"N/A"),'Diags Raw Data'!$U$6:$U$4003)</f>
        <v>0</v>
      </c>
      <c r="O115" s="517">
        <f t="shared" si="16"/>
        <v>0</v>
      </c>
      <c r="P115" s="518">
        <f>SUMIF('Diags Raw Data'!$A$6:$A$4003,"*"&amp;$A115&amp;"*",'Diags Raw Data'!$Z$6:$Z$4003)</f>
        <v>0</v>
      </c>
      <c r="Q115" s="519">
        <f>SUM(SUMIF('Diags Raw Data'!$A$6:$A$4003,"*"&amp;$A115&amp;"*",'Diags Raw Data'!$AA$6:$AA$4003),SUMIF('Diags Raw Data'!$A$6:$A$4003,"*"&amp;$A115&amp;"*",'Diags Raw Data'!$AB$6:$AB$4003))</f>
        <v>0</v>
      </c>
      <c r="R115" s="520">
        <f t="shared" si="13"/>
        <v>0</v>
      </c>
      <c r="S115" s="520">
        <f t="shared" si="14"/>
        <v>0</v>
      </c>
      <c r="T115" s="521">
        <f t="shared" si="15"/>
        <v>0</v>
      </c>
      <c r="U115" s="456" t="str">
        <f>VLOOKUP(A115,'Diags Raw Data'!$A$6:$AH$4003,33,FALSE)</f>
        <v>N/A</v>
      </c>
      <c r="V115" s="184"/>
    </row>
    <row r="116" spans="1:22" ht="30.75" thickBot="1" x14ac:dyDescent="0.3">
      <c r="A116" s="576">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Data'!$A$6:$A$4003)),CONCATENATE('Diags Raw Data'!$H$6:$H$4003,", "),""))</f>
        <v xml:space="preserve">gfx.red_triangle_draw_composite, </v>
      </c>
      <c r="E116" s="341" t="str">
        <f>VLOOKUP(A116,'Diags Raw Data'!$A$6:$D$4003,4,FALSE)</f>
        <v>GEO</v>
      </c>
      <c r="F116" s="341" t="str">
        <f>VLOOKUP(A116,'Feature Raw Data'!$A$3:$E$3922,5,FALSE)</f>
        <v>New</v>
      </c>
      <c r="G116" s="341" t="str">
        <f t="shared" si="6"/>
        <v>Yes</v>
      </c>
      <c r="H116" s="341" t="str">
        <f t="shared" si="7"/>
        <v>Yes</v>
      </c>
      <c r="I116" s="459">
        <f>SUMIF('Diags Raw Data'!$A$6:$A$4003,"*"&amp;$A116&amp;"*",'Diags Raw Data'!$K$6:$K$4003)</f>
        <v>0</v>
      </c>
      <c r="J116" s="461">
        <f>SUMIF('Diags Raw Data'!$A$6:$A$4003,"*"&amp;$A116&amp;"*",'Diags Raw Data'!$L$6:$L$4003)</f>
        <v>0</v>
      </c>
      <c r="K116" s="513" t="e" cm="1">
        <f t="array" ref="K116">IF(D116="",0, SUMPRODUCT(--(ISNUMBER(SEARCH($A116,'Diags Raw Data'!$A$6:$A$4003))),'Diags Raw Data'!$L$6:$L$4003,'Diags Raw Data'!$N$6:$N$4003)/J116)</f>
        <v>#DIV/0!</v>
      </c>
      <c r="L116" s="514" t="e" cm="1">
        <f t="array" ref="L116">IF(D116="",0, SUMPRODUCT(--(ISNUMBER(SEARCH($A116,'Diags Raw Data'!$A$6:$A$4003))),'Diags Raw Data'!$L$6:$L$4003,'Diags Raw Data'!$P$6:$P$4003)/J116)</f>
        <v>#DIV/0!</v>
      </c>
      <c r="M116" s="515" cm="1">
        <f t="array" ref="M116">SUMPRODUCT(--(ISNUMBER(SEARCH($A116,'Diags Raw Data'!$A$6:$A$4003))),--('Diags Raw Data'!$Q$6:$Q$4003&lt;&gt;"N/A"),'Diags Raw Data'!$R$6:$R$4003)</f>
        <v>1</v>
      </c>
      <c r="N116" s="516" cm="1">
        <f t="array" ref="N116">SUMPRODUCT(--(ISNUMBER(SEARCH($A116,'Diags Raw Data'!$A$6:$A$4003))),--('Diags Raw Data'!$Q$6:$Q$4003&lt;&gt;"N/A"),'Diags Raw Data'!$T$6:$T$4003)+SUMPRODUCT(--(ISNUMBER(SEARCH($A116,'Diags Raw Data'!$A$6:$A$4003))),--('Diags Raw Data'!$Q$6:$Q$4003&lt;&gt;"N/A"),'Diags Raw Data'!$U$6:$U$4003)</f>
        <v>0</v>
      </c>
      <c r="O116" s="517">
        <f t="shared" si="16"/>
        <v>0</v>
      </c>
      <c r="P116" s="518">
        <f>SUMIF('Diags Raw Data'!$A$6:$A$4003,"*"&amp;$A116&amp;"*",'Diags Raw Data'!$Z$6:$Z$4003)</f>
        <v>0</v>
      </c>
      <c r="Q116" s="519">
        <f>SUM(SUMIF('Diags Raw Data'!$A$6:$A$4003,"*"&amp;$A116&amp;"*",'Diags Raw Data'!$AA$6:$AA$4003),SUMIF('Diags Raw Data'!$A$6:$A$4003,"*"&amp;$A116&amp;"*",'Diags Raw Data'!$AB$6:$AB$4003))</f>
        <v>0</v>
      </c>
      <c r="R116" s="520">
        <f t="shared" si="13"/>
        <v>0</v>
      </c>
      <c r="S116" s="520">
        <f t="shared" si="14"/>
        <v>0</v>
      </c>
      <c r="T116" s="521">
        <f t="shared" si="15"/>
        <v>0</v>
      </c>
      <c r="U116" s="456" t="str">
        <f>VLOOKUP(A116,'Diags Raw Data'!$A$6:$AH$4003,33,FALSE)</f>
        <v>WK4</v>
      </c>
      <c r="V116" s="182"/>
    </row>
    <row r="117" spans="1:22" ht="30.75" thickBot="1" x14ac:dyDescent="0.3">
      <c r="A117" s="576">
        <v>12.22</v>
      </c>
      <c r="B117" s="458" t="str">
        <f>VLOOKUP(A117,'Feature Raw Data'!$A$3:$B$3922,2,FALSE)</f>
        <v>register cleanup</v>
      </c>
      <c r="C117" s="459" t="str">
        <f>VLOOKUP(A117,'Feature Raw Data'!$A$3:$C$3922,3,FALSE)</f>
        <v>P1</v>
      </c>
      <c r="D117" s="460" t="str" cm="1">
        <f t="array" ref="D117">_xlfn.TEXTJOIN("",TRUE,IF(ISNUMBER(SEARCH($A117,'Diags Raw Data'!$A$6:$A$4003)),CONCATENATE('Diags Raw Data'!$H$6:$H$4003,", "),""))</f>
        <v xml:space="preserve">navi48.gfx.ge.register_access, N/A, STD1.6 GCI30.3, N/A, Same to 12.164, </v>
      </c>
      <c r="E117" s="341" t="str">
        <f>VLOOKUP(A117,'Diags Raw Data'!$A$6:$D$4003,4,FALSE)</f>
        <v>GEO</v>
      </c>
      <c r="F117" s="341" t="str">
        <f>VLOOKUP(A117,'Feature Raw Data'!$A$3:$E$3922,5,FALSE)</f>
        <v>New</v>
      </c>
      <c r="G117" s="341" t="str">
        <f t="shared" si="6"/>
        <v>Yes</v>
      </c>
      <c r="H117" s="341" t="str">
        <f t="shared" si="7"/>
        <v>Yes</v>
      </c>
      <c r="I117" s="459">
        <f>SUMIF('Diags Raw Data'!$A$6:$A$4003,"*"&amp;$A117&amp;"*",'Diags Raw Data'!$K$6:$K$4003)</f>
        <v>0</v>
      </c>
      <c r="J117" s="461">
        <f>SUMIF('Diags Raw Data'!$A$6:$A$4003,"*"&amp;$A117&amp;"*",'Diags Raw Data'!$L$6:$L$4003)</f>
        <v>0</v>
      </c>
      <c r="K117" s="513" t="e" cm="1">
        <f t="array" ref="K117">IF(D117="",0, SUMPRODUCT(--(ISNUMBER(SEARCH($A117,'Diags Raw Data'!$A$6:$A$4003))),'Diags Raw Data'!$L$6:$L$4003,'Diags Raw Data'!$N$6:$N$4003)/J117)</f>
        <v>#DIV/0!</v>
      </c>
      <c r="L117" s="514" t="e" cm="1">
        <f t="array" ref="L117">IF(D117="",0, SUMPRODUCT(--(ISNUMBER(SEARCH($A117,'Diags Raw Data'!$A$6:$A$4003))),'Diags Raw Data'!$L$6:$L$4003,'Diags Raw Data'!$P$6:$P$4003)/J117)</f>
        <v>#DIV/0!</v>
      </c>
      <c r="M117" s="515" cm="1">
        <f t="array" ref="M117">SUMPRODUCT(--(ISNUMBER(SEARCH($A117,'Diags Raw Data'!$A$6:$A$4003))),--('Diags Raw Data'!$Q$6:$Q$4003&lt;&gt;"N/A"),'Diags Raw Data'!$R$6:$R$4003)</f>
        <v>3</v>
      </c>
      <c r="N117" s="516" cm="1">
        <f t="array" ref="N117">SUMPRODUCT(--(ISNUMBER(SEARCH($A117,'Diags Raw Data'!$A$6:$A$4003))),--('Diags Raw Data'!$Q$6:$Q$4003&lt;&gt;"N/A"),'Diags Raw Data'!$T$6:$T$4003)+SUMPRODUCT(--(ISNUMBER(SEARCH($A117,'Diags Raw Data'!$A$6:$A$4003))),--('Diags Raw Data'!$Q$6:$Q$4003&lt;&gt;"N/A"),'Diags Raw Data'!$U$6:$U$4003)</f>
        <v>2</v>
      </c>
      <c r="O117" s="517">
        <f t="shared" si="16"/>
        <v>0.66666666666666663</v>
      </c>
      <c r="P117" s="518">
        <f>SUMIF('Diags Raw Data'!$A$6:$A$4003,"*"&amp;$A117&amp;"*",'Diags Raw Data'!$Z$6:$Z$4003)</f>
        <v>0</v>
      </c>
      <c r="Q117" s="519">
        <f>SUM(SUMIF('Diags Raw Data'!$A$6:$A$4003,"*"&amp;$A117&amp;"*",'Diags Raw Data'!$AA$6:$AA$4003),SUMIF('Diags Raw Data'!$A$6:$A$4003,"*"&amp;$A117&amp;"*",'Diags Raw Data'!$AB$6:$AB$4003))</f>
        <v>0</v>
      </c>
      <c r="R117" s="520">
        <f t="shared" si="13"/>
        <v>0</v>
      </c>
      <c r="S117" s="520">
        <f t="shared" si="14"/>
        <v>0</v>
      </c>
      <c r="T117" s="521">
        <f t="shared" si="15"/>
        <v>0</v>
      </c>
      <c r="U117" s="456" t="str">
        <f>VLOOKUP(A117,'Diags Raw Data'!$A$6:$AH$4003,33,FALSE)</f>
        <v>WK4</v>
      </c>
      <c r="V117" s="182"/>
    </row>
    <row r="118" spans="1:22" ht="45.75" thickBot="1" x14ac:dyDescent="0.3">
      <c r="A118" s="576">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9">
        <f>SUMIF('Diags Raw Data'!$A$6:$A$4003,"*"&amp;$A118&amp;"*",'Diags Raw Data'!$K$6:$K$4003)</f>
        <v>0</v>
      </c>
      <c r="J118" s="461">
        <f>SUMIF('Diags Raw Data'!$A$6:$A$4003,"*"&amp;$A118&amp;"*",'Diags Raw Data'!$L$6:$L$4003)</f>
        <v>0</v>
      </c>
      <c r="K118" s="513" t="e" cm="1">
        <f t="array" ref="K118">IF(D118="",0, SUMPRODUCT(--(ISNUMBER(SEARCH($A118,'Diags Raw Data'!$A$6:$A$4003))),'Diags Raw Data'!$L$6:$L$4003,'Diags Raw Data'!$N$6:$N$4003)/J118)</f>
        <v>#DIV/0!</v>
      </c>
      <c r="L118" s="514" t="e" cm="1">
        <f t="array" ref="L118">IF(D118="",0, SUMPRODUCT(--(ISNUMBER(SEARCH($A118,'Diags Raw Data'!$A$6:$A$4003))),'Diags Raw Data'!$L$6:$L$4003,'Diags Raw Data'!$P$6:$P$4003)/J118)</f>
        <v>#DIV/0!</v>
      </c>
      <c r="M118" s="515" cm="1">
        <f t="array" ref="M118">SUMPRODUCT(--(ISNUMBER(SEARCH($A118,'Diags Raw Data'!$A$6:$A$4003))),--('Diags Raw Data'!$Q$6:$Q$4003&lt;&gt;"N/A"),'Diags Raw Data'!$R$6:$R$4003)</f>
        <v>0</v>
      </c>
      <c r="N118" s="516" cm="1">
        <f t="array" ref="N118">SUMPRODUCT(--(ISNUMBER(SEARCH($A118,'Diags Raw Data'!$A$6:$A$4003))),--('Diags Raw Data'!$Q$6:$Q$4003&lt;&gt;"N/A"),'Diags Raw Data'!$T$6:$T$4003)+SUMPRODUCT(--(ISNUMBER(SEARCH($A118,'Diags Raw Data'!$A$6:$A$4003))),--('Diags Raw Data'!$Q$6:$Q$4003&lt;&gt;"N/A"),'Diags Raw Data'!$U$6:$U$4003)</f>
        <v>0</v>
      </c>
      <c r="O118" s="517">
        <f t="shared" si="16"/>
        <v>0</v>
      </c>
      <c r="P118" s="518">
        <f>SUMIF('Diags Raw Data'!$A$6:$A$4003,"*"&amp;$A118&amp;"*",'Diags Raw Data'!$Z$6:$Z$4003)</f>
        <v>0</v>
      </c>
      <c r="Q118" s="519">
        <f>SUM(SUMIF('Diags Raw Data'!$A$6:$A$4003,"*"&amp;$A118&amp;"*",'Diags Raw Data'!$AA$6:$AA$4003),SUMIF('Diags Raw Data'!$A$6:$A$4003,"*"&amp;$A118&amp;"*",'Diags Raw Data'!$AB$6:$AB$4003))</f>
        <v>0</v>
      </c>
      <c r="R118" s="520">
        <f t="shared" si="13"/>
        <v>0</v>
      </c>
      <c r="S118" s="520">
        <f t="shared" si="14"/>
        <v>0</v>
      </c>
      <c r="T118" s="521">
        <f t="shared" si="15"/>
        <v>0</v>
      </c>
      <c r="U118" s="456" t="str">
        <f>VLOOKUP(A118,'Diags Raw Data'!$A$6:$AH$4003,33,FALSE)</f>
        <v>N/A</v>
      </c>
      <c r="V118" s="182"/>
    </row>
    <row r="119" spans="1:22" ht="45.75" thickBot="1" x14ac:dyDescent="0.3">
      <c r="A119" s="576">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Data'!$A$6:$A$4003)),CONCATENATE('Diags Raw Data'!$H$6:$H$4003,", "),""))</f>
        <v xml:space="preserve">STD1.6 GCI30.3, </v>
      </c>
      <c r="E119" s="341" t="str">
        <f>VLOOKUP(A119,'Diags Raw Data'!$A$6:$D$4003,4,FALSE)</f>
        <v>PP</v>
      </c>
      <c r="F119" s="341" t="str">
        <f>VLOOKUP(A119,'Feature Raw Data'!$A$3:$E$3922,5,FALSE)</f>
        <v>New</v>
      </c>
      <c r="G119" s="341" t="str">
        <f t="shared" si="6"/>
        <v>Yes</v>
      </c>
      <c r="H119" s="341" t="str">
        <f t="shared" si="7"/>
        <v>Yes</v>
      </c>
      <c r="I119" s="459">
        <f>SUMIF('Diags Raw Data'!$A$6:$A$4003,"*"&amp;$A119&amp;"*",'Diags Raw Data'!$K$6:$K$4003)</f>
        <v>0</v>
      </c>
      <c r="J119" s="461">
        <f>SUMIF('Diags Raw Data'!$A$6:$A$4003,"*"&amp;$A119&amp;"*",'Diags Raw Data'!$L$6:$L$4003)</f>
        <v>0</v>
      </c>
      <c r="K119" s="513" t="e" cm="1">
        <f t="array" ref="K119">IF(D119="",0, SUMPRODUCT(--(ISNUMBER(SEARCH($A119,'Diags Raw Data'!$A$6:$A$4003))),'Diags Raw Data'!$L$6:$L$4003,'Diags Raw Data'!$N$6:$N$4003)/J119)</f>
        <v>#DIV/0!</v>
      </c>
      <c r="L119" s="514" t="e" cm="1">
        <f t="array" ref="L119">IF(D119="",0, SUMPRODUCT(--(ISNUMBER(SEARCH($A119,'Diags Raw Data'!$A$6:$A$4003))),'Diags Raw Data'!$L$6:$L$4003,'Diags Raw Data'!$P$6:$P$4003)/J119)</f>
        <v>#DIV/0!</v>
      </c>
      <c r="M119" s="515" cm="1">
        <f t="array" ref="M119">SUMPRODUCT(--(ISNUMBER(SEARCH($A119,'Diags Raw Data'!$A$6:$A$4003))),--('Diags Raw Data'!$Q$6:$Q$4003&lt;&gt;"N/A"),'Diags Raw Data'!$R$6:$R$4003)</f>
        <v>1</v>
      </c>
      <c r="N119" s="516" cm="1">
        <f t="array" ref="N119">SUMPRODUCT(--(ISNUMBER(SEARCH($A119,'Diags Raw Data'!$A$6:$A$4003))),--('Diags Raw Data'!$Q$6:$Q$4003&lt;&gt;"N/A"),'Diags Raw Data'!$T$6:$T$4003)+SUMPRODUCT(--(ISNUMBER(SEARCH($A119,'Diags Raw Data'!$A$6:$A$4003))),--('Diags Raw Data'!$Q$6:$Q$4003&lt;&gt;"N/A"),'Diags Raw Data'!$U$6:$U$4003)</f>
        <v>1</v>
      </c>
      <c r="O119" s="517">
        <f t="shared" si="16"/>
        <v>1</v>
      </c>
      <c r="P119" s="518">
        <f>SUMIF('Diags Raw Data'!$A$6:$A$4003,"*"&amp;$A119&amp;"*",'Diags Raw Data'!$Z$6:$Z$4003)</f>
        <v>0</v>
      </c>
      <c r="Q119" s="519">
        <f>SUM(SUMIF('Diags Raw Data'!$A$6:$A$4003,"*"&amp;$A119&amp;"*",'Diags Raw Data'!$AA$6:$AA$4003),SUMIF('Diags Raw Data'!$A$6:$A$4003,"*"&amp;$A119&amp;"*",'Diags Raw Data'!$AB$6:$AB$4003))</f>
        <v>0</v>
      </c>
      <c r="R119" s="520">
        <f t="shared" si="13"/>
        <v>0</v>
      </c>
      <c r="S119" s="520">
        <f t="shared" si="14"/>
        <v>0</v>
      </c>
      <c r="T119" s="521">
        <f t="shared" si="15"/>
        <v>0</v>
      </c>
      <c r="U119" s="456" t="str">
        <f>VLOOKUP(A119,'Diags Raw Data'!$A$6:$AH$4003,33,FALSE)</f>
        <v>WK5</v>
      </c>
      <c r="V119" s="182"/>
    </row>
    <row r="120" spans="1:22" ht="30.75" thickBot="1" x14ac:dyDescent="0.3">
      <c r="A120" s="576">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Data'!$A$6:$A$4003)),CONCATENATE('Diags Raw Data'!$H$6:$H$4003,", "),""))</f>
        <v xml:space="preserve">N/A, </v>
      </c>
      <c r="E120" s="341" t="str">
        <f>VLOOKUP(A120,'Diags Raw Data'!$A$6:$D$4003,4,FALSE)</f>
        <v>PP</v>
      </c>
      <c r="F120" s="341" t="str">
        <f>VLOOKUP(A120,'Feature Raw Data'!$A$3:$E$3922,5,FALSE)</f>
        <v>New</v>
      </c>
      <c r="G120" s="341" t="str">
        <f t="shared" si="6"/>
        <v>No</v>
      </c>
      <c r="H120" s="341" t="str">
        <f t="shared" si="7"/>
        <v>No</v>
      </c>
      <c r="I120" s="459">
        <f>SUMIF('Diags Raw Data'!$A$6:$A$4003,"*"&amp;$A120&amp;"*",'Diags Raw Data'!$K$6:$K$4003)</f>
        <v>0</v>
      </c>
      <c r="J120" s="461">
        <f>SUMIF('Diags Raw Data'!$A$6:$A$4003,"*"&amp;$A120&amp;"*",'Diags Raw Data'!$L$6:$L$4003)</f>
        <v>0</v>
      </c>
      <c r="K120" s="513" t="e" cm="1">
        <f t="array" ref="K120">IF(D120="",0, SUMPRODUCT(--(ISNUMBER(SEARCH($A120,'Diags Raw Data'!$A$6:$A$4003))),'Diags Raw Data'!$L$6:$L$4003,'Diags Raw Data'!$N$6:$N$4003)/J120)</f>
        <v>#DIV/0!</v>
      </c>
      <c r="L120" s="514" t="e" cm="1">
        <f t="array" ref="L120">IF(D120="",0, SUMPRODUCT(--(ISNUMBER(SEARCH($A120,'Diags Raw Data'!$A$6:$A$4003))),'Diags Raw Data'!$L$6:$L$4003,'Diags Raw Data'!$P$6:$P$4003)/J120)</f>
        <v>#DIV/0!</v>
      </c>
      <c r="M120" s="515" cm="1">
        <f t="array" ref="M120">SUMPRODUCT(--(ISNUMBER(SEARCH($A120,'Diags Raw Data'!$A$6:$A$4003))),--('Diags Raw Data'!$Q$6:$Q$4003&lt;&gt;"N/A"),'Diags Raw Data'!$R$6:$R$4003)</f>
        <v>0</v>
      </c>
      <c r="N120" s="516" cm="1">
        <f t="array" ref="N120">SUMPRODUCT(--(ISNUMBER(SEARCH($A120,'Diags Raw Data'!$A$6:$A$4003))),--('Diags Raw Data'!$Q$6:$Q$4003&lt;&gt;"N/A"),'Diags Raw Data'!$T$6:$T$4003)+SUMPRODUCT(--(ISNUMBER(SEARCH($A120,'Diags Raw Data'!$A$6:$A$4003))),--('Diags Raw Data'!$Q$6:$Q$4003&lt;&gt;"N/A"),'Diags Raw Data'!$U$6:$U$4003)</f>
        <v>0</v>
      </c>
      <c r="O120" s="517">
        <f t="shared" si="16"/>
        <v>0</v>
      </c>
      <c r="P120" s="518">
        <f>SUMIF('Diags Raw Data'!$A$6:$A$4003,"*"&amp;$A120&amp;"*",'Diags Raw Data'!$Z$6:$Z$4003)</f>
        <v>0</v>
      </c>
      <c r="Q120" s="519">
        <f>SUM(SUMIF('Diags Raw Data'!$A$6:$A$4003,"*"&amp;$A120&amp;"*",'Diags Raw Data'!$AA$6:$AA$4003),SUMIF('Diags Raw Data'!$A$6:$A$4003,"*"&amp;$A120&amp;"*",'Diags Raw Data'!$AB$6:$AB$4003))</f>
        <v>0</v>
      </c>
      <c r="R120" s="520">
        <f t="shared" si="13"/>
        <v>0</v>
      </c>
      <c r="S120" s="520">
        <f t="shared" si="14"/>
        <v>0</v>
      </c>
      <c r="T120" s="521">
        <f t="shared" si="15"/>
        <v>0</v>
      </c>
      <c r="U120" s="456" t="str">
        <f>VLOOKUP(A120,'Diags Raw Data'!$A$6:$AH$4003,33,FALSE)</f>
        <v>N/A</v>
      </c>
      <c r="V120" s="182"/>
    </row>
    <row r="121" spans="1:22" ht="45.75" thickBot="1" x14ac:dyDescent="0.3">
      <c r="A121" s="576">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Data'!$A$6:$A$4003)),CONCATENATE('Diags Raw Data'!$H$6:$H$4003,", "),""))</f>
        <v xml:space="preserve">Same to 12.164, </v>
      </c>
      <c r="E121" s="341" t="str">
        <f>VLOOKUP(A121,'Diags Raw Data'!$A$6:$D$4003,4,FALSE)</f>
        <v>PP</v>
      </c>
      <c r="F121" s="341" t="str">
        <f>VLOOKUP(A121,'Feature Raw Data'!$A$3:$E$3922,5,FALSE)</f>
        <v>New</v>
      </c>
      <c r="G121" s="341" t="str">
        <f t="shared" si="6"/>
        <v>Yes</v>
      </c>
      <c r="H121" s="341" t="str">
        <f t="shared" si="7"/>
        <v>Yes</v>
      </c>
      <c r="I121" s="459">
        <f>SUMIF('Diags Raw Data'!$A$6:$A$4003,"*"&amp;$A121&amp;"*",'Diags Raw Data'!$K$6:$K$4003)</f>
        <v>0</v>
      </c>
      <c r="J121" s="461">
        <f>SUMIF('Diags Raw Data'!$A$6:$A$4003,"*"&amp;$A121&amp;"*",'Diags Raw Data'!$L$6:$L$4003)</f>
        <v>0</v>
      </c>
      <c r="K121" s="513" t="e" cm="1">
        <f t="array" ref="K121">IF(D121="",0, SUMPRODUCT(--(ISNUMBER(SEARCH($A121,'Diags Raw Data'!$A$6:$A$4003))),'Diags Raw Data'!$L$6:$L$4003,'Diags Raw Data'!$N$6:$N$4003)/J121)</f>
        <v>#DIV/0!</v>
      </c>
      <c r="L121" s="514" t="e" cm="1">
        <f t="array" ref="L121">IF(D121="",0, SUMPRODUCT(--(ISNUMBER(SEARCH($A121,'Diags Raw Data'!$A$6:$A$4003))),'Diags Raw Data'!$L$6:$L$4003,'Diags Raw Data'!$P$6:$P$4003)/J121)</f>
        <v>#DIV/0!</v>
      </c>
      <c r="M121" s="515" cm="1">
        <f t="array" ref="M121">SUMPRODUCT(--(ISNUMBER(SEARCH($A121,'Diags Raw Data'!$A$6:$A$4003))),--('Diags Raw Data'!$Q$6:$Q$4003&lt;&gt;"N/A"),'Diags Raw Data'!$R$6:$R$4003)</f>
        <v>1</v>
      </c>
      <c r="N121" s="516" cm="1">
        <f t="array" ref="N121">SUMPRODUCT(--(ISNUMBER(SEARCH($A121,'Diags Raw Data'!$A$6:$A$4003))),--('Diags Raw Data'!$Q$6:$Q$4003&lt;&gt;"N/A"),'Diags Raw Data'!$T$6:$T$4003)+SUMPRODUCT(--(ISNUMBER(SEARCH($A121,'Diags Raw Data'!$A$6:$A$4003))),--('Diags Raw Data'!$Q$6:$Q$4003&lt;&gt;"N/A"),'Diags Raw Data'!$U$6:$U$4003)</f>
        <v>0</v>
      </c>
      <c r="O121" s="517">
        <f t="shared" si="16"/>
        <v>0</v>
      </c>
      <c r="P121" s="518">
        <f>SUMIF('Diags Raw Data'!$A$6:$A$4003,"*"&amp;$A121&amp;"*",'Diags Raw Data'!$Z$6:$Z$4003)</f>
        <v>0</v>
      </c>
      <c r="Q121" s="519">
        <f>SUM(SUMIF('Diags Raw Data'!$A$6:$A$4003,"*"&amp;$A121&amp;"*",'Diags Raw Data'!$AA$6:$AA$4003),SUMIF('Diags Raw Data'!$A$6:$A$4003,"*"&amp;$A121&amp;"*",'Diags Raw Data'!$AB$6:$AB$4003))</f>
        <v>0</v>
      </c>
      <c r="R121" s="520">
        <f t="shared" si="13"/>
        <v>0</v>
      </c>
      <c r="S121" s="520">
        <f t="shared" si="14"/>
        <v>0</v>
      </c>
      <c r="T121" s="521">
        <f t="shared" si="15"/>
        <v>0</v>
      </c>
      <c r="U121" s="456" t="str">
        <f>VLOOKUP(A121,'Diags Raw Data'!$A$6:$AH$4003,33,FALSE)</f>
        <v>WK5</v>
      </c>
      <c r="V121" s="182"/>
    </row>
    <row r="122" spans="1:22" ht="30.75" thickBot="1" x14ac:dyDescent="0.3">
      <c r="A122" s="576">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Data'!$A$6:$A$4003)),CONCATENATE('Diags Raw Data'!$H$6:$H$4003,", "),""))</f>
        <v xml:space="preserve">N/A, </v>
      </c>
      <c r="E122" s="341" t="str">
        <f>VLOOKUP(A122,'Diags Raw Data'!$A$6:$D$4003,4,FALSE)</f>
        <v>CTL</v>
      </c>
      <c r="F122" s="341" t="str">
        <f>VLOOKUP(A122,'Feature Raw Data'!$A$3:$E$3922,5,FALSE)</f>
        <v>New</v>
      </c>
      <c r="G122" s="341" t="str">
        <f t="shared" si="6"/>
        <v>No</v>
      </c>
      <c r="H122" s="341" t="str">
        <f t="shared" si="7"/>
        <v>No</v>
      </c>
      <c r="I122" s="459">
        <f>SUMIF('Diags Raw Data'!$A$6:$A$4003,"*"&amp;$A122&amp;"*",'Diags Raw Data'!$K$6:$K$4003)</f>
        <v>0</v>
      </c>
      <c r="J122" s="461">
        <f>SUMIF('Diags Raw Data'!$A$6:$A$4003,"*"&amp;$A122&amp;"*",'Diags Raw Data'!$L$6:$L$4003)</f>
        <v>0</v>
      </c>
      <c r="K122" s="513" t="e" cm="1">
        <f t="array" ref="K122">IF(D122="",0, SUMPRODUCT(--(ISNUMBER(SEARCH($A122,'Diags Raw Data'!$A$6:$A$4003))),'Diags Raw Data'!$L$6:$L$4003,'Diags Raw Data'!$N$6:$N$4003)/J122)</f>
        <v>#DIV/0!</v>
      </c>
      <c r="L122" s="514" t="e" cm="1">
        <f t="array" ref="L122">IF(D122="",0, SUMPRODUCT(--(ISNUMBER(SEARCH($A122,'Diags Raw Data'!$A$6:$A$4003))),'Diags Raw Data'!$L$6:$L$4003,'Diags Raw Data'!$P$6:$P$4003)/J122)</f>
        <v>#DIV/0!</v>
      </c>
      <c r="M122" s="515" cm="1">
        <f t="array" ref="M122">SUMPRODUCT(--(ISNUMBER(SEARCH($A122,'Diags Raw Data'!$A$6:$A$4003))),--('Diags Raw Data'!$Q$6:$Q$4003&lt;&gt;"N/A"),'Diags Raw Data'!$R$6:$R$4003)</f>
        <v>0</v>
      </c>
      <c r="N122" s="516" cm="1">
        <f t="array" ref="N122">SUMPRODUCT(--(ISNUMBER(SEARCH($A122,'Diags Raw Data'!$A$6:$A$4003))),--('Diags Raw Data'!$Q$6:$Q$4003&lt;&gt;"N/A"),'Diags Raw Data'!$T$6:$T$4003)+SUMPRODUCT(--(ISNUMBER(SEARCH($A122,'Diags Raw Data'!$A$6:$A$4003))),--('Diags Raw Data'!$Q$6:$Q$4003&lt;&gt;"N/A"),'Diags Raw Data'!$U$6:$U$4003)</f>
        <v>0</v>
      </c>
      <c r="O122" s="517">
        <f t="shared" si="16"/>
        <v>0</v>
      </c>
      <c r="P122" s="518">
        <f>SUMIF('Diags Raw Data'!$A$6:$A$4003,"*"&amp;$A122&amp;"*",'Diags Raw Data'!$Z$6:$Z$4003)</f>
        <v>0</v>
      </c>
      <c r="Q122" s="519">
        <f>SUM(SUMIF('Diags Raw Data'!$A$6:$A$4003,"*"&amp;$A122&amp;"*",'Diags Raw Data'!$AA$6:$AA$4003),SUMIF('Diags Raw Data'!$A$6:$A$4003,"*"&amp;$A122&amp;"*",'Diags Raw Data'!$AB$6:$AB$4003))</f>
        <v>0</v>
      </c>
      <c r="R122" s="520">
        <f t="shared" si="13"/>
        <v>0</v>
      </c>
      <c r="S122" s="520">
        <f t="shared" si="14"/>
        <v>0</v>
      </c>
      <c r="T122" s="521">
        <f t="shared" si="15"/>
        <v>0</v>
      </c>
      <c r="U122" s="456" t="str">
        <f>VLOOKUP(A122,'Diags Raw Data'!$A$6:$AH$4003,33,FALSE)</f>
        <v>N/A</v>
      </c>
      <c r="V122" s="182"/>
    </row>
    <row r="123" spans="1:22" ht="30.75" thickBot="1" x14ac:dyDescent="0.3">
      <c r="A123" s="576">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Data'!$A$6:$A$4003)),CONCATENATE('Diags Raw Data'!$H$6:$H$4003,", "),""))</f>
        <v xml:space="preserve">N/A, </v>
      </c>
      <c r="E123" s="341" t="str">
        <f>VLOOKUP(A123,'Diags Raw Data'!$A$6:$D$4003,4,FALSE)</f>
        <v>CTL</v>
      </c>
      <c r="F123" s="341" t="str">
        <f>VLOOKUP(A123,'Feature Raw Data'!$A$3:$E$3922,5,FALSE)</f>
        <v>New</v>
      </c>
      <c r="G123" s="341" t="str">
        <f t="shared" si="6"/>
        <v>No</v>
      </c>
      <c r="H123" s="341" t="str">
        <f t="shared" si="7"/>
        <v>No</v>
      </c>
      <c r="I123" s="459">
        <f>SUMIF('Diags Raw Data'!$A$6:$A$4003,"*"&amp;$A123&amp;"*",'Diags Raw Data'!$K$6:$K$4003)</f>
        <v>0</v>
      </c>
      <c r="J123" s="461">
        <f>SUMIF('Diags Raw Data'!$A$6:$A$4003,"*"&amp;$A123&amp;"*",'Diags Raw Data'!$L$6:$L$4003)</f>
        <v>0</v>
      </c>
      <c r="K123" s="513" t="e" cm="1">
        <f t="array" ref="K123">IF(D123="",0, SUMPRODUCT(--(ISNUMBER(SEARCH($A123,'Diags Raw Data'!$A$6:$A$4003))),'Diags Raw Data'!$L$6:$L$4003,'Diags Raw Data'!$N$6:$N$4003)/J123)</f>
        <v>#DIV/0!</v>
      </c>
      <c r="L123" s="514" t="e" cm="1">
        <f t="array" ref="L123">IF(D123="",0, SUMPRODUCT(--(ISNUMBER(SEARCH($A123,'Diags Raw Data'!$A$6:$A$4003))),'Diags Raw Data'!$L$6:$L$4003,'Diags Raw Data'!$P$6:$P$4003)/J123)</f>
        <v>#DIV/0!</v>
      </c>
      <c r="M123" s="515" cm="1">
        <f t="array" ref="M123">SUMPRODUCT(--(ISNUMBER(SEARCH($A123,'Diags Raw Data'!$A$6:$A$4003))),--('Diags Raw Data'!$Q$6:$Q$4003&lt;&gt;"N/A"),'Diags Raw Data'!$R$6:$R$4003)</f>
        <v>0</v>
      </c>
      <c r="N123" s="516" cm="1">
        <f t="array" ref="N123">SUMPRODUCT(--(ISNUMBER(SEARCH($A123,'Diags Raw Data'!$A$6:$A$4003))),--('Diags Raw Data'!$Q$6:$Q$4003&lt;&gt;"N/A"),'Diags Raw Data'!$T$6:$T$4003)+SUMPRODUCT(--(ISNUMBER(SEARCH($A123,'Diags Raw Data'!$A$6:$A$4003))),--('Diags Raw Data'!$Q$6:$Q$4003&lt;&gt;"N/A"),'Diags Raw Data'!$U$6:$U$4003)</f>
        <v>0</v>
      </c>
      <c r="O123" s="517">
        <f t="shared" si="16"/>
        <v>0</v>
      </c>
      <c r="P123" s="518">
        <f>SUMIF('Diags Raw Data'!$A$6:$A$4003,"*"&amp;$A123&amp;"*",'Diags Raw Data'!$Z$6:$Z$4003)</f>
        <v>0</v>
      </c>
      <c r="Q123" s="519">
        <f>SUM(SUMIF('Diags Raw Data'!$A$6:$A$4003,"*"&amp;$A123&amp;"*",'Diags Raw Data'!$AA$6:$AA$4003),SUMIF('Diags Raw Data'!$A$6:$A$4003,"*"&amp;$A123&amp;"*",'Diags Raw Data'!$AB$6:$AB$4003))</f>
        <v>0</v>
      </c>
      <c r="R123" s="520">
        <f t="shared" si="13"/>
        <v>0</v>
      </c>
      <c r="S123" s="520">
        <f t="shared" si="14"/>
        <v>0</v>
      </c>
      <c r="T123" s="521">
        <f t="shared" si="15"/>
        <v>0</v>
      </c>
      <c r="U123" s="456" t="str">
        <f>VLOOKUP(A123,'Diags Raw Data'!$A$6:$AH$4003,33,FALSE)</f>
        <v>N/A</v>
      </c>
      <c r="V123" s="182"/>
    </row>
    <row r="124" spans="1:22" ht="30.75" thickBot="1" x14ac:dyDescent="0.3">
      <c r="A124" s="576">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Data'!$A$6:$A$4003)),CONCATENATE('Diags Raw Data'!$H$6:$H$4003,", "),""))</f>
        <v xml:space="preserve">N/A, </v>
      </c>
      <c r="E124" s="341" t="str">
        <f>VLOOKUP(A124,'Diags Raw Data'!$A$6:$D$4003,4,FALSE)</f>
        <v>CTL</v>
      </c>
      <c r="F124" s="341" t="str">
        <f>VLOOKUP(A124,'Feature Raw Data'!$A$3:$E$3922,5,FALSE)</f>
        <v>New</v>
      </c>
      <c r="G124" s="341" t="str">
        <f t="shared" si="6"/>
        <v>No</v>
      </c>
      <c r="H124" s="341" t="str">
        <f t="shared" si="7"/>
        <v>No</v>
      </c>
      <c r="I124" s="459">
        <f>SUMIF('Diags Raw Data'!$A$6:$A$4003,"*"&amp;$A124&amp;"*",'Diags Raw Data'!$K$6:$K$4003)</f>
        <v>0</v>
      </c>
      <c r="J124" s="461">
        <f>SUMIF('Diags Raw Data'!$A$6:$A$4003,"*"&amp;$A124&amp;"*",'Diags Raw Data'!$L$6:$L$4003)</f>
        <v>0</v>
      </c>
      <c r="K124" s="513" t="e" cm="1">
        <f t="array" ref="K124">IF(D124="",0, SUMPRODUCT(--(ISNUMBER(SEARCH($A124,'Diags Raw Data'!$A$6:$A$4003))),'Diags Raw Data'!$L$6:$L$4003,'Diags Raw Data'!$N$6:$N$4003)/J124)</f>
        <v>#DIV/0!</v>
      </c>
      <c r="L124" s="514" t="e" cm="1">
        <f t="array" ref="L124">IF(D124="",0, SUMPRODUCT(--(ISNUMBER(SEARCH($A124,'Diags Raw Data'!$A$6:$A$4003))),'Diags Raw Data'!$L$6:$L$4003,'Diags Raw Data'!$P$6:$P$4003)/J124)</f>
        <v>#DIV/0!</v>
      </c>
      <c r="M124" s="515" cm="1">
        <f t="array" ref="M124">SUMPRODUCT(--(ISNUMBER(SEARCH($A124,'Diags Raw Data'!$A$6:$A$4003))),--('Diags Raw Data'!$Q$6:$Q$4003&lt;&gt;"N/A"),'Diags Raw Data'!$R$6:$R$4003)</f>
        <v>0</v>
      </c>
      <c r="N124" s="516" cm="1">
        <f t="array" ref="N124">SUMPRODUCT(--(ISNUMBER(SEARCH($A124,'Diags Raw Data'!$A$6:$A$4003))),--('Diags Raw Data'!$Q$6:$Q$4003&lt;&gt;"N/A"),'Diags Raw Data'!$T$6:$T$4003)+SUMPRODUCT(--(ISNUMBER(SEARCH($A124,'Diags Raw Data'!$A$6:$A$4003))),--('Diags Raw Data'!$Q$6:$Q$4003&lt;&gt;"N/A"),'Diags Raw Data'!$U$6:$U$4003)</f>
        <v>0</v>
      </c>
      <c r="O124" s="517">
        <f t="shared" si="16"/>
        <v>0</v>
      </c>
      <c r="P124" s="518">
        <f>SUMIF('Diags Raw Data'!$A$6:$A$4003,"*"&amp;$A124&amp;"*",'Diags Raw Data'!$Z$6:$Z$4003)</f>
        <v>0</v>
      </c>
      <c r="Q124" s="519">
        <f>SUM(SUMIF('Diags Raw Data'!$A$6:$A$4003,"*"&amp;$A124&amp;"*",'Diags Raw Data'!$AA$6:$AA$4003),SUMIF('Diags Raw Data'!$A$6:$A$4003,"*"&amp;$A124&amp;"*",'Diags Raw Data'!$AB$6:$AB$4003))</f>
        <v>0</v>
      </c>
      <c r="R124" s="520">
        <f t="shared" si="13"/>
        <v>0</v>
      </c>
      <c r="S124" s="520">
        <f t="shared" si="14"/>
        <v>0</v>
      </c>
      <c r="T124" s="521">
        <f t="shared" si="15"/>
        <v>0</v>
      </c>
      <c r="U124" s="456" t="str">
        <f>VLOOKUP(A124,'Diags Raw Data'!$A$6:$AH$4003,33,FALSE)</f>
        <v>N/A</v>
      </c>
      <c r="V124" s="182"/>
    </row>
    <row r="125" spans="1:22" ht="30.75" thickBot="1" x14ac:dyDescent="0.3">
      <c r="A125" s="576">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Data'!$A$6:$A$4003)),CONCATENATE('Diags Raw Data'!$H$6:$H$4003,", "),""))</f>
        <v xml:space="preserve">N/A, </v>
      </c>
      <c r="E125" s="341" t="str">
        <f>VLOOKUP(A125,'Diags Raw Data'!$A$6:$D$4003,4,FALSE)</f>
        <v>CTL</v>
      </c>
      <c r="F125" s="341" t="str">
        <f>VLOOKUP(A125,'Feature Raw Data'!$A$3:$E$3922,5,FALSE)</f>
        <v>New</v>
      </c>
      <c r="G125" s="341" t="str">
        <f t="shared" si="6"/>
        <v>No</v>
      </c>
      <c r="H125" s="341" t="str">
        <f t="shared" si="7"/>
        <v>No</v>
      </c>
      <c r="I125" s="459">
        <f>SUMIF('Diags Raw Data'!$A$6:$A$4003,"*"&amp;$A125&amp;"*",'Diags Raw Data'!$K$6:$K$4003)</f>
        <v>0</v>
      </c>
      <c r="J125" s="461">
        <f>SUMIF('Diags Raw Data'!$A$6:$A$4003,"*"&amp;$A125&amp;"*",'Diags Raw Data'!$L$6:$L$4003)</f>
        <v>0</v>
      </c>
      <c r="K125" s="513" t="e" cm="1">
        <f t="array" ref="K125">IF(D125="",0, SUMPRODUCT(--(ISNUMBER(SEARCH($A125,'Diags Raw Data'!$A$6:$A$4003))),'Diags Raw Data'!$L$6:$L$4003,'Diags Raw Data'!$N$6:$N$4003)/J125)</f>
        <v>#DIV/0!</v>
      </c>
      <c r="L125" s="514" t="e" cm="1">
        <f t="array" ref="L125">IF(D125="",0, SUMPRODUCT(--(ISNUMBER(SEARCH($A125,'Diags Raw Data'!$A$6:$A$4003))),'Diags Raw Data'!$L$6:$L$4003,'Diags Raw Data'!$P$6:$P$4003)/J125)</f>
        <v>#DIV/0!</v>
      </c>
      <c r="M125" s="515" cm="1">
        <f t="array" ref="M125">SUMPRODUCT(--(ISNUMBER(SEARCH($A125,'Diags Raw Data'!$A$6:$A$4003))),--('Diags Raw Data'!$Q$6:$Q$4003&lt;&gt;"N/A"),'Diags Raw Data'!$R$6:$R$4003)</f>
        <v>0</v>
      </c>
      <c r="N125" s="516" cm="1">
        <f t="array" ref="N125">SUMPRODUCT(--(ISNUMBER(SEARCH($A125,'Diags Raw Data'!$A$6:$A$4003))),--('Diags Raw Data'!$Q$6:$Q$4003&lt;&gt;"N/A"),'Diags Raw Data'!$T$6:$T$4003)+SUMPRODUCT(--(ISNUMBER(SEARCH($A125,'Diags Raw Data'!$A$6:$A$4003))),--('Diags Raw Data'!$Q$6:$Q$4003&lt;&gt;"N/A"),'Diags Raw Data'!$U$6:$U$4003)</f>
        <v>0</v>
      </c>
      <c r="O125" s="517">
        <f t="shared" si="16"/>
        <v>0</v>
      </c>
      <c r="P125" s="518">
        <f>SUMIF('Diags Raw Data'!$A$6:$A$4003,"*"&amp;$A125&amp;"*",'Diags Raw Data'!$Z$6:$Z$4003)</f>
        <v>0</v>
      </c>
      <c r="Q125" s="519">
        <f>SUM(SUMIF('Diags Raw Data'!$A$6:$A$4003,"*"&amp;$A125&amp;"*",'Diags Raw Data'!$AA$6:$AA$4003),SUMIF('Diags Raw Data'!$A$6:$A$4003,"*"&amp;$A125&amp;"*",'Diags Raw Data'!$AB$6:$AB$4003))</f>
        <v>0</v>
      </c>
      <c r="R125" s="520">
        <f t="shared" si="13"/>
        <v>0</v>
      </c>
      <c r="S125" s="520">
        <f t="shared" si="14"/>
        <v>0</v>
      </c>
      <c r="T125" s="521">
        <f t="shared" si="15"/>
        <v>0</v>
      </c>
      <c r="U125" s="456" t="str">
        <f>VLOOKUP(A125,'Diags Raw Data'!$A$6:$AH$4003,33,FALSE)</f>
        <v>N/A</v>
      </c>
      <c r="V125" s="182"/>
    </row>
    <row r="126" spans="1:22" ht="30.75" thickBot="1" x14ac:dyDescent="0.3">
      <c r="A126" s="576">
        <v>12.247</v>
      </c>
      <c r="B126" s="458" t="str">
        <f>VLOOKUP(A126,'Feature Raw Data'!$A$3:$B$3922,2,FALSE)</f>
        <v>Register remap to match M1</v>
      </c>
      <c r="C126" s="459" t="str">
        <f>VLOOKUP(A126,'Feature Raw Data'!$A$3:$C$3922,3,FALSE)</f>
        <v>P1</v>
      </c>
      <c r="D126" s="460" t="str" cm="1">
        <f t="array" ref="D126">_xlfn.TEXTJOIN("",TRUE,IF(ISNUMBER(SEARCH($A126,'Diags Raw Data'!$A$6:$A$4003)),CONCATENATE('Diags Raw Data'!$H$6:$H$4003,", "),""))</f>
        <v xml:space="preserve">food_store,mountain_range,navi48.gfx.ge.register_access, </v>
      </c>
      <c r="E126" s="341" t="str">
        <f>VLOOKUP(A126,'Diags Raw Data'!$A$6:$D$4003,4,FALSE)</f>
        <v>GEO</v>
      </c>
      <c r="F126" s="341" t="str">
        <f>VLOOKUP(A126,'Feature Raw Data'!$A$3:$E$3922,5,FALSE)</f>
        <v>New</v>
      </c>
      <c r="G126" s="341" t="str">
        <f t="shared" ref="G126:G189" si="17">IF(D126="N/A, ","No","Yes")</f>
        <v>Yes</v>
      </c>
      <c r="H126" s="341" t="str">
        <f t="shared" si="7"/>
        <v>Yes</v>
      </c>
      <c r="I126" s="459">
        <f>SUMIF('Diags Raw Data'!$A$6:$A$4003,"*"&amp;$A126&amp;"*",'Diags Raw Data'!$K$6:$K$4003)</f>
        <v>0</v>
      </c>
      <c r="J126" s="461">
        <f>SUMIF('Diags Raw Data'!$A$6:$A$4003,"*"&amp;$A126&amp;"*",'Diags Raw Data'!$L$6:$L$4003)</f>
        <v>0</v>
      </c>
      <c r="K126" s="513" t="e" cm="1">
        <f t="array" ref="K126">IF(D126="",0, SUMPRODUCT(--(ISNUMBER(SEARCH($A126,'Diags Raw Data'!$A$6:$A$4003))),'Diags Raw Data'!$L$6:$L$4003,'Diags Raw Data'!$N$6:$N$4003)/J126)</f>
        <v>#DIV/0!</v>
      </c>
      <c r="L126" s="514" t="e" cm="1">
        <f t="array" ref="L126">IF(D126="",0, SUMPRODUCT(--(ISNUMBER(SEARCH($A126,'Diags Raw Data'!$A$6:$A$4003))),'Diags Raw Data'!$L$6:$L$4003,'Diags Raw Data'!$P$6:$P$4003)/J126)</f>
        <v>#DIV/0!</v>
      </c>
      <c r="M126" s="515" cm="1">
        <f t="array" ref="M126">SUMPRODUCT(--(ISNUMBER(SEARCH($A126,'Diags Raw Data'!$A$6:$A$4003))),--('Diags Raw Data'!$Q$6:$Q$4003&lt;&gt;"N/A"),'Diags Raw Data'!$R$6:$R$4003)</f>
        <v>1</v>
      </c>
      <c r="N126" s="516" cm="1">
        <f t="array" ref="N126">SUMPRODUCT(--(ISNUMBER(SEARCH($A126,'Diags Raw Data'!$A$6:$A$4003))),--('Diags Raw Data'!$Q$6:$Q$4003&lt;&gt;"N/A"),'Diags Raw Data'!$T$6:$T$4003)+SUMPRODUCT(--(ISNUMBER(SEARCH($A126,'Diags Raw Data'!$A$6:$A$4003))),--('Diags Raw Data'!$Q$6:$Q$4003&lt;&gt;"N/A"),'Diags Raw Data'!$U$6:$U$4003)</f>
        <v>1</v>
      </c>
      <c r="O126" s="517">
        <f t="shared" si="16"/>
        <v>1</v>
      </c>
      <c r="P126" s="518">
        <f>SUMIF('Diags Raw Data'!$A$6:$A$4003,"*"&amp;$A126&amp;"*",'Diags Raw Data'!$Z$6:$Z$4003)</f>
        <v>0</v>
      </c>
      <c r="Q126" s="519">
        <f>SUM(SUMIF('Diags Raw Data'!$A$6:$A$4003,"*"&amp;$A126&amp;"*",'Diags Raw Data'!$AA$6:$AA$4003),SUMIF('Diags Raw Data'!$A$6:$A$4003,"*"&amp;$A126&amp;"*",'Diags Raw Data'!$AB$6:$AB$4003))</f>
        <v>0</v>
      </c>
      <c r="R126" s="520">
        <f t="shared" si="13"/>
        <v>0</v>
      </c>
      <c r="S126" s="520">
        <f t="shared" si="14"/>
        <v>0</v>
      </c>
      <c r="T126" s="521">
        <f t="shared" si="15"/>
        <v>0</v>
      </c>
      <c r="U126" s="456" t="str">
        <f>VLOOKUP(A126,'Diags Raw Data'!$A$6:$AH$4003,33,FALSE)</f>
        <v>WK4</v>
      </c>
      <c r="V126" s="182"/>
    </row>
    <row r="127" spans="1:22" ht="45.75" thickBot="1" x14ac:dyDescent="0.3">
      <c r="A127" s="576">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Data'!$A$6:$A$4003)),CONCATENATE('Diags Raw Data'!$H$6:$H$4003,", "),""))</f>
        <v xml:space="preserve">N/A, </v>
      </c>
      <c r="E127" s="341" t="str">
        <f>VLOOKUP(A127,'Diags Raw Data'!$A$6:$D$4003,4,FALSE)</f>
        <v>CTL</v>
      </c>
      <c r="F127" s="341" t="str">
        <f>VLOOKUP(A127,'Feature Raw Data'!$A$3:$E$3922,5,FALSE)</f>
        <v>New</v>
      </c>
      <c r="G127" s="341" t="str">
        <f t="shared" si="17"/>
        <v>No</v>
      </c>
      <c r="H127" s="341" t="str">
        <f t="shared" si="7"/>
        <v>No</v>
      </c>
      <c r="I127" s="459">
        <f>SUMIF('Diags Raw Data'!$A$6:$A$4003,"*"&amp;$A127&amp;"*",'Diags Raw Data'!$K$6:$K$4003)</f>
        <v>0</v>
      </c>
      <c r="J127" s="461">
        <f>SUMIF('Diags Raw Data'!$A$6:$A$4003,"*"&amp;$A127&amp;"*",'Diags Raw Data'!$L$6:$L$4003)</f>
        <v>0</v>
      </c>
      <c r="K127" s="513" t="e" cm="1">
        <f t="array" ref="K127">IF(D127="",0, SUMPRODUCT(--(ISNUMBER(SEARCH($A127,'Diags Raw Data'!$A$6:$A$4003))),'Diags Raw Data'!$L$6:$L$4003,'Diags Raw Data'!$N$6:$N$4003)/J127)</f>
        <v>#DIV/0!</v>
      </c>
      <c r="L127" s="514" t="e" cm="1">
        <f t="array" ref="L127">IF(D127="",0, SUMPRODUCT(--(ISNUMBER(SEARCH($A127,'Diags Raw Data'!$A$6:$A$4003))),'Diags Raw Data'!$L$6:$L$4003,'Diags Raw Data'!$P$6:$P$4003)/J127)</f>
        <v>#DIV/0!</v>
      </c>
      <c r="M127" s="515" cm="1">
        <f t="array" ref="M127">SUMPRODUCT(--(ISNUMBER(SEARCH($A127,'Diags Raw Data'!$A$6:$A$4003))),--('Diags Raw Data'!$Q$6:$Q$4003&lt;&gt;"N/A"),'Diags Raw Data'!$R$6:$R$4003)</f>
        <v>0</v>
      </c>
      <c r="N127" s="516" cm="1">
        <f t="array" ref="N127">SUMPRODUCT(--(ISNUMBER(SEARCH($A127,'Diags Raw Data'!$A$6:$A$4003))),--('Diags Raw Data'!$Q$6:$Q$4003&lt;&gt;"N/A"),'Diags Raw Data'!$T$6:$T$4003)+SUMPRODUCT(--(ISNUMBER(SEARCH($A127,'Diags Raw Data'!$A$6:$A$4003))),--('Diags Raw Data'!$Q$6:$Q$4003&lt;&gt;"N/A"),'Diags Raw Data'!$U$6:$U$4003)</f>
        <v>0</v>
      </c>
      <c r="O127" s="517">
        <f t="shared" si="16"/>
        <v>0</v>
      </c>
      <c r="P127" s="518">
        <f>SUMIF('Diags Raw Data'!$A$6:$A$4003,"*"&amp;$A127&amp;"*",'Diags Raw Data'!$Z$6:$Z$4003)</f>
        <v>0</v>
      </c>
      <c r="Q127" s="519">
        <f>SUM(SUMIF('Diags Raw Data'!$A$6:$A$4003,"*"&amp;$A127&amp;"*",'Diags Raw Data'!$AA$6:$AA$4003),SUMIF('Diags Raw Data'!$A$6:$A$4003,"*"&amp;$A127&amp;"*",'Diags Raw Data'!$AB$6:$AB$4003))</f>
        <v>0</v>
      </c>
      <c r="R127" s="520">
        <f t="shared" si="13"/>
        <v>0</v>
      </c>
      <c r="S127" s="520">
        <f t="shared" si="14"/>
        <v>0</v>
      </c>
      <c r="T127" s="521">
        <f t="shared" si="15"/>
        <v>0</v>
      </c>
      <c r="U127" s="456" t="str">
        <f>VLOOKUP(A127,'Diags Raw Data'!$A$6:$AH$4003,33,FALSE)</f>
        <v>N/A</v>
      </c>
      <c r="V127" s="182"/>
    </row>
    <row r="128" spans="1:22" ht="30.75" thickBot="1" x14ac:dyDescent="0.3">
      <c r="A128" s="576">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Data'!$A$6:$A$4003)),CONCATENATE('Diags Raw Data'!$H$6:$H$4003,", "),""))</f>
        <v xml:space="preserve">N/A, </v>
      </c>
      <c r="E128" s="341" t="str">
        <f>VLOOKUP(A128,'Diags Raw Data'!$A$6:$D$4003,4,FALSE)</f>
        <v>CTL</v>
      </c>
      <c r="F128" s="341" t="str">
        <f>VLOOKUP(A128,'Feature Raw Data'!$A$3:$E$3922,5,FALSE)</f>
        <v>New</v>
      </c>
      <c r="G128" s="341" t="str">
        <f t="shared" si="17"/>
        <v>No</v>
      </c>
      <c r="H128" s="341" t="str">
        <f t="shared" ref="H128:H191" si="18">IF(D128="N/A, ","No","Yes")</f>
        <v>No</v>
      </c>
      <c r="I128" s="459">
        <f>SUMIF('Diags Raw Data'!$A$6:$A$4003,"*"&amp;$A128&amp;"*",'Diags Raw Data'!$K$6:$K$4003)</f>
        <v>0</v>
      </c>
      <c r="J128" s="461">
        <f>SUMIF('Diags Raw Data'!$A$6:$A$4003,"*"&amp;$A128&amp;"*",'Diags Raw Data'!$L$6:$L$4003)</f>
        <v>0</v>
      </c>
      <c r="K128" s="513" t="e" cm="1">
        <f t="array" ref="K128">IF(D128="",0, SUMPRODUCT(--(ISNUMBER(SEARCH($A128,'Diags Raw Data'!$A$6:$A$4003))),'Diags Raw Data'!$L$6:$L$4003,'Diags Raw Data'!$N$6:$N$4003)/J128)</f>
        <v>#DIV/0!</v>
      </c>
      <c r="L128" s="514" t="e" cm="1">
        <f t="array" ref="L128">IF(D128="",0, SUMPRODUCT(--(ISNUMBER(SEARCH($A128,'Diags Raw Data'!$A$6:$A$4003))),'Diags Raw Data'!$L$6:$L$4003,'Diags Raw Data'!$P$6:$P$4003)/J128)</f>
        <v>#DIV/0!</v>
      </c>
      <c r="M128" s="515" cm="1">
        <f t="array" ref="M128">SUMPRODUCT(--(ISNUMBER(SEARCH($A128,'Diags Raw Data'!$A$6:$A$4003))),--('Diags Raw Data'!$Q$6:$Q$4003&lt;&gt;"N/A"),'Diags Raw Data'!$R$6:$R$4003)</f>
        <v>0</v>
      </c>
      <c r="N128" s="516" cm="1">
        <f t="array" ref="N128">SUMPRODUCT(--(ISNUMBER(SEARCH($A128,'Diags Raw Data'!$A$6:$A$4003))),--('Diags Raw Data'!$Q$6:$Q$4003&lt;&gt;"N/A"),'Diags Raw Data'!$T$6:$T$4003)+SUMPRODUCT(--(ISNUMBER(SEARCH($A128,'Diags Raw Data'!$A$6:$A$4003))),--('Diags Raw Data'!$Q$6:$Q$4003&lt;&gt;"N/A"),'Diags Raw Data'!$U$6:$U$4003)</f>
        <v>0</v>
      </c>
      <c r="O128" s="517">
        <f>IF((M128=0),0,N128/M128)</f>
        <v>0</v>
      </c>
      <c r="P128" s="518">
        <f>SUMIF('Diags Raw Data'!$A$6:$A$4003,"*"&amp;$A128&amp;"*",'Diags Raw Data'!$Z$6:$Z$4003)</f>
        <v>0</v>
      </c>
      <c r="Q128" s="519">
        <f>SUM(SUMIF('Diags Raw Data'!$A$6:$A$4003,"*"&amp;$A128&amp;"*",'Diags Raw Data'!$AA$6:$AA$4003),SUMIF('Diags Raw Data'!$A$6:$A$4003,"*"&amp;$A128&amp;"*",'Diags Raw Data'!$AB$6:$AB$4003))</f>
        <v>0</v>
      </c>
      <c r="R128" s="520">
        <f>IF((J128=0),0,P128/J128)</f>
        <v>0</v>
      </c>
      <c r="S128" s="520">
        <f>IF((P128=0),0,Q128/P128)</f>
        <v>0</v>
      </c>
      <c r="T128" s="521">
        <f>R128*S128</f>
        <v>0</v>
      </c>
      <c r="U128" s="456" t="str">
        <f>VLOOKUP(A128,'Diags Raw Data'!$A$6:$AH$4003,33,FALSE)</f>
        <v>N/A</v>
      </c>
      <c r="V128" s="182"/>
    </row>
    <row r="129" spans="1:22" ht="30.75" thickBot="1" x14ac:dyDescent="0.3">
      <c r="A129" s="576">
        <v>12.263</v>
      </c>
      <c r="B129" s="458" t="str">
        <f>VLOOKUP(A129,'Feature Raw Data'!$A$3:$B$3922,2,FALSE)</f>
        <v>GFX12 IMU - Add Resets and idle sidebands</v>
      </c>
      <c r="C129" s="459" t="str">
        <f>VLOOKUP(A129,'Feature Raw Data'!$A$3:$C$3922,3,FALSE)</f>
        <v>P1</v>
      </c>
      <c r="D129" s="460" t="str" cm="1">
        <f t="array" ref="D129">_xlfn.TEXTJOIN("",TRUE,IF(ISNUMBER(SEARCH($A129,'Diags Raw Data'!$A$6:$A$4003)),CONCATENATE('Diags Raw Data'!$H$6:$H$4003,", "),""))</f>
        <v xml:space="preserve">N/A, </v>
      </c>
      <c r="E129" s="341" t="str">
        <f>VLOOKUP(A129,'Diags Raw Data'!$A$6:$D$4003,4,FALSE)</f>
        <v>CTL</v>
      </c>
      <c r="F129" s="341" t="str">
        <f>VLOOKUP(A129,'Feature Raw Data'!$A$3:$E$3922,5,FALSE)</f>
        <v>New</v>
      </c>
      <c r="G129" s="341" t="str">
        <f t="shared" si="17"/>
        <v>No</v>
      </c>
      <c r="H129" s="341" t="str">
        <f t="shared" si="18"/>
        <v>No</v>
      </c>
      <c r="I129" s="459">
        <f>SUMIF('Diags Raw Data'!$A$6:$A$4003,"*"&amp;$A129&amp;"*",'Diags Raw Data'!$K$6:$K$4003)</f>
        <v>0</v>
      </c>
      <c r="J129" s="461">
        <f>SUMIF('Diags Raw Data'!$A$6:$A$4003,"*"&amp;$A129&amp;"*",'Diags Raw Data'!$L$6:$L$4003)</f>
        <v>0</v>
      </c>
      <c r="K129" s="513" t="e" cm="1">
        <f t="array" ref="K129">IF(D129="",0, SUMPRODUCT(--(ISNUMBER(SEARCH($A129,'Diags Raw Data'!$A$6:$A$4003))),'Diags Raw Data'!$L$6:$L$4003,'Diags Raw Data'!$N$6:$N$4003)/J129)</f>
        <v>#DIV/0!</v>
      </c>
      <c r="L129" s="514" t="e" cm="1">
        <f t="array" ref="L129">IF(D129="",0, SUMPRODUCT(--(ISNUMBER(SEARCH($A129,'Diags Raw Data'!$A$6:$A$4003))),'Diags Raw Data'!$L$6:$L$4003,'Diags Raw Data'!$P$6:$P$4003)/J129)</f>
        <v>#DIV/0!</v>
      </c>
      <c r="M129" s="515" cm="1">
        <f t="array" ref="M129">SUMPRODUCT(--(ISNUMBER(SEARCH($A129,'Diags Raw Data'!$A$6:$A$4003))),--('Diags Raw Data'!$Q$6:$Q$4003&lt;&gt;"N/A"),'Diags Raw Data'!$R$6:$R$4003)</f>
        <v>0</v>
      </c>
      <c r="N129" s="516" cm="1">
        <f t="array" ref="N129">SUMPRODUCT(--(ISNUMBER(SEARCH($A129,'Diags Raw Data'!$A$6:$A$4003))),--('Diags Raw Data'!$Q$6:$Q$4003&lt;&gt;"N/A"),'Diags Raw Data'!$T$6:$T$4003)+SUMPRODUCT(--(ISNUMBER(SEARCH($A129,'Diags Raw Data'!$A$6:$A$4003))),--('Diags Raw Data'!$Q$6:$Q$4003&lt;&gt;"N/A"),'Diags Raw Data'!$U$6:$U$4003)</f>
        <v>0</v>
      </c>
      <c r="O129" s="517">
        <f t="shared" ref="O129:O187" si="19">IF((M129=0),0,N129/M129)</f>
        <v>0</v>
      </c>
      <c r="P129" s="518">
        <f>SUMIF('Diags Raw Data'!$A$6:$A$4003,"*"&amp;$A129&amp;"*",'Diags Raw Data'!$Z$6:$Z$4003)</f>
        <v>0</v>
      </c>
      <c r="Q129" s="519">
        <f>SUM(SUMIF('Diags Raw Data'!$A$6:$A$4003,"*"&amp;$A129&amp;"*",'Diags Raw Data'!$AA$6:$AA$4003),SUMIF('Diags Raw Data'!$A$6:$A$4003,"*"&amp;$A129&amp;"*",'Diags Raw Data'!$AB$6:$AB$4003))</f>
        <v>0</v>
      </c>
      <c r="R129" s="520">
        <f t="shared" ref="R129:R187" si="20">IF((J129=0),0,P129/J129)</f>
        <v>0</v>
      </c>
      <c r="S129" s="520">
        <f t="shared" ref="S129:S187" si="21">IF((P129=0),0,Q129/P129)</f>
        <v>0</v>
      </c>
      <c r="T129" s="521">
        <f t="shared" ref="T129:T187" si="22">R129*S129</f>
        <v>0</v>
      </c>
      <c r="U129" s="456" t="str">
        <f>VLOOKUP(A129,'Diags Raw Data'!$A$6:$AH$4003,33,FALSE)</f>
        <v>N/A</v>
      </c>
      <c r="V129" s="182"/>
    </row>
    <row r="130" spans="1:22" ht="30.75" thickBot="1" x14ac:dyDescent="0.3">
      <c r="A130" s="576">
        <v>12.266</v>
      </c>
      <c r="B130" s="458" t="str">
        <f>VLOOKUP(A130,'Feature Raw Data'!$A$3:$B$3922,2,FALSE)</f>
        <v>GFX12 Firewall update for 40 bit address</v>
      </c>
      <c r="C130" s="459" t="str">
        <f>VLOOKUP(A130,'Feature Raw Data'!$A$3:$C$3922,3,FALSE)</f>
        <v>P1</v>
      </c>
      <c r="D130" s="460" t="str" cm="1">
        <f t="array" ref="D130">_xlfn.TEXTJOIN("",TRUE,IF(ISNUMBER(SEARCH($A130,'Diags Raw Data'!$A$6:$A$4003)),CONCATENATE('Diags Raw Data'!$H$6:$H$4003,", "),""))</f>
        <v xml:space="preserve">rlci9.1 :: rlc_firewall_40bit_address
rlci10.1 :: cp_firewall_40bit_address, </v>
      </c>
      <c r="E130" s="341" t="str">
        <f>VLOOKUP(A130,'Diags Raw Data'!$A$6:$D$4003,4,FALSE)</f>
        <v>CTL</v>
      </c>
      <c r="F130" s="341" t="str">
        <f>VLOOKUP(A130,'Feature Raw Data'!$A$3:$E$3922,5,FALSE)</f>
        <v>New</v>
      </c>
      <c r="G130" s="341" t="str">
        <f t="shared" si="17"/>
        <v>Yes</v>
      </c>
      <c r="H130" s="341" t="str">
        <f t="shared" si="18"/>
        <v>Yes</v>
      </c>
      <c r="I130" s="459">
        <f>SUMIF('Diags Raw Data'!$A$6:$A$4003,"*"&amp;$A130&amp;"*",'Diags Raw Data'!$K$6:$K$4003)</f>
        <v>0</v>
      </c>
      <c r="J130" s="461">
        <f>SUMIF('Diags Raw Data'!$A$6:$A$4003,"*"&amp;$A130&amp;"*",'Diags Raw Data'!$L$6:$L$4003)</f>
        <v>0</v>
      </c>
      <c r="K130" s="513" t="e" cm="1">
        <f t="array" ref="K130">IF(D130="",0, SUMPRODUCT(--(ISNUMBER(SEARCH($A130,'Diags Raw Data'!$A$6:$A$4003))),'Diags Raw Data'!$L$6:$L$4003,'Diags Raw Data'!$N$6:$N$4003)/J130)</f>
        <v>#DIV/0!</v>
      </c>
      <c r="L130" s="514" t="e" cm="1">
        <f t="array" ref="L130">IF(D130="",0, SUMPRODUCT(--(ISNUMBER(SEARCH($A130,'Diags Raw Data'!$A$6:$A$4003))),'Diags Raw Data'!$L$6:$L$4003,'Diags Raw Data'!$P$6:$P$4003)/J130)</f>
        <v>#DIV/0!</v>
      </c>
      <c r="M130" s="515" cm="1">
        <f t="array" ref="M130">SUMPRODUCT(--(ISNUMBER(SEARCH($A130,'Diags Raw Data'!$A$6:$A$4003))),--('Diags Raw Data'!$Q$6:$Q$4003&lt;&gt;"N/A"),'Diags Raw Data'!$R$6:$R$4003)</f>
        <v>1</v>
      </c>
      <c r="N130" s="516" cm="1">
        <f t="array" ref="N130">SUMPRODUCT(--(ISNUMBER(SEARCH($A130,'Diags Raw Data'!$A$6:$A$4003))),--('Diags Raw Data'!$Q$6:$Q$4003&lt;&gt;"N/A"),'Diags Raw Data'!$T$6:$T$4003)+SUMPRODUCT(--(ISNUMBER(SEARCH($A130,'Diags Raw Data'!$A$6:$A$4003))),--('Diags Raw Data'!$Q$6:$Q$4003&lt;&gt;"N/A"),'Diags Raw Data'!$U$6:$U$4003)</f>
        <v>0</v>
      </c>
      <c r="O130" s="517">
        <f t="shared" si="19"/>
        <v>0</v>
      </c>
      <c r="P130" s="518">
        <f>SUMIF('Diags Raw Data'!$A$6:$A$4003,"*"&amp;$A130&amp;"*",'Diags Raw Data'!$Z$6:$Z$4003)</f>
        <v>0</v>
      </c>
      <c r="Q130" s="519">
        <f>SUM(SUMIF('Diags Raw Data'!$A$6:$A$4003,"*"&amp;$A130&amp;"*",'Diags Raw Data'!$AA$6:$AA$4003),SUMIF('Diags Raw Data'!$A$6:$A$4003,"*"&amp;$A130&amp;"*",'Diags Raw Data'!$AB$6:$AB$4003))</f>
        <v>0</v>
      </c>
      <c r="R130" s="520">
        <f t="shared" si="20"/>
        <v>0</v>
      </c>
      <c r="S130" s="520">
        <f t="shared" si="21"/>
        <v>0</v>
      </c>
      <c r="T130" s="521">
        <f t="shared" si="22"/>
        <v>0</v>
      </c>
      <c r="U130" s="456" t="str">
        <f>VLOOKUP(A130,'Diags Raw Data'!$A$6:$AH$4003,33,FALSE)</f>
        <v>WK4</v>
      </c>
      <c r="V130" s="182"/>
    </row>
    <row r="131" spans="1:22" ht="315.75" thickBot="1" x14ac:dyDescent="0.3">
      <c r="A131" s="576">
        <v>12.27</v>
      </c>
      <c r="B131" s="458" t="str">
        <f>VLOOKUP(A131,'Feature Raw Data'!$A$3:$B$3922,2,FALSE)</f>
        <v>Work Graph Scheduler</v>
      </c>
      <c r="C131" s="459" t="str">
        <f>VLOOKUP(A131,'Feature Raw Data'!$A$3:$C$3922,3,FALSE)</f>
        <v>P1</v>
      </c>
      <c r="D131" s="460" t="str" cm="1">
        <f t="array" ref="D131">_xlfn.TEXTJOIN("",TRUE,IF(ISNUMBER(SEARCH($A131,'Diags Raw Data'!$A$6:$A$4003)),CONCATENATE('Diags Raw Data'!$H$6:$H$4003,", "),""))</f>
        <v xml:space="preserve">wgs.6 :: wgs_dispatch_sanity_pm4_01
wgs.8 :: wgs_dispatch_two_pipes_pm4_01
wgs.1 :: wgs_ace_cwsr_pm4_01
wgs.100 :: wgs_dispatch_sanity_tacl_01
wgs.12 :: wgs_gl1_ret_xnack_pm4_01
gci30.3 ::linpack_wgs
wgs_interrrupt_tacl
gci22.11 :: shader_memory_copy
, gci820.0, gfx.inst_perf/flat_atomic_cond_sub_u32_global
gfx.inst_perf/flat_atomic_sub_clamp_u32_global
gfx.inst_perf/ds_cond_sub_rtn_u32
gfx.inst_perf/ds_sub_clamp_rtn_u32
gci1307.0-3, glxi60.7, </v>
      </c>
      <c r="E131" s="341" t="str">
        <f>VLOOKUP(A131,'Diags Raw Data'!$A$6:$D$4003,4,FALSE)</f>
        <v>CTL</v>
      </c>
      <c r="F131" s="341" t="str">
        <f>VLOOKUP(A131,'Feature Raw Data'!$A$3:$E$3922,5,FALSE)</f>
        <v>New</v>
      </c>
      <c r="G131" s="341" t="str">
        <f t="shared" si="17"/>
        <v>Yes</v>
      </c>
      <c r="H131" s="341" t="str">
        <f t="shared" si="18"/>
        <v>Yes</v>
      </c>
      <c r="I131" s="459">
        <f>SUMIF('Diags Raw Data'!$A$6:$A$4003,"*"&amp;$A131&amp;"*",'Diags Raw Data'!$K$6:$K$4003)</f>
        <v>0</v>
      </c>
      <c r="J131" s="461">
        <f>SUMIF('Diags Raw Data'!$A$6:$A$4003,"*"&amp;$A131&amp;"*",'Diags Raw Data'!$L$6:$L$4003)</f>
        <v>0</v>
      </c>
      <c r="K131" s="513" t="e" cm="1">
        <f t="array" ref="K131">IF(D131="",0, SUMPRODUCT(--(ISNUMBER(SEARCH($A131,'Diags Raw Data'!$A$6:$A$4003))),'Diags Raw Data'!$L$6:$L$4003,'Diags Raw Data'!$N$6:$N$4003)/J131)</f>
        <v>#DIV/0!</v>
      </c>
      <c r="L131" s="514" t="e" cm="1">
        <f t="array" ref="L131">IF(D131="",0, SUMPRODUCT(--(ISNUMBER(SEARCH($A131,'Diags Raw Data'!$A$6:$A$4003))),'Diags Raw Data'!$L$6:$L$4003,'Diags Raw Data'!$P$6:$P$4003)/J131)</f>
        <v>#DIV/0!</v>
      </c>
      <c r="M131" s="515" cm="1">
        <f t="array" ref="M131">SUMPRODUCT(--(ISNUMBER(SEARCH($A131,'Diags Raw Data'!$A$6:$A$4003))),--('Diags Raw Data'!$Q$6:$Q$4003&lt;&gt;"N/A"),'Diags Raw Data'!$R$6:$R$4003)</f>
        <v>29</v>
      </c>
      <c r="N131" s="516" cm="1">
        <f t="array" ref="N131">SUMPRODUCT(--(ISNUMBER(SEARCH($A131,'Diags Raw Data'!$A$6:$A$4003))),--('Diags Raw Data'!$Q$6:$Q$4003&lt;&gt;"N/A"),'Diags Raw Data'!$T$6:$T$4003)+SUMPRODUCT(--(ISNUMBER(SEARCH($A131,'Diags Raw Data'!$A$6:$A$4003))),--('Diags Raw Data'!$Q$6:$Q$4003&lt;&gt;"N/A"),'Diags Raw Data'!$U$6:$U$4003)</f>
        <v>15</v>
      </c>
      <c r="O131" s="517">
        <f t="shared" si="19"/>
        <v>0.51724137931034486</v>
      </c>
      <c r="P131" s="518">
        <f>SUMIF('Diags Raw Data'!$A$6:$A$4003,"*"&amp;$A131&amp;"*",'Diags Raw Data'!$Z$6:$Z$4003)</f>
        <v>0</v>
      </c>
      <c r="Q131" s="519">
        <f>SUM(SUMIF('Diags Raw Data'!$A$6:$A$4003,"*"&amp;$A131&amp;"*",'Diags Raw Data'!$AA$6:$AA$4003),SUMIF('Diags Raw Data'!$A$6:$A$4003,"*"&amp;$A131&amp;"*",'Diags Raw Data'!$AB$6:$AB$4003))</f>
        <v>0</v>
      </c>
      <c r="R131" s="520">
        <f t="shared" si="20"/>
        <v>0</v>
      </c>
      <c r="S131" s="520">
        <f t="shared" si="21"/>
        <v>0</v>
      </c>
      <c r="T131" s="521">
        <f t="shared" si="22"/>
        <v>0</v>
      </c>
      <c r="U131" s="456" t="str">
        <f>VLOOKUP(A131,'Diags Raw Data'!$A$6:$AH$4003,33,FALSE)</f>
        <v>WK5</v>
      </c>
      <c r="V131" s="182"/>
    </row>
    <row r="132" spans="1:22" ht="30.75" thickBot="1" x14ac:dyDescent="0.3">
      <c r="A132" s="576">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Data'!$A$6:$A$4003)),CONCATENATE('Diags Raw Data'!$H$6:$H$4003,", "),""))</f>
        <v xml:space="preserve">gci820.0, </v>
      </c>
      <c r="E132" s="341" t="str">
        <f>VLOOKUP(A132,'Diags Raw Data'!$A$6:$D$4003,4,FALSE)</f>
        <v>SH</v>
      </c>
      <c r="F132" s="341" t="str">
        <f>VLOOKUP(A132,'Feature Raw Data'!$A$3:$E$3922,5,FALSE)</f>
        <v>New</v>
      </c>
      <c r="G132" s="341" t="str">
        <f t="shared" si="17"/>
        <v>Yes</v>
      </c>
      <c r="H132" s="341" t="str">
        <f t="shared" si="18"/>
        <v>Yes</v>
      </c>
      <c r="I132" s="459">
        <f>SUMIF('Diags Raw Data'!$A$6:$A$4003,"*"&amp;$A132&amp;"*",'Diags Raw Data'!$K$6:$K$4003)</f>
        <v>0</v>
      </c>
      <c r="J132" s="461">
        <f>SUMIF('Diags Raw Data'!$A$6:$A$4003,"*"&amp;$A132&amp;"*",'Diags Raw Data'!$L$6:$L$4003)</f>
        <v>0</v>
      </c>
      <c r="K132" s="513" t="e" cm="1">
        <f t="array" ref="K132">IF(D132="",0, SUMPRODUCT(--(ISNUMBER(SEARCH($A132,'Diags Raw Data'!$A$6:$A$4003))),'Diags Raw Data'!$L$6:$L$4003,'Diags Raw Data'!$N$6:$N$4003)/J132)</f>
        <v>#DIV/0!</v>
      </c>
      <c r="L132" s="514" t="e" cm="1">
        <f t="array" ref="L132">IF(D132="",0, SUMPRODUCT(--(ISNUMBER(SEARCH($A132,'Diags Raw Data'!$A$6:$A$4003))),'Diags Raw Data'!$L$6:$L$4003,'Diags Raw Data'!$P$6:$P$4003)/J132)</f>
        <v>#DIV/0!</v>
      </c>
      <c r="M132" s="515" cm="1">
        <f t="array" ref="M132">SUMPRODUCT(--(ISNUMBER(SEARCH($A132,'Diags Raw Data'!$A$6:$A$4003))),--('Diags Raw Data'!$Q$6:$Q$4003&lt;&gt;"N/A"),'Diags Raw Data'!$R$6:$R$4003)</f>
        <v>14</v>
      </c>
      <c r="N132" s="516" cm="1">
        <f t="array" ref="N132">SUMPRODUCT(--(ISNUMBER(SEARCH($A132,'Diags Raw Data'!$A$6:$A$4003))),--('Diags Raw Data'!$Q$6:$Q$4003&lt;&gt;"N/A"),'Diags Raw Data'!$T$6:$T$4003)+SUMPRODUCT(--(ISNUMBER(SEARCH($A132,'Diags Raw Data'!$A$6:$A$4003))),--('Diags Raw Data'!$Q$6:$Q$4003&lt;&gt;"N/A"),'Diags Raw Data'!$U$6:$U$4003)</f>
        <v>0</v>
      </c>
      <c r="O132" s="517">
        <f t="shared" si="19"/>
        <v>0</v>
      </c>
      <c r="P132" s="518">
        <f>SUMIF('Diags Raw Data'!$A$6:$A$4003,"*"&amp;$A132&amp;"*",'Diags Raw Data'!$Z$6:$Z$4003)</f>
        <v>0</v>
      </c>
      <c r="Q132" s="519">
        <f>SUM(SUMIF('Diags Raw Data'!$A$6:$A$4003,"*"&amp;$A132&amp;"*",'Diags Raw Data'!$AA$6:$AA$4003),SUMIF('Diags Raw Data'!$A$6:$A$4003,"*"&amp;$A132&amp;"*",'Diags Raw Data'!$AB$6:$AB$4003))</f>
        <v>0</v>
      </c>
      <c r="R132" s="520">
        <f t="shared" si="20"/>
        <v>0</v>
      </c>
      <c r="S132" s="520">
        <f t="shared" si="21"/>
        <v>0</v>
      </c>
      <c r="T132" s="521">
        <f t="shared" si="22"/>
        <v>0</v>
      </c>
      <c r="U132" s="456" t="str">
        <f>VLOOKUP(A132,'Diags Raw Data'!$A$6:$AH$4003,33,FALSE)</f>
        <v>WK5</v>
      </c>
      <c r="V132" s="182"/>
    </row>
    <row r="133" spans="1:22" ht="120.75" thickBot="1" x14ac:dyDescent="0.3">
      <c r="A133" s="576">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Data'!$A$6:$A$4003)),CONCATENATE('Diags Raw Data'!$H$6:$H$4003,", "),""))</f>
        <v xml:space="preserve">gfx.inst_perf/flat_atomic_cond_sub_u32_global
gfx.inst_perf/flat_atomic_sub_clamp_u32_global
gfx.inst_perf/ds_cond_sub_rtn_u32
gfx.inst_perf/ds_sub_clamp_rtn_u32
gci1307.0-3, </v>
      </c>
      <c r="E133" s="341" t="str">
        <f>VLOOKUP(A133,'Diags Raw Data'!$A$6:$D$4003,4,FALSE)</f>
        <v>SH</v>
      </c>
      <c r="F133" s="341" t="str">
        <f>VLOOKUP(A133,'Feature Raw Data'!$A$3:$E$3922,5,FALSE)</f>
        <v>New</v>
      </c>
      <c r="G133" s="341" t="str">
        <f t="shared" si="17"/>
        <v>Yes</v>
      </c>
      <c r="H133" s="341" t="str">
        <f t="shared" si="18"/>
        <v>Yes</v>
      </c>
      <c r="I133" s="459">
        <f>SUMIF('Diags Raw Data'!$A$6:$A$4003,"*"&amp;$A133&amp;"*",'Diags Raw Data'!$K$6:$K$4003)</f>
        <v>0</v>
      </c>
      <c r="J133" s="461">
        <f>SUMIF('Diags Raw Data'!$A$6:$A$4003,"*"&amp;$A133&amp;"*",'Diags Raw Data'!$L$6:$L$4003)</f>
        <v>0</v>
      </c>
      <c r="K133" s="513" t="e" cm="1">
        <f t="array" ref="K133">IF(D133="",0, SUMPRODUCT(--(ISNUMBER(SEARCH($A133,'Diags Raw Data'!$A$6:$A$4003))),'Diags Raw Data'!$L$6:$L$4003,'Diags Raw Data'!$N$6:$N$4003)/J133)</f>
        <v>#DIV/0!</v>
      </c>
      <c r="L133" s="514" t="e" cm="1">
        <f t="array" ref="L133">IF(D133="",0, SUMPRODUCT(--(ISNUMBER(SEARCH($A133,'Diags Raw Data'!$A$6:$A$4003))),'Diags Raw Data'!$L$6:$L$4003,'Diags Raw Data'!$P$6:$P$4003)/J133)</f>
        <v>#DIV/0!</v>
      </c>
      <c r="M133" s="515" cm="1">
        <f t="array" ref="M133">SUMPRODUCT(--(ISNUMBER(SEARCH($A133,'Diags Raw Data'!$A$6:$A$4003))),--('Diags Raw Data'!$Q$6:$Q$4003&lt;&gt;"N/A"),'Diags Raw Data'!$R$6:$R$4003)</f>
        <v>8</v>
      </c>
      <c r="N133" s="516" cm="1">
        <f t="array" ref="N133">SUMPRODUCT(--(ISNUMBER(SEARCH($A133,'Diags Raw Data'!$A$6:$A$4003))),--('Diags Raw Data'!$Q$6:$Q$4003&lt;&gt;"N/A"),'Diags Raw Data'!$T$6:$T$4003)+SUMPRODUCT(--(ISNUMBER(SEARCH($A133,'Diags Raw Data'!$A$6:$A$4003))),--('Diags Raw Data'!$Q$6:$Q$4003&lt;&gt;"N/A"),'Diags Raw Data'!$U$6:$U$4003)</f>
        <v>8</v>
      </c>
      <c r="O133" s="517">
        <f t="shared" si="19"/>
        <v>1</v>
      </c>
      <c r="P133" s="518">
        <f>SUMIF('Diags Raw Data'!$A$6:$A$4003,"*"&amp;$A133&amp;"*",'Diags Raw Data'!$Z$6:$Z$4003)</f>
        <v>0</v>
      </c>
      <c r="Q133" s="519">
        <f>SUM(SUMIF('Diags Raw Data'!$A$6:$A$4003,"*"&amp;$A133&amp;"*",'Diags Raw Data'!$AA$6:$AA$4003),SUMIF('Diags Raw Data'!$A$6:$A$4003,"*"&amp;$A133&amp;"*",'Diags Raw Data'!$AB$6:$AB$4003))</f>
        <v>0</v>
      </c>
      <c r="R133" s="520">
        <f t="shared" si="20"/>
        <v>0</v>
      </c>
      <c r="S133" s="520">
        <f t="shared" si="21"/>
        <v>0</v>
      </c>
      <c r="T133" s="521">
        <f t="shared" si="22"/>
        <v>0</v>
      </c>
      <c r="U133" s="456" t="str">
        <f>VLOOKUP(A133,'Diags Raw Data'!$A$6:$AH$4003,33,FALSE)</f>
        <v>WK8</v>
      </c>
      <c r="V133" s="182"/>
    </row>
    <row r="134" spans="1:22" ht="30.75" thickBot="1" x14ac:dyDescent="0.3">
      <c r="A134" s="576">
        <v>12.278</v>
      </c>
      <c r="B134" s="458" t="str">
        <f>VLOOKUP(A134,'Feature Raw Data'!$A$3:$B$3922,2,FALSE)</f>
        <v>DCC sector size to increase to 128B</v>
      </c>
      <c r="C134" s="459" t="str">
        <f>VLOOKUP(A134,'Feature Raw Data'!$A$3:$C$3922,3,FALSE)</f>
        <v>P1</v>
      </c>
      <c r="D134" s="460" t="str" cm="1">
        <f t="array" ref="D134">_xlfn.TEXTJOIN("",TRUE,IF(ISNUMBER(SEARCH($A134,'Diags Raw Data'!$A$6:$A$4003)),CONCATENATE('Diags Raw Data'!$H$6:$H$4003,", "),""))</f>
        <v xml:space="preserve">glxi60.7, </v>
      </c>
      <c r="E134" s="341" t="str">
        <f>VLOOKUP(A134,'Diags Raw Data'!$A$6:$D$4003,4,FALSE)</f>
        <v>CMM</v>
      </c>
      <c r="F134" s="341" t="str">
        <f>VLOOKUP(A134,'Feature Raw Data'!$A$3:$E$3922,5,FALSE)</f>
        <v>New</v>
      </c>
      <c r="G134" s="341" t="str">
        <f t="shared" si="17"/>
        <v>Yes</v>
      </c>
      <c r="H134" s="341" t="str">
        <f t="shared" si="18"/>
        <v>Yes</v>
      </c>
      <c r="I134" s="459">
        <f>SUMIF('Diags Raw Data'!$A$6:$A$4003,"*"&amp;$A134&amp;"*",'Diags Raw Data'!$K$6:$K$4003)</f>
        <v>0</v>
      </c>
      <c r="J134" s="461">
        <f>SUMIF('Diags Raw Data'!$A$6:$A$4003,"*"&amp;$A134&amp;"*",'Diags Raw Data'!$L$6:$L$4003)</f>
        <v>0</v>
      </c>
      <c r="K134" s="513" t="e" cm="1">
        <f t="array" ref="K134">IF(D134="",0, SUMPRODUCT(--(ISNUMBER(SEARCH($A134,'Diags Raw Data'!$A$6:$A$4003))),'Diags Raw Data'!$L$6:$L$4003,'Diags Raw Data'!$N$6:$N$4003)/J134)</f>
        <v>#DIV/0!</v>
      </c>
      <c r="L134" s="514" t="e" cm="1">
        <f t="array" ref="L134">IF(D134="",0, SUMPRODUCT(--(ISNUMBER(SEARCH($A134,'Diags Raw Data'!$A$6:$A$4003))),'Diags Raw Data'!$L$6:$L$4003,'Diags Raw Data'!$P$6:$P$4003)/J134)</f>
        <v>#DIV/0!</v>
      </c>
      <c r="M134" s="515" cm="1">
        <f t="array" ref="M134">SUMPRODUCT(--(ISNUMBER(SEARCH($A134,'Diags Raw Data'!$A$6:$A$4003))),--('Diags Raw Data'!$Q$6:$Q$4003&lt;&gt;"N/A"),'Diags Raw Data'!$R$6:$R$4003)</f>
        <v>1</v>
      </c>
      <c r="N134" s="516" cm="1">
        <f t="array" ref="N134">SUMPRODUCT(--(ISNUMBER(SEARCH($A134,'Diags Raw Data'!$A$6:$A$4003))),--('Diags Raw Data'!$Q$6:$Q$4003&lt;&gt;"N/A"),'Diags Raw Data'!$T$6:$T$4003)+SUMPRODUCT(--(ISNUMBER(SEARCH($A134,'Diags Raw Data'!$A$6:$A$4003))),--('Diags Raw Data'!$Q$6:$Q$4003&lt;&gt;"N/A"),'Diags Raw Data'!$U$6:$U$4003)</f>
        <v>1</v>
      </c>
      <c r="O134" s="517">
        <f t="shared" si="19"/>
        <v>1</v>
      </c>
      <c r="P134" s="518">
        <f>SUMIF('Diags Raw Data'!$A$6:$A$4003,"*"&amp;$A134&amp;"*",'Diags Raw Data'!$Z$6:$Z$4003)</f>
        <v>0</v>
      </c>
      <c r="Q134" s="519">
        <f>SUM(SUMIF('Diags Raw Data'!$A$6:$A$4003,"*"&amp;$A134&amp;"*",'Diags Raw Data'!$AA$6:$AA$4003),SUMIF('Diags Raw Data'!$A$6:$A$4003,"*"&amp;$A134&amp;"*",'Diags Raw Data'!$AB$6:$AB$4003))</f>
        <v>0</v>
      </c>
      <c r="R134" s="520">
        <f t="shared" si="20"/>
        <v>0</v>
      </c>
      <c r="S134" s="520">
        <f t="shared" si="21"/>
        <v>0</v>
      </c>
      <c r="T134" s="521">
        <f t="shared" si="22"/>
        <v>0</v>
      </c>
      <c r="U134" s="456" t="str">
        <f>VLOOKUP(A134,'Diags Raw Data'!$A$6:$AH$4003,33,FALSE)</f>
        <v>WK5</v>
      </c>
      <c r="V134" s="182"/>
    </row>
    <row r="135" spans="1:22" ht="45.75" thickBot="1" x14ac:dyDescent="0.3">
      <c r="A135" s="576">
        <v>12.28</v>
      </c>
      <c r="B135" s="458" t="str">
        <f>VLOOKUP(A135,'Feature Raw Data'!$A$3:$B$3922,2,FALSE)</f>
        <v>DCC auto-CT detection</v>
      </c>
      <c r="C135" s="459" t="str">
        <f>VLOOKUP(A135,'Feature Raw Data'!$A$3:$C$3922,3,FALSE)</f>
        <v>P1</v>
      </c>
      <c r="D135" s="460" t="str" cm="1">
        <f t="array" ref="D135">_xlfn.TEXTJOIN("",TRUE,IF(ISNUMBER(SEARCH($A135,'Diags Raw Data'!$A$6:$A$4003)),CONCATENATE('Diags Raw Data'!$H$6:$H$4003,", "),""))</f>
        <v xml:space="preserve">glxi60.5, glxi60.6, navi48.gfx.ge.register_access, N/A, N/A, N/A, N/A, </v>
      </c>
      <c r="E135" s="341" t="str">
        <f>VLOOKUP(A135,'Diags Raw Data'!$A$6:$D$4003,4,FALSE)</f>
        <v>CMM</v>
      </c>
      <c r="F135" s="341" t="str">
        <f>VLOOKUP(A135,'Feature Raw Data'!$A$3:$E$3922,5,FALSE)</f>
        <v>New</v>
      </c>
      <c r="G135" s="341" t="str">
        <f t="shared" si="17"/>
        <v>Yes</v>
      </c>
      <c r="H135" s="341" t="str">
        <f t="shared" si="18"/>
        <v>Yes</v>
      </c>
      <c r="I135" s="459">
        <f>SUMIF('Diags Raw Data'!$A$6:$A$4003,"*"&amp;$A135&amp;"*",'Diags Raw Data'!$K$6:$K$4003)</f>
        <v>0</v>
      </c>
      <c r="J135" s="461">
        <f>SUMIF('Diags Raw Data'!$A$6:$A$4003,"*"&amp;$A135&amp;"*",'Diags Raw Data'!$L$6:$L$4003)</f>
        <v>0</v>
      </c>
      <c r="K135" s="513" t="e" cm="1">
        <f t="array" ref="K135">IF(D135="",0, SUMPRODUCT(--(ISNUMBER(SEARCH($A135,'Diags Raw Data'!$A$6:$A$4003))),'Diags Raw Data'!$L$6:$L$4003,'Diags Raw Data'!$N$6:$N$4003)/J135)</f>
        <v>#DIV/0!</v>
      </c>
      <c r="L135" s="514" t="e" cm="1">
        <f t="array" ref="L135">IF(D135="",0, SUMPRODUCT(--(ISNUMBER(SEARCH($A135,'Diags Raw Data'!$A$6:$A$4003))),'Diags Raw Data'!$L$6:$L$4003,'Diags Raw Data'!$P$6:$P$4003)/J135)</f>
        <v>#DIV/0!</v>
      </c>
      <c r="M135" s="515" cm="1">
        <f t="array" ref="M135">SUMPRODUCT(--(ISNUMBER(SEARCH($A135,'Diags Raw Data'!$A$6:$A$4003))),--('Diags Raw Data'!$Q$6:$Q$4003&lt;&gt;"N/A"),'Diags Raw Data'!$R$6:$R$4003)</f>
        <v>4</v>
      </c>
      <c r="N135" s="516" cm="1">
        <f t="array" ref="N135">SUMPRODUCT(--(ISNUMBER(SEARCH($A135,'Diags Raw Data'!$A$6:$A$4003))),--('Diags Raw Data'!$Q$6:$Q$4003&lt;&gt;"N/A"),'Diags Raw Data'!$T$6:$T$4003)+SUMPRODUCT(--(ISNUMBER(SEARCH($A135,'Diags Raw Data'!$A$6:$A$4003))),--('Diags Raw Data'!$Q$6:$Q$4003&lt;&gt;"N/A"),'Diags Raw Data'!$U$6:$U$4003)</f>
        <v>4</v>
      </c>
      <c r="O135" s="517">
        <f t="shared" si="19"/>
        <v>1</v>
      </c>
      <c r="P135" s="518">
        <f>SUMIF('Diags Raw Data'!$A$6:$A$4003,"*"&amp;$A135&amp;"*",'Diags Raw Data'!$Z$6:$Z$4003)</f>
        <v>0</v>
      </c>
      <c r="Q135" s="519">
        <f>SUM(SUMIF('Diags Raw Data'!$A$6:$A$4003,"*"&amp;$A135&amp;"*",'Diags Raw Data'!$AA$6:$AA$4003),SUMIF('Diags Raw Data'!$A$6:$A$4003,"*"&amp;$A135&amp;"*",'Diags Raw Data'!$AB$6:$AB$4003))</f>
        <v>0</v>
      </c>
      <c r="R135" s="520">
        <f t="shared" si="20"/>
        <v>0</v>
      </c>
      <c r="S135" s="520">
        <f t="shared" si="21"/>
        <v>0</v>
      </c>
      <c r="T135" s="521">
        <f t="shared" si="22"/>
        <v>0</v>
      </c>
      <c r="U135" s="456" t="str">
        <f>VLOOKUP(A135,'Diags Raw Data'!$A$6:$AH$4003,33,FALSE)</f>
        <v>WK5</v>
      </c>
      <c r="V135" s="182"/>
    </row>
    <row r="136" spans="1:22" s="187" customFormat="1" ht="30.75" thickBot="1" x14ac:dyDescent="0.3">
      <c r="A136" s="576">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Data'!$A$6:$A$4003)),CONCATENATE('Diags Raw Data'!$H$6:$H$4003,", "),""))</f>
        <v xml:space="preserve">glxi60.6, </v>
      </c>
      <c r="E136" s="341" t="str">
        <f>VLOOKUP(A136,'Diags Raw Data'!$A$6:$D$4003,4,FALSE)</f>
        <v>CMM</v>
      </c>
      <c r="F136" s="341" t="str">
        <f>VLOOKUP(A136,'Feature Raw Data'!$A$3:$E$3922,5,FALSE)</f>
        <v>New</v>
      </c>
      <c r="G136" s="341" t="str">
        <f t="shared" si="17"/>
        <v>Yes</v>
      </c>
      <c r="H136" s="341" t="str">
        <f t="shared" si="18"/>
        <v>Yes</v>
      </c>
      <c r="I136" s="459">
        <f>SUMIF('Diags Raw Data'!$A$6:$A$4003,"*"&amp;$A136&amp;"*",'Diags Raw Data'!$K$6:$K$4003)</f>
        <v>0</v>
      </c>
      <c r="J136" s="461">
        <f>SUMIF('Diags Raw Data'!$A$6:$A$4003,"*"&amp;$A136&amp;"*",'Diags Raw Data'!$L$6:$L$4003)</f>
        <v>0</v>
      </c>
      <c r="K136" s="513" t="e" cm="1">
        <f t="array" ref="K136">IF(D136="",0, SUMPRODUCT(--(ISNUMBER(SEARCH($A136,'Diags Raw Data'!$A$6:$A$4003))),'Diags Raw Data'!$L$6:$L$4003,'Diags Raw Data'!$N$6:$N$4003)/J136)</f>
        <v>#DIV/0!</v>
      </c>
      <c r="L136" s="514" t="e" cm="1">
        <f t="array" ref="L136">IF(D136="",0, SUMPRODUCT(--(ISNUMBER(SEARCH($A136,'Diags Raw Data'!$A$6:$A$4003))),'Diags Raw Data'!$L$6:$L$4003,'Diags Raw Data'!$P$6:$P$4003)/J136)</f>
        <v>#DIV/0!</v>
      </c>
      <c r="M136" s="515" cm="1">
        <f t="array" ref="M136">SUMPRODUCT(--(ISNUMBER(SEARCH($A136,'Diags Raw Data'!$A$6:$A$4003))),--('Diags Raw Data'!$Q$6:$Q$4003&lt;&gt;"N/A"),'Diags Raw Data'!$R$6:$R$4003)</f>
        <v>1</v>
      </c>
      <c r="N136" s="516" cm="1">
        <f t="array" ref="N136">SUMPRODUCT(--(ISNUMBER(SEARCH($A136,'Diags Raw Data'!$A$6:$A$4003))),--('Diags Raw Data'!$Q$6:$Q$4003&lt;&gt;"N/A"),'Diags Raw Data'!$T$6:$T$4003)+SUMPRODUCT(--(ISNUMBER(SEARCH($A136,'Diags Raw Data'!$A$6:$A$4003))),--('Diags Raw Data'!$Q$6:$Q$4003&lt;&gt;"N/A"),'Diags Raw Data'!$U$6:$U$4003)</f>
        <v>1</v>
      </c>
      <c r="O136" s="517">
        <f t="shared" si="19"/>
        <v>1</v>
      </c>
      <c r="P136" s="518">
        <f>SUMIF('Diags Raw Data'!$A$6:$A$4003,"*"&amp;$A136&amp;"*",'Diags Raw Data'!$Z$6:$Z$4003)</f>
        <v>0</v>
      </c>
      <c r="Q136" s="519">
        <f>SUM(SUMIF('Diags Raw Data'!$A$6:$A$4003,"*"&amp;$A136&amp;"*",'Diags Raw Data'!$AA$6:$AA$4003),SUMIF('Diags Raw Data'!$A$6:$A$4003,"*"&amp;$A136&amp;"*",'Diags Raw Data'!$AB$6:$AB$4003))</f>
        <v>0</v>
      </c>
      <c r="R136" s="520">
        <f t="shared" si="20"/>
        <v>0</v>
      </c>
      <c r="S136" s="520">
        <f t="shared" si="21"/>
        <v>0</v>
      </c>
      <c r="T136" s="521">
        <f t="shared" si="22"/>
        <v>0</v>
      </c>
      <c r="U136" s="456" t="str">
        <f>VLOOKUP(A136,'Diags Raw Data'!$A$6:$AH$4003,33,FALSE)</f>
        <v>WK5</v>
      </c>
      <c r="V136" s="186"/>
    </row>
    <row r="137" spans="1:22" ht="15.75" thickBot="1" x14ac:dyDescent="0.3">
      <c r="A137" s="576">
        <v>12.282</v>
      </c>
      <c r="B137" s="458" t="str">
        <f>VLOOKUP(A137,'Feature Raw Data'!$A$3:$B$3922,2,FALSE)</f>
        <v>rename GE BIA containers</v>
      </c>
      <c r="C137" s="459" t="str">
        <f>VLOOKUP(A137,'Feature Raw Data'!$A$3:$C$3922,3,FALSE)</f>
        <v>P1</v>
      </c>
      <c r="D137" s="460" t="str" cm="1">
        <f t="array" ref="D137">_xlfn.TEXTJOIN("",TRUE,IF(ISNUMBER(SEARCH($A137,'Diags Raw Data'!$A$6:$A$4003)),CONCATENATE('Diags Raw Data'!$H$6:$H$4003,", "),""))</f>
        <v xml:space="preserve">navi48.gfx.ge.register_access, </v>
      </c>
      <c r="E137" s="341" t="str">
        <f>VLOOKUP(A137,'Diags Raw Data'!$A$6:$D$4003,4,FALSE)</f>
        <v>GEO</v>
      </c>
      <c r="F137" s="341" t="str">
        <f>VLOOKUP(A137,'Feature Raw Data'!$A$3:$E$3922,5,FALSE)</f>
        <v>New</v>
      </c>
      <c r="G137" s="341" t="str">
        <f t="shared" si="17"/>
        <v>Yes</v>
      </c>
      <c r="H137" s="341" t="str">
        <f t="shared" si="18"/>
        <v>Yes</v>
      </c>
      <c r="I137" s="459">
        <f>SUMIF('Diags Raw Data'!$A$6:$A$4003,"*"&amp;$A137&amp;"*",'Diags Raw Data'!$K$6:$K$4003)</f>
        <v>0</v>
      </c>
      <c r="J137" s="461">
        <f>SUMIF('Diags Raw Data'!$A$6:$A$4003,"*"&amp;$A137&amp;"*",'Diags Raw Data'!$L$6:$L$4003)</f>
        <v>0</v>
      </c>
      <c r="K137" s="513" t="e" cm="1">
        <f t="array" ref="K137">IF(D137="",0, SUMPRODUCT(--(ISNUMBER(SEARCH($A137,'Diags Raw Data'!$A$6:$A$4003))),'Diags Raw Data'!$L$6:$L$4003,'Diags Raw Data'!$N$6:$N$4003)/J137)</f>
        <v>#DIV/0!</v>
      </c>
      <c r="L137" s="514" t="e" cm="1">
        <f t="array" ref="L137">IF(D137="",0, SUMPRODUCT(--(ISNUMBER(SEARCH($A137,'Diags Raw Data'!$A$6:$A$4003))),'Diags Raw Data'!$L$6:$L$4003,'Diags Raw Data'!$P$6:$P$4003)/J137)</f>
        <v>#DIV/0!</v>
      </c>
      <c r="M137" s="515" cm="1">
        <f t="array" ref="M137">SUMPRODUCT(--(ISNUMBER(SEARCH($A137,'Diags Raw Data'!$A$6:$A$4003))),--('Diags Raw Data'!$Q$6:$Q$4003&lt;&gt;"N/A"),'Diags Raw Data'!$R$6:$R$4003)</f>
        <v>1</v>
      </c>
      <c r="N137" s="516" cm="1">
        <f t="array" ref="N137">SUMPRODUCT(--(ISNUMBER(SEARCH($A137,'Diags Raw Data'!$A$6:$A$4003))),--('Diags Raw Data'!$Q$6:$Q$4003&lt;&gt;"N/A"),'Diags Raw Data'!$T$6:$T$4003)+SUMPRODUCT(--(ISNUMBER(SEARCH($A137,'Diags Raw Data'!$A$6:$A$4003))),--('Diags Raw Data'!$Q$6:$Q$4003&lt;&gt;"N/A"),'Diags Raw Data'!$U$6:$U$4003)</f>
        <v>1</v>
      </c>
      <c r="O137" s="517">
        <f t="shared" si="19"/>
        <v>1</v>
      </c>
      <c r="P137" s="518">
        <f>SUMIF('Diags Raw Data'!$A$6:$A$4003,"*"&amp;$A137&amp;"*",'Diags Raw Data'!$Z$6:$Z$4003)</f>
        <v>0</v>
      </c>
      <c r="Q137" s="519">
        <f>SUM(SUMIF('Diags Raw Data'!$A$6:$A$4003,"*"&amp;$A137&amp;"*",'Diags Raw Data'!$AA$6:$AA$4003),SUMIF('Diags Raw Data'!$A$6:$A$4003,"*"&amp;$A137&amp;"*",'Diags Raw Data'!$AB$6:$AB$4003))</f>
        <v>0</v>
      </c>
      <c r="R137" s="520">
        <f t="shared" si="20"/>
        <v>0</v>
      </c>
      <c r="S137" s="520">
        <f t="shared" si="21"/>
        <v>0</v>
      </c>
      <c r="T137" s="521">
        <f t="shared" si="22"/>
        <v>0</v>
      </c>
      <c r="U137" s="456" t="str">
        <f>VLOOKUP(A137,'Diags Raw Data'!$A$6:$AH$4003,33,FALSE)</f>
        <v>WK3</v>
      </c>
      <c r="V137" s="182"/>
    </row>
    <row r="138" spans="1:22" ht="45.75" thickBot="1" x14ac:dyDescent="0.3">
      <c r="A138" s="576">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9">
        <f>SUMIF('Diags Raw Data'!$A$6:$A$4003,"*"&amp;$A138&amp;"*",'Diags Raw Data'!$K$6:$K$4003)</f>
        <v>0</v>
      </c>
      <c r="J138" s="461">
        <f>SUMIF('Diags Raw Data'!$A$6:$A$4003,"*"&amp;$A138&amp;"*",'Diags Raw Data'!$L$6:$L$4003)</f>
        <v>0</v>
      </c>
      <c r="K138" s="513" t="e" cm="1">
        <f t="array" ref="K138">IF(D138="",0, SUMPRODUCT(--(ISNUMBER(SEARCH($A138,'Diags Raw Data'!$A$6:$A$4003))),'Diags Raw Data'!$L$6:$L$4003,'Diags Raw Data'!$N$6:$N$4003)/J138)</f>
        <v>#DIV/0!</v>
      </c>
      <c r="L138" s="514" t="e" cm="1">
        <f t="array" ref="L138">IF(D138="",0, SUMPRODUCT(--(ISNUMBER(SEARCH($A138,'Diags Raw Data'!$A$6:$A$4003))),'Diags Raw Data'!$L$6:$L$4003,'Diags Raw Data'!$P$6:$P$4003)/J138)</f>
        <v>#DIV/0!</v>
      </c>
      <c r="M138" s="515" cm="1">
        <f t="array" ref="M138">SUMPRODUCT(--(ISNUMBER(SEARCH($A138,'Diags Raw Data'!$A$6:$A$4003))),--('Diags Raw Data'!$Q$6:$Q$4003&lt;&gt;"N/A"),'Diags Raw Data'!$R$6:$R$4003)</f>
        <v>0</v>
      </c>
      <c r="N138" s="516" cm="1">
        <f t="array" ref="N138">SUMPRODUCT(--(ISNUMBER(SEARCH($A138,'Diags Raw Data'!$A$6:$A$4003))),--('Diags Raw Data'!$Q$6:$Q$4003&lt;&gt;"N/A"),'Diags Raw Data'!$T$6:$T$4003)+SUMPRODUCT(--(ISNUMBER(SEARCH($A138,'Diags Raw Data'!$A$6:$A$4003))),--('Diags Raw Data'!$Q$6:$Q$4003&lt;&gt;"N/A"),'Diags Raw Data'!$U$6:$U$4003)</f>
        <v>0</v>
      </c>
      <c r="O138" s="517">
        <f t="shared" si="19"/>
        <v>0</v>
      </c>
      <c r="P138" s="518">
        <f>SUMIF('Diags Raw Data'!$A$6:$A$4003,"*"&amp;$A138&amp;"*",'Diags Raw Data'!$Z$6:$Z$4003)</f>
        <v>0</v>
      </c>
      <c r="Q138" s="519">
        <f>SUM(SUMIF('Diags Raw Data'!$A$6:$A$4003,"*"&amp;$A138&amp;"*",'Diags Raw Data'!$AA$6:$AA$4003),SUMIF('Diags Raw Data'!$A$6:$A$4003,"*"&amp;$A138&amp;"*",'Diags Raw Data'!$AB$6:$AB$4003))</f>
        <v>0</v>
      </c>
      <c r="R138" s="520">
        <f t="shared" si="20"/>
        <v>0</v>
      </c>
      <c r="S138" s="520">
        <f t="shared" si="21"/>
        <v>0</v>
      </c>
      <c r="T138" s="521">
        <f t="shared" si="22"/>
        <v>0</v>
      </c>
      <c r="U138" s="456" t="str">
        <f>VLOOKUP(A138,'Diags Raw Data'!$A$6:$AH$4003,33,FALSE)</f>
        <v>N/A</v>
      </c>
      <c r="V138" s="585" t="s">
        <v>464</v>
      </c>
    </row>
    <row r="139" spans="1:22" ht="30.75" thickBot="1" x14ac:dyDescent="0.3">
      <c r="A139" s="576">
        <v>12.285</v>
      </c>
      <c r="B139" s="458" t="str">
        <f>VLOOKUP(A139,'Feature Raw Data'!$A$3:$B$3922,2,FALSE)</f>
        <v>Remove BIG_PAGE control for UTC probing</v>
      </c>
      <c r="C139" s="459" t="str">
        <f>VLOOKUP(A139,'Feature Raw Data'!$A$3:$C$3922,3,FALSE)</f>
        <v>P2</v>
      </c>
      <c r="D139" s="460"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9">
        <f>SUMIF('Diags Raw Data'!$A$6:$A$4003,"*"&amp;$A139&amp;"*",'Diags Raw Data'!$K$6:$K$4003)</f>
        <v>0</v>
      </c>
      <c r="J139" s="461">
        <f>SUMIF('Diags Raw Data'!$A$6:$A$4003,"*"&amp;$A139&amp;"*",'Diags Raw Data'!$L$6:$L$4003)</f>
        <v>0</v>
      </c>
      <c r="K139" s="513" t="e" cm="1">
        <f t="array" ref="K139">IF(D139="",0, SUMPRODUCT(--(ISNUMBER(SEARCH($A139,'Diags Raw Data'!$A$6:$A$4003))),'Diags Raw Data'!$L$6:$L$4003,'Diags Raw Data'!$N$6:$N$4003)/J139)</f>
        <v>#DIV/0!</v>
      </c>
      <c r="L139" s="514" t="e" cm="1">
        <f t="array" ref="L139">IF(D139="",0, SUMPRODUCT(--(ISNUMBER(SEARCH($A139,'Diags Raw Data'!$A$6:$A$4003))),'Diags Raw Data'!$L$6:$L$4003,'Diags Raw Data'!$P$6:$P$4003)/J139)</f>
        <v>#DIV/0!</v>
      </c>
      <c r="M139" s="515" cm="1">
        <f t="array" ref="M139">SUMPRODUCT(--(ISNUMBER(SEARCH($A139,'Diags Raw Data'!$A$6:$A$4003))),--('Diags Raw Data'!$Q$6:$Q$4003&lt;&gt;"N/A"),'Diags Raw Data'!$R$6:$R$4003)</f>
        <v>0</v>
      </c>
      <c r="N139" s="516" cm="1">
        <f t="array" ref="N139">SUMPRODUCT(--(ISNUMBER(SEARCH($A139,'Diags Raw Data'!$A$6:$A$4003))),--('Diags Raw Data'!$Q$6:$Q$4003&lt;&gt;"N/A"),'Diags Raw Data'!$T$6:$T$4003)+SUMPRODUCT(--(ISNUMBER(SEARCH($A139,'Diags Raw Data'!$A$6:$A$4003))),--('Diags Raw Data'!$Q$6:$Q$4003&lt;&gt;"N/A"),'Diags Raw Data'!$U$6:$U$4003)</f>
        <v>0</v>
      </c>
      <c r="O139" s="517">
        <f t="shared" si="19"/>
        <v>0</v>
      </c>
      <c r="P139" s="518">
        <f>SUMIF('Diags Raw Data'!$A$6:$A$4003,"*"&amp;$A139&amp;"*",'Diags Raw Data'!$Z$6:$Z$4003)</f>
        <v>0</v>
      </c>
      <c r="Q139" s="519">
        <f>SUM(SUMIF('Diags Raw Data'!$A$6:$A$4003,"*"&amp;$A139&amp;"*",'Diags Raw Data'!$AA$6:$AA$4003),SUMIF('Diags Raw Data'!$A$6:$A$4003,"*"&amp;$A139&amp;"*",'Diags Raw Data'!$AB$6:$AB$4003))</f>
        <v>0</v>
      </c>
      <c r="R139" s="520">
        <f t="shared" si="20"/>
        <v>0</v>
      </c>
      <c r="S139" s="520">
        <f t="shared" si="21"/>
        <v>0</v>
      </c>
      <c r="T139" s="521">
        <f t="shared" si="22"/>
        <v>0</v>
      </c>
      <c r="U139" s="456" t="str">
        <f>VLOOKUP(A139,'Diags Raw Data'!$A$6:$AH$4003,33,FALSE)</f>
        <v>N/A</v>
      </c>
      <c r="V139" s="585" t="s">
        <v>382</v>
      </c>
    </row>
    <row r="140" spans="1:22" ht="45.75" thickBot="1" x14ac:dyDescent="0.3">
      <c r="A140" s="576">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9">
        <f>SUMIF('Diags Raw Data'!$A$6:$A$4003,"*"&amp;$A140&amp;"*",'Diags Raw Data'!$K$6:$K$4003)</f>
        <v>0</v>
      </c>
      <c r="J140" s="461">
        <f>SUMIF('Diags Raw Data'!$A$6:$A$4003,"*"&amp;$A140&amp;"*",'Diags Raw Data'!$L$6:$L$4003)</f>
        <v>0</v>
      </c>
      <c r="K140" s="513" t="e" cm="1">
        <f t="array" ref="K140">IF(D140="",0, SUMPRODUCT(--(ISNUMBER(SEARCH($A140,'Diags Raw Data'!$A$6:$A$4003))),'Diags Raw Data'!$L$6:$L$4003,'Diags Raw Data'!$N$6:$N$4003)/J140)</f>
        <v>#DIV/0!</v>
      </c>
      <c r="L140" s="514" t="e" cm="1">
        <f t="array" ref="L140">IF(D140="",0, SUMPRODUCT(--(ISNUMBER(SEARCH($A140,'Diags Raw Data'!$A$6:$A$4003))),'Diags Raw Data'!$L$6:$L$4003,'Diags Raw Data'!$P$6:$P$4003)/J140)</f>
        <v>#DIV/0!</v>
      </c>
      <c r="M140" s="515" cm="1">
        <f t="array" ref="M140">SUMPRODUCT(--(ISNUMBER(SEARCH($A140,'Diags Raw Data'!$A$6:$A$4003))),--('Diags Raw Data'!$Q$6:$Q$4003&lt;&gt;"N/A"),'Diags Raw Data'!$R$6:$R$4003)</f>
        <v>0</v>
      </c>
      <c r="N140" s="516" cm="1">
        <f t="array" ref="N140">SUMPRODUCT(--(ISNUMBER(SEARCH($A140,'Diags Raw Data'!$A$6:$A$4003))),--('Diags Raw Data'!$Q$6:$Q$4003&lt;&gt;"N/A"),'Diags Raw Data'!$T$6:$T$4003)+SUMPRODUCT(--(ISNUMBER(SEARCH($A140,'Diags Raw Data'!$A$6:$A$4003))),--('Diags Raw Data'!$Q$6:$Q$4003&lt;&gt;"N/A"),'Diags Raw Data'!$U$6:$U$4003)</f>
        <v>0</v>
      </c>
      <c r="O140" s="517">
        <f t="shared" si="19"/>
        <v>0</v>
      </c>
      <c r="P140" s="518">
        <f>SUMIF('Diags Raw Data'!$A$6:$A$4003,"*"&amp;$A140&amp;"*",'Diags Raw Data'!$Z$6:$Z$4003)</f>
        <v>0</v>
      </c>
      <c r="Q140" s="519">
        <f>SUM(SUMIF('Diags Raw Data'!$A$6:$A$4003,"*"&amp;$A140&amp;"*",'Diags Raw Data'!$AA$6:$AA$4003),SUMIF('Diags Raw Data'!$A$6:$A$4003,"*"&amp;$A140&amp;"*",'Diags Raw Data'!$AB$6:$AB$4003))</f>
        <v>0</v>
      </c>
      <c r="R140" s="520">
        <f t="shared" si="20"/>
        <v>0</v>
      </c>
      <c r="S140" s="520">
        <f t="shared" si="21"/>
        <v>0</v>
      </c>
      <c r="T140" s="521">
        <f t="shared" si="22"/>
        <v>0</v>
      </c>
      <c r="U140" s="456" t="str">
        <f>VLOOKUP(A140,'Diags Raw Data'!$A$6:$AH$4003,33,FALSE)</f>
        <v>N/A</v>
      </c>
      <c r="V140" s="585" t="s">
        <v>382</v>
      </c>
    </row>
    <row r="141" spans="1:22" ht="15.75" thickBot="1" x14ac:dyDescent="0.3">
      <c r="A141" s="576">
        <v>12.287000000000001</v>
      </c>
      <c r="B141" s="458" t="str">
        <f>VLOOKUP(A141,'Feature Raw Data'!$A$3:$B$3922,2,FALSE)</f>
        <v>VRS removal in DCC</v>
      </c>
      <c r="C141" s="459" t="str">
        <f>VLOOKUP(A141,'Feature Raw Data'!$A$3:$C$3922,3,FALSE)</f>
        <v>P1</v>
      </c>
      <c r="D141" s="460"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9">
        <f>SUMIF('Diags Raw Data'!$A$6:$A$4003,"*"&amp;$A141&amp;"*",'Diags Raw Data'!$K$6:$K$4003)</f>
        <v>0</v>
      </c>
      <c r="J141" s="461">
        <f>SUMIF('Diags Raw Data'!$A$6:$A$4003,"*"&amp;$A141&amp;"*",'Diags Raw Data'!$L$6:$L$4003)</f>
        <v>0</v>
      </c>
      <c r="K141" s="513" t="e" cm="1">
        <f t="array" ref="K141">IF(D141="",0, SUMPRODUCT(--(ISNUMBER(SEARCH($A141,'Diags Raw Data'!$A$6:$A$4003))),'Diags Raw Data'!$L$6:$L$4003,'Diags Raw Data'!$N$6:$N$4003)/J141)</f>
        <v>#DIV/0!</v>
      </c>
      <c r="L141" s="514" t="e" cm="1">
        <f t="array" ref="L141">IF(D141="",0, SUMPRODUCT(--(ISNUMBER(SEARCH($A141,'Diags Raw Data'!$A$6:$A$4003))),'Diags Raw Data'!$L$6:$L$4003,'Diags Raw Data'!$P$6:$P$4003)/J141)</f>
        <v>#DIV/0!</v>
      </c>
      <c r="M141" s="515" cm="1">
        <f t="array" ref="M141">SUMPRODUCT(--(ISNUMBER(SEARCH($A141,'Diags Raw Data'!$A$6:$A$4003))),--('Diags Raw Data'!$Q$6:$Q$4003&lt;&gt;"N/A"),'Diags Raw Data'!$R$6:$R$4003)</f>
        <v>0</v>
      </c>
      <c r="N141" s="516" cm="1">
        <f t="array" ref="N141">SUMPRODUCT(--(ISNUMBER(SEARCH($A141,'Diags Raw Data'!$A$6:$A$4003))),--('Diags Raw Data'!$Q$6:$Q$4003&lt;&gt;"N/A"),'Diags Raw Data'!$T$6:$T$4003)+SUMPRODUCT(--(ISNUMBER(SEARCH($A141,'Diags Raw Data'!$A$6:$A$4003))),--('Diags Raw Data'!$Q$6:$Q$4003&lt;&gt;"N/A"),'Diags Raw Data'!$U$6:$U$4003)</f>
        <v>0</v>
      </c>
      <c r="O141" s="517">
        <f t="shared" si="19"/>
        <v>0</v>
      </c>
      <c r="P141" s="518">
        <f>SUMIF('Diags Raw Data'!$A$6:$A$4003,"*"&amp;$A141&amp;"*",'Diags Raw Data'!$Z$6:$Z$4003)</f>
        <v>0</v>
      </c>
      <c r="Q141" s="519">
        <f>SUM(SUMIF('Diags Raw Data'!$A$6:$A$4003,"*"&amp;$A141&amp;"*",'Diags Raw Data'!$AA$6:$AA$4003),SUMIF('Diags Raw Data'!$A$6:$A$4003,"*"&amp;$A141&amp;"*",'Diags Raw Data'!$AB$6:$AB$4003))</f>
        <v>0</v>
      </c>
      <c r="R141" s="520">
        <f t="shared" si="20"/>
        <v>0</v>
      </c>
      <c r="S141" s="520">
        <f t="shared" si="21"/>
        <v>0</v>
      </c>
      <c r="T141" s="521">
        <f t="shared" si="22"/>
        <v>0</v>
      </c>
      <c r="U141" s="456" t="str">
        <f>VLOOKUP(A141,'Diags Raw Data'!$A$6:$AH$4003,33,FALSE)</f>
        <v>N/A</v>
      </c>
      <c r="V141" s="585" t="s">
        <v>382</v>
      </c>
    </row>
    <row r="142" spans="1:22" ht="45.75" thickBot="1" x14ac:dyDescent="0.3">
      <c r="A142" s="576">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9">
        <f>SUMIF('Diags Raw Data'!$A$6:$A$4003,"*"&amp;$A142&amp;"*",'Diags Raw Data'!$K$6:$K$4003)</f>
        <v>0</v>
      </c>
      <c r="J142" s="461">
        <f>SUMIF('Diags Raw Data'!$A$6:$A$4003,"*"&amp;$A142&amp;"*",'Diags Raw Data'!$L$6:$L$4003)</f>
        <v>0</v>
      </c>
      <c r="K142" s="513" t="e" cm="1">
        <f t="array" ref="K142">IF(D142="",0, SUMPRODUCT(--(ISNUMBER(SEARCH($A142,'Diags Raw Data'!$A$6:$A$4003))),'Diags Raw Data'!$L$6:$L$4003,'Diags Raw Data'!$N$6:$N$4003)/J142)</f>
        <v>#DIV/0!</v>
      </c>
      <c r="L142" s="514" t="e" cm="1">
        <f t="array" ref="L142">IF(D142="",0, SUMPRODUCT(--(ISNUMBER(SEARCH($A142,'Diags Raw Data'!$A$6:$A$4003))),'Diags Raw Data'!$L$6:$L$4003,'Diags Raw Data'!$P$6:$P$4003)/J142)</f>
        <v>#DIV/0!</v>
      </c>
      <c r="M142" s="515" cm="1">
        <f t="array" ref="M142">SUMPRODUCT(--(ISNUMBER(SEARCH($A142,'Diags Raw Data'!$A$6:$A$4003))),--('Diags Raw Data'!$Q$6:$Q$4003&lt;&gt;"N/A"),'Diags Raw Data'!$R$6:$R$4003)</f>
        <v>0</v>
      </c>
      <c r="N142" s="516" cm="1">
        <f t="array" ref="N142">SUMPRODUCT(--(ISNUMBER(SEARCH($A142,'Diags Raw Data'!$A$6:$A$4003))),--('Diags Raw Data'!$Q$6:$Q$4003&lt;&gt;"N/A"),'Diags Raw Data'!$T$6:$T$4003)+SUMPRODUCT(--(ISNUMBER(SEARCH($A142,'Diags Raw Data'!$A$6:$A$4003))),--('Diags Raw Data'!$Q$6:$Q$4003&lt;&gt;"N/A"),'Diags Raw Data'!$U$6:$U$4003)</f>
        <v>0</v>
      </c>
      <c r="O142" s="517">
        <f t="shared" si="19"/>
        <v>0</v>
      </c>
      <c r="P142" s="518">
        <f>SUMIF('Diags Raw Data'!$A$6:$A$4003,"*"&amp;$A142&amp;"*",'Diags Raw Data'!$Z$6:$Z$4003)</f>
        <v>0</v>
      </c>
      <c r="Q142" s="519">
        <f>SUM(SUMIF('Diags Raw Data'!$A$6:$A$4003,"*"&amp;$A142&amp;"*",'Diags Raw Data'!$AA$6:$AA$4003),SUMIF('Diags Raw Data'!$A$6:$A$4003,"*"&amp;$A142&amp;"*",'Diags Raw Data'!$AB$6:$AB$4003))</f>
        <v>0</v>
      </c>
      <c r="R142" s="520">
        <f t="shared" si="20"/>
        <v>0</v>
      </c>
      <c r="S142" s="520">
        <f t="shared" si="21"/>
        <v>0</v>
      </c>
      <c r="T142" s="521">
        <f t="shared" si="22"/>
        <v>0</v>
      </c>
      <c r="U142" s="456" t="str">
        <f>VLOOKUP(A142,'Diags Raw Data'!$A$6:$AH$4003,33,FALSE)</f>
        <v>N/A</v>
      </c>
      <c r="V142" s="585" t="s">
        <v>382</v>
      </c>
    </row>
    <row r="143" spans="1:22" ht="30.75" thickBot="1" x14ac:dyDescent="0.3">
      <c r="A143" s="576">
        <v>12.292</v>
      </c>
      <c r="B143" s="458" t="str">
        <f>VLOOKUP(A143,'Feature Raw Data'!$A$3:$B$3922,2,FALSE)</f>
        <v>move offchip lds manager to GE</v>
      </c>
      <c r="C143" s="459" t="str">
        <f>VLOOKUP(A143,'Feature Raw Data'!$A$3:$C$3922,3,FALSE)</f>
        <v>P1</v>
      </c>
      <c r="D143" s="460" t="str" cm="1">
        <f t="array" ref="D143">_xlfn.TEXTJOIN("",TRUE,IF(ISNUMBER(SEARCH($A143,'Diags Raw Data'!$A$6:$A$4003)),CONCATENATE('Diags Raw Data'!$H$6:$H$4003,", "),""))</f>
        <v xml:space="preserve">ge3.0, std4.34, </v>
      </c>
      <c r="E143" s="341" t="str">
        <f>VLOOKUP(A143,'Diags Raw Data'!$A$6:$D$4003,4,FALSE)</f>
        <v>GEO</v>
      </c>
      <c r="F143" s="341" t="str">
        <f>VLOOKUP(A143,'Feature Raw Data'!$A$3:$E$3922,5,FALSE)</f>
        <v>New</v>
      </c>
      <c r="G143" s="341" t="str">
        <f t="shared" si="17"/>
        <v>Yes</v>
      </c>
      <c r="H143" s="341" t="str">
        <f t="shared" si="18"/>
        <v>Yes</v>
      </c>
      <c r="I143" s="459">
        <f>SUMIF('Diags Raw Data'!$A$6:$A$4003,"*"&amp;$A143&amp;"*",'Diags Raw Data'!$K$6:$K$4003)</f>
        <v>0</v>
      </c>
      <c r="J143" s="461">
        <f>SUMIF('Diags Raw Data'!$A$6:$A$4003,"*"&amp;$A143&amp;"*",'Diags Raw Data'!$L$6:$L$4003)</f>
        <v>0</v>
      </c>
      <c r="K143" s="513" t="e" cm="1">
        <f t="array" ref="K143">IF(D143="",0, SUMPRODUCT(--(ISNUMBER(SEARCH($A143,'Diags Raw Data'!$A$6:$A$4003))),'Diags Raw Data'!$L$6:$L$4003,'Diags Raw Data'!$N$6:$N$4003)/J143)</f>
        <v>#DIV/0!</v>
      </c>
      <c r="L143" s="514" t="e" cm="1">
        <f t="array" ref="L143">IF(D143="",0, SUMPRODUCT(--(ISNUMBER(SEARCH($A143,'Diags Raw Data'!$A$6:$A$4003))),'Diags Raw Data'!$L$6:$L$4003,'Diags Raw Data'!$P$6:$P$4003)/J143)</f>
        <v>#DIV/0!</v>
      </c>
      <c r="M143" s="515" cm="1">
        <f t="array" ref="M143">SUMPRODUCT(--(ISNUMBER(SEARCH($A143,'Diags Raw Data'!$A$6:$A$4003))),--('Diags Raw Data'!$Q$6:$Q$4003&lt;&gt;"N/A"),'Diags Raw Data'!$R$6:$R$4003)</f>
        <v>2</v>
      </c>
      <c r="N143" s="516" cm="1">
        <f t="array" ref="N143">SUMPRODUCT(--(ISNUMBER(SEARCH($A143,'Diags Raw Data'!$A$6:$A$4003))),--('Diags Raw Data'!$Q$6:$Q$4003&lt;&gt;"N/A"),'Diags Raw Data'!$T$6:$T$4003)+SUMPRODUCT(--(ISNUMBER(SEARCH($A143,'Diags Raw Data'!$A$6:$A$4003))),--('Diags Raw Data'!$Q$6:$Q$4003&lt;&gt;"N/A"),'Diags Raw Data'!$U$6:$U$4003)</f>
        <v>1</v>
      </c>
      <c r="O143" s="517">
        <f t="shared" si="19"/>
        <v>0.5</v>
      </c>
      <c r="P143" s="518">
        <f>SUMIF('Diags Raw Data'!$A$6:$A$4003,"*"&amp;$A143&amp;"*",'Diags Raw Data'!$Z$6:$Z$4003)</f>
        <v>0</v>
      </c>
      <c r="Q143" s="519">
        <f>SUM(SUMIF('Diags Raw Data'!$A$6:$A$4003,"*"&amp;$A143&amp;"*",'Diags Raw Data'!$AA$6:$AA$4003),SUMIF('Diags Raw Data'!$A$6:$A$4003,"*"&amp;$A143&amp;"*",'Diags Raw Data'!$AB$6:$AB$4003))</f>
        <v>0</v>
      </c>
      <c r="R143" s="520">
        <f t="shared" si="20"/>
        <v>0</v>
      </c>
      <c r="S143" s="520">
        <f t="shared" si="21"/>
        <v>0</v>
      </c>
      <c r="T143" s="521">
        <f t="shared" si="22"/>
        <v>0</v>
      </c>
      <c r="U143" s="456" t="str">
        <f>VLOOKUP(A143,'Diags Raw Data'!$A$6:$AH$4003,33,FALSE)</f>
        <v>WK5</v>
      </c>
      <c r="V143" s="182"/>
    </row>
    <row r="144" spans="1:22" ht="30.75" thickBot="1" x14ac:dyDescent="0.3">
      <c r="A144" s="576">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Data'!$A$6:$A$4003)),CONCATENATE('Diags Raw Data'!$H$6:$H$4003,", "),""))</f>
        <v xml:space="preserve">spi2940, spi2941, </v>
      </c>
      <c r="E144" s="341" t="str">
        <f>VLOOKUP(A144,'Diags Raw Data'!$A$6:$D$4003,4,FALSE)</f>
        <v>SIO</v>
      </c>
      <c r="F144" s="341" t="str">
        <f>VLOOKUP(A144,'Feature Raw Data'!$A$3:$E$3922,5,FALSE)</f>
        <v>New</v>
      </c>
      <c r="G144" s="341" t="str">
        <f t="shared" si="17"/>
        <v>Yes</v>
      </c>
      <c r="H144" s="341" t="str">
        <f t="shared" si="18"/>
        <v>Yes</v>
      </c>
      <c r="I144" s="459">
        <f>SUMIF('Diags Raw Data'!$A$6:$A$4003,"*"&amp;$A144&amp;"*",'Diags Raw Data'!$K$6:$K$4003)</f>
        <v>0</v>
      </c>
      <c r="J144" s="461">
        <f>SUMIF('Diags Raw Data'!$A$6:$A$4003,"*"&amp;$A144&amp;"*",'Diags Raw Data'!$L$6:$L$4003)</f>
        <v>0</v>
      </c>
      <c r="K144" s="513" t="e" cm="1">
        <f t="array" ref="K144">IF(D144="",0, SUMPRODUCT(--(ISNUMBER(SEARCH($A144,'Diags Raw Data'!$A$6:$A$4003))),'Diags Raw Data'!$L$6:$L$4003,'Diags Raw Data'!$N$6:$N$4003)/J144)</f>
        <v>#DIV/0!</v>
      </c>
      <c r="L144" s="514" t="e" cm="1">
        <f t="array" ref="L144">IF(D144="",0, SUMPRODUCT(--(ISNUMBER(SEARCH($A144,'Diags Raw Data'!$A$6:$A$4003))),'Diags Raw Data'!$L$6:$L$4003,'Diags Raw Data'!$P$6:$P$4003)/J144)</f>
        <v>#DIV/0!</v>
      </c>
      <c r="M144" s="515" cm="1">
        <f t="array" ref="M144">SUMPRODUCT(--(ISNUMBER(SEARCH($A144,'Diags Raw Data'!$A$6:$A$4003))),--('Diags Raw Data'!$Q$6:$Q$4003&lt;&gt;"N/A"),'Diags Raw Data'!$R$6:$R$4003)</f>
        <v>2</v>
      </c>
      <c r="N144" s="516" cm="1">
        <f t="array" ref="N144">SUMPRODUCT(--(ISNUMBER(SEARCH($A144,'Diags Raw Data'!$A$6:$A$4003))),--('Diags Raw Data'!$Q$6:$Q$4003&lt;&gt;"N/A"),'Diags Raw Data'!$T$6:$T$4003)+SUMPRODUCT(--(ISNUMBER(SEARCH($A144,'Diags Raw Data'!$A$6:$A$4003))),--('Diags Raw Data'!$Q$6:$Q$4003&lt;&gt;"N/A"),'Diags Raw Data'!$U$6:$U$4003)</f>
        <v>2</v>
      </c>
      <c r="O144" s="517">
        <f t="shared" si="19"/>
        <v>1</v>
      </c>
      <c r="P144" s="518">
        <f>SUMIF('Diags Raw Data'!$A$6:$A$4003,"*"&amp;$A144&amp;"*",'Diags Raw Data'!$Z$6:$Z$4003)</f>
        <v>0</v>
      </c>
      <c r="Q144" s="519">
        <f>SUM(SUMIF('Diags Raw Data'!$A$6:$A$4003,"*"&amp;$A144&amp;"*",'Diags Raw Data'!$AA$6:$AA$4003),SUMIF('Diags Raw Data'!$A$6:$A$4003,"*"&amp;$A144&amp;"*",'Diags Raw Data'!$AB$6:$AB$4003))</f>
        <v>0</v>
      </c>
      <c r="R144" s="520">
        <f t="shared" si="20"/>
        <v>0</v>
      </c>
      <c r="S144" s="520">
        <f t="shared" si="21"/>
        <v>0</v>
      </c>
      <c r="T144" s="521">
        <f t="shared" si="22"/>
        <v>0</v>
      </c>
      <c r="U144" s="456" t="str">
        <f>VLOOKUP(A144,'Diags Raw Data'!$A$6:$AH$4003,33,FALSE)</f>
        <v>WK4</v>
      </c>
      <c r="V144" s="182"/>
    </row>
    <row r="145" spans="1:22" ht="60.75" thickBot="1" x14ac:dyDescent="0.3">
      <c r="A145" s="576">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Data'!$A$6:$A$4003)),CONCATENATE('Diags Raw Data'!$H$6:$H$4003,", "),""))</f>
        <v xml:space="preserve">N/A, </v>
      </c>
      <c r="E145" s="341" t="str">
        <f>VLOOKUP(A145,'Diags Raw Data'!$A$6:$D$4003,4,FALSE)</f>
        <v>CTL</v>
      </c>
      <c r="F145" s="341" t="str">
        <f>VLOOKUP(A145,'Feature Raw Data'!$A$3:$E$3922,5,FALSE)</f>
        <v>New</v>
      </c>
      <c r="G145" s="341" t="str">
        <f t="shared" si="17"/>
        <v>No</v>
      </c>
      <c r="H145" s="341" t="str">
        <f t="shared" si="18"/>
        <v>No</v>
      </c>
      <c r="I145" s="459">
        <f>SUMIF('Diags Raw Data'!$A$6:$A$4003,"*"&amp;$A145&amp;"*",'Diags Raw Data'!$K$6:$K$4003)</f>
        <v>0</v>
      </c>
      <c r="J145" s="461">
        <f>SUMIF('Diags Raw Data'!$A$6:$A$4003,"*"&amp;$A145&amp;"*",'Diags Raw Data'!$L$6:$L$4003)</f>
        <v>0</v>
      </c>
      <c r="K145" s="513" t="e" cm="1">
        <f t="array" ref="K145">IF(D145="",0, SUMPRODUCT(--(ISNUMBER(SEARCH($A145,'Diags Raw Data'!$A$6:$A$4003))),'Diags Raw Data'!$L$6:$L$4003,'Diags Raw Data'!$N$6:$N$4003)/J145)</f>
        <v>#DIV/0!</v>
      </c>
      <c r="L145" s="514" t="e" cm="1">
        <f t="array" ref="L145">IF(D145="",0, SUMPRODUCT(--(ISNUMBER(SEARCH($A145,'Diags Raw Data'!$A$6:$A$4003))),'Diags Raw Data'!$L$6:$L$4003,'Diags Raw Data'!$P$6:$P$4003)/J145)</f>
        <v>#DIV/0!</v>
      </c>
      <c r="M145" s="515" cm="1">
        <f t="array" ref="M145">SUMPRODUCT(--(ISNUMBER(SEARCH($A145,'Diags Raw Data'!$A$6:$A$4003))),--('Diags Raw Data'!$Q$6:$Q$4003&lt;&gt;"N/A"),'Diags Raw Data'!$R$6:$R$4003)</f>
        <v>0</v>
      </c>
      <c r="N145" s="516" cm="1">
        <f t="array" ref="N145">SUMPRODUCT(--(ISNUMBER(SEARCH($A145,'Diags Raw Data'!$A$6:$A$4003))),--('Diags Raw Data'!$Q$6:$Q$4003&lt;&gt;"N/A"),'Diags Raw Data'!$T$6:$T$4003)+SUMPRODUCT(--(ISNUMBER(SEARCH($A145,'Diags Raw Data'!$A$6:$A$4003))),--('Diags Raw Data'!$Q$6:$Q$4003&lt;&gt;"N/A"),'Diags Raw Data'!$U$6:$U$4003)</f>
        <v>0</v>
      </c>
      <c r="O145" s="517">
        <f t="shared" si="19"/>
        <v>0</v>
      </c>
      <c r="P145" s="518">
        <f>SUMIF('Diags Raw Data'!$A$6:$A$4003,"*"&amp;$A145&amp;"*",'Diags Raw Data'!$Z$6:$Z$4003)</f>
        <v>0</v>
      </c>
      <c r="Q145" s="519">
        <f>SUM(SUMIF('Diags Raw Data'!$A$6:$A$4003,"*"&amp;$A145&amp;"*",'Diags Raw Data'!$AA$6:$AA$4003),SUMIF('Diags Raw Data'!$A$6:$A$4003,"*"&amp;$A145&amp;"*",'Diags Raw Data'!$AB$6:$AB$4003))</f>
        <v>0</v>
      </c>
      <c r="R145" s="520">
        <f t="shared" si="20"/>
        <v>0</v>
      </c>
      <c r="S145" s="520">
        <f t="shared" si="21"/>
        <v>0</v>
      </c>
      <c r="T145" s="521">
        <f t="shared" si="22"/>
        <v>0</v>
      </c>
      <c r="U145" s="456" t="str">
        <f>VLOOKUP(A145,'Diags Raw Data'!$A$6:$AH$4003,33,FALSE)</f>
        <v>N/A</v>
      </c>
      <c r="V145" s="182"/>
    </row>
    <row r="146" spans="1:22" ht="255.75" thickBot="1" x14ac:dyDescent="0.3">
      <c r="A146" s="576">
        <v>12.3</v>
      </c>
      <c r="B146" s="458" t="str">
        <f>VLOOKUP(A146,'Feature Raw Data'!$A$3:$B$3922,2,FALSE)</f>
        <v>[Navi4x] SDMA ucode caching</v>
      </c>
      <c r="C146" s="459" t="str">
        <f>VLOOKUP(A146,'Feature Raw Data'!$A$3:$C$3922,3,FALSE)</f>
        <v>P2</v>
      </c>
      <c r="D146" s="460" t="str" cm="1">
        <f t="array" ref="D146">_xlfn.TEXTJOIN("",TRUE,IF(ISNUMBER(SEARCH($A146,'Diags Raw Data'!$A$6:$A$4003)),CONCATENATE('Diags Raw Data'!$H$6:$H$4003,", "),""))</f>
        <v xml:space="preserve">N/A, placeholder_s.1, N/A, N/A, placeholder_h.1, gfx.ieee_min_max, N/A, N/A, glxi29.8, gfx.cmm_sax_utcl0_invalidation_monolithic/utcl0_enable, N/A, N/A, N/A, N/A, N/A, STD1.6 GCI30.3, placeholder_t.1, N/A, GCI28.3, N/A, std1.6 with tgre spm &amp; sqtt, glxi86.1-2, std1.6 with tgre spm, cp test with spm, rlc1.0, std1.1 with legacy pv_proxy, rlc1.0, rlc1.1, gfx.inst_perf/global_load_tr.*, shci2039.4,5, N/A, gfx.inst_perf/v_dual_mov_b32, std1.6,2.6,3.6,4.6, N/A, N/A, N/A, N/A, N/A, N/A, N/A, N/A, N/A, N/A, </v>
      </c>
      <c r="E146" s="341" t="str">
        <f>VLOOKUP(A146,'Diags Raw Data'!$A$6:$D$4003,4,FALSE)</f>
        <v>CTL</v>
      </c>
      <c r="F146" s="341" t="str">
        <f>VLOOKUP(A146,'Feature Raw Data'!$A$3:$E$3922,5,FALSE)</f>
        <v>New</v>
      </c>
      <c r="G146" s="341" t="str">
        <f t="shared" si="17"/>
        <v>Yes</v>
      </c>
      <c r="H146" s="341" t="str">
        <f t="shared" si="18"/>
        <v>Yes</v>
      </c>
      <c r="I146" s="459">
        <f>SUMIF('Diags Raw Data'!$A$6:$A$4003,"*"&amp;$A146&amp;"*",'Diags Raw Data'!$K$6:$K$4003)</f>
        <v>0</v>
      </c>
      <c r="J146" s="461">
        <f>SUMIF('Diags Raw Data'!$A$6:$A$4003,"*"&amp;$A146&amp;"*",'Diags Raw Data'!$L$6:$L$4003)</f>
        <v>0</v>
      </c>
      <c r="K146" s="513" t="e" cm="1">
        <f t="array" ref="K146">IF(D146="",0, SUMPRODUCT(--(ISNUMBER(SEARCH($A146,'Diags Raw Data'!$A$6:$A$4003))),'Diags Raw Data'!$L$6:$L$4003,'Diags Raw Data'!$N$6:$N$4003)/J146)</f>
        <v>#DIV/0!</v>
      </c>
      <c r="L146" s="514" t="e" cm="1">
        <f t="array" ref="L146">IF(D146="",0, SUMPRODUCT(--(ISNUMBER(SEARCH($A146,'Diags Raw Data'!$A$6:$A$4003))),'Diags Raw Data'!$L$6:$L$4003,'Diags Raw Data'!$P$6:$P$4003)/J146)</f>
        <v>#DIV/0!</v>
      </c>
      <c r="M146" s="515" cm="1">
        <f t="array" ref="M146">SUMPRODUCT(--(ISNUMBER(SEARCH($A146,'Diags Raw Data'!$A$6:$A$4003))),--('Diags Raw Data'!$Q$6:$Q$4003&lt;&gt;"N/A"),'Diags Raw Data'!$R$6:$R$4003)</f>
        <v>26</v>
      </c>
      <c r="N146" s="516" cm="1">
        <f t="array" ref="N146">SUMPRODUCT(--(ISNUMBER(SEARCH($A146,'Diags Raw Data'!$A$6:$A$4003))),--('Diags Raw Data'!$Q$6:$Q$4003&lt;&gt;"N/A"),'Diags Raw Data'!$T$6:$T$4003)+SUMPRODUCT(--(ISNUMBER(SEARCH($A146,'Diags Raw Data'!$A$6:$A$4003))),--('Diags Raw Data'!$Q$6:$Q$4003&lt;&gt;"N/A"),'Diags Raw Data'!$U$6:$U$4003)</f>
        <v>17</v>
      </c>
      <c r="O146" s="517">
        <f t="shared" si="19"/>
        <v>0.65384615384615385</v>
      </c>
      <c r="P146" s="518">
        <f>SUMIF('Diags Raw Data'!$A$6:$A$4003,"*"&amp;$A146&amp;"*",'Diags Raw Data'!$Z$6:$Z$4003)</f>
        <v>0</v>
      </c>
      <c r="Q146" s="519">
        <f>SUM(SUMIF('Diags Raw Data'!$A$6:$A$4003,"*"&amp;$A146&amp;"*",'Diags Raw Data'!$AA$6:$AA$4003),SUMIF('Diags Raw Data'!$A$6:$A$4003,"*"&amp;$A146&amp;"*",'Diags Raw Data'!$AB$6:$AB$4003))</f>
        <v>0</v>
      </c>
      <c r="R146" s="520">
        <f t="shared" si="20"/>
        <v>0</v>
      </c>
      <c r="S146" s="520">
        <f t="shared" si="21"/>
        <v>0</v>
      </c>
      <c r="T146" s="521">
        <f t="shared" si="22"/>
        <v>0</v>
      </c>
      <c r="U146" s="456" t="str">
        <f>VLOOKUP(A146,'Diags Raw Data'!$A$6:$AH$4003,33,FALSE)</f>
        <v>N/A</v>
      </c>
      <c r="V146" s="182"/>
    </row>
    <row r="147" spans="1:22" ht="45.75" thickBot="1" x14ac:dyDescent="0.3">
      <c r="A147" s="576">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Data'!$A$6:$A$4003)),CONCATENATE('Diags Raw Data'!$H$6:$H$4003,", "),""))</f>
        <v xml:space="preserve">placeholder_s.1, </v>
      </c>
      <c r="E147" s="341" t="str">
        <f>VLOOKUP(A147,'Diags Raw Data'!$A$6:$D$4003,4,FALSE)</f>
        <v>CTL</v>
      </c>
      <c r="F147" s="341" t="str">
        <f>VLOOKUP(A147,'Feature Raw Data'!$A$3:$E$3922,5,FALSE)</f>
        <v>New</v>
      </c>
      <c r="G147" s="341" t="str">
        <f t="shared" si="17"/>
        <v>Yes</v>
      </c>
      <c r="H147" s="341" t="str">
        <f t="shared" si="18"/>
        <v>Yes</v>
      </c>
      <c r="I147" s="459">
        <f>SUMIF('Diags Raw Data'!$A$6:$A$4003,"*"&amp;$A147&amp;"*",'Diags Raw Data'!$K$6:$K$4003)</f>
        <v>0</v>
      </c>
      <c r="J147" s="461">
        <f>SUMIF('Diags Raw Data'!$A$6:$A$4003,"*"&amp;$A147&amp;"*",'Diags Raw Data'!$L$6:$L$4003)</f>
        <v>0</v>
      </c>
      <c r="K147" s="513" t="e" cm="1">
        <f t="array" ref="K147">IF(D147="",0, SUMPRODUCT(--(ISNUMBER(SEARCH($A147,'Diags Raw Data'!$A$6:$A$4003))),'Diags Raw Data'!$L$6:$L$4003,'Diags Raw Data'!$N$6:$N$4003)/J147)</f>
        <v>#DIV/0!</v>
      </c>
      <c r="L147" s="514" t="e" cm="1">
        <f t="array" ref="L147">IF(D147="",0, SUMPRODUCT(--(ISNUMBER(SEARCH($A147,'Diags Raw Data'!$A$6:$A$4003))),'Diags Raw Data'!$L$6:$L$4003,'Diags Raw Data'!$P$6:$P$4003)/J147)</f>
        <v>#DIV/0!</v>
      </c>
      <c r="M147" s="515" cm="1">
        <f t="array" ref="M147">SUMPRODUCT(--(ISNUMBER(SEARCH($A147,'Diags Raw Data'!$A$6:$A$4003))),--('Diags Raw Data'!$Q$6:$Q$4003&lt;&gt;"N/A"),'Diags Raw Data'!$R$6:$R$4003)</f>
        <v>1</v>
      </c>
      <c r="N147" s="516" cm="1">
        <f t="array" ref="N147">SUMPRODUCT(--(ISNUMBER(SEARCH($A147,'Diags Raw Data'!$A$6:$A$4003))),--('Diags Raw Data'!$Q$6:$Q$4003&lt;&gt;"N/A"),'Diags Raw Data'!$T$6:$T$4003)+SUMPRODUCT(--(ISNUMBER(SEARCH($A147,'Diags Raw Data'!$A$6:$A$4003))),--('Diags Raw Data'!$Q$6:$Q$4003&lt;&gt;"N/A"),'Diags Raw Data'!$U$6:$U$4003)</f>
        <v>0</v>
      </c>
      <c r="O147" s="517">
        <f t="shared" si="19"/>
        <v>0</v>
      </c>
      <c r="P147" s="518">
        <f>SUMIF('Diags Raw Data'!$A$6:$A$4003,"*"&amp;$A147&amp;"*",'Diags Raw Data'!$Z$6:$Z$4003)</f>
        <v>0</v>
      </c>
      <c r="Q147" s="519">
        <f>SUM(SUMIF('Diags Raw Data'!$A$6:$A$4003,"*"&amp;$A147&amp;"*",'Diags Raw Data'!$AA$6:$AA$4003),SUMIF('Diags Raw Data'!$A$6:$A$4003,"*"&amp;$A147&amp;"*",'Diags Raw Data'!$AB$6:$AB$4003))</f>
        <v>0</v>
      </c>
      <c r="R147" s="520">
        <f t="shared" si="20"/>
        <v>0</v>
      </c>
      <c r="S147" s="520">
        <f t="shared" si="21"/>
        <v>0</v>
      </c>
      <c r="T147" s="521">
        <f t="shared" si="22"/>
        <v>0</v>
      </c>
      <c r="U147" s="456" t="str">
        <f>VLOOKUP(A147,'Diags Raw Data'!$A$6:$AH$4003,33,FALSE)</f>
        <v>WK7</v>
      </c>
      <c r="V147" s="182"/>
    </row>
    <row r="148" spans="1:22" ht="60.75" thickBot="1" x14ac:dyDescent="0.3">
      <c r="A148" s="576">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9">
        <f>SUMIF('Diags Raw Data'!$A$6:$A$4003,"*"&amp;$A148&amp;"*",'Diags Raw Data'!$K$6:$K$4003)</f>
        <v>0</v>
      </c>
      <c r="J148" s="461">
        <f>SUMIF('Diags Raw Data'!$A$6:$A$4003,"*"&amp;$A148&amp;"*",'Diags Raw Data'!$L$6:$L$4003)</f>
        <v>0</v>
      </c>
      <c r="K148" s="513" t="e" cm="1">
        <f t="array" ref="K148">IF(D148="",0, SUMPRODUCT(--(ISNUMBER(SEARCH($A148,'Diags Raw Data'!$A$6:$A$4003))),'Diags Raw Data'!$L$6:$L$4003,'Diags Raw Data'!$N$6:$N$4003)/J148)</f>
        <v>#DIV/0!</v>
      </c>
      <c r="L148" s="514" t="e" cm="1">
        <f t="array" ref="L148">IF(D148="",0, SUMPRODUCT(--(ISNUMBER(SEARCH($A148,'Diags Raw Data'!$A$6:$A$4003))),'Diags Raw Data'!$L$6:$L$4003,'Diags Raw Data'!$P$6:$P$4003)/J148)</f>
        <v>#DIV/0!</v>
      </c>
      <c r="M148" s="515" cm="1">
        <f t="array" ref="M148">SUMPRODUCT(--(ISNUMBER(SEARCH($A148,'Diags Raw Data'!$A$6:$A$4003))),--('Diags Raw Data'!$Q$6:$Q$4003&lt;&gt;"N/A"),'Diags Raw Data'!$R$6:$R$4003)</f>
        <v>0</v>
      </c>
      <c r="N148" s="516" cm="1">
        <f t="array" ref="N148">SUMPRODUCT(--(ISNUMBER(SEARCH($A148,'Diags Raw Data'!$A$6:$A$4003))),--('Diags Raw Data'!$Q$6:$Q$4003&lt;&gt;"N/A"),'Diags Raw Data'!$T$6:$T$4003)+SUMPRODUCT(--(ISNUMBER(SEARCH($A148,'Diags Raw Data'!$A$6:$A$4003))),--('Diags Raw Data'!$Q$6:$Q$4003&lt;&gt;"N/A"),'Diags Raw Data'!$U$6:$U$4003)</f>
        <v>0</v>
      </c>
      <c r="O148" s="517">
        <f t="shared" si="19"/>
        <v>0</v>
      </c>
      <c r="P148" s="518">
        <f>SUMIF('Diags Raw Data'!$A$6:$A$4003,"*"&amp;$A148&amp;"*",'Diags Raw Data'!$Z$6:$Z$4003)</f>
        <v>0</v>
      </c>
      <c r="Q148" s="519">
        <f>SUM(SUMIF('Diags Raw Data'!$A$6:$A$4003,"*"&amp;$A148&amp;"*",'Diags Raw Data'!$AA$6:$AA$4003),SUMIF('Diags Raw Data'!$A$6:$A$4003,"*"&amp;$A148&amp;"*",'Diags Raw Data'!$AB$6:$AB$4003))</f>
        <v>0</v>
      </c>
      <c r="R148" s="520">
        <f t="shared" si="20"/>
        <v>0</v>
      </c>
      <c r="S148" s="520">
        <f t="shared" si="21"/>
        <v>0</v>
      </c>
      <c r="T148" s="521">
        <f t="shared" si="22"/>
        <v>0</v>
      </c>
      <c r="U148" s="456" t="str">
        <f>VLOOKUP(A148,'Diags Raw Data'!$A$6:$AH$4003,33,FALSE)</f>
        <v>N/A</v>
      </c>
      <c r="V148" s="585" t="s">
        <v>382</v>
      </c>
    </row>
    <row r="149" spans="1:22" ht="15.75" thickBot="1" x14ac:dyDescent="0.3">
      <c r="A149" s="576">
        <v>12.308</v>
      </c>
      <c r="B149" s="458" t="str">
        <f>VLOOKUP(A149,'Feature Raw Data'!$A$3:$B$3922,2,FALSE)</f>
        <v>RS64 Debug Enablement</v>
      </c>
      <c r="C149" s="459" t="str">
        <f>VLOOKUP(A149,'Feature Raw Data'!$A$3:$C$3922,3,FALSE)</f>
        <v>P1</v>
      </c>
      <c r="D149" s="460" t="str" cm="1">
        <f t="array" ref="D149">_xlfn.TEXTJOIN("",TRUE,IF(ISNUMBER(SEARCH($A149,'Diags Raw Data'!$A$6:$A$4003)),CONCATENATE('Diags Raw Data'!$H$6:$H$4003,", "),""))</f>
        <v xml:space="preserve">N/A, </v>
      </c>
      <c r="E149" s="341" t="str">
        <f>VLOOKUP(A149,'Diags Raw Data'!$A$6:$D$4003,4,FALSE)</f>
        <v>CTL</v>
      </c>
      <c r="F149" s="341" t="str">
        <f>VLOOKUP(A149,'Feature Raw Data'!$A$3:$E$3922,5,FALSE)</f>
        <v>New</v>
      </c>
      <c r="G149" s="341" t="str">
        <f t="shared" si="17"/>
        <v>No</v>
      </c>
      <c r="H149" s="341" t="str">
        <f t="shared" si="18"/>
        <v>No</v>
      </c>
      <c r="I149" s="459">
        <f>SUMIF('Diags Raw Data'!$A$6:$A$4003,"*"&amp;$A149&amp;"*",'Diags Raw Data'!$K$6:$K$4003)</f>
        <v>0</v>
      </c>
      <c r="J149" s="461">
        <f>SUMIF('Diags Raw Data'!$A$6:$A$4003,"*"&amp;$A149&amp;"*",'Diags Raw Data'!$L$6:$L$4003)</f>
        <v>0</v>
      </c>
      <c r="K149" s="513" t="e" cm="1">
        <f t="array" ref="K149">IF(D149="",0, SUMPRODUCT(--(ISNUMBER(SEARCH($A149,'Diags Raw Data'!$A$6:$A$4003))),'Diags Raw Data'!$L$6:$L$4003,'Diags Raw Data'!$N$6:$N$4003)/J149)</f>
        <v>#DIV/0!</v>
      </c>
      <c r="L149" s="514" t="e" cm="1">
        <f t="array" ref="L149">IF(D149="",0, SUMPRODUCT(--(ISNUMBER(SEARCH($A149,'Diags Raw Data'!$A$6:$A$4003))),'Diags Raw Data'!$L$6:$L$4003,'Diags Raw Data'!$P$6:$P$4003)/J149)</f>
        <v>#DIV/0!</v>
      </c>
      <c r="M149" s="515" cm="1">
        <f t="array" ref="M149">SUMPRODUCT(--(ISNUMBER(SEARCH($A149,'Diags Raw Data'!$A$6:$A$4003))),--('Diags Raw Data'!$Q$6:$Q$4003&lt;&gt;"N/A"),'Diags Raw Data'!$R$6:$R$4003)</f>
        <v>0</v>
      </c>
      <c r="N149" s="516" cm="1">
        <f t="array" ref="N149">SUMPRODUCT(--(ISNUMBER(SEARCH($A149,'Diags Raw Data'!$A$6:$A$4003))),--('Diags Raw Data'!$Q$6:$Q$4003&lt;&gt;"N/A"),'Diags Raw Data'!$T$6:$T$4003)+SUMPRODUCT(--(ISNUMBER(SEARCH($A149,'Diags Raw Data'!$A$6:$A$4003))),--('Diags Raw Data'!$Q$6:$Q$4003&lt;&gt;"N/A"),'Diags Raw Data'!$U$6:$U$4003)</f>
        <v>0</v>
      </c>
      <c r="O149" s="517">
        <f t="shared" si="19"/>
        <v>0</v>
      </c>
      <c r="P149" s="518">
        <f>SUMIF('Diags Raw Data'!$A$6:$A$4003,"*"&amp;$A149&amp;"*",'Diags Raw Data'!$Z$6:$Z$4003)</f>
        <v>0</v>
      </c>
      <c r="Q149" s="519">
        <f>SUM(SUMIF('Diags Raw Data'!$A$6:$A$4003,"*"&amp;$A149&amp;"*",'Diags Raw Data'!$AA$6:$AA$4003),SUMIF('Diags Raw Data'!$A$6:$A$4003,"*"&amp;$A149&amp;"*",'Diags Raw Data'!$AB$6:$AB$4003))</f>
        <v>0</v>
      </c>
      <c r="R149" s="520">
        <f t="shared" si="20"/>
        <v>0</v>
      </c>
      <c r="S149" s="520">
        <f t="shared" si="21"/>
        <v>0</v>
      </c>
      <c r="T149" s="521">
        <f t="shared" si="22"/>
        <v>0</v>
      </c>
      <c r="U149" s="456" t="str">
        <f>VLOOKUP(A149,'Diags Raw Data'!$A$6:$AH$4003,33,FALSE)</f>
        <v>N/A</v>
      </c>
      <c r="V149" s="182"/>
    </row>
    <row r="150" spans="1:22" ht="45.75" thickBot="1" x14ac:dyDescent="0.3">
      <c r="A150" s="576">
        <v>12.31</v>
      </c>
      <c r="B150" s="458" t="str">
        <f>VLOOKUP(A150,'Feature Raw Data'!$A$3:$B$3922,2,FALSE)</f>
        <v>SED client to 256B reads</v>
      </c>
      <c r="C150" s="459" t="str">
        <f>VLOOKUP(A150,'Feature Raw Data'!$A$3:$C$3922,3,FALSE)</f>
        <v>P1</v>
      </c>
      <c r="D150" s="460" t="str" cm="1">
        <f t="array" ref="D150">_xlfn.TEXTJOIN("",TRUE,IF(ISNUMBER(SEARCH($A150,'Diags Raw Data'!$A$6:$A$4003)),CONCATENATE('Diags Raw Data'!$H$6:$H$4003,", "),""))</f>
        <v xml:space="preserve">placeholder_h.1, gfx.ieee_min_max, N/A, N/A, glxi29.8, </v>
      </c>
      <c r="E150" s="341" t="str">
        <f>VLOOKUP(A150,'Diags Raw Data'!$A$6:$D$4003,4,FALSE)</f>
        <v>CMM</v>
      </c>
      <c r="F150" s="341" t="str">
        <f>VLOOKUP(A150,'Feature Raw Data'!$A$3:$E$3922,5,FALSE)</f>
        <v>New</v>
      </c>
      <c r="G150" s="341" t="str">
        <f t="shared" si="17"/>
        <v>Yes</v>
      </c>
      <c r="H150" s="341" t="str">
        <f t="shared" si="18"/>
        <v>Yes</v>
      </c>
      <c r="I150" s="459">
        <f>SUMIF('Diags Raw Data'!$A$6:$A$4003,"*"&amp;$A150&amp;"*",'Diags Raw Data'!$K$6:$K$4003)</f>
        <v>0</v>
      </c>
      <c r="J150" s="461">
        <f>SUMIF('Diags Raw Data'!$A$6:$A$4003,"*"&amp;$A150&amp;"*",'Diags Raw Data'!$L$6:$L$4003)</f>
        <v>0</v>
      </c>
      <c r="K150" s="513" t="e" cm="1">
        <f t="array" ref="K150">IF(D150="",0, SUMPRODUCT(--(ISNUMBER(SEARCH($A150,'Diags Raw Data'!$A$6:$A$4003))),'Diags Raw Data'!$L$6:$L$4003,'Diags Raw Data'!$N$6:$N$4003)/J150)</f>
        <v>#DIV/0!</v>
      </c>
      <c r="L150" s="514" t="e" cm="1">
        <f t="array" ref="L150">IF(D150="",0, SUMPRODUCT(--(ISNUMBER(SEARCH($A150,'Diags Raw Data'!$A$6:$A$4003))),'Diags Raw Data'!$L$6:$L$4003,'Diags Raw Data'!$P$6:$P$4003)/J150)</f>
        <v>#DIV/0!</v>
      </c>
      <c r="M150" s="515" cm="1">
        <f t="array" ref="M150">SUMPRODUCT(--(ISNUMBER(SEARCH($A150,'Diags Raw Data'!$A$6:$A$4003))),--('Diags Raw Data'!$Q$6:$Q$4003&lt;&gt;"N/A"),'Diags Raw Data'!$R$6:$R$4003)</f>
        <v>3</v>
      </c>
      <c r="N150" s="516" cm="1">
        <f t="array" ref="N150">SUMPRODUCT(--(ISNUMBER(SEARCH($A150,'Diags Raw Data'!$A$6:$A$4003))),--('Diags Raw Data'!$Q$6:$Q$4003&lt;&gt;"N/A"),'Diags Raw Data'!$T$6:$T$4003)+SUMPRODUCT(--(ISNUMBER(SEARCH($A150,'Diags Raw Data'!$A$6:$A$4003))),--('Diags Raw Data'!$Q$6:$Q$4003&lt;&gt;"N/A"),'Diags Raw Data'!$U$6:$U$4003)</f>
        <v>2</v>
      </c>
      <c r="O150" s="517">
        <f t="shared" si="19"/>
        <v>0.66666666666666663</v>
      </c>
      <c r="P150" s="518">
        <f>SUMIF('Diags Raw Data'!$A$6:$A$4003,"*"&amp;$A150&amp;"*",'Diags Raw Data'!$Z$6:$Z$4003)</f>
        <v>0</v>
      </c>
      <c r="Q150" s="519">
        <f>SUM(SUMIF('Diags Raw Data'!$A$6:$A$4003,"*"&amp;$A150&amp;"*",'Diags Raw Data'!$AA$6:$AA$4003),SUMIF('Diags Raw Data'!$A$6:$A$4003,"*"&amp;$A150&amp;"*",'Diags Raw Data'!$AB$6:$AB$4003))</f>
        <v>0</v>
      </c>
      <c r="R150" s="520">
        <f t="shared" si="20"/>
        <v>0</v>
      </c>
      <c r="S150" s="520">
        <f t="shared" si="21"/>
        <v>0</v>
      </c>
      <c r="T150" s="521">
        <f t="shared" si="22"/>
        <v>0</v>
      </c>
      <c r="U150" s="456" t="str">
        <f>VLOOKUP(A150,'Diags Raw Data'!$A$6:$AH$4003,33,FALSE)</f>
        <v>WK2</v>
      </c>
      <c r="V150" s="182"/>
    </row>
    <row r="151" spans="1:22" ht="30.75" thickBot="1" x14ac:dyDescent="0.3">
      <c r="A151" s="576">
        <v>12.311</v>
      </c>
      <c r="B151" s="458" t="str">
        <f>VLOOKUP(A151,'Feature Raw Data'!$A$3:$B$3922,2,FALSE)</f>
        <v>Shader VALU min/max IEEE compliant</v>
      </c>
      <c r="C151" s="459" t="str">
        <f>VLOOKUP(A151,'Feature Raw Data'!$A$3:$C$3922,3,FALSE)</f>
        <v>P1</v>
      </c>
      <c r="D151" s="460" t="str" cm="1">
        <f t="array" ref="D151">_xlfn.TEXTJOIN("",TRUE,IF(ISNUMBER(SEARCH($A151,'Diags Raw Data'!$A$6:$A$4003)),CONCATENATE('Diags Raw Data'!$H$6:$H$4003,", "),""))</f>
        <v xml:space="preserve">gfx.ieee_min_max, </v>
      </c>
      <c r="E151" s="341" t="str">
        <f>VLOOKUP(A151,'Diags Raw Data'!$A$6:$D$4003,4,FALSE)</f>
        <v>SH</v>
      </c>
      <c r="F151" s="341" t="str">
        <f>VLOOKUP(A151,'Feature Raw Data'!$A$3:$E$3922,5,FALSE)</f>
        <v>New</v>
      </c>
      <c r="G151" s="341" t="str">
        <f t="shared" si="17"/>
        <v>Yes</v>
      </c>
      <c r="H151" s="341" t="str">
        <f t="shared" si="18"/>
        <v>Yes</v>
      </c>
      <c r="I151" s="459">
        <f>SUMIF('Diags Raw Data'!$A$6:$A$4003,"*"&amp;$A151&amp;"*",'Diags Raw Data'!$K$6:$K$4003)</f>
        <v>0</v>
      </c>
      <c r="J151" s="461">
        <f>SUMIF('Diags Raw Data'!$A$6:$A$4003,"*"&amp;$A151&amp;"*",'Diags Raw Data'!$L$6:$L$4003)</f>
        <v>0</v>
      </c>
      <c r="K151" s="513" t="e" cm="1">
        <f t="array" ref="K151">IF(D151="",0, SUMPRODUCT(--(ISNUMBER(SEARCH($A151,'Diags Raw Data'!$A$6:$A$4003))),'Diags Raw Data'!$L$6:$L$4003,'Diags Raw Data'!$N$6:$N$4003)/J151)</f>
        <v>#DIV/0!</v>
      </c>
      <c r="L151" s="514" t="e" cm="1">
        <f t="array" ref="L151">IF(D151="",0, SUMPRODUCT(--(ISNUMBER(SEARCH($A151,'Diags Raw Data'!$A$6:$A$4003))),'Diags Raw Data'!$L$6:$L$4003,'Diags Raw Data'!$P$6:$P$4003)/J151)</f>
        <v>#DIV/0!</v>
      </c>
      <c r="M151" s="515" cm="1">
        <f t="array" ref="M151">SUMPRODUCT(--(ISNUMBER(SEARCH($A151,'Diags Raw Data'!$A$6:$A$4003))),--('Diags Raw Data'!$Q$6:$Q$4003&lt;&gt;"N/A"),'Diags Raw Data'!$R$6:$R$4003)</f>
        <v>1</v>
      </c>
      <c r="N151" s="516" cm="1">
        <f t="array" ref="N151">SUMPRODUCT(--(ISNUMBER(SEARCH($A151,'Diags Raw Data'!$A$6:$A$4003))),--('Diags Raw Data'!$Q$6:$Q$4003&lt;&gt;"N/A"),'Diags Raw Data'!$T$6:$T$4003)+SUMPRODUCT(--(ISNUMBER(SEARCH($A151,'Diags Raw Data'!$A$6:$A$4003))),--('Diags Raw Data'!$Q$6:$Q$4003&lt;&gt;"N/A"),'Diags Raw Data'!$U$6:$U$4003)</f>
        <v>1</v>
      </c>
      <c r="O151" s="517">
        <f t="shared" si="19"/>
        <v>1</v>
      </c>
      <c r="P151" s="518">
        <f>SUMIF('Diags Raw Data'!$A$6:$A$4003,"*"&amp;$A151&amp;"*",'Diags Raw Data'!$Z$6:$Z$4003)</f>
        <v>0</v>
      </c>
      <c r="Q151" s="519">
        <f>SUM(SUMIF('Diags Raw Data'!$A$6:$A$4003,"*"&amp;$A151&amp;"*",'Diags Raw Data'!$AA$6:$AA$4003),SUMIF('Diags Raw Data'!$A$6:$A$4003,"*"&amp;$A151&amp;"*",'Diags Raw Data'!$AB$6:$AB$4003))</f>
        <v>0</v>
      </c>
      <c r="R151" s="520">
        <f t="shared" si="20"/>
        <v>0</v>
      </c>
      <c r="S151" s="520">
        <f t="shared" si="21"/>
        <v>0</v>
      </c>
      <c r="T151" s="521">
        <f t="shared" si="22"/>
        <v>0</v>
      </c>
      <c r="U151" s="456" t="str">
        <f>VLOOKUP(A151,'Diags Raw Data'!$A$6:$AH$4003,33,FALSE)</f>
        <v>WK1</v>
      </c>
      <c r="V151" s="182"/>
    </row>
    <row r="152" spans="1:22" ht="45.75" thickBot="1" x14ac:dyDescent="0.3">
      <c r="A152" s="576">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9">
        <f>SUMIF('Diags Raw Data'!$A$6:$A$4003,"*"&amp;$A152&amp;"*",'Diags Raw Data'!$K$6:$K$4003)</f>
        <v>0</v>
      </c>
      <c r="J152" s="461">
        <f>SUMIF('Diags Raw Data'!$A$6:$A$4003,"*"&amp;$A152&amp;"*",'Diags Raw Data'!$L$6:$L$4003)</f>
        <v>0</v>
      </c>
      <c r="K152" s="513" t="e" cm="1">
        <f t="array" ref="K152">IF(D152="",0, SUMPRODUCT(--(ISNUMBER(SEARCH($A152,'Diags Raw Data'!$A$6:$A$4003))),'Diags Raw Data'!$L$6:$L$4003,'Diags Raw Data'!$N$6:$N$4003)/J152)</f>
        <v>#DIV/0!</v>
      </c>
      <c r="L152" s="514" t="e" cm="1">
        <f t="array" ref="L152">IF(D152="",0, SUMPRODUCT(--(ISNUMBER(SEARCH($A152,'Diags Raw Data'!$A$6:$A$4003))),'Diags Raw Data'!$L$6:$L$4003,'Diags Raw Data'!$P$6:$P$4003)/J152)</f>
        <v>#DIV/0!</v>
      </c>
      <c r="M152" s="515" cm="1">
        <f t="array" ref="M152">SUMPRODUCT(--(ISNUMBER(SEARCH($A152,'Diags Raw Data'!$A$6:$A$4003))),--('Diags Raw Data'!$Q$6:$Q$4003&lt;&gt;"N/A"),'Diags Raw Data'!$R$6:$R$4003)</f>
        <v>0</v>
      </c>
      <c r="N152" s="516" cm="1">
        <f t="array" ref="N152">SUMPRODUCT(--(ISNUMBER(SEARCH($A152,'Diags Raw Data'!$A$6:$A$4003))),--('Diags Raw Data'!$Q$6:$Q$4003&lt;&gt;"N/A"),'Diags Raw Data'!$T$6:$T$4003)+SUMPRODUCT(--(ISNUMBER(SEARCH($A152,'Diags Raw Data'!$A$6:$A$4003))),--('Diags Raw Data'!$Q$6:$Q$4003&lt;&gt;"N/A"),'Diags Raw Data'!$U$6:$U$4003)</f>
        <v>0</v>
      </c>
      <c r="O152" s="517">
        <f t="shared" si="19"/>
        <v>0</v>
      </c>
      <c r="P152" s="518">
        <f>SUMIF('Diags Raw Data'!$A$6:$A$4003,"*"&amp;$A152&amp;"*",'Diags Raw Data'!$Z$6:$Z$4003)</f>
        <v>0</v>
      </c>
      <c r="Q152" s="519">
        <f>SUM(SUMIF('Diags Raw Data'!$A$6:$A$4003,"*"&amp;$A152&amp;"*",'Diags Raw Data'!$AA$6:$AA$4003),SUMIF('Diags Raw Data'!$A$6:$A$4003,"*"&amp;$A152&amp;"*",'Diags Raw Data'!$AB$6:$AB$4003))</f>
        <v>0</v>
      </c>
      <c r="R152" s="520">
        <f t="shared" si="20"/>
        <v>0</v>
      </c>
      <c r="S152" s="520">
        <f t="shared" si="21"/>
        <v>0</v>
      </c>
      <c r="T152" s="521">
        <f t="shared" si="22"/>
        <v>0</v>
      </c>
      <c r="U152" s="456" t="str">
        <f>VLOOKUP(A152,'Diags Raw Data'!$A$6:$AH$4003,33,FALSE)</f>
        <v>N/A</v>
      </c>
      <c r="V152" s="585" t="s">
        <v>382</v>
      </c>
    </row>
    <row r="153" spans="1:22" ht="75.75" thickBot="1" x14ac:dyDescent="0.3">
      <c r="A153" s="576">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Data'!$A$6:$A$4003)),CONCATENATE('Diags Raw Data'!$H$6:$H$4003,", "),""))</f>
        <v xml:space="preserve">N/A, </v>
      </c>
      <c r="E153" s="341" t="str">
        <f>VLOOKUP(A153,'Diags Raw Data'!$A$6:$D$4003,4,FALSE)</f>
        <v>GC</v>
      </c>
      <c r="F153" s="341" t="str">
        <f>VLOOKUP(A153,'Feature Raw Data'!$A$3:$E$3922,5,FALSE)</f>
        <v>New</v>
      </c>
      <c r="G153" s="341" t="str">
        <f t="shared" si="17"/>
        <v>No</v>
      </c>
      <c r="H153" s="341" t="str">
        <f t="shared" si="18"/>
        <v>No</v>
      </c>
      <c r="I153" s="459">
        <f>SUMIF('Diags Raw Data'!$A$6:$A$4003,"*"&amp;$A153&amp;"*",'Diags Raw Data'!$K$6:$K$4003)</f>
        <v>0</v>
      </c>
      <c r="J153" s="461">
        <f>SUMIF('Diags Raw Data'!$A$6:$A$4003,"*"&amp;$A153&amp;"*",'Diags Raw Data'!$L$6:$L$4003)</f>
        <v>0</v>
      </c>
      <c r="K153" s="513" t="e" cm="1">
        <f t="array" ref="K153">IF(D153="",0, SUMPRODUCT(--(ISNUMBER(SEARCH($A153,'Diags Raw Data'!$A$6:$A$4003))),'Diags Raw Data'!$L$6:$L$4003,'Diags Raw Data'!$N$6:$N$4003)/J153)</f>
        <v>#DIV/0!</v>
      </c>
      <c r="L153" s="514" t="e" cm="1">
        <f t="array" ref="L153">IF(D153="",0, SUMPRODUCT(--(ISNUMBER(SEARCH($A153,'Diags Raw Data'!$A$6:$A$4003))),'Diags Raw Data'!$L$6:$L$4003,'Diags Raw Data'!$P$6:$P$4003)/J153)</f>
        <v>#DIV/0!</v>
      </c>
      <c r="M153" s="515" cm="1">
        <f t="array" ref="M153">SUMPRODUCT(--(ISNUMBER(SEARCH($A153,'Diags Raw Data'!$A$6:$A$4003))),--('Diags Raw Data'!$Q$6:$Q$4003&lt;&gt;"N/A"),'Diags Raw Data'!$R$6:$R$4003)</f>
        <v>0</v>
      </c>
      <c r="N153" s="516" cm="1">
        <f t="array" ref="N153">SUMPRODUCT(--(ISNUMBER(SEARCH($A153,'Diags Raw Data'!$A$6:$A$4003))),--('Diags Raw Data'!$Q$6:$Q$4003&lt;&gt;"N/A"),'Diags Raw Data'!$T$6:$T$4003)+SUMPRODUCT(--(ISNUMBER(SEARCH($A153,'Diags Raw Data'!$A$6:$A$4003))),--('Diags Raw Data'!$Q$6:$Q$4003&lt;&gt;"N/A"),'Diags Raw Data'!$U$6:$U$4003)</f>
        <v>0</v>
      </c>
      <c r="O153" s="517">
        <f t="shared" si="19"/>
        <v>0</v>
      </c>
      <c r="P153" s="518">
        <f>SUMIF('Diags Raw Data'!$A$6:$A$4003,"*"&amp;$A153&amp;"*",'Diags Raw Data'!$Z$6:$Z$4003)</f>
        <v>0</v>
      </c>
      <c r="Q153" s="519">
        <f>SUM(SUMIF('Diags Raw Data'!$A$6:$A$4003,"*"&amp;$A153&amp;"*",'Diags Raw Data'!$AA$6:$AA$4003),SUMIF('Diags Raw Data'!$A$6:$A$4003,"*"&amp;$A153&amp;"*",'Diags Raw Data'!$AB$6:$AB$4003))</f>
        <v>0</v>
      </c>
      <c r="R153" s="520">
        <f t="shared" si="20"/>
        <v>0</v>
      </c>
      <c r="S153" s="520">
        <f t="shared" si="21"/>
        <v>0</v>
      </c>
      <c r="T153" s="521">
        <f t="shared" si="22"/>
        <v>0</v>
      </c>
      <c r="U153" s="456" t="str">
        <f>VLOOKUP(A153,'Diags Raw Data'!$A$6:$AH$4003,33,FALSE)</f>
        <v>N/A</v>
      </c>
      <c r="V153" s="182"/>
    </row>
    <row r="154" spans="1:22" ht="30.75" thickBot="1" x14ac:dyDescent="0.3">
      <c r="A154" s="576">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Data'!$A$6:$A$4003)),CONCATENATE('Diags Raw Data'!$H$6:$H$4003,", "),""))</f>
        <v xml:space="preserve">glxi29.8, </v>
      </c>
      <c r="E154" s="341" t="str">
        <f>VLOOKUP(A154,'Diags Raw Data'!$A$6:$D$4003,4,FALSE)</f>
        <v>CMM</v>
      </c>
      <c r="F154" s="341" t="str">
        <f>VLOOKUP(A154,'Feature Raw Data'!$A$3:$E$3922,5,FALSE)</f>
        <v>New</v>
      </c>
      <c r="G154" s="341" t="str">
        <f t="shared" si="17"/>
        <v>Yes</v>
      </c>
      <c r="H154" s="341" t="str">
        <f t="shared" si="18"/>
        <v>Yes</v>
      </c>
      <c r="I154" s="459">
        <f>SUMIF('Diags Raw Data'!$A$6:$A$4003,"*"&amp;$A154&amp;"*",'Diags Raw Data'!$K$6:$K$4003)</f>
        <v>0</v>
      </c>
      <c r="J154" s="461">
        <f>SUMIF('Diags Raw Data'!$A$6:$A$4003,"*"&amp;$A154&amp;"*",'Diags Raw Data'!$L$6:$L$4003)</f>
        <v>0</v>
      </c>
      <c r="K154" s="513" t="e" cm="1">
        <f t="array" ref="K154">IF(D154="",0, SUMPRODUCT(--(ISNUMBER(SEARCH($A154,'Diags Raw Data'!$A$6:$A$4003))),'Diags Raw Data'!$L$6:$L$4003,'Diags Raw Data'!$N$6:$N$4003)/J154)</f>
        <v>#DIV/0!</v>
      </c>
      <c r="L154" s="514" t="e" cm="1">
        <f t="array" ref="L154">IF(D154="",0, SUMPRODUCT(--(ISNUMBER(SEARCH($A154,'Diags Raw Data'!$A$6:$A$4003))),'Diags Raw Data'!$L$6:$L$4003,'Diags Raw Data'!$P$6:$P$4003)/J154)</f>
        <v>#DIV/0!</v>
      </c>
      <c r="M154" s="515" cm="1">
        <f t="array" ref="M154">SUMPRODUCT(--(ISNUMBER(SEARCH($A154,'Diags Raw Data'!$A$6:$A$4003))),--('Diags Raw Data'!$Q$6:$Q$4003&lt;&gt;"N/A"),'Diags Raw Data'!$R$6:$R$4003)</f>
        <v>1</v>
      </c>
      <c r="N154" s="516" cm="1">
        <f t="array" ref="N154">SUMPRODUCT(--(ISNUMBER(SEARCH($A154,'Diags Raw Data'!$A$6:$A$4003))),--('Diags Raw Data'!$Q$6:$Q$4003&lt;&gt;"N/A"),'Diags Raw Data'!$T$6:$T$4003)+SUMPRODUCT(--(ISNUMBER(SEARCH($A154,'Diags Raw Data'!$A$6:$A$4003))),--('Diags Raw Data'!$Q$6:$Q$4003&lt;&gt;"N/A"),'Diags Raw Data'!$U$6:$U$4003)</f>
        <v>0</v>
      </c>
      <c r="O154" s="517">
        <f t="shared" si="19"/>
        <v>0</v>
      </c>
      <c r="P154" s="518">
        <f>SUMIF('Diags Raw Data'!$A$6:$A$4003,"*"&amp;$A154&amp;"*",'Diags Raw Data'!$Z$6:$Z$4003)</f>
        <v>0</v>
      </c>
      <c r="Q154" s="519">
        <f>SUM(SUMIF('Diags Raw Data'!$A$6:$A$4003,"*"&amp;$A154&amp;"*",'Diags Raw Data'!$AA$6:$AA$4003),SUMIF('Diags Raw Data'!$A$6:$A$4003,"*"&amp;$A154&amp;"*",'Diags Raw Data'!$AB$6:$AB$4003))</f>
        <v>0</v>
      </c>
      <c r="R154" s="520">
        <f t="shared" si="20"/>
        <v>0</v>
      </c>
      <c r="S154" s="520">
        <f t="shared" si="21"/>
        <v>0</v>
      </c>
      <c r="T154" s="521">
        <f t="shared" si="22"/>
        <v>0</v>
      </c>
      <c r="U154" s="456" t="str">
        <f>VLOOKUP(A154,'Diags Raw Data'!$A$6:$AH$4003,33,FALSE)</f>
        <v>WK5</v>
      </c>
      <c r="V154" s="182"/>
    </row>
    <row r="155" spans="1:22" ht="45.75" thickBot="1" x14ac:dyDescent="0.3">
      <c r="A155" s="576">
        <v>12.32</v>
      </c>
      <c r="B155" s="458" t="str">
        <f>VLOOKUP(A155,'Feature Raw Data'!$A$3:$B$3922,2,FALSE)</f>
        <v>GCRD_SE SAX client</v>
      </c>
      <c r="C155" s="459" t="str">
        <f>VLOOKUP(A155,'Feature Raw Data'!$A$3:$C$3922,3,FALSE)</f>
        <v>P1</v>
      </c>
      <c r="D155" s="460" t="str" cm="1">
        <f t="array" ref="D155">_xlfn.TEXTJOIN("",TRUE,IF(ISNUMBER(SEARCH($A155,'Diags Raw Data'!$A$6:$A$4003)),CONCATENATE('Diags Raw Data'!$H$6:$H$4003,", "),""))</f>
        <v xml:space="preserve">gfx.cmm_sax_utcl0_invalidation_monolithic/utcl0_enable, N/A, N/A, N/A, N/A, </v>
      </c>
      <c r="E155" s="341" t="str">
        <f>VLOOKUP(A155,'Diags Raw Data'!$A$6:$D$4003,4,FALSE)</f>
        <v>CMM</v>
      </c>
      <c r="F155" s="341" t="str">
        <f>VLOOKUP(A155,'Feature Raw Data'!$A$3:$E$3922,5,FALSE)</f>
        <v>New</v>
      </c>
      <c r="G155" s="341" t="str">
        <f t="shared" si="17"/>
        <v>Yes</v>
      </c>
      <c r="H155" s="341" t="str">
        <f t="shared" si="18"/>
        <v>Yes</v>
      </c>
      <c r="I155" s="459">
        <f>SUMIF('Diags Raw Data'!$A$6:$A$4003,"*"&amp;$A155&amp;"*",'Diags Raw Data'!$K$6:$K$4003)</f>
        <v>0</v>
      </c>
      <c r="J155" s="461">
        <f>SUMIF('Diags Raw Data'!$A$6:$A$4003,"*"&amp;$A155&amp;"*",'Diags Raw Data'!$L$6:$L$4003)</f>
        <v>0</v>
      </c>
      <c r="K155" s="513" t="e" cm="1">
        <f t="array" ref="K155">IF(D155="",0, SUMPRODUCT(--(ISNUMBER(SEARCH($A155,'Diags Raw Data'!$A$6:$A$4003))),'Diags Raw Data'!$L$6:$L$4003,'Diags Raw Data'!$N$6:$N$4003)/J155)</f>
        <v>#DIV/0!</v>
      </c>
      <c r="L155" s="514" t="e" cm="1">
        <f t="array" ref="L155">IF(D155="",0, SUMPRODUCT(--(ISNUMBER(SEARCH($A155,'Diags Raw Data'!$A$6:$A$4003))),'Diags Raw Data'!$L$6:$L$4003,'Diags Raw Data'!$P$6:$P$4003)/J155)</f>
        <v>#DIV/0!</v>
      </c>
      <c r="M155" s="515" cm="1">
        <f t="array" ref="M155">SUMPRODUCT(--(ISNUMBER(SEARCH($A155,'Diags Raw Data'!$A$6:$A$4003))),--('Diags Raw Data'!$Q$6:$Q$4003&lt;&gt;"N/A"),'Diags Raw Data'!$R$6:$R$4003)</f>
        <v>1</v>
      </c>
      <c r="N155" s="516" cm="1">
        <f t="array" ref="N155">SUMPRODUCT(--(ISNUMBER(SEARCH($A155,'Diags Raw Data'!$A$6:$A$4003))),--('Diags Raw Data'!$Q$6:$Q$4003&lt;&gt;"N/A"),'Diags Raw Data'!$T$6:$T$4003)+SUMPRODUCT(--(ISNUMBER(SEARCH($A155,'Diags Raw Data'!$A$6:$A$4003))),--('Diags Raw Data'!$Q$6:$Q$4003&lt;&gt;"N/A"),'Diags Raw Data'!$U$6:$U$4003)</f>
        <v>0</v>
      </c>
      <c r="O155" s="517">
        <f t="shared" si="19"/>
        <v>0</v>
      </c>
      <c r="P155" s="518">
        <f>SUMIF('Diags Raw Data'!$A$6:$A$4003,"*"&amp;$A155&amp;"*",'Diags Raw Data'!$Z$6:$Z$4003)</f>
        <v>0</v>
      </c>
      <c r="Q155" s="519">
        <f>SUM(SUMIF('Diags Raw Data'!$A$6:$A$4003,"*"&amp;$A155&amp;"*",'Diags Raw Data'!$AA$6:$AA$4003),SUMIF('Diags Raw Data'!$A$6:$A$4003,"*"&amp;$A155&amp;"*",'Diags Raw Data'!$AB$6:$AB$4003))</f>
        <v>0</v>
      </c>
      <c r="R155" s="520">
        <f t="shared" si="20"/>
        <v>0</v>
      </c>
      <c r="S155" s="520">
        <f t="shared" si="21"/>
        <v>0</v>
      </c>
      <c r="T155" s="521">
        <f t="shared" si="22"/>
        <v>0</v>
      </c>
      <c r="U155" s="456" t="str">
        <f>VLOOKUP(A155,'Diags Raw Data'!$A$6:$AH$4003,33,FALSE)</f>
        <v>WK6</v>
      </c>
      <c r="V155" s="182"/>
    </row>
    <row r="156" spans="1:22" ht="30.75" thickBot="1" x14ac:dyDescent="0.3">
      <c r="A156" s="576">
        <v>12.321</v>
      </c>
      <c r="B156" s="458" t="str">
        <f>VLOOKUP(A156,'Feature Raw Data'!$A$3:$B$3922,2,FALSE)</f>
        <v>Limit wires SED&lt;-&gt;AID for PMM Ips</v>
      </c>
      <c r="C156" s="459" t="str">
        <f>VLOOKUP(A156,'Feature Raw Data'!$A$3:$C$3922,3,FALSE)</f>
        <v>P1</v>
      </c>
      <c r="D156" s="460"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9">
        <f>SUMIF('Diags Raw Data'!$A$6:$A$4003,"*"&amp;$A156&amp;"*",'Diags Raw Data'!$K$6:$K$4003)</f>
        <v>0</v>
      </c>
      <c r="J156" s="461">
        <f>SUMIF('Diags Raw Data'!$A$6:$A$4003,"*"&amp;$A156&amp;"*",'Diags Raw Data'!$L$6:$L$4003)</f>
        <v>0</v>
      </c>
      <c r="K156" s="513" t="e" cm="1">
        <f t="array" ref="K156">IF(D156="",0, SUMPRODUCT(--(ISNUMBER(SEARCH($A156,'Diags Raw Data'!$A$6:$A$4003))),'Diags Raw Data'!$L$6:$L$4003,'Diags Raw Data'!$N$6:$N$4003)/J156)</f>
        <v>#DIV/0!</v>
      </c>
      <c r="L156" s="514" t="e" cm="1">
        <f t="array" ref="L156">IF(D156="",0, SUMPRODUCT(--(ISNUMBER(SEARCH($A156,'Diags Raw Data'!$A$6:$A$4003))),'Diags Raw Data'!$L$6:$L$4003,'Diags Raw Data'!$P$6:$P$4003)/J156)</f>
        <v>#DIV/0!</v>
      </c>
      <c r="M156" s="515" cm="1">
        <f t="array" ref="M156">SUMPRODUCT(--(ISNUMBER(SEARCH($A156,'Diags Raw Data'!$A$6:$A$4003))),--('Diags Raw Data'!$Q$6:$Q$4003&lt;&gt;"N/A"),'Diags Raw Data'!$R$6:$R$4003)</f>
        <v>0</v>
      </c>
      <c r="N156" s="516" cm="1">
        <f t="array" ref="N156">SUMPRODUCT(--(ISNUMBER(SEARCH($A156,'Diags Raw Data'!$A$6:$A$4003))),--('Diags Raw Data'!$Q$6:$Q$4003&lt;&gt;"N/A"),'Diags Raw Data'!$T$6:$T$4003)+SUMPRODUCT(--(ISNUMBER(SEARCH($A156,'Diags Raw Data'!$A$6:$A$4003))),--('Diags Raw Data'!$Q$6:$Q$4003&lt;&gt;"N/A"),'Diags Raw Data'!$U$6:$U$4003)</f>
        <v>0</v>
      </c>
      <c r="O156" s="517">
        <f t="shared" si="19"/>
        <v>0</v>
      </c>
      <c r="P156" s="518">
        <f>SUMIF('Diags Raw Data'!$A$6:$A$4003,"*"&amp;$A156&amp;"*",'Diags Raw Data'!$Z$6:$Z$4003)</f>
        <v>0</v>
      </c>
      <c r="Q156" s="519">
        <f>SUM(SUMIF('Diags Raw Data'!$A$6:$A$4003,"*"&amp;$A156&amp;"*",'Diags Raw Data'!$AA$6:$AA$4003),SUMIF('Diags Raw Data'!$A$6:$A$4003,"*"&amp;$A156&amp;"*",'Diags Raw Data'!$AB$6:$AB$4003))</f>
        <v>0</v>
      </c>
      <c r="R156" s="520">
        <f t="shared" si="20"/>
        <v>0</v>
      </c>
      <c r="S156" s="520">
        <f t="shared" si="21"/>
        <v>0</v>
      </c>
      <c r="T156" s="521">
        <f t="shared" si="22"/>
        <v>0</v>
      </c>
      <c r="U156" s="456" t="str">
        <f>VLOOKUP(A156,'Diags Raw Data'!$A$6:$AH$4003,33,FALSE)</f>
        <v>N/A</v>
      </c>
      <c r="V156" s="585" t="s">
        <v>464</v>
      </c>
    </row>
    <row r="157" spans="1:22" ht="30.75" thickBot="1" x14ac:dyDescent="0.3">
      <c r="A157" s="576">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Data'!$A$6:$A$4003)),CONCATENATE('Diags Raw Data'!$H$6:$H$4003,", "),""))</f>
        <v xml:space="preserve">N/A, </v>
      </c>
      <c r="E157" s="341" t="str">
        <f>VLOOKUP(A157,'Diags Raw Data'!$A$6:$D$4003,4,FALSE)</f>
        <v>CMM</v>
      </c>
      <c r="F157" s="341" t="str">
        <f>VLOOKUP(A157,'Feature Raw Data'!$A$3:$E$3922,5,FALSE)</f>
        <v>New</v>
      </c>
      <c r="G157" s="341" t="str">
        <f t="shared" si="17"/>
        <v>No</v>
      </c>
      <c r="H157" s="341" t="str">
        <f t="shared" si="18"/>
        <v>No</v>
      </c>
      <c r="I157" s="459">
        <f>SUMIF('Diags Raw Data'!$A$6:$A$4003,"*"&amp;$A157&amp;"*",'Diags Raw Data'!$K$6:$K$4003)</f>
        <v>0</v>
      </c>
      <c r="J157" s="461">
        <f>SUMIF('Diags Raw Data'!$A$6:$A$4003,"*"&amp;$A157&amp;"*",'Diags Raw Data'!$L$6:$L$4003)</f>
        <v>0</v>
      </c>
      <c r="K157" s="513" t="e" cm="1">
        <f t="array" ref="K157">IF(D157="",0, SUMPRODUCT(--(ISNUMBER(SEARCH($A157,'Diags Raw Data'!$A$6:$A$4003))),'Diags Raw Data'!$L$6:$L$4003,'Diags Raw Data'!$N$6:$N$4003)/J157)</f>
        <v>#DIV/0!</v>
      </c>
      <c r="L157" s="514" t="e" cm="1">
        <f t="array" ref="L157">IF(D157="",0, SUMPRODUCT(--(ISNUMBER(SEARCH($A157,'Diags Raw Data'!$A$6:$A$4003))),'Diags Raw Data'!$L$6:$L$4003,'Diags Raw Data'!$P$6:$P$4003)/J157)</f>
        <v>#DIV/0!</v>
      </c>
      <c r="M157" s="515" cm="1">
        <f t="array" ref="M157">SUMPRODUCT(--(ISNUMBER(SEARCH($A157,'Diags Raw Data'!$A$6:$A$4003))),--('Diags Raw Data'!$Q$6:$Q$4003&lt;&gt;"N/A"),'Diags Raw Data'!$R$6:$R$4003)</f>
        <v>0</v>
      </c>
      <c r="N157" s="516" cm="1">
        <f t="array" ref="N157">SUMPRODUCT(--(ISNUMBER(SEARCH($A157,'Diags Raw Data'!$A$6:$A$4003))),--('Diags Raw Data'!$Q$6:$Q$4003&lt;&gt;"N/A"),'Diags Raw Data'!$T$6:$T$4003)+SUMPRODUCT(--(ISNUMBER(SEARCH($A157,'Diags Raw Data'!$A$6:$A$4003))),--('Diags Raw Data'!$Q$6:$Q$4003&lt;&gt;"N/A"),'Diags Raw Data'!$U$6:$U$4003)</f>
        <v>0</v>
      </c>
      <c r="O157" s="517">
        <f t="shared" si="19"/>
        <v>0</v>
      </c>
      <c r="P157" s="518">
        <f>SUMIF('Diags Raw Data'!$A$6:$A$4003,"*"&amp;$A157&amp;"*",'Diags Raw Data'!$Z$6:$Z$4003)</f>
        <v>0</v>
      </c>
      <c r="Q157" s="519">
        <f>SUM(SUMIF('Diags Raw Data'!$A$6:$A$4003,"*"&amp;$A157&amp;"*",'Diags Raw Data'!$AA$6:$AA$4003),SUMIF('Diags Raw Data'!$A$6:$A$4003,"*"&amp;$A157&amp;"*",'Diags Raw Data'!$AB$6:$AB$4003))</f>
        <v>0</v>
      </c>
      <c r="R157" s="520">
        <f t="shared" si="20"/>
        <v>0</v>
      </c>
      <c r="S157" s="520">
        <f t="shared" si="21"/>
        <v>0</v>
      </c>
      <c r="T157" s="521">
        <f t="shared" si="22"/>
        <v>0</v>
      </c>
      <c r="U157" s="456" t="str">
        <f>VLOOKUP(A157,'Diags Raw Data'!$A$6:$AH$4003,33,FALSE)</f>
        <v>N/A</v>
      </c>
      <c r="V157" s="182"/>
    </row>
    <row r="158" spans="1:22" ht="30.75" thickBot="1" x14ac:dyDescent="0.3">
      <c r="A158" s="576">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Data'!$A$6:$A$4003)),CONCATENATE('Diags Raw Data'!$H$6:$H$4003,", "),""))</f>
        <v xml:space="preserve">N/A, </v>
      </c>
      <c r="E158" s="341" t="str">
        <f>VLOOKUP(A158,'Diags Raw Data'!$A$6:$D$4003,4,FALSE)</f>
        <v>CTL</v>
      </c>
      <c r="F158" s="341" t="str">
        <f>VLOOKUP(A158,'Feature Raw Data'!$A$3:$E$3922,5,FALSE)</f>
        <v>New</v>
      </c>
      <c r="G158" s="341" t="str">
        <f t="shared" si="17"/>
        <v>No</v>
      </c>
      <c r="H158" s="341" t="str">
        <f t="shared" si="18"/>
        <v>No</v>
      </c>
      <c r="I158" s="459">
        <f>SUMIF('Diags Raw Data'!$A$6:$A$4003,"*"&amp;$A158&amp;"*",'Diags Raw Data'!$K$6:$K$4003)</f>
        <v>0</v>
      </c>
      <c r="J158" s="461">
        <f>SUMIF('Diags Raw Data'!$A$6:$A$4003,"*"&amp;$A158&amp;"*",'Diags Raw Data'!$L$6:$L$4003)</f>
        <v>0</v>
      </c>
      <c r="K158" s="513" t="e" cm="1">
        <f t="array" ref="K158">IF(D158="",0, SUMPRODUCT(--(ISNUMBER(SEARCH($A158,'Diags Raw Data'!$A$6:$A$4003))),'Diags Raw Data'!$L$6:$L$4003,'Diags Raw Data'!$N$6:$N$4003)/J158)</f>
        <v>#DIV/0!</v>
      </c>
      <c r="L158" s="514" t="e" cm="1">
        <f t="array" ref="L158">IF(D158="",0, SUMPRODUCT(--(ISNUMBER(SEARCH($A158,'Diags Raw Data'!$A$6:$A$4003))),'Diags Raw Data'!$L$6:$L$4003,'Diags Raw Data'!$P$6:$P$4003)/J158)</f>
        <v>#DIV/0!</v>
      </c>
      <c r="M158" s="515" cm="1">
        <f t="array" ref="M158">SUMPRODUCT(--(ISNUMBER(SEARCH($A158,'Diags Raw Data'!$A$6:$A$4003))),--('Diags Raw Data'!$Q$6:$Q$4003&lt;&gt;"N/A"),'Diags Raw Data'!$R$6:$R$4003)</f>
        <v>0</v>
      </c>
      <c r="N158" s="516" cm="1">
        <f t="array" ref="N158">SUMPRODUCT(--(ISNUMBER(SEARCH($A158,'Diags Raw Data'!$A$6:$A$4003))),--('Diags Raw Data'!$Q$6:$Q$4003&lt;&gt;"N/A"),'Diags Raw Data'!$T$6:$T$4003)+SUMPRODUCT(--(ISNUMBER(SEARCH($A158,'Diags Raw Data'!$A$6:$A$4003))),--('Diags Raw Data'!$Q$6:$Q$4003&lt;&gt;"N/A"),'Diags Raw Data'!$U$6:$U$4003)</f>
        <v>0</v>
      </c>
      <c r="O158" s="517">
        <f t="shared" si="19"/>
        <v>0</v>
      </c>
      <c r="P158" s="518">
        <f>SUMIF('Diags Raw Data'!$A$6:$A$4003,"*"&amp;$A158&amp;"*",'Diags Raw Data'!$Z$6:$Z$4003)</f>
        <v>0</v>
      </c>
      <c r="Q158" s="519">
        <f>SUM(SUMIF('Diags Raw Data'!$A$6:$A$4003,"*"&amp;$A158&amp;"*",'Diags Raw Data'!$AA$6:$AA$4003),SUMIF('Diags Raw Data'!$A$6:$A$4003,"*"&amp;$A158&amp;"*",'Diags Raw Data'!$AB$6:$AB$4003))</f>
        <v>0</v>
      </c>
      <c r="R158" s="520">
        <f t="shared" si="20"/>
        <v>0</v>
      </c>
      <c r="S158" s="520">
        <f t="shared" si="21"/>
        <v>0</v>
      </c>
      <c r="T158" s="521">
        <f t="shared" si="22"/>
        <v>0</v>
      </c>
      <c r="U158" s="456" t="str">
        <f>VLOOKUP(A158,'Diags Raw Data'!$A$6:$AH$4003,33,FALSE)</f>
        <v>N/A</v>
      </c>
      <c r="V158" s="182"/>
    </row>
    <row r="159" spans="1:22" ht="30.75" thickBot="1" x14ac:dyDescent="0.3">
      <c r="A159" s="576">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9">
        <f>SUMIF('Diags Raw Data'!$A$6:$A$4003,"*"&amp;$A159&amp;"*",'Diags Raw Data'!$K$6:$K$4003)</f>
        <v>0</v>
      </c>
      <c r="J159" s="461">
        <f>SUMIF('Diags Raw Data'!$A$6:$A$4003,"*"&amp;$A159&amp;"*",'Diags Raw Data'!$L$6:$L$4003)</f>
        <v>0</v>
      </c>
      <c r="K159" s="513" t="e" cm="1">
        <f t="array" ref="K159">IF(D159="",0, SUMPRODUCT(--(ISNUMBER(SEARCH($A159,'Diags Raw Data'!$A$6:$A$4003))),'Diags Raw Data'!$L$6:$L$4003,'Diags Raw Data'!$N$6:$N$4003)/J159)</f>
        <v>#DIV/0!</v>
      </c>
      <c r="L159" s="514" t="e" cm="1">
        <f t="array" ref="L159">IF(D159="",0, SUMPRODUCT(--(ISNUMBER(SEARCH($A159,'Diags Raw Data'!$A$6:$A$4003))),'Diags Raw Data'!$L$6:$L$4003,'Diags Raw Data'!$P$6:$P$4003)/J159)</f>
        <v>#DIV/0!</v>
      </c>
      <c r="M159" s="515" cm="1">
        <f t="array" ref="M159">SUMPRODUCT(--(ISNUMBER(SEARCH($A159,'Diags Raw Data'!$A$6:$A$4003))),--('Diags Raw Data'!$Q$6:$Q$4003&lt;&gt;"N/A"),'Diags Raw Data'!$R$6:$R$4003)</f>
        <v>0</v>
      </c>
      <c r="N159" s="516" cm="1">
        <f t="array" ref="N159">SUMPRODUCT(--(ISNUMBER(SEARCH($A159,'Diags Raw Data'!$A$6:$A$4003))),--('Diags Raw Data'!$Q$6:$Q$4003&lt;&gt;"N/A"),'Diags Raw Data'!$T$6:$T$4003)+SUMPRODUCT(--(ISNUMBER(SEARCH($A159,'Diags Raw Data'!$A$6:$A$4003))),--('Diags Raw Data'!$Q$6:$Q$4003&lt;&gt;"N/A"),'Diags Raw Data'!$U$6:$U$4003)</f>
        <v>0</v>
      </c>
      <c r="O159" s="517">
        <f t="shared" si="19"/>
        <v>0</v>
      </c>
      <c r="P159" s="518">
        <f>SUMIF('Diags Raw Data'!$A$6:$A$4003,"*"&amp;$A159&amp;"*",'Diags Raw Data'!$Z$6:$Z$4003)</f>
        <v>0</v>
      </c>
      <c r="Q159" s="519">
        <f>SUM(SUMIF('Diags Raw Data'!$A$6:$A$4003,"*"&amp;$A159&amp;"*",'Diags Raw Data'!$AA$6:$AA$4003),SUMIF('Diags Raw Data'!$A$6:$A$4003,"*"&amp;$A159&amp;"*",'Diags Raw Data'!$AB$6:$AB$4003))</f>
        <v>0</v>
      </c>
      <c r="R159" s="520">
        <f t="shared" si="20"/>
        <v>0</v>
      </c>
      <c r="S159" s="520">
        <f t="shared" si="21"/>
        <v>0</v>
      </c>
      <c r="T159" s="521">
        <f t="shared" si="22"/>
        <v>0</v>
      </c>
      <c r="U159" s="456" t="str">
        <f>VLOOKUP(A159,'Diags Raw Data'!$A$6:$AH$4003,33,FALSE)</f>
        <v>N/A</v>
      </c>
      <c r="V159" s="585" t="s">
        <v>382</v>
      </c>
    </row>
    <row r="160" spans="1:22" ht="15.75" thickBot="1" x14ac:dyDescent="0.3">
      <c r="A160" s="576">
        <v>12.332000000000001</v>
      </c>
      <c r="B160" s="458" t="str">
        <f>VLOOKUP(A160,'Feature Raw Data'!$A$3:$B$3922,2,FALSE)</f>
        <v>GFX12 EA - Add idle sidebands</v>
      </c>
      <c r="C160" s="459" t="str">
        <f>VLOOKUP(A160,'Feature Raw Data'!$A$3:$C$3922,3,FALSE)</f>
        <v>P2</v>
      </c>
      <c r="D160" s="460" t="str" cm="1">
        <f t="array" ref="D160">_xlfn.TEXTJOIN("",TRUE,IF(ISNUMBER(SEARCH($A160,'Diags Raw Data'!$A$6:$A$4003)),CONCATENATE('Diags Raw Data'!$H$6:$H$4003,", "),""))</f>
        <v xml:space="preserve">N/A, </v>
      </c>
      <c r="E160" s="341" t="str">
        <f>VLOOKUP(A160,'Diags Raw Data'!$A$6:$D$4003,4,FALSE)</f>
        <v>CMM</v>
      </c>
      <c r="F160" s="341" t="str">
        <f>VLOOKUP(A160,'Feature Raw Data'!$A$3:$E$3922,5,FALSE)</f>
        <v>New</v>
      </c>
      <c r="G160" s="341" t="str">
        <f t="shared" si="17"/>
        <v>No</v>
      </c>
      <c r="H160" s="341" t="str">
        <f t="shared" si="18"/>
        <v>No</v>
      </c>
      <c r="I160" s="459">
        <f>SUMIF('Diags Raw Data'!$A$6:$A$4003,"*"&amp;$A160&amp;"*",'Diags Raw Data'!$K$6:$K$4003)</f>
        <v>0</v>
      </c>
      <c r="J160" s="461">
        <f>SUMIF('Diags Raw Data'!$A$6:$A$4003,"*"&amp;$A160&amp;"*",'Diags Raw Data'!$L$6:$L$4003)</f>
        <v>0</v>
      </c>
      <c r="K160" s="513" t="e" cm="1">
        <f t="array" ref="K160">IF(D160="",0, SUMPRODUCT(--(ISNUMBER(SEARCH($A160,'Diags Raw Data'!$A$6:$A$4003))),'Diags Raw Data'!$L$6:$L$4003,'Diags Raw Data'!$N$6:$N$4003)/J160)</f>
        <v>#DIV/0!</v>
      </c>
      <c r="L160" s="514" t="e" cm="1">
        <f t="array" ref="L160">IF(D160="",0, SUMPRODUCT(--(ISNUMBER(SEARCH($A160,'Diags Raw Data'!$A$6:$A$4003))),'Diags Raw Data'!$L$6:$L$4003,'Diags Raw Data'!$P$6:$P$4003)/J160)</f>
        <v>#DIV/0!</v>
      </c>
      <c r="M160" s="515" cm="1">
        <f t="array" ref="M160">SUMPRODUCT(--(ISNUMBER(SEARCH($A160,'Diags Raw Data'!$A$6:$A$4003))),--('Diags Raw Data'!$Q$6:$Q$4003&lt;&gt;"N/A"),'Diags Raw Data'!$R$6:$R$4003)</f>
        <v>0</v>
      </c>
      <c r="N160" s="516" cm="1">
        <f t="array" ref="N160">SUMPRODUCT(--(ISNUMBER(SEARCH($A160,'Diags Raw Data'!$A$6:$A$4003))),--('Diags Raw Data'!$Q$6:$Q$4003&lt;&gt;"N/A"),'Diags Raw Data'!$T$6:$T$4003)+SUMPRODUCT(--(ISNUMBER(SEARCH($A160,'Diags Raw Data'!$A$6:$A$4003))),--('Diags Raw Data'!$Q$6:$Q$4003&lt;&gt;"N/A"),'Diags Raw Data'!$U$6:$U$4003)</f>
        <v>0</v>
      </c>
      <c r="O160" s="517">
        <f t="shared" si="19"/>
        <v>0</v>
      </c>
      <c r="P160" s="518">
        <f>SUMIF('Diags Raw Data'!$A$6:$A$4003,"*"&amp;$A160&amp;"*",'Diags Raw Data'!$Z$6:$Z$4003)</f>
        <v>0</v>
      </c>
      <c r="Q160" s="519">
        <f>SUM(SUMIF('Diags Raw Data'!$A$6:$A$4003,"*"&amp;$A160&amp;"*",'Diags Raw Data'!$AA$6:$AA$4003),SUMIF('Diags Raw Data'!$A$6:$A$4003,"*"&amp;$A160&amp;"*",'Diags Raw Data'!$AB$6:$AB$4003))</f>
        <v>0</v>
      </c>
      <c r="R160" s="520">
        <f t="shared" si="20"/>
        <v>0</v>
      </c>
      <c r="S160" s="520">
        <f t="shared" si="21"/>
        <v>0</v>
      </c>
      <c r="T160" s="521">
        <f t="shared" si="22"/>
        <v>0</v>
      </c>
      <c r="U160" s="456" t="str">
        <f>VLOOKUP(A160,'Diags Raw Data'!$A$6:$AH$4003,33,FALSE)</f>
        <v>N/A</v>
      </c>
      <c r="V160" s="182"/>
    </row>
    <row r="161" spans="1:22" ht="30.75" thickBot="1" x14ac:dyDescent="0.3">
      <c r="A161" s="576">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Data'!$A$6:$A$4003)),CONCATENATE('Diags Raw Data'!$H$6:$H$4003,", "),""))</f>
        <v xml:space="preserve">STD1.6 GCI30.3, </v>
      </c>
      <c r="E161" s="341" t="str">
        <f>VLOOKUP(A161,'Diags Raw Data'!$A$6:$D$4003,4,FALSE)</f>
        <v>GC</v>
      </c>
      <c r="F161" s="341" t="str">
        <f>VLOOKUP(A161,'Feature Raw Data'!$A$3:$E$3922,5,FALSE)</f>
        <v>New</v>
      </c>
      <c r="G161" s="341" t="str">
        <f t="shared" si="17"/>
        <v>Yes</v>
      </c>
      <c r="H161" s="341" t="str">
        <f t="shared" si="18"/>
        <v>Yes</v>
      </c>
      <c r="I161" s="459">
        <f>SUMIF('Diags Raw Data'!$A$6:$A$4003,"*"&amp;$A161&amp;"*",'Diags Raw Data'!$K$6:$K$4003)</f>
        <v>0</v>
      </c>
      <c r="J161" s="461">
        <f>SUMIF('Diags Raw Data'!$A$6:$A$4003,"*"&amp;$A161&amp;"*",'Diags Raw Data'!$L$6:$L$4003)</f>
        <v>0</v>
      </c>
      <c r="K161" s="513" t="e" cm="1">
        <f t="array" ref="K161">IF(D161="",0, SUMPRODUCT(--(ISNUMBER(SEARCH($A161,'Diags Raw Data'!$A$6:$A$4003))),'Diags Raw Data'!$L$6:$L$4003,'Diags Raw Data'!$N$6:$N$4003)/J161)</f>
        <v>#DIV/0!</v>
      </c>
      <c r="L161" s="514" t="e" cm="1">
        <f t="array" ref="L161">IF(D161="",0, SUMPRODUCT(--(ISNUMBER(SEARCH($A161,'Diags Raw Data'!$A$6:$A$4003))),'Diags Raw Data'!$L$6:$L$4003,'Diags Raw Data'!$P$6:$P$4003)/J161)</f>
        <v>#DIV/0!</v>
      </c>
      <c r="M161" s="515" cm="1">
        <f t="array" ref="M161">SUMPRODUCT(--(ISNUMBER(SEARCH($A161,'Diags Raw Data'!$A$6:$A$4003))),--('Diags Raw Data'!$Q$6:$Q$4003&lt;&gt;"N/A"),'Diags Raw Data'!$R$6:$R$4003)</f>
        <v>4</v>
      </c>
      <c r="N161" s="516" cm="1">
        <f t="array" ref="N161">SUMPRODUCT(--(ISNUMBER(SEARCH($A161,'Diags Raw Data'!$A$6:$A$4003))),--('Diags Raw Data'!$Q$6:$Q$4003&lt;&gt;"N/A"),'Diags Raw Data'!$T$6:$T$4003)+SUMPRODUCT(--(ISNUMBER(SEARCH($A161,'Diags Raw Data'!$A$6:$A$4003))),--('Diags Raw Data'!$Q$6:$Q$4003&lt;&gt;"N/A"),'Diags Raw Data'!$U$6:$U$4003)</f>
        <v>4</v>
      </c>
      <c r="O161" s="517">
        <f t="shared" si="19"/>
        <v>1</v>
      </c>
      <c r="P161" s="518">
        <f>SUMIF('Diags Raw Data'!$A$6:$A$4003,"*"&amp;$A161&amp;"*",'Diags Raw Data'!$Z$6:$Z$4003)</f>
        <v>0</v>
      </c>
      <c r="Q161" s="519">
        <f>SUM(SUMIF('Diags Raw Data'!$A$6:$A$4003,"*"&amp;$A161&amp;"*",'Diags Raw Data'!$AA$6:$AA$4003),SUMIF('Diags Raw Data'!$A$6:$A$4003,"*"&amp;$A161&amp;"*",'Diags Raw Data'!$AB$6:$AB$4003))</f>
        <v>0</v>
      </c>
      <c r="R161" s="520">
        <f t="shared" si="20"/>
        <v>0</v>
      </c>
      <c r="S161" s="520">
        <f t="shared" si="21"/>
        <v>0</v>
      </c>
      <c r="T161" s="521">
        <f t="shared" si="22"/>
        <v>0</v>
      </c>
      <c r="U161" s="456" t="str">
        <f>VLOOKUP(A161,'Diags Raw Data'!$A$6:$AH$4003,33,FALSE)</f>
        <v>WK6</v>
      </c>
      <c r="V161" s="182"/>
    </row>
    <row r="162" spans="1:22" ht="15.75" thickBot="1" x14ac:dyDescent="0.3">
      <c r="A162" s="576">
        <v>12.334</v>
      </c>
      <c r="B162" s="458" t="str">
        <f>VLOOKUP(A162,'Feature Raw Data'!$A$3:$B$3922,2,FALSE)</f>
        <v>GTS support in GFX12</v>
      </c>
      <c r="C162" s="459" t="str">
        <f>VLOOKUP(A162,'Feature Raw Data'!$A$3:$C$3922,3,FALSE)</f>
        <v>P1</v>
      </c>
      <c r="D162" s="460" t="str" cm="1">
        <f t="array" ref="D162">_xlfn.TEXTJOIN("",TRUE,IF(ISNUMBER(SEARCH($A162,'Diags Raw Data'!$A$6:$A$4003)),CONCATENATE('Diags Raw Data'!$H$6:$H$4003,", "),""))</f>
        <v xml:space="preserve">placeholder_t.1, </v>
      </c>
      <c r="E162" s="341" t="str">
        <f>VLOOKUP(A162,'Diags Raw Data'!$A$6:$D$4003,4,FALSE)</f>
        <v>CTL</v>
      </c>
      <c r="F162" s="341" t="str">
        <f>VLOOKUP(A162,'Feature Raw Data'!$A$3:$E$3922,5,FALSE)</f>
        <v>New</v>
      </c>
      <c r="G162" s="341" t="str">
        <f t="shared" si="17"/>
        <v>Yes</v>
      </c>
      <c r="H162" s="341" t="str">
        <f t="shared" si="18"/>
        <v>Yes</v>
      </c>
      <c r="I162" s="459">
        <f>SUMIF('Diags Raw Data'!$A$6:$A$4003,"*"&amp;$A162&amp;"*",'Diags Raw Data'!$K$6:$K$4003)</f>
        <v>0</v>
      </c>
      <c r="J162" s="461">
        <f>SUMIF('Diags Raw Data'!$A$6:$A$4003,"*"&amp;$A162&amp;"*",'Diags Raw Data'!$L$6:$L$4003)</f>
        <v>0</v>
      </c>
      <c r="K162" s="513" t="e" cm="1">
        <f t="array" ref="K162">IF(D162="",0, SUMPRODUCT(--(ISNUMBER(SEARCH($A162,'Diags Raw Data'!$A$6:$A$4003))),'Diags Raw Data'!$L$6:$L$4003,'Diags Raw Data'!$N$6:$N$4003)/J162)</f>
        <v>#DIV/0!</v>
      </c>
      <c r="L162" s="514" t="e" cm="1">
        <f t="array" ref="L162">IF(D162="",0, SUMPRODUCT(--(ISNUMBER(SEARCH($A162,'Diags Raw Data'!$A$6:$A$4003))),'Diags Raw Data'!$L$6:$L$4003,'Diags Raw Data'!$P$6:$P$4003)/J162)</f>
        <v>#DIV/0!</v>
      </c>
      <c r="M162" s="515" cm="1">
        <f t="array" ref="M162">SUMPRODUCT(--(ISNUMBER(SEARCH($A162,'Diags Raw Data'!$A$6:$A$4003))),--('Diags Raw Data'!$Q$6:$Q$4003&lt;&gt;"N/A"),'Diags Raw Data'!$R$6:$R$4003)</f>
        <v>2</v>
      </c>
      <c r="N162" s="516" cm="1">
        <f t="array" ref="N162">SUMPRODUCT(--(ISNUMBER(SEARCH($A162,'Diags Raw Data'!$A$6:$A$4003))),--('Diags Raw Data'!$Q$6:$Q$4003&lt;&gt;"N/A"),'Diags Raw Data'!$T$6:$T$4003)+SUMPRODUCT(--(ISNUMBER(SEARCH($A162,'Diags Raw Data'!$A$6:$A$4003))),--('Diags Raw Data'!$Q$6:$Q$4003&lt;&gt;"N/A"),'Diags Raw Data'!$U$6:$U$4003)</f>
        <v>0</v>
      </c>
      <c r="O162" s="517">
        <f t="shared" si="19"/>
        <v>0</v>
      </c>
      <c r="P162" s="518">
        <f>SUMIF('Diags Raw Data'!$A$6:$A$4003,"*"&amp;$A162&amp;"*",'Diags Raw Data'!$Z$6:$Z$4003)</f>
        <v>0</v>
      </c>
      <c r="Q162" s="519">
        <f>SUM(SUMIF('Diags Raw Data'!$A$6:$A$4003,"*"&amp;$A162&amp;"*",'Diags Raw Data'!$AA$6:$AA$4003),SUMIF('Diags Raw Data'!$A$6:$A$4003,"*"&amp;$A162&amp;"*",'Diags Raw Data'!$AB$6:$AB$4003))</f>
        <v>0</v>
      </c>
      <c r="R162" s="520">
        <f t="shared" si="20"/>
        <v>0</v>
      </c>
      <c r="S162" s="520">
        <f t="shared" si="21"/>
        <v>0</v>
      </c>
      <c r="T162" s="521">
        <f t="shared" si="22"/>
        <v>0</v>
      </c>
      <c r="U162" s="456" t="str">
        <f>VLOOKUP(A162,'Diags Raw Data'!$A$6:$AH$4003,33,FALSE)</f>
        <v>WK4</v>
      </c>
      <c r="V162" s="182"/>
    </row>
    <row r="163" spans="1:22" ht="30.75" thickBot="1" x14ac:dyDescent="0.3">
      <c r="A163" s="576">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9">
        <f>SUMIF('Diags Raw Data'!$A$6:$A$4003,"*"&amp;$A163&amp;"*",'Diags Raw Data'!$K$6:$K$4003)</f>
        <v>0</v>
      </c>
      <c r="J163" s="461">
        <f>SUMIF('Diags Raw Data'!$A$6:$A$4003,"*"&amp;$A163&amp;"*",'Diags Raw Data'!$L$6:$L$4003)</f>
        <v>0</v>
      </c>
      <c r="K163" s="513" t="e" cm="1">
        <f t="array" ref="K163">IF(D163="",0, SUMPRODUCT(--(ISNUMBER(SEARCH($A163,'Diags Raw Data'!$A$6:$A$4003))),'Diags Raw Data'!$L$6:$L$4003,'Diags Raw Data'!$N$6:$N$4003)/J163)</f>
        <v>#DIV/0!</v>
      </c>
      <c r="L163" s="514" t="e" cm="1">
        <f t="array" ref="L163">IF(D163="",0, SUMPRODUCT(--(ISNUMBER(SEARCH($A163,'Diags Raw Data'!$A$6:$A$4003))),'Diags Raw Data'!$L$6:$L$4003,'Diags Raw Data'!$P$6:$P$4003)/J163)</f>
        <v>#DIV/0!</v>
      </c>
      <c r="M163" s="515" cm="1">
        <f t="array" ref="M163">SUMPRODUCT(--(ISNUMBER(SEARCH($A163,'Diags Raw Data'!$A$6:$A$4003))),--('Diags Raw Data'!$Q$6:$Q$4003&lt;&gt;"N/A"),'Diags Raw Data'!$R$6:$R$4003)</f>
        <v>0</v>
      </c>
      <c r="N163" s="516" cm="1">
        <f t="array" ref="N163">SUMPRODUCT(--(ISNUMBER(SEARCH($A163,'Diags Raw Data'!$A$6:$A$4003))),--('Diags Raw Data'!$Q$6:$Q$4003&lt;&gt;"N/A"),'Diags Raw Data'!$T$6:$T$4003)+SUMPRODUCT(--(ISNUMBER(SEARCH($A163,'Diags Raw Data'!$A$6:$A$4003))),--('Diags Raw Data'!$Q$6:$Q$4003&lt;&gt;"N/A"),'Diags Raw Data'!$U$6:$U$4003)</f>
        <v>0</v>
      </c>
      <c r="O163" s="517">
        <f t="shared" si="19"/>
        <v>0</v>
      </c>
      <c r="P163" s="518">
        <f>SUMIF('Diags Raw Data'!$A$6:$A$4003,"*"&amp;$A163&amp;"*",'Diags Raw Data'!$Z$6:$Z$4003)</f>
        <v>0</v>
      </c>
      <c r="Q163" s="519">
        <f>SUM(SUMIF('Diags Raw Data'!$A$6:$A$4003,"*"&amp;$A163&amp;"*",'Diags Raw Data'!$AA$6:$AA$4003),SUMIF('Diags Raw Data'!$A$6:$A$4003,"*"&amp;$A163&amp;"*",'Diags Raw Data'!$AB$6:$AB$4003))</f>
        <v>0</v>
      </c>
      <c r="R163" s="520">
        <f t="shared" si="20"/>
        <v>0</v>
      </c>
      <c r="S163" s="520">
        <f t="shared" si="21"/>
        <v>0</v>
      </c>
      <c r="T163" s="521">
        <f t="shared" si="22"/>
        <v>0</v>
      </c>
      <c r="U163" s="456" t="str">
        <f>VLOOKUP(A163,'Diags Raw Data'!$A$6:$AH$4003,33,FALSE)</f>
        <v>N/A</v>
      </c>
      <c r="V163" s="585" t="s">
        <v>464</v>
      </c>
    </row>
    <row r="164" spans="1:22" ht="30.75" thickBot="1" x14ac:dyDescent="0.3">
      <c r="A164" s="576">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Data'!$A$6:$A$4003)),CONCATENATE('Diags Raw Data'!$H$6:$H$4003,", "),""))</f>
        <v xml:space="preserve">GCI28.3, </v>
      </c>
      <c r="E164" s="341" t="str">
        <f>VLOOKUP(A164,'Diags Raw Data'!$A$6:$D$4003,4,FALSE)</f>
        <v>CTL</v>
      </c>
      <c r="F164" s="341" t="str">
        <f>VLOOKUP(A164,'Feature Raw Data'!$A$3:$E$3922,5,FALSE)</f>
        <v>New</v>
      </c>
      <c r="G164" s="341" t="str">
        <f t="shared" si="17"/>
        <v>Yes</v>
      </c>
      <c r="H164" s="341" t="str">
        <f t="shared" si="18"/>
        <v>Yes</v>
      </c>
      <c r="I164" s="459">
        <f>SUMIF('Diags Raw Data'!$A$6:$A$4003,"*"&amp;$A164&amp;"*",'Diags Raw Data'!$K$6:$K$4003)</f>
        <v>0</v>
      </c>
      <c r="J164" s="461">
        <f>SUMIF('Diags Raw Data'!$A$6:$A$4003,"*"&amp;$A164&amp;"*",'Diags Raw Data'!$L$6:$L$4003)</f>
        <v>0</v>
      </c>
      <c r="K164" s="513" t="e" cm="1">
        <f t="array" ref="K164">IF(D164="",0, SUMPRODUCT(--(ISNUMBER(SEARCH($A164,'Diags Raw Data'!$A$6:$A$4003))),'Diags Raw Data'!$L$6:$L$4003,'Diags Raw Data'!$N$6:$N$4003)/J164)</f>
        <v>#DIV/0!</v>
      </c>
      <c r="L164" s="514" t="e" cm="1">
        <f t="array" ref="L164">IF(D164="",0, SUMPRODUCT(--(ISNUMBER(SEARCH($A164,'Diags Raw Data'!$A$6:$A$4003))),'Diags Raw Data'!$L$6:$L$4003,'Diags Raw Data'!$P$6:$P$4003)/J164)</f>
        <v>#DIV/0!</v>
      </c>
      <c r="M164" s="515" cm="1">
        <f t="array" ref="M164">SUMPRODUCT(--(ISNUMBER(SEARCH($A164,'Diags Raw Data'!$A$6:$A$4003))),--('Diags Raw Data'!$Q$6:$Q$4003&lt;&gt;"N/A"),'Diags Raw Data'!$R$6:$R$4003)</f>
        <v>1</v>
      </c>
      <c r="N164" s="516" cm="1">
        <f t="array" ref="N164">SUMPRODUCT(--(ISNUMBER(SEARCH($A164,'Diags Raw Data'!$A$6:$A$4003))),--('Diags Raw Data'!$Q$6:$Q$4003&lt;&gt;"N/A"),'Diags Raw Data'!$T$6:$T$4003)+SUMPRODUCT(--(ISNUMBER(SEARCH($A164,'Diags Raw Data'!$A$6:$A$4003))),--('Diags Raw Data'!$Q$6:$Q$4003&lt;&gt;"N/A"),'Diags Raw Data'!$U$6:$U$4003)</f>
        <v>1</v>
      </c>
      <c r="O164" s="517">
        <f t="shared" si="19"/>
        <v>1</v>
      </c>
      <c r="P164" s="518">
        <f>SUMIF('Diags Raw Data'!$A$6:$A$4003,"*"&amp;$A164&amp;"*",'Diags Raw Data'!$Z$6:$Z$4003)</f>
        <v>0</v>
      </c>
      <c r="Q164" s="519">
        <f>SUM(SUMIF('Diags Raw Data'!$A$6:$A$4003,"*"&amp;$A164&amp;"*",'Diags Raw Data'!$AA$6:$AA$4003),SUMIF('Diags Raw Data'!$A$6:$A$4003,"*"&amp;$A164&amp;"*",'Diags Raw Data'!$AB$6:$AB$4003))</f>
        <v>0</v>
      </c>
      <c r="R164" s="520">
        <f t="shared" si="20"/>
        <v>0</v>
      </c>
      <c r="S164" s="520">
        <f t="shared" si="21"/>
        <v>0</v>
      </c>
      <c r="T164" s="521">
        <f t="shared" si="22"/>
        <v>0</v>
      </c>
      <c r="U164" s="456" t="str">
        <f>VLOOKUP(A164,'Diags Raw Data'!$A$6:$AH$4003,33,FALSE)</f>
        <v>WK5</v>
      </c>
      <c r="V164" s="182"/>
    </row>
    <row r="165" spans="1:22" ht="45.75" thickBot="1" x14ac:dyDescent="0.3">
      <c r="A165" s="576">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Data'!$A$6:$A$4003)),CONCATENATE('Diags Raw Data'!$H$6:$H$4003,", "),""))</f>
        <v xml:space="preserve">N/A, </v>
      </c>
      <c r="E165" s="341" t="str">
        <f>VLOOKUP(A165,'Diags Raw Data'!$A$6:$D$4003,4,FALSE)</f>
        <v>CTL</v>
      </c>
      <c r="F165" s="341" t="str">
        <f>VLOOKUP(A165,'Feature Raw Data'!$A$3:$E$3922,5,FALSE)</f>
        <v>New</v>
      </c>
      <c r="G165" s="341" t="str">
        <f t="shared" si="17"/>
        <v>No</v>
      </c>
      <c r="H165" s="341" t="str">
        <f t="shared" si="18"/>
        <v>No</v>
      </c>
      <c r="I165" s="459">
        <f>SUMIF('Diags Raw Data'!$A$6:$A$4003,"*"&amp;$A165&amp;"*",'Diags Raw Data'!$K$6:$K$4003)</f>
        <v>0</v>
      </c>
      <c r="J165" s="461">
        <f>SUMIF('Diags Raw Data'!$A$6:$A$4003,"*"&amp;$A165&amp;"*",'Diags Raw Data'!$L$6:$L$4003)</f>
        <v>0</v>
      </c>
      <c r="K165" s="513" t="e" cm="1">
        <f t="array" ref="K165">IF(D165="",0, SUMPRODUCT(--(ISNUMBER(SEARCH($A165,'Diags Raw Data'!$A$6:$A$4003))),'Diags Raw Data'!$L$6:$L$4003,'Diags Raw Data'!$N$6:$N$4003)/J165)</f>
        <v>#DIV/0!</v>
      </c>
      <c r="L165" s="514" t="e" cm="1">
        <f t="array" ref="L165">IF(D165="",0, SUMPRODUCT(--(ISNUMBER(SEARCH($A165,'Diags Raw Data'!$A$6:$A$4003))),'Diags Raw Data'!$L$6:$L$4003,'Diags Raw Data'!$P$6:$P$4003)/J165)</f>
        <v>#DIV/0!</v>
      </c>
      <c r="M165" s="515" cm="1">
        <f t="array" ref="M165">SUMPRODUCT(--(ISNUMBER(SEARCH($A165,'Diags Raw Data'!$A$6:$A$4003))),--('Diags Raw Data'!$Q$6:$Q$4003&lt;&gt;"N/A"),'Diags Raw Data'!$R$6:$R$4003)</f>
        <v>0</v>
      </c>
      <c r="N165" s="516" cm="1">
        <f t="array" ref="N165">SUMPRODUCT(--(ISNUMBER(SEARCH($A165,'Diags Raw Data'!$A$6:$A$4003))),--('Diags Raw Data'!$Q$6:$Q$4003&lt;&gt;"N/A"),'Diags Raw Data'!$T$6:$T$4003)+SUMPRODUCT(--(ISNUMBER(SEARCH($A165,'Diags Raw Data'!$A$6:$A$4003))),--('Diags Raw Data'!$Q$6:$Q$4003&lt;&gt;"N/A"),'Diags Raw Data'!$U$6:$U$4003)</f>
        <v>0</v>
      </c>
      <c r="O165" s="517">
        <f t="shared" si="19"/>
        <v>0</v>
      </c>
      <c r="P165" s="518">
        <f>SUMIF('Diags Raw Data'!$A$6:$A$4003,"*"&amp;$A165&amp;"*",'Diags Raw Data'!$Z$6:$Z$4003)</f>
        <v>0</v>
      </c>
      <c r="Q165" s="519">
        <f>SUM(SUMIF('Diags Raw Data'!$A$6:$A$4003,"*"&amp;$A165&amp;"*",'Diags Raw Data'!$AA$6:$AA$4003),SUMIF('Diags Raw Data'!$A$6:$A$4003,"*"&amp;$A165&amp;"*",'Diags Raw Data'!$AB$6:$AB$4003))</f>
        <v>0</v>
      </c>
      <c r="R165" s="520">
        <f t="shared" si="20"/>
        <v>0</v>
      </c>
      <c r="S165" s="520">
        <f t="shared" si="21"/>
        <v>0</v>
      </c>
      <c r="T165" s="521">
        <f t="shared" si="22"/>
        <v>0</v>
      </c>
      <c r="U165" s="456" t="str">
        <f>VLOOKUP(A165,'Diags Raw Data'!$A$6:$AH$4003,33,FALSE)</f>
        <v>N/A</v>
      </c>
      <c r="V165" s="182"/>
    </row>
    <row r="166" spans="1:22" ht="30.75" thickBot="1" x14ac:dyDescent="0.3">
      <c r="A166" s="576">
        <v>12.343</v>
      </c>
      <c r="B166" s="458" t="str">
        <f>VLOOKUP(A166,'Feature Raw Data'!$A$3:$B$3922,2,FALSE)</f>
        <v>SPM sample sync across AID and GFX to DF</v>
      </c>
      <c r="C166" s="459" t="str">
        <f>VLOOKUP(A166,'Feature Raw Data'!$A$3:$C$3922,3,FALSE)</f>
        <v>P1</v>
      </c>
      <c r="D166" s="460" t="str" cm="1">
        <f t="array" ref="D166">_xlfn.TEXTJOIN("",TRUE,IF(ISNUMBER(SEARCH($A166,'Diags Raw Data'!$A$6:$A$4003)),CONCATENATE('Diags Raw Data'!$H$6:$H$4003,", "),""))</f>
        <v xml:space="preserve">std1.6 with tgre spm &amp; sqtt, </v>
      </c>
      <c r="E166" s="341" t="str">
        <f>VLOOKUP(A166,'Diags Raw Data'!$A$6:$D$4003,4,FALSE)</f>
        <v>CTL</v>
      </c>
      <c r="F166" s="341" t="str">
        <f>VLOOKUP(A166,'Feature Raw Data'!$A$3:$E$3922,5,FALSE)</f>
        <v>New</v>
      </c>
      <c r="G166" s="341" t="str">
        <f t="shared" si="17"/>
        <v>Yes</v>
      </c>
      <c r="H166" s="341" t="str">
        <f t="shared" si="18"/>
        <v>Yes</v>
      </c>
      <c r="I166" s="459">
        <f>SUMIF('Diags Raw Data'!$A$6:$A$4003,"*"&amp;$A166&amp;"*",'Diags Raw Data'!$K$6:$K$4003)</f>
        <v>0</v>
      </c>
      <c r="J166" s="461">
        <f>SUMIF('Diags Raw Data'!$A$6:$A$4003,"*"&amp;$A166&amp;"*",'Diags Raw Data'!$L$6:$L$4003)</f>
        <v>0</v>
      </c>
      <c r="K166" s="513" t="e" cm="1">
        <f t="array" ref="K166">IF(D166="",0, SUMPRODUCT(--(ISNUMBER(SEARCH($A166,'Diags Raw Data'!$A$6:$A$4003))),'Diags Raw Data'!$L$6:$L$4003,'Diags Raw Data'!$N$6:$N$4003)/J166)</f>
        <v>#DIV/0!</v>
      </c>
      <c r="L166" s="514" t="e" cm="1">
        <f t="array" ref="L166">IF(D166="",0, SUMPRODUCT(--(ISNUMBER(SEARCH($A166,'Diags Raw Data'!$A$6:$A$4003))),'Diags Raw Data'!$L$6:$L$4003,'Diags Raw Data'!$P$6:$P$4003)/J166)</f>
        <v>#DIV/0!</v>
      </c>
      <c r="M166" s="515" cm="1">
        <f t="array" ref="M166">SUMPRODUCT(--(ISNUMBER(SEARCH($A166,'Diags Raw Data'!$A$6:$A$4003))),--('Diags Raw Data'!$Q$6:$Q$4003&lt;&gt;"N/A"),'Diags Raw Data'!$R$6:$R$4003)</f>
        <v>1</v>
      </c>
      <c r="N166" s="516" cm="1">
        <f t="array" ref="N166">SUMPRODUCT(--(ISNUMBER(SEARCH($A166,'Diags Raw Data'!$A$6:$A$4003))),--('Diags Raw Data'!$Q$6:$Q$4003&lt;&gt;"N/A"),'Diags Raw Data'!$T$6:$T$4003)+SUMPRODUCT(--(ISNUMBER(SEARCH($A166,'Diags Raw Data'!$A$6:$A$4003))),--('Diags Raw Data'!$Q$6:$Q$4003&lt;&gt;"N/A"),'Diags Raw Data'!$U$6:$U$4003)</f>
        <v>0</v>
      </c>
      <c r="O166" s="517">
        <f t="shared" si="19"/>
        <v>0</v>
      </c>
      <c r="P166" s="518">
        <f>SUMIF('Diags Raw Data'!$A$6:$A$4003,"*"&amp;$A166&amp;"*",'Diags Raw Data'!$Z$6:$Z$4003)</f>
        <v>0</v>
      </c>
      <c r="Q166" s="519">
        <f>SUM(SUMIF('Diags Raw Data'!$A$6:$A$4003,"*"&amp;$A166&amp;"*",'Diags Raw Data'!$AA$6:$AA$4003),SUMIF('Diags Raw Data'!$A$6:$A$4003,"*"&amp;$A166&amp;"*",'Diags Raw Data'!$AB$6:$AB$4003))</f>
        <v>0</v>
      </c>
      <c r="R166" s="520">
        <f t="shared" si="20"/>
        <v>0</v>
      </c>
      <c r="S166" s="520">
        <f t="shared" si="21"/>
        <v>0</v>
      </c>
      <c r="T166" s="521">
        <f t="shared" si="22"/>
        <v>0</v>
      </c>
      <c r="U166" s="456" t="str">
        <f>VLOOKUP(A166,'Diags Raw Data'!$A$6:$AH$4003,33,FALSE)</f>
        <v>WK5</v>
      </c>
      <c r="V166" s="182"/>
    </row>
    <row r="167" spans="1:22" ht="15.75" thickBot="1" x14ac:dyDescent="0.3">
      <c r="A167" s="576">
        <v>12.343999999999999</v>
      </c>
      <c r="B167" s="458" t="str">
        <f>VLOOKUP(A167,'Feature Raw Data'!$A$3:$B$3922,2,FALSE)</f>
        <v>Faulting illegal ops to PCIE</v>
      </c>
      <c r="C167" s="459" t="str">
        <f>VLOOKUP(A167,'Feature Raw Data'!$A$3:$C$3922,3,FALSE)</f>
        <v>P1</v>
      </c>
      <c r="D167" s="460" t="str" cm="1">
        <f t="array" ref="D167">_xlfn.TEXTJOIN("",TRUE,IF(ISNUMBER(SEARCH($A167,'Diags Raw Data'!$A$6:$A$4003)),CONCATENATE('Diags Raw Data'!$H$6:$H$4003,", "),""))</f>
        <v xml:space="preserve">glxi86.1-2, </v>
      </c>
      <c r="E167" s="341" t="str">
        <f>VLOOKUP(A167,'Diags Raw Data'!$A$6:$D$4003,4,FALSE)</f>
        <v>CMM</v>
      </c>
      <c r="F167" s="341" t="str">
        <f>VLOOKUP(A167,'Feature Raw Data'!$A$3:$E$3922,5,FALSE)</f>
        <v>New</v>
      </c>
      <c r="G167" s="341" t="str">
        <f t="shared" si="17"/>
        <v>Yes</v>
      </c>
      <c r="H167" s="341" t="str">
        <f t="shared" si="18"/>
        <v>Yes</v>
      </c>
      <c r="I167" s="459">
        <f>SUMIF('Diags Raw Data'!$A$6:$A$4003,"*"&amp;$A167&amp;"*",'Diags Raw Data'!$K$6:$K$4003)</f>
        <v>0</v>
      </c>
      <c r="J167" s="461">
        <f>SUMIF('Diags Raw Data'!$A$6:$A$4003,"*"&amp;$A167&amp;"*",'Diags Raw Data'!$L$6:$L$4003)</f>
        <v>0</v>
      </c>
      <c r="K167" s="513" t="e" cm="1">
        <f t="array" ref="K167">IF(D167="",0, SUMPRODUCT(--(ISNUMBER(SEARCH($A167,'Diags Raw Data'!$A$6:$A$4003))),'Diags Raw Data'!$L$6:$L$4003,'Diags Raw Data'!$N$6:$N$4003)/J167)</f>
        <v>#DIV/0!</v>
      </c>
      <c r="L167" s="514" t="e" cm="1">
        <f t="array" ref="L167">IF(D167="",0, SUMPRODUCT(--(ISNUMBER(SEARCH($A167,'Diags Raw Data'!$A$6:$A$4003))),'Diags Raw Data'!$L$6:$L$4003,'Diags Raw Data'!$P$6:$P$4003)/J167)</f>
        <v>#DIV/0!</v>
      </c>
      <c r="M167" s="515" cm="1">
        <f t="array" ref="M167">SUMPRODUCT(--(ISNUMBER(SEARCH($A167,'Diags Raw Data'!$A$6:$A$4003))),--('Diags Raw Data'!$Q$6:$Q$4003&lt;&gt;"N/A"),'Diags Raw Data'!$R$6:$R$4003)</f>
        <v>1</v>
      </c>
      <c r="N167" s="516" cm="1">
        <f t="array" ref="N167">SUMPRODUCT(--(ISNUMBER(SEARCH($A167,'Diags Raw Data'!$A$6:$A$4003))),--('Diags Raw Data'!$Q$6:$Q$4003&lt;&gt;"N/A"),'Diags Raw Data'!$T$6:$T$4003)+SUMPRODUCT(--(ISNUMBER(SEARCH($A167,'Diags Raw Data'!$A$6:$A$4003))),--('Diags Raw Data'!$Q$6:$Q$4003&lt;&gt;"N/A"),'Diags Raw Data'!$U$6:$U$4003)</f>
        <v>0</v>
      </c>
      <c r="O167" s="517">
        <f t="shared" si="19"/>
        <v>0</v>
      </c>
      <c r="P167" s="518">
        <f>SUMIF('Diags Raw Data'!$A$6:$A$4003,"*"&amp;$A167&amp;"*",'Diags Raw Data'!$Z$6:$Z$4003)</f>
        <v>0</v>
      </c>
      <c r="Q167" s="519">
        <f>SUM(SUMIF('Diags Raw Data'!$A$6:$A$4003,"*"&amp;$A167&amp;"*",'Diags Raw Data'!$AA$6:$AA$4003),SUMIF('Diags Raw Data'!$A$6:$A$4003,"*"&amp;$A167&amp;"*",'Diags Raw Data'!$AB$6:$AB$4003))</f>
        <v>0</v>
      </c>
      <c r="R167" s="520">
        <f t="shared" si="20"/>
        <v>0</v>
      </c>
      <c r="S167" s="520">
        <f t="shared" si="21"/>
        <v>0</v>
      </c>
      <c r="T167" s="521">
        <f t="shared" si="22"/>
        <v>0</v>
      </c>
      <c r="U167" s="456" t="str">
        <f>VLOOKUP(A167,'Diags Raw Data'!$A$6:$AH$4003,33,FALSE)</f>
        <v>WK6</v>
      </c>
      <c r="V167" s="182"/>
    </row>
    <row r="168" spans="1:22" ht="45.75" thickBot="1" x14ac:dyDescent="0.3">
      <c r="A168" s="576">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Data'!$A$6:$A$4003)),CONCATENATE('Diags Raw Data'!$H$6:$H$4003,", "),""))</f>
        <v xml:space="preserve">std1.6 with tgre spm, cp test with spm, </v>
      </c>
      <c r="E168" s="341" t="str">
        <f>VLOOKUP(A168,'Diags Raw Data'!$A$6:$D$4003,4,FALSE)</f>
        <v>GC</v>
      </c>
      <c r="F168" s="341" t="str">
        <f>VLOOKUP(A168,'Feature Raw Data'!$A$3:$E$3922,5,FALSE)</f>
        <v>New</v>
      </c>
      <c r="G168" s="341" t="str">
        <f t="shared" si="17"/>
        <v>Yes</v>
      </c>
      <c r="H168" s="341" t="str">
        <f t="shared" si="18"/>
        <v>Yes</v>
      </c>
      <c r="I168" s="459">
        <f>SUMIF('Diags Raw Data'!$A$6:$A$4003,"*"&amp;$A168&amp;"*",'Diags Raw Data'!$K$6:$K$4003)</f>
        <v>0</v>
      </c>
      <c r="J168" s="461">
        <f>SUMIF('Diags Raw Data'!$A$6:$A$4003,"*"&amp;$A168&amp;"*",'Diags Raw Data'!$L$6:$L$4003)</f>
        <v>0</v>
      </c>
      <c r="K168" s="513" t="e" cm="1">
        <f t="array" ref="K168">IF(D168="",0, SUMPRODUCT(--(ISNUMBER(SEARCH($A168,'Diags Raw Data'!$A$6:$A$4003))),'Diags Raw Data'!$L$6:$L$4003,'Diags Raw Data'!$N$6:$N$4003)/J168)</f>
        <v>#DIV/0!</v>
      </c>
      <c r="L168" s="514" t="e" cm="1">
        <f t="array" ref="L168">IF(D168="",0, SUMPRODUCT(--(ISNUMBER(SEARCH($A168,'Diags Raw Data'!$A$6:$A$4003))),'Diags Raw Data'!$L$6:$L$4003,'Diags Raw Data'!$P$6:$P$4003)/J168)</f>
        <v>#DIV/0!</v>
      </c>
      <c r="M168" s="515" cm="1">
        <f t="array" ref="M168">SUMPRODUCT(--(ISNUMBER(SEARCH($A168,'Diags Raw Data'!$A$6:$A$4003))),--('Diags Raw Data'!$Q$6:$Q$4003&lt;&gt;"N/A"),'Diags Raw Data'!$R$6:$R$4003)</f>
        <v>1</v>
      </c>
      <c r="N168" s="516" cm="1">
        <f t="array" ref="N168">SUMPRODUCT(--(ISNUMBER(SEARCH($A168,'Diags Raw Data'!$A$6:$A$4003))),--('Diags Raw Data'!$Q$6:$Q$4003&lt;&gt;"N/A"),'Diags Raw Data'!$T$6:$T$4003)+SUMPRODUCT(--(ISNUMBER(SEARCH($A168,'Diags Raw Data'!$A$6:$A$4003))),--('Diags Raw Data'!$Q$6:$Q$4003&lt;&gt;"N/A"),'Diags Raw Data'!$U$6:$U$4003)</f>
        <v>0</v>
      </c>
      <c r="O168" s="517">
        <f t="shared" si="19"/>
        <v>0</v>
      </c>
      <c r="P168" s="518">
        <f>SUMIF('Diags Raw Data'!$A$6:$A$4003,"*"&amp;$A168&amp;"*",'Diags Raw Data'!$Z$6:$Z$4003)</f>
        <v>0</v>
      </c>
      <c r="Q168" s="519">
        <f>SUM(SUMIF('Diags Raw Data'!$A$6:$A$4003,"*"&amp;$A168&amp;"*",'Diags Raw Data'!$AA$6:$AA$4003),SUMIF('Diags Raw Data'!$A$6:$A$4003,"*"&amp;$A168&amp;"*",'Diags Raw Data'!$AB$6:$AB$4003))</f>
        <v>0</v>
      </c>
      <c r="R168" s="520">
        <f t="shared" si="20"/>
        <v>0</v>
      </c>
      <c r="S168" s="520">
        <f t="shared" si="21"/>
        <v>0</v>
      </c>
      <c r="T168" s="521">
        <f t="shared" si="22"/>
        <v>0</v>
      </c>
      <c r="U168" s="456" t="str">
        <f>VLOOKUP(A168,'Diags Raw Data'!$A$6:$AH$4003,33,FALSE)</f>
        <v>WK8</v>
      </c>
      <c r="V168" s="182"/>
    </row>
    <row r="169" spans="1:22" ht="45.75" thickBot="1" x14ac:dyDescent="0.3">
      <c r="A169" s="576">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Data'!$A$6:$A$4003)),CONCATENATE('Diags Raw Data'!$H$6:$H$4003,", "),""))</f>
        <v xml:space="preserve">rlc1.0, </v>
      </c>
      <c r="E169" s="341" t="str">
        <f>VLOOKUP(A169,'Diags Raw Data'!$A$6:$D$4003,4,FALSE)</f>
        <v>GC</v>
      </c>
      <c r="F169" s="341" t="str">
        <f>VLOOKUP(A169,'Feature Raw Data'!$A$3:$E$3922,5,FALSE)</f>
        <v>New</v>
      </c>
      <c r="G169" s="341" t="str">
        <f t="shared" si="17"/>
        <v>Yes</v>
      </c>
      <c r="H169" s="341" t="str">
        <f t="shared" si="18"/>
        <v>Yes</v>
      </c>
      <c r="I169" s="459">
        <f>SUMIF('Diags Raw Data'!$A$6:$A$4003,"*"&amp;$A169&amp;"*",'Diags Raw Data'!$K$6:$K$4003)</f>
        <v>0</v>
      </c>
      <c r="J169" s="461">
        <f>SUMIF('Diags Raw Data'!$A$6:$A$4003,"*"&amp;$A169&amp;"*",'Diags Raw Data'!$L$6:$L$4003)</f>
        <v>0</v>
      </c>
      <c r="K169" s="513" t="e" cm="1">
        <f t="array" ref="K169">IF(D169="",0, SUMPRODUCT(--(ISNUMBER(SEARCH($A169,'Diags Raw Data'!$A$6:$A$4003))),'Diags Raw Data'!$L$6:$L$4003,'Diags Raw Data'!$N$6:$N$4003)/J169)</f>
        <v>#DIV/0!</v>
      </c>
      <c r="L169" s="514" t="e" cm="1">
        <f t="array" ref="L169">IF(D169="",0, SUMPRODUCT(--(ISNUMBER(SEARCH($A169,'Diags Raw Data'!$A$6:$A$4003))),'Diags Raw Data'!$L$6:$L$4003,'Diags Raw Data'!$P$6:$P$4003)/J169)</f>
        <v>#DIV/0!</v>
      </c>
      <c r="M169" s="515" cm="1">
        <f t="array" ref="M169">SUMPRODUCT(--(ISNUMBER(SEARCH($A169,'Diags Raw Data'!$A$6:$A$4003))),--('Diags Raw Data'!$Q$6:$Q$4003&lt;&gt;"N/A"),'Diags Raw Data'!$R$6:$R$4003)</f>
        <v>1</v>
      </c>
      <c r="N169" s="516" cm="1">
        <f t="array" ref="N169">SUMPRODUCT(--(ISNUMBER(SEARCH($A169,'Diags Raw Data'!$A$6:$A$4003))),--('Diags Raw Data'!$Q$6:$Q$4003&lt;&gt;"N/A"),'Diags Raw Data'!$T$6:$T$4003)+SUMPRODUCT(--(ISNUMBER(SEARCH($A169,'Diags Raw Data'!$A$6:$A$4003))),--('Diags Raw Data'!$Q$6:$Q$4003&lt;&gt;"N/A"),'Diags Raw Data'!$U$6:$U$4003)</f>
        <v>1</v>
      </c>
      <c r="O169" s="517">
        <f t="shared" si="19"/>
        <v>1</v>
      </c>
      <c r="P169" s="518">
        <f>SUMIF('Diags Raw Data'!$A$6:$A$4003,"*"&amp;$A169&amp;"*",'Diags Raw Data'!$Z$6:$Z$4003)</f>
        <v>0</v>
      </c>
      <c r="Q169" s="519">
        <f>SUM(SUMIF('Diags Raw Data'!$A$6:$A$4003,"*"&amp;$A169&amp;"*",'Diags Raw Data'!$AA$6:$AA$4003),SUMIF('Diags Raw Data'!$A$6:$A$4003,"*"&amp;$A169&amp;"*",'Diags Raw Data'!$AB$6:$AB$4003))</f>
        <v>0</v>
      </c>
      <c r="R169" s="520">
        <f t="shared" si="20"/>
        <v>0</v>
      </c>
      <c r="S169" s="520">
        <f t="shared" si="21"/>
        <v>0</v>
      </c>
      <c r="T169" s="521">
        <f t="shared" si="22"/>
        <v>0</v>
      </c>
      <c r="U169" s="456" t="str">
        <f>VLOOKUP(A169,'Diags Raw Data'!$A$6:$AH$4003,33,FALSE)</f>
        <v>WK5</v>
      </c>
      <c r="V169" s="182"/>
    </row>
    <row r="170" spans="1:22" ht="45.75" thickBot="1" x14ac:dyDescent="0.3">
      <c r="A170" s="576">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Data'!$A$6:$A$4003)),CONCATENATE('Diags Raw Data'!$H$6:$H$4003,", "),""))</f>
        <v xml:space="preserve">std1.1 with legacy pv_proxy, </v>
      </c>
      <c r="E170" s="341" t="str">
        <f>VLOOKUP(A170,'Diags Raw Data'!$A$6:$D$4003,4,FALSE)</f>
        <v>GC</v>
      </c>
      <c r="F170" s="341" t="str">
        <f>VLOOKUP(A170,'Feature Raw Data'!$A$3:$E$3922,5,FALSE)</f>
        <v>New</v>
      </c>
      <c r="G170" s="341" t="str">
        <f t="shared" si="17"/>
        <v>Yes</v>
      </c>
      <c r="H170" s="341" t="str">
        <f t="shared" si="18"/>
        <v>Yes</v>
      </c>
      <c r="I170" s="459">
        <f>SUMIF('Diags Raw Data'!$A$6:$A$4003,"*"&amp;$A170&amp;"*",'Diags Raw Data'!$K$6:$K$4003)</f>
        <v>0</v>
      </c>
      <c r="J170" s="461">
        <f>SUMIF('Diags Raw Data'!$A$6:$A$4003,"*"&amp;$A170&amp;"*",'Diags Raw Data'!$L$6:$L$4003)</f>
        <v>0</v>
      </c>
      <c r="K170" s="513" t="e" cm="1">
        <f t="array" ref="K170">IF(D170="",0, SUMPRODUCT(--(ISNUMBER(SEARCH($A170,'Diags Raw Data'!$A$6:$A$4003))),'Diags Raw Data'!$L$6:$L$4003,'Diags Raw Data'!$N$6:$N$4003)/J170)</f>
        <v>#DIV/0!</v>
      </c>
      <c r="L170" s="514" t="e" cm="1">
        <f t="array" ref="L170">IF(D170="",0, SUMPRODUCT(--(ISNUMBER(SEARCH($A170,'Diags Raw Data'!$A$6:$A$4003))),'Diags Raw Data'!$L$6:$L$4003,'Diags Raw Data'!$P$6:$P$4003)/J170)</f>
        <v>#DIV/0!</v>
      </c>
      <c r="M170" s="515" cm="1">
        <f t="array" ref="M170">SUMPRODUCT(--(ISNUMBER(SEARCH($A170,'Diags Raw Data'!$A$6:$A$4003))),--('Diags Raw Data'!$Q$6:$Q$4003&lt;&gt;"N/A"),'Diags Raw Data'!$R$6:$R$4003)</f>
        <v>1</v>
      </c>
      <c r="N170" s="516" cm="1">
        <f t="array" ref="N170">SUMPRODUCT(--(ISNUMBER(SEARCH($A170,'Diags Raw Data'!$A$6:$A$4003))),--('Diags Raw Data'!$Q$6:$Q$4003&lt;&gt;"N/A"),'Diags Raw Data'!$T$6:$T$4003)+SUMPRODUCT(--(ISNUMBER(SEARCH($A170,'Diags Raw Data'!$A$6:$A$4003))),--('Diags Raw Data'!$Q$6:$Q$4003&lt;&gt;"N/A"),'Diags Raw Data'!$U$6:$U$4003)</f>
        <v>1</v>
      </c>
      <c r="O170" s="517">
        <f t="shared" si="19"/>
        <v>1</v>
      </c>
      <c r="P170" s="518">
        <f>SUMIF('Diags Raw Data'!$A$6:$A$4003,"*"&amp;$A170&amp;"*",'Diags Raw Data'!$Z$6:$Z$4003)</f>
        <v>0</v>
      </c>
      <c r="Q170" s="519">
        <f>SUM(SUMIF('Diags Raw Data'!$A$6:$A$4003,"*"&amp;$A170&amp;"*",'Diags Raw Data'!$AA$6:$AA$4003),SUMIF('Diags Raw Data'!$A$6:$A$4003,"*"&amp;$A170&amp;"*",'Diags Raw Data'!$AB$6:$AB$4003))</f>
        <v>0</v>
      </c>
      <c r="R170" s="520">
        <f t="shared" si="20"/>
        <v>0</v>
      </c>
      <c r="S170" s="520">
        <f t="shared" si="21"/>
        <v>0</v>
      </c>
      <c r="T170" s="521">
        <f t="shared" si="22"/>
        <v>0</v>
      </c>
      <c r="U170" s="456" t="str">
        <f>VLOOKUP(A170,'Diags Raw Data'!$A$6:$AH$4003,33,FALSE)</f>
        <v>WK5</v>
      </c>
      <c r="V170" s="182"/>
    </row>
    <row r="171" spans="1:22" ht="45.75" thickBot="1" x14ac:dyDescent="0.3">
      <c r="A171" s="576">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Data'!$A$6:$A$4003)),CONCATENATE('Diags Raw Data'!$H$6:$H$4003,", "),""))</f>
        <v xml:space="preserve">rlc1.0, rlc1.1, </v>
      </c>
      <c r="E171" s="341" t="str">
        <f>VLOOKUP(A171,'Diags Raw Data'!$A$6:$D$4003,4,FALSE)</f>
        <v>GC</v>
      </c>
      <c r="F171" s="341" t="str">
        <f>VLOOKUP(A171,'Feature Raw Data'!$A$3:$E$3922,5,FALSE)</f>
        <v>New</v>
      </c>
      <c r="G171" s="341" t="str">
        <f t="shared" si="17"/>
        <v>Yes</v>
      </c>
      <c r="H171" s="341" t="str">
        <f t="shared" si="18"/>
        <v>Yes</v>
      </c>
      <c r="I171" s="459">
        <f>SUMIF('Diags Raw Data'!$A$6:$A$4003,"*"&amp;$A171&amp;"*",'Diags Raw Data'!$K$6:$K$4003)</f>
        <v>0</v>
      </c>
      <c r="J171" s="461">
        <f>SUMIF('Diags Raw Data'!$A$6:$A$4003,"*"&amp;$A171&amp;"*",'Diags Raw Data'!$L$6:$L$4003)</f>
        <v>0</v>
      </c>
      <c r="K171" s="513" t="e" cm="1">
        <f t="array" ref="K171">IF(D171="",0, SUMPRODUCT(--(ISNUMBER(SEARCH($A171,'Diags Raw Data'!$A$6:$A$4003))),'Diags Raw Data'!$L$6:$L$4003,'Diags Raw Data'!$N$6:$N$4003)/J171)</f>
        <v>#DIV/0!</v>
      </c>
      <c r="L171" s="514" t="e" cm="1">
        <f t="array" ref="L171">IF(D171="",0, SUMPRODUCT(--(ISNUMBER(SEARCH($A171,'Diags Raw Data'!$A$6:$A$4003))),'Diags Raw Data'!$L$6:$L$4003,'Diags Raw Data'!$P$6:$P$4003)/J171)</f>
        <v>#DIV/0!</v>
      </c>
      <c r="M171" s="515" cm="1">
        <f t="array" ref="M171">SUMPRODUCT(--(ISNUMBER(SEARCH($A171,'Diags Raw Data'!$A$6:$A$4003))),--('Diags Raw Data'!$Q$6:$Q$4003&lt;&gt;"N/A"),'Diags Raw Data'!$R$6:$R$4003)</f>
        <v>1</v>
      </c>
      <c r="N171" s="516" cm="1">
        <f t="array" ref="N171">SUMPRODUCT(--(ISNUMBER(SEARCH($A171,'Diags Raw Data'!$A$6:$A$4003))),--('Diags Raw Data'!$Q$6:$Q$4003&lt;&gt;"N/A"),'Diags Raw Data'!$T$6:$T$4003)+SUMPRODUCT(--(ISNUMBER(SEARCH($A171,'Diags Raw Data'!$A$6:$A$4003))),--('Diags Raw Data'!$Q$6:$Q$4003&lt;&gt;"N/A"),'Diags Raw Data'!$U$6:$U$4003)</f>
        <v>1</v>
      </c>
      <c r="O171" s="517">
        <f t="shared" si="19"/>
        <v>1</v>
      </c>
      <c r="P171" s="518">
        <f>SUMIF('Diags Raw Data'!$A$6:$A$4003,"*"&amp;$A171&amp;"*",'Diags Raw Data'!$Z$6:$Z$4003)</f>
        <v>0</v>
      </c>
      <c r="Q171" s="519">
        <f>SUM(SUMIF('Diags Raw Data'!$A$6:$A$4003,"*"&amp;$A171&amp;"*",'Diags Raw Data'!$AA$6:$AA$4003),SUMIF('Diags Raw Data'!$A$6:$A$4003,"*"&amp;$A171&amp;"*",'Diags Raw Data'!$AB$6:$AB$4003))</f>
        <v>0</v>
      </c>
      <c r="R171" s="520">
        <f t="shared" si="20"/>
        <v>0</v>
      </c>
      <c r="S171" s="520">
        <f t="shared" si="21"/>
        <v>0</v>
      </c>
      <c r="T171" s="521">
        <f t="shared" si="22"/>
        <v>0</v>
      </c>
      <c r="U171" s="456" t="str">
        <f>VLOOKUP(A171,'Diags Raw Data'!$A$6:$AH$4003,33,FALSE)</f>
        <v>WK8</v>
      </c>
      <c r="V171" s="182"/>
    </row>
    <row r="172" spans="1:22" ht="30.75" thickBot="1" x14ac:dyDescent="0.3">
      <c r="A172" s="576">
        <v>12.36</v>
      </c>
      <c r="B172" s="458" t="str">
        <f>VLOOKUP(A172,'Feature Raw Data'!$A$3:$B$3922,2,FALSE)</f>
        <v>WMMA wave level matrix load Instruction</v>
      </c>
      <c r="C172" s="459" t="str">
        <f>VLOOKUP(A172,'Feature Raw Data'!$A$3:$C$3922,3,FALSE)</f>
        <v>P2</v>
      </c>
      <c r="D172" s="460" t="str" cm="1">
        <f t="array" ref="D172">_xlfn.TEXTJOIN("",TRUE,IF(ISNUMBER(SEARCH($A172,'Diags Raw Data'!$A$6:$A$4003)),CONCATENATE('Diags Raw Data'!$H$6:$H$4003,", "),""))</f>
        <v xml:space="preserve">gfx.inst_perf/global_load_tr.*, shci2039.4,5, N/A, </v>
      </c>
      <c r="E172" s="341" t="str">
        <f>VLOOKUP(A172,'Diags Raw Data'!$A$6:$D$4003,4,FALSE)</f>
        <v>SH</v>
      </c>
      <c r="F172" s="341" t="str">
        <f>VLOOKUP(A172,'Feature Raw Data'!$A$3:$E$3922,5,FALSE)</f>
        <v>New</v>
      </c>
      <c r="G172" s="341" t="str">
        <f t="shared" si="17"/>
        <v>Yes</v>
      </c>
      <c r="H172" s="341" t="str">
        <f t="shared" si="18"/>
        <v>Yes</v>
      </c>
      <c r="I172" s="459">
        <f>SUMIF('Diags Raw Data'!$A$6:$A$4003,"*"&amp;$A172&amp;"*",'Diags Raw Data'!$K$6:$K$4003)</f>
        <v>0</v>
      </c>
      <c r="J172" s="461">
        <f>SUMIF('Diags Raw Data'!$A$6:$A$4003,"*"&amp;$A172&amp;"*",'Diags Raw Data'!$L$6:$L$4003)</f>
        <v>0</v>
      </c>
      <c r="K172" s="513" t="e" cm="1">
        <f t="array" ref="K172">IF(D172="",0, SUMPRODUCT(--(ISNUMBER(SEARCH($A172,'Diags Raw Data'!$A$6:$A$4003))),'Diags Raw Data'!$L$6:$L$4003,'Diags Raw Data'!$N$6:$N$4003)/J172)</f>
        <v>#DIV/0!</v>
      </c>
      <c r="L172" s="514" t="e" cm="1">
        <f t="array" ref="L172">IF(D172="",0, SUMPRODUCT(--(ISNUMBER(SEARCH($A172,'Diags Raw Data'!$A$6:$A$4003))),'Diags Raw Data'!$L$6:$L$4003,'Diags Raw Data'!$P$6:$P$4003)/J172)</f>
        <v>#DIV/0!</v>
      </c>
      <c r="M172" s="515" cm="1">
        <f t="array" ref="M172">SUMPRODUCT(--(ISNUMBER(SEARCH($A172,'Diags Raw Data'!$A$6:$A$4003))),--('Diags Raw Data'!$Q$6:$Q$4003&lt;&gt;"N/A"),'Diags Raw Data'!$R$6:$R$4003)</f>
        <v>3</v>
      </c>
      <c r="N172" s="516" cm="1">
        <f t="array" ref="N172">SUMPRODUCT(--(ISNUMBER(SEARCH($A172,'Diags Raw Data'!$A$6:$A$4003))),--('Diags Raw Data'!$Q$6:$Q$4003&lt;&gt;"N/A"),'Diags Raw Data'!$T$6:$T$4003)+SUMPRODUCT(--(ISNUMBER(SEARCH($A172,'Diags Raw Data'!$A$6:$A$4003))),--('Diags Raw Data'!$Q$6:$Q$4003&lt;&gt;"N/A"),'Diags Raw Data'!$U$6:$U$4003)</f>
        <v>3</v>
      </c>
      <c r="O172" s="517">
        <f t="shared" si="19"/>
        <v>1</v>
      </c>
      <c r="P172" s="518">
        <f>SUMIF('Diags Raw Data'!$A$6:$A$4003,"*"&amp;$A172&amp;"*",'Diags Raw Data'!$Z$6:$Z$4003)</f>
        <v>0</v>
      </c>
      <c r="Q172" s="519">
        <f>SUM(SUMIF('Diags Raw Data'!$A$6:$A$4003,"*"&amp;$A172&amp;"*",'Diags Raw Data'!$AA$6:$AA$4003),SUMIF('Diags Raw Data'!$A$6:$A$4003,"*"&amp;$A172&amp;"*",'Diags Raw Data'!$AB$6:$AB$4003))</f>
        <v>0</v>
      </c>
      <c r="R172" s="520">
        <f t="shared" si="20"/>
        <v>0</v>
      </c>
      <c r="S172" s="520">
        <f t="shared" si="21"/>
        <v>0</v>
      </c>
      <c r="T172" s="521">
        <f t="shared" si="22"/>
        <v>0</v>
      </c>
      <c r="U172" s="456" t="str">
        <f>VLOOKUP(A172,'Diags Raw Data'!$A$6:$AH$4003,33,FALSE)</f>
        <v>WK6</v>
      </c>
      <c r="V172" s="182"/>
    </row>
    <row r="173" spans="1:22" ht="30.75" thickBot="1" x14ac:dyDescent="0.3">
      <c r="A173" s="576">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Data'!$A$6:$A$4003)),CONCATENATE('Diags Raw Data'!$H$6:$H$4003,", "),""))</f>
        <v xml:space="preserve">shci2039.4,5, </v>
      </c>
      <c r="E173" s="341" t="str">
        <f>VLOOKUP(A173,'Diags Raw Data'!$A$6:$D$4003,4,FALSE)</f>
        <v>SH</v>
      </c>
      <c r="F173" s="341" t="str">
        <f>VLOOKUP(A173,'Feature Raw Data'!$A$3:$E$3922,5,FALSE)</f>
        <v>New</v>
      </c>
      <c r="G173" s="341" t="str">
        <f t="shared" si="17"/>
        <v>Yes</v>
      </c>
      <c r="H173" s="341" t="str">
        <f t="shared" si="18"/>
        <v>Yes</v>
      </c>
      <c r="I173" s="459">
        <f>SUMIF('Diags Raw Data'!$A$6:$A$4003,"*"&amp;$A173&amp;"*",'Diags Raw Data'!$K$6:$K$4003)</f>
        <v>0</v>
      </c>
      <c r="J173" s="461">
        <f>SUMIF('Diags Raw Data'!$A$6:$A$4003,"*"&amp;$A173&amp;"*",'Diags Raw Data'!$L$6:$L$4003)</f>
        <v>0</v>
      </c>
      <c r="K173" s="513" t="e" cm="1">
        <f t="array" ref="K173">IF(D173="",0, SUMPRODUCT(--(ISNUMBER(SEARCH($A173,'Diags Raw Data'!$A$6:$A$4003))),'Diags Raw Data'!$L$6:$L$4003,'Diags Raw Data'!$N$6:$N$4003)/J173)</f>
        <v>#DIV/0!</v>
      </c>
      <c r="L173" s="514" t="e" cm="1">
        <f t="array" ref="L173">IF(D173="",0, SUMPRODUCT(--(ISNUMBER(SEARCH($A173,'Diags Raw Data'!$A$6:$A$4003))),'Diags Raw Data'!$L$6:$L$4003,'Diags Raw Data'!$P$6:$P$4003)/J173)</f>
        <v>#DIV/0!</v>
      </c>
      <c r="M173" s="515" cm="1">
        <f t="array" ref="M173">SUMPRODUCT(--(ISNUMBER(SEARCH($A173,'Diags Raw Data'!$A$6:$A$4003))),--('Diags Raw Data'!$Q$6:$Q$4003&lt;&gt;"N/A"),'Diags Raw Data'!$R$6:$R$4003)</f>
        <v>1</v>
      </c>
      <c r="N173" s="516" cm="1">
        <f t="array" ref="N173">SUMPRODUCT(--(ISNUMBER(SEARCH($A173,'Diags Raw Data'!$A$6:$A$4003))),--('Diags Raw Data'!$Q$6:$Q$4003&lt;&gt;"N/A"),'Diags Raw Data'!$T$6:$T$4003)+SUMPRODUCT(--(ISNUMBER(SEARCH($A173,'Diags Raw Data'!$A$6:$A$4003))),--('Diags Raw Data'!$Q$6:$Q$4003&lt;&gt;"N/A"),'Diags Raw Data'!$U$6:$U$4003)</f>
        <v>1</v>
      </c>
      <c r="O173" s="517">
        <f t="shared" si="19"/>
        <v>1</v>
      </c>
      <c r="P173" s="518">
        <f>SUMIF('Diags Raw Data'!$A$6:$A$4003,"*"&amp;$A173&amp;"*",'Diags Raw Data'!$Z$6:$Z$4003)</f>
        <v>0</v>
      </c>
      <c r="Q173" s="519">
        <f>SUM(SUMIF('Diags Raw Data'!$A$6:$A$4003,"*"&amp;$A173&amp;"*",'Diags Raw Data'!$AA$6:$AA$4003),SUMIF('Diags Raw Data'!$A$6:$A$4003,"*"&amp;$A173&amp;"*",'Diags Raw Data'!$AB$6:$AB$4003))</f>
        <v>0</v>
      </c>
      <c r="R173" s="520">
        <f t="shared" si="20"/>
        <v>0</v>
      </c>
      <c r="S173" s="520">
        <f t="shared" si="21"/>
        <v>0</v>
      </c>
      <c r="T173" s="521">
        <f t="shared" si="22"/>
        <v>0</v>
      </c>
      <c r="U173" s="456" t="str">
        <f>VLOOKUP(A173,'Diags Raw Data'!$A$6:$AH$4003,33,FALSE)</f>
        <v>WK8</v>
      </c>
      <c r="V173" s="182"/>
    </row>
    <row r="174" spans="1:22" ht="45.75" thickBot="1" x14ac:dyDescent="0.3">
      <c r="A174" s="576">
        <v>12.366</v>
      </c>
      <c r="B174" s="458" t="str">
        <f>VLOOKUP(A174,'Feature Raw Data'!$A$3:$B$3922,2,FALSE)</f>
        <v>NV4x: Perfmon: Review and refinement of available perf counter events for GC and DF</v>
      </c>
      <c r="C174" s="459" t="str">
        <f>VLOOKUP(A174,'Feature Raw Data'!$A$3:$C$3922,3,FALSE)</f>
        <v>P2</v>
      </c>
      <c r="D174" s="460" t="str" cm="1">
        <f t="array" ref="D174">_xlfn.TEXTJOIN("",TRUE,IF(ISNUMBER(SEARCH($A174,'Diags Raw Data'!$A$6:$A$4003)),CONCATENATE('Diags Raw Data'!$H$6:$H$4003,", "),""))</f>
        <v xml:space="preserve">N/A, </v>
      </c>
      <c r="E174" s="341" t="str">
        <f>VLOOKUP(A174,'Diags Raw Data'!$A$6:$D$4003,4,FALSE)</f>
        <v>GC</v>
      </c>
      <c r="F174" s="341" t="str">
        <f>VLOOKUP(A174,'Feature Raw Data'!$A$3:$E$3922,5,FALSE)</f>
        <v>New</v>
      </c>
      <c r="G174" s="341" t="str">
        <f t="shared" si="17"/>
        <v>No</v>
      </c>
      <c r="H174" s="341" t="str">
        <f t="shared" si="18"/>
        <v>No</v>
      </c>
      <c r="I174" s="459">
        <f>SUMIF('Diags Raw Data'!$A$6:$A$4003,"*"&amp;$A174&amp;"*",'Diags Raw Data'!$K$6:$K$4003)</f>
        <v>0</v>
      </c>
      <c r="J174" s="461">
        <f>SUMIF('Diags Raw Data'!$A$6:$A$4003,"*"&amp;$A174&amp;"*",'Diags Raw Data'!$L$6:$L$4003)</f>
        <v>0</v>
      </c>
      <c r="K174" s="513" t="e" cm="1">
        <f t="array" ref="K174">IF(D174="",0, SUMPRODUCT(--(ISNUMBER(SEARCH($A174,'Diags Raw Data'!$A$6:$A$4003))),'Diags Raw Data'!$L$6:$L$4003,'Diags Raw Data'!$N$6:$N$4003)/J174)</f>
        <v>#DIV/0!</v>
      </c>
      <c r="L174" s="514" t="e" cm="1">
        <f t="array" ref="L174">IF(D174="",0, SUMPRODUCT(--(ISNUMBER(SEARCH($A174,'Diags Raw Data'!$A$6:$A$4003))),'Diags Raw Data'!$L$6:$L$4003,'Diags Raw Data'!$P$6:$P$4003)/J174)</f>
        <v>#DIV/0!</v>
      </c>
      <c r="M174" s="515" cm="1">
        <f t="array" ref="M174">SUMPRODUCT(--(ISNUMBER(SEARCH($A174,'Diags Raw Data'!$A$6:$A$4003))),--('Diags Raw Data'!$Q$6:$Q$4003&lt;&gt;"N/A"),'Diags Raw Data'!$R$6:$R$4003)</f>
        <v>0</v>
      </c>
      <c r="N174" s="516" cm="1">
        <f t="array" ref="N174">SUMPRODUCT(--(ISNUMBER(SEARCH($A174,'Diags Raw Data'!$A$6:$A$4003))),--('Diags Raw Data'!$Q$6:$Q$4003&lt;&gt;"N/A"),'Diags Raw Data'!$T$6:$T$4003)+SUMPRODUCT(--(ISNUMBER(SEARCH($A174,'Diags Raw Data'!$A$6:$A$4003))),--('Diags Raw Data'!$Q$6:$Q$4003&lt;&gt;"N/A"),'Diags Raw Data'!$U$6:$U$4003)</f>
        <v>0</v>
      </c>
      <c r="O174" s="517">
        <f t="shared" si="19"/>
        <v>0</v>
      </c>
      <c r="P174" s="518">
        <f>SUMIF('Diags Raw Data'!$A$6:$A$4003,"*"&amp;$A174&amp;"*",'Diags Raw Data'!$Z$6:$Z$4003)</f>
        <v>0</v>
      </c>
      <c r="Q174" s="519">
        <f>SUM(SUMIF('Diags Raw Data'!$A$6:$A$4003,"*"&amp;$A174&amp;"*",'Diags Raw Data'!$AA$6:$AA$4003),SUMIF('Diags Raw Data'!$A$6:$A$4003,"*"&amp;$A174&amp;"*",'Diags Raw Data'!$AB$6:$AB$4003))</f>
        <v>0</v>
      </c>
      <c r="R174" s="520">
        <f t="shared" si="20"/>
        <v>0</v>
      </c>
      <c r="S174" s="520">
        <f t="shared" si="21"/>
        <v>0</v>
      </c>
      <c r="T174" s="521">
        <f t="shared" si="22"/>
        <v>0</v>
      </c>
      <c r="U174" s="456" t="str">
        <f>VLOOKUP(A174,'Diags Raw Data'!$A$6:$AH$4003,33,FALSE)</f>
        <v>N/A</v>
      </c>
      <c r="V174" s="182"/>
    </row>
    <row r="175" spans="1:22" ht="30.75" thickBot="1" x14ac:dyDescent="0.3">
      <c r="A175" s="576">
        <v>12.37</v>
      </c>
      <c r="B175" s="458" t="str">
        <f>VLOOKUP(A175,'Feature Raw Data'!$A$3:$B$3922,2,FALSE)</f>
        <v xml:space="preserve">Fix VOPD dual V_MOV </v>
      </c>
      <c r="C175" s="459" t="str">
        <f>VLOOKUP(A175,'Feature Raw Data'!$A$3:$C$3922,3,FALSE)</f>
        <v>P2</v>
      </c>
      <c r="D175" s="460" t="str" cm="1">
        <f t="array" ref="D175">_xlfn.TEXTJOIN("",TRUE,IF(ISNUMBER(SEARCH($A175,'Diags Raw Data'!$A$6:$A$4003)),CONCATENATE('Diags Raw Data'!$H$6:$H$4003,", "),""))</f>
        <v xml:space="preserve">gfx.inst_perf/v_dual_mov_b32, std1.6,2.6,3.6,4.6, N/A, </v>
      </c>
      <c r="E175" s="341" t="str">
        <f>VLOOKUP(A175,'Diags Raw Data'!$A$6:$D$4003,4,FALSE)</f>
        <v>SH</v>
      </c>
      <c r="F175" s="341" t="str">
        <f>VLOOKUP(A175,'Feature Raw Data'!$A$3:$E$3922,5,FALSE)</f>
        <v>New</v>
      </c>
      <c r="G175" s="341" t="str">
        <f t="shared" si="17"/>
        <v>Yes</v>
      </c>
      <c r="H175" s="341" t="str">
        <f t="shared" si="18"/>
        <v>Yes</v>
      </c>
      <c r="I175" s="459">
        <f>SUMIF('Diags Raw Data'!$A$6:$A$4003,"*"&amp;$A175&amp;"*",'Diags Raw Data'!$K$6:$K$4003)</f>
        <v>0</v>
      </c>
      <c r="J175" s="461">
        <f>SUMIF('Diags Raw Data'!$A$6:$A$4003,"*"&amp;$A175&amp;"*",'Diags Raw Data'!$L$6:$L$4003)</f>
        <v>0</v>
      </c>
      <c r="K175" s="513" t="e" cm="1">
        <f t="array" ref="K175">IF(D175="",0, SUMPRODUCT(--(ISNUMBER(SEARCH($A175,'Diags Raw Data'!$A$6:$A$4003))),'Diags Raw Data'!$L$6:$L$4003,'Diags Raw Data'!$N$6:$N$4003)/J175)</f>
        <v>#DIV/0!</v>
      </c>
      <c r="L175" s="514" t="e" cm="1">
        <f t="array" ref="L175">IF(D175="",0, SUMPRODUCT(--(ISNUMBER(SEARCH($A175,'Diags Raw Data'!$A$6:$A$4003))),'Diags Raw Data'!$L$6:$L$4003,'Diags Raw Data'!$P$6:$P$4003)/J175)</f>
        <v>#DIV/0!</v>
      </c>
      <c r="M175" s="515" cm="1">
        <f t="array" ref="M175">SUMPRODUCT(--(ISNUMBER(SEARCH($A175,'Diags Raw Data'!$A$6:$A$4003))),--('Diags Raw Data'!$Q$6:$Q$4003&lt;&gt;"N/A"),'Diags Raw Data'!$R$6:$R$4003)</f>
        <v>5</v>
      </c>
      <c r="N175" s="516" cm="1">
        <f t="array" ref="N175">SUMPRODUCT(--(ISNUMBER(SEARCH($A175,'Diags Raw Data'!$A$6:$A$4003))),--('Diags Raw Data'!$Q$6:$Q$4003&lt;&gt;"N/A"),'Diags Raw Data'!$T$6:$T$4003)+SUMPRODUCT(--(ISNUMBER(SEARCH($A175,'Diags Raw Data'!$A$6:$A$4003))),--('Diags Raw Data'!$Q$6:$Q$4003&lt;&gt;"N/A"),'Diags Raw Data'!$U$6:$U$4003)</f>
        <v>4</v>
      </c>
      <c r="O175" s="517">
        <f t="shared" si="19"/>
        <v>0.8</v>
      </c>
      <c r="P175" s="518">
        <f>SUMIF('Diags Raw Data'!$A$6:$A$4003,"*"&amp;$A175&amp;"*",'Diags Raw Data'!$Z$6:$Z$4003)</f>
        <v>0</v>
      </c>
      <c r="Q175" s="519">
        <f>SUM(SUMIF('Diags Raw Data'!$A$6:$A$4003,"*"&amp;$A175&amp;"*",'Diags Raw Data'!$AA$6:$AA$4003),SUMIF('Diags Raw Data'!$A$6:$A$4003,"*"&amp;$A175&amp;"*",'Diags Raw Data'!$AB$6:$AB$4003))</f>
        <v>0</v>
      </c>
      <c r="R175" s="520">
        <f t="shared" si="20"/>
        <v>0</v>
      </c>
      <c r="S175" s="520">
        <f t="shared" si="21"/>
        <v>0</v>
      </c>
      <c r="T175" s="521">
        <f t="shared" si="22"/>
        <v>0</v>
      </c>
      <c r="U175" s="456" t="str">
        <f>VLOOKUP(A175,'Diags Raw Data'!$A$6:$AH$4003,33,FALSE)</f>
        <v>WK6</v>
      </c>
      <c r="V175" s="182"/>
    </row>
    <row r="176" spans="1:22" ht="45.75" thickBot="1" x14ac:dyDescent="0.3">
      <c r="A176" s="576">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Data'!$A$6:$A$4003)),CONCATENATE('Diags Raw Data'!$H$6:$H$4003,", "),""))</f>
        <v xml:space="preserve">std1.6,2.6,3.6,4.6, </v>
      </c>
      <c r="E176" s="341" t="str">
        <f>VLOOKUP(A176,'Diags Raw Data'!$A$6:$D$4003,4,FALSE)</f>
        <v>GEO</v>
      </c>
      <c r="F176" s="341" t="str">
        <f>VLOOKUP(A176,'Feature Raw Data'!$A$3:$E$3922,5,FALSE)</f>
        <v>New</v>
      </c>
      <c r="G176" s="341" t="str">
        <f t="shared" si="17"/>
        <v>Yes</v>
      </c>
      <c r="H176" s="341" t="str">
        <f t="shared" si="18"/>
        <v>Yes</v>
      </c>
      <c r="I176" s="459">
        <f>SUMIF('Diags Raw Data'!$A$6:$A$4003,"*"&amp;$A176&amp;"*",'Diags Raw Data'!$K$6:$K$4003)</f>
        <v>0</v>
      </c>
      <c r="J176" s="461">
        <f>SUMIF('Diags Raw Data'!$A$6:$A$4003,"*"&amp;$A176&amp;"*",'Diags Raw Data'!$L$6:$L$4003)</f>
        <v>0</v>
      </c>
      <c r="K176" s="513" t="e" cm="1">
        <f t="array" ref="K176">IF(D176="",0, SUMPRODUCT(--(ISNUMBER(SEARCH($A176,'Diags Raw Data'!$A$6:$A$4003))),'Diags Raw Data'!$L$6:$L$4003,'Diags Raw Data'!$N$6:$N$4003)/J176)</f>
        <v>#DIV/0!</v>
      </c>
      <c r="L176" s="514" t="e" cm="1">
        <f t="array" ref="L176">IF(D176="",0, SUMPRODUCT(--(ISNUMBER(SEARCH($A176,'Diags Raw Data'!$A$6:$A$4003))),'Diags Raw Data'!$L$6:$L$4003,'Diags Raw Data'!$P$6:$P$4003)/J176)</f>
        <v>#DIV/0!</v>
      </c>
      <c r="M176" s="515" cm="1">
        <f t="array" ref="M176">SUMPRODUCT(--(ISNUMBER(SEARCH($A176,'Diags Raw Data'!$A$6:$A$4003))),--('Diags Raw Data'!$Q$6:$Q$4003&lt;&gt;"N/A"),'Diags Raw Data'!$R$6:$R$4003)</f>
        <v>4</v>
      </c>
      <c r="N176" s="516" cm="1">
        <f t="array" ref="N176">SUMPRODUCT(--(ISNUMBER(SEARCH($A176,'Diags Raw Data'!$A$6:$A$4003))),--('Diags Raw Data'!$Q$6:$Q$4003&lt;&gt;"N/A"),'Diags Raw Data'!$T$6:$T$4003)+SUMPRODUCT(--(ISNUMBER(SEARCH($A176,'Diags Raw Data'!$A$6:$A$4003))),--('Diags Raw Data'!$Q$6:$Q$4003&lt;&gt;"N/A"),'Diags Raw Data'!$U$6:$U$4003)</f>
        <v>3</v>
      </c>
      <c r="O176" s="517">
        <f t="shared" si="19"/>
        <v>0.75</v>
      </c>
      <c r="P176" s="518">
        <f>SUMIF('Diags Raw Data'!$A$6:$A$4003,"*"&amp;$A176&amp;"*",'Diags Raw Data'!$Z$6:$Z$4003)</f>
        <v>0</v>
      </c>
      <c r="Q176" s="519">
        <f>SUM(SUMIF('Diags Raw Data'!$A$6:$A$4003,"*"&amp;$A176&amp;"*",'Diags Raw Data'!$AA$6:$AA$4003),SUMIF('Diags Raw Data'!$A$6:$A$4003,"*"&amp;$A176&amp;"*",'Diags Raw Data'!$AB$6:$AB$4003))</f>
        <v>0</v>
      </c>
      <c r="R176" s="520">
        <f t="shared" si="20"/>
        <v>0</v>
      </c>
      <c r="S176" s="520">
        <f t="shared" si="21"/>
        <v>0</v>
      </c>
      <c r="T176" s="521">
        <f t="shared" si="22"/>
        <v>0</v>
      </c>
      <c r="U176" s="456" t="str">
        <f>VLOOKUP(A176,'Diags Raw Data'!$A$6:$AH$4003,33,FALSE)</f>
        <v>WK4</v>
      </c>
      <c r="V176" s="182"/>
    </row>
    <row r="177" spans="1:22" ht="30.75" thickBot="1" x14ac:dyDescent="0.3">
      <c r="A177" s="576">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Data'!$A$6:$A$4003)),CONCATENATE('Diags Raw Data'!$H$6:$H$4003,", "),""))</f>
        <v xml:space="preserve">N/A, </v>
      </c>
      <c r="E177" s="341" t="str">
        <f>VLOOKUP(A177,'Diags Raw Data'!$A$6:$D$4003,4,FALSE)</f>
        <v>GC</v>
      </c>
      <c r="F177" s="341" t="str">
        <f>VLOOKUP(A177,'Feature Raw Data'!$A$3:$E$3922,5,FALSE)</f>
        <v>New</v>
      </c>
      <c r="G177" s="341" t="str">
        <f t="shared" si="17"/>
        <v>No</v>
      </c>
      <c r="H177" s="341" t="str">
        <f t="shared" si="18"/>
        <v>No</v>
      </c>
      <c r="I177" s="459">
        <f>SUMIF('Diags Raw Data'!$A$6:$A$4003,"*"&amp;$A177&amp;"*",'Diags Raw Data'!$K$6:$K$4003)</f>
        <v>0</v>
      </c>
      <c r="J177" s="461">
        <f>SUMIF('Diags Raw Data'!$A$6:$A$4003,"*"&amp;$A177&amp;"*",'Diags Raw Data'!$L$6:$L$4003)</f>
        <v>0</v>
      </c>
      <c r="K177" s="513" t="e" cm="1">
        <f t="array" ref="K177">IF(D177="",0, SUMPRODUCT(--(ISNUMBER(SEARCH($A177,'Diags Raw Data'!$A$6:$A$4003))),'Diags Raw Data'!$L$6:$L$4003,'Diags Raw Data'!$N$6:$N$4003)/J177)</f>
        <v>#DIV/0!</v>
      </c>
      <c r="L177" s="514" t="e" cm="1">
        <f t="array" ref="L177">IF(D177="",0, SUMPRODUCT(--(ISNUMBER(SEARCH($A177,'Diags Raw Data'!$A$6:$A$4003))),'Diags Raw Data'!$L$6:$L$4003,'Diags Raw Data'!$P$6:$P$4003)/J177)</f>
        <v>#DIV/0!</v>
      </c>
      <c r="M177" s="515" cm="1">
        <f t="array" ref="M177">SUMPRODUCT(--(ISNUMBER(SEARCH($A177,'Diags Raw Data'!$A$6:$A$4003))),--('Diags Raw Data'!$Q$6:$Q$4003&lt;&gt;"N/A"),'Diags Raw Data'!$R$6:$R$4003)</f>
        <v>0</v>
      </c>
      <c r="N177" s="516" cm="1">
        <f t="array" ref="N177">SUMPRODUCT(--(ISNUMBER(SEARCH($A177,'Diags Raw Data'!$A$6:$A$4003))),--('Diags Raw Data'!$Q$6:$Q$4003&lt;&gt;"N/A"),'Diags Raw Data'!$T$6:$T$4003)+SUMPRODUCT(--(ISNUMBER(SEARCH($A177,'Diags Raw Data'!$A$6:$A$4003))),--('Diags Raw Data'!$Q$6:$Q$4003&lt;&gt;"N/A"),'Diags Raw Data'!$U$6:$U$4003)</f>
        <v>0</v>
      </c>
      <c r="O177" s="517">
        <f t="shared" si="19"/>
        <v>0</v>
      </c>
      <c r="P177" s="518">
        <f>SUMIF('Diags Raw Data'!$A$6:$A$4003,"*"&amp;$A177&amp;"*",'Diags Raw Data'!$Z$6:$Z$4003)</f>
        <v>0</v>
      </c>
      <c r="Q177" s="519">
        <f>SUM(SUMIF('Diags Raw Data'!$A$6:$A$4003,"*"&amp;$A177&amp;"*",'Diags Raw Data'!$AA$6:$AA$4003),SUMIF('Diags Raw Data'!$A$6:$A$4003,"*"&amp;$A177&amp;"*",'Diags Raw Data'!$AB$6:$AB$4003))</f>
        <v>0</v>
      </c>
      <c r="R177" s="520">
        <f t="shared" si="20"/>
        <v>0</v>
      </c>
      <c r="S177" s="520">
        <f t="shared" si="21"/>
        <v>0</v>
      </c>
      <c r="T177" s="521">
        <f t="shared" si="22"/>
        <v>0</v>
      </c>
      <c r="U177" s="456" t="str">
        <f>VLOOKUP(A177,'Diags Raw Data'!$A$6:$AH$4003,33,FALSE)</f>
        <v>N/A</v>
      </c>
      <c r="V177" s="182"/>
    </row>
    <row r="178" spans="1:22" ht="30.75" thickBot="1" x14ac:dyDescent="0.3">
      <c r="A178" s="576">
        <v>12.382</v>
      </c>
      <c r="B178" s="458" t="str">
        <f>VLOOKUP(A178,'Feature Raw Data'!$A$3:$B$3922,2,FALSE)</f>
        <v>[Strix] pbb_tile_order_rev -- from BRP:11.5.017</v>
      </c>
      <c r="C178" s="459" t="str">
        <f>VLOOKUP(A178,'Feature Raw Data'!$A$3:$C$3922,3,FALSE)</f>
        <v>P2</v>
      </c>
      <c r="D178" s="460"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9">
        <f>SUMIF('Diags Raw Data'!$A$6:$A$4003,"*"&amp;$A178&amp;"*",'Diags Raw Data'!$K$6:$K$4003)</f>
        <v>0</v>
      </c>
      <c r="J178" s="461">
        <f>SUMIF('Diags Raw Data'!$A$6:$A$4003,"*"&amp;$A178&amp;"*",'Diags Raw Data'!$L$6:$L$4003)</f>
        <v>0</v>
      </c>
      <c r="K178" s="513" t="e" cm="1">
        <f t="array" ref="K178">IF(D178="",0, SUMPRODUCT(--(ISNUMBER(SEARCH($A178,'Diags Raw Data'!$A$6:$A$4003))),'Diags Raw Data'!$L$6:$L$4003,'Diags Raw Data'!$N$6:$N$4003)/J178)</f>
        <v>#DIV/0!</v>
      </c>
      <c r="L178" s="514" t="e" cm="1">
        <f t="array" ref="L178">IF(D178="",0, SUMPRODUCT(--(ISNUMBER(SEARCH($A178,'Diags Raw Data'!$A$6:$A$4003))),'Diags Raw Data'!$L$6:$L$4003,'Diags Raw Data'!$P$6:$P$4003)/J178)</f>
        <v>#DIV/0!</v>
      </c>
      <c r="M178" s="515" cm="1">
        <f t="array" ref="M178">SUMPRODUCT(--(ISNUMBER(SEARCH($A178,'Diags Raw Data'!$A$6:$A$4003))),--('Diags Raw Data'!$Q$6:$Q$4003&lt;&gt;"N/A"),'Diags Raw Data'!$R$6:$R$4003)</f>
        <v>0</v>
      </c>
      <c r="N178" s="516" cm="1">
        <f t="array" ref="N178">SUMPRODUCT(--(ISNUMBER(SEARCH($A178,'Diags Raw Data'!$A$6:$A$4003))),--('Diags Raw Data'!$Q$6:$Q$4003&lt;&gt;"N/A"),'Diags Raw Data'!$T$6:$T$4003)+SUMPRODUCT(--(ISNUMBER(SEARCH($A178,'Diags Raw Data'!$A$6:$A$4003))),--('Diags Raw Data'!$Q$6:$Q$4003&lt;&gt;"N/A"),'Diags Raw Data'!$U$6:$U$4003)</f>
        <v>0</v>
      </c>
      <c r="O178" s="517">
        <f t="shared" si="19"/>
        <v>0</v>
      </c>
      <c r="P178" s="518">
        <f>SUMIF('Diags Raw Data'!$A$6:$A$4003,"*"&amp;$A178&amp;"*",'Diags Raw Data'!$Z$6:$Z$4003)</f>
        <v>0</v>
      </c>
      <c r="Q178" s="519">
        <f>SUM(SUMIF('Diags Raw Data'!$A$6:$A$4003,"*"&amp;$A178&amp;"*",'Diags Raw Data'!$AA$6:$AA$4003),SUMIF('Diags Raw Data'!$A$6:$A$4003,"*"&amp;$A178&amp;"*",'Diags Raw Data'!$AB$6:$AB$4003))</f>
        <v>0</v>
      </c>
      <c r="R178" s="520">
        <f t="shared" si="20"/>
        <v>0</v>
      </c>
      <c r="S178" s="520">
        <f t="shared" si="21"/>
        <v>0</v>
      </c>
      <c r="T178" s="521">
        <f t="shared" si="22"/>
        <v>0</v>
      </c>
      <c r="U178" s="456" t="str">
        <f>VLOOKUP(A178,'Diags Raw Data'!$A$6:$AH$4003,33,FALSE)</f>
        <v>N/A</v>
      </c>
      <c r="V178" s="585" t="s">
        <v>404</v>
      </c>
    </row>
    <row r="179" spans="1:22" ht="15.75" thickBot="1" x14ac:dyDescent="0.3">
      <c r="A179" s="576">
        <v>12.387</v>
      </c>
      <c r="B179" s="458" t="str">
        <f>VLOOKUP(A179,'Feature Raw Data'!$A$3:$B$3922,2,FALSE)</f>
        <v>Block Initiatives</v>
      </c>
      <c r="C179" s="459" t="str">
        <f>VLOOKUP(A179,'Feature Raw Data'!$A$3:$C$3922,3,FALSE)</f>
        <v>P1</v>
      </c>
      <c r="D179" s="460"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9">
        <f>SUMIF('Diags Raw Data'!$A$6:$A$4003,"*"&amp;$A179&amp;"*",'Diags Raw Data'!$K$6:$K$4003)</f>
        <v>0</v>
      </c>
      <c r="J179" s="461">
        <f>SUMIF('Diags Raw Data'!$A$6:$A$4003,"*"&amp;$A179&amp;"*",'Diags Raw Data'!$L$6:$L$4003)</f>
        <v>0</v>
      </c>
      <c r="K179" s="513" t="e" cm="1">
        <f t="array" ref="K179">IF(D179="",0, SUMPRODUCT(--(ISNUMBER(SEARCH($A179,'Diags Raw Data'!$A$6:$A$4003))),'Diags Raw Data'!$L$6:$L$4003,'Diags Raw Data'!$N$6:$N$4003)/J179)</f>
        <v>#DIV/0!</v>
      </c>
      <c r="L179" s="514" t="e" cm="1">
        <f t="array" ref="L179">IF(D179="",0, SUMPRODUCT(--(ISNUMBER(SEARCH($A179,'Diags Raw Data'!$A$6:$A$4003))),'Diags Raw Data'!$L$6:$L$4003,'Diags Raw Data'!$P$6:$P$4003)/J179)</f>
        <v>#DIV/0!</v>
      </c>
      <c r="M179" s="515" cm="1">
        <f t="array" ref="M179">SUMPRODUCT(--(ISNUMBER(SEARCH($A179,'Diags Raw Data'!$A$6:$A$4003))),--('Diags Raw Data'!$Q$6:$Q$4003&lt;&gt;"N/A"),'Diags Raw Data'!$R$6:$R$4003)</f>
        <v>0</v>
      </c>
      <c r="N179" s="516" cm="1">
        <f t="array" ref="N179">SUMPRODUCT(--(ISNUMBER(SEARCH($A179,'Diags Raw Data'!$A$6:$A$4003))),--('Diags Raw Data'!$Q$6:$Q$4003&lt;&gt;"N/A"),'Diags Raw Data'!$T$6:$T$4003)+SUMPRODUCT(--(ISNUMBER(SEARCH($A179,'Diags Raw Data'!$A$6:$A$4003))),--('Diags Raw Data'!$Q$6:$Q$4003&lt;&gt;"N/A"),'Diags Raw Data'!$U$6:$U$4003)</f>
        <v>0</v>
      </c>
      <c r="O179" s="517">
        <f t="shared" si="19"/>
        <v>0</v>
      </c>
      <c r="P179" s="518">
        <f>SUMIF('Diags Raw Data'!$A$6:$A$4003,"*"&amp;$A179&amp;"*",'Diags Raw Data'!$Z$6:$Z$4003)</f>
        <v>0</v>
      </c>
      <c r="Q179" s="519">
        <f>SUM(SUMIF('Diags Raw Data'!$A$6:$A$4003,"*"&amp;$A179&amp;"*",'Diags Raw Data'!$AA$6:$AA$4003),SUMIF('Diags Raw Data'!$A$6:$A$4003,"*"&amp;$A179&amp;"*",'Diags Raw Data'!$AB$6:$AB$4003))</f>
        <v>0</v>
      </c>
      <c r="R179" s="520">
        <f t="shared" si="20"/>
        <v>0</v>
      </c>
      <c r="S179" s="520">
        <f t="shared" si="21"/>
        <v>0</v>
      </c>
      <c r="T179" s="521">
        <f t="shared" si="22"/>
        <v>0</v>
      </c>
      <c r="U179" s="456" t="str">
        <f>VLOOKUP(A179,'Diags Raw Data'!$A$6:$AH$4003,33,FALSE)</f>
        <v>N/A</v>
      </c>
      <c r="V179" s="585" t="s">
        <v>490</v>
      </c>
    </row>
    <row r="180" spans="1:22" ht="30.75" thickBot="1" x14ac:dyDescent="0.3">
      <c r="A180" s="576">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9">
        <f>SUMIF('Diags Raw Data'!$A$6:$A$4003,"*"&amp;$A180&amp;"*",'Diags Raw Data'!$K$6:$K$4003)</f>
        <v>0</v>
      </c>
      <c r="J180" s="461">
        <f>SUMIF('Diags Raw Data'!$A$6:$A$4003,"*"&amp;$A180&amp;"*",'Diags Raw Data'!$L$6:$L$4003)</f>
        <v>0</v>
      </c>
      <c r="K180" s="513" t="e" cm="1">
        <f t="array" ref="K180">IF(D180="",0, SUMPRODUCT(--(ISNUMBER(SEARCH($A180,'Diags Raw Data'!$A$6:$A$4003))),'Diags Raw Data'!$L$6:$L$4003,'Diags Raw Data'!$N$6:$N$4003)/J180)</f>
        <v>#DIV/0!</v>
      </c>
      <c r="L180" s="514" t="e" cm="1">
        <f t="array" ref="L180">IF(D180="",0, SUMPRODUCT(--(ISNUMBER(SEARCH($A180,'Diags Raw Data'!$A$6:$A$4003))),'Diags Raw Data'!$L$6:$L$4003,'Diags Raw Data'!$P$6:$P$4003)/J180)</f>
        <v>#DIV/0!</v>
      </c>
      <c r="M180" s="515" cm="1">
        <f t="array" ref="M180">SUMPRODUCT(--(ISNUMBER(SEARCH($A180,'Diags Raw Data'!$A$6:$A$4003))),--('Diags Raw Data'!$Q$6:$Q$4003&lt;&gt;"N/A"),'Diags Raw Data'!$R$6:$R$4003)</f>
        <v>0</v>
      </c>
      <c r="N180" s="516" cm="1">
        <f t="array" ref="N180">SUMPRODUCT(--(ISNUMBER(SEARCH($A180,'Diags Raw Data'!$A$6:$A$4003))),--('Diags Raw Data'!$Q$6:$Q$4003&lt;&gt;"N/A"),'Diags Raw Data'!$T$6:$T$4003)+SUMPRODUCT(--(ISNUMBER(SEARCH($A180,'Diags Raw Data'!$A$6:$A$4003))),--('Diags Raw Data'!$Q$6:$Q$4003&lt;&gt;"N/A"),'Diags Raw Data'!$U$6:$U$4003)</f>
        <v>0</v>
      </c>
      <c r="O180" s="517">
        <f t="shared" si="19"/>
        <v>0</v>
      </c>
      <c r="P180" s="518">
        <f>SUMIF('Diags Raw Data'!$A$6:$A$4003,"*"&amp;$A180&amp;"*",'Diags Raw Data'!$Z$6:$Z$4003)</f>
        <v>0</v>
      </c>
      <c r="Q180" s="519">
        <f>SUM(SUMIF('Diags Raw Data'!$A$6:$A$4003,"*"&amp;$A180&amp;"*",'Diags Raw Data'!$AA$6:$AA$4003),SUMIF('Diags Raw Data'!$A$6:$A$4003,"*"&amp;$A180&amp;"*",'Diags Raw Data'!$AB$6:$AB$4003))</f>
        <v>0</v>
      </c>
      <c r="R180" s="520">
        <f t="shared" si="20"/>
        <v>0</v>
      </c>
      <c r="S180" s="520">
        <f t="shared" si="21"/>
        <v>0</v>
      </c>
      <c r="T180" s="521">
        <f t="shared" si="22"/>
        <v>0</v>
      </c>
      <c r="U180" s="456" t="str">
        <f>VLOOKUP(A180,'Diags Raw Data'!$A$6:$AH$4003,33,FALSE)</f>
        <v>N/A</v>
      </c>
      <c r="V180" s="585" t="s">
        <v>464</v>
      </c>
    </row>
    <row r="181" spans="1:22" ht="30.75" thickBot="1" x14ac:dyDescent="0.3">
      <c r="A181" s="576">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9">
        <f>SUMIF('Diags Raw Data'!$A$6:$A$4003,"*"&amp;$A181&amp;"*",'Diags Raw Data'!$K$6:$K$4003)</f>
        <v>0</v>
      </c>
      <c r="J181" s="461">
        <f>SUMIF('Diags Raw Data'!$A$6:$A$4003,"*"&amp;$A181&amp;"*",'Diags Raw Data'!$L$6:$L$4003)</f>
        <v>0</v>
      </c>
      <c r="K181" s="513" t="e" cm="1">
        <f t="array" ref="K181">IF(D181="",0, SUMPRODUCT(--(ISNUMBER(SEARCH($A181,'Diags Raw Data'!$A$6:$A$4003))),'Diags Raw Data'!$L$6:$L$4003,'Diags Raw Data'!$N$6:$N$4003)/J181)</f>
        <v>#DIV/0!</v>
      </c>
      <c r="L181" s="514" t="e" cm="1">
        <f t="array" ref="L181">IF(D181="",0, SUMPRODUCT(--(ISNUMBER(SEARCH($A181,'Diags Raw Data'!$A$6:$A$4003))),'Diags Raw Data'!$L$6:$L$4003,'Diags Raw Data'!$P$6:$P$4003)/J181)</f>
        <v>#DIV/0!</v>
      </c>
      <c r="M181" s="515" cm="1">
        <f t="array" ref="M181">SUMPRODUCT(--(ISNUMBER(SEARCH($A181,'Diags Raw Data'!$A$6:$A$4003))),--('Diags Raw Data'!$Q$6:$Q$4003&lt;&gt;"N/A"),'Diags Raw Data'!$R$6:$R$4003)</f>
        <v>0</v>
      </c>
      <c r="N181" s="516" cm="1">
        <f t="array" ref="N181">SUMPRODUCT(--(ISNUMBER(SEARCH($A181,'Diags Raw Data'!$A$6:$A$4003))),--('Diags Raw Data'!$Q$6:$Q$4003&lt;&gt;"N/A"),'Diags Raw Data'!$T$6:$T$4003)+SUMPRODUCT(--(ISNUMBER(SEARCH($A181,'Diags Raw Data'!$A$6:$A$4003))),--('Diags Raw Data'!$Q$6:$Q$4003&lt;&gt;"N/A"),'Diags Raw Data'!$U$6:$U$4003)</f>
        <v>0</v>
      </c>
      <c r="O181" s="517">
        <f t="shared" si="19"/>
        <v>0</v>
      </c>
      <c r="P181" s="518">
        <f>SUMIF('Diags Raw Data'!$A$6:$A$4003,"*"&amp;$A181&amp;"*",'Diags Raw Data'!$Z$6:$Z$4003)</f>
        <v>0</v>
      </c>
      <c r="Q181" s="519">
        <f>SUM(SUMIF('Diags Raw Data'!$A$6:$A$4003,"*"&amp;$A181&amp;"*",'Diags Raw Data'!$AA$6:$AA$4003),SUMIF('Diags Raw Data'!$A$6:$A$4003,"*"&amp;$A181&amp;"*",'Diags Raw Data'!$AB$6:$AB$4003))</f>
        <v>0</v>
      </c>
      <c r="R181" s="520">
        <f t="shared" si="20"/>
        <v>0</v>
      </c>
      <c r="S181" s="520">
        <f t="shared" si="21"/>
        <v>0</v>
      </c>
      <c r="T181" s="521">
        <f t="shared" si="22"/>
        <v>0</v>
      </c>
      <c r="U181" s="456" t="str">
        <f>VLOOKUP(A181,'Diags Raw Data'!$A$6:$AH$4003,33,FALSE)</f>
        <v>N/A</v>
      </c>
      <c r="V181" s="585" t="s">
        <v>464</v>
      </c>
    </row>
    <row r="182" spans="1:22" ht="15.75" thickBot="1" x14ac:dyDescent="0.3">
      <c r="A182" s="576">
        <v>12.393000000000001</v>
      </c>
      <c r="B182" s="458" t="str">
        <f>VLOOKUP(A182,'Feature Raw Data'!$A$3:$B$3922,2,FALSE)</f>
        <v>GFX PCC latency optimization</v>
      </c>
      <c r="C182" s="459" t="str">
        <f>VLOOKUP(A182,'Feature Raw Data'!$A$3:$C$3922,3,FALSE)</f>
        <v>P1</v>
      </c>
      <c r="D182" s="460"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9">
        <f>SUMIF('Diags Raw Data'!$A$6:$A$4003,"*"&amp;$A182&amp;"*",'Diags Raw Data'!$K$6:$K$4003)</f>
        <v>0</v>
      </c>
      <c r="J182" s="461">
        <f>SUMIF('Diags Raw Data'!$A$6:$A$4003,"*"&amp;$A182&amp;"*",'Diags Raw Data'!$L$6:$L$4003)</f>
        <v>0</v>
      </c>
      <c r="K182" s="513" t="e" cm="1">
        <f t="array" ref="K182">IF(D182="",0, SUMPRODUCT(--(ISNUMBER(SEARCH($A182,'Diags Raw Data'!$A$6:$A$4003))),'Diags Raw Data'!$L$6:$L$4003,'Diags Raw Data'!$N$6:$N$4003)/J182)</f>
        <v>#DIV/0!</v>
      </c>
      <c r="L182" s="514" t="e" cm="1">
        <f t="array" ref="L182">IF(D182="",0, SUMPRODUCT(--(ISNUMBER(SEARCH($A182,'Diags Raw Data'!$A$6:$A$4003))),'Diags Raw Data'!$L$6:$L$4003,'Diags Raw Data'!$P$6:$P$4003)/J182)</f>
        <v>#DIV/0!</v>
      </c>
      <c r="M182" s="515" cm="1">
        <f t="array" ref="M182">SUMPRODUCT(--(ISNUMBER(SEARCH($A182,'Diags Raw Data'!$A$6:$A$4003))),--('Diags Raw Data'!$Q$6:$Q$4003&lt;&gt;"N/A"),'Diags Raw Data'!$R$6:$R$4003)</f>
        <v>0</v>
      </c>
      <c r="N182" s="516" cm="1">
        <f t="array" ref="N182">SUMPRODUCT(--(ISNUMBER(SEARCH($A182,'Diags Raw Data'!$A$6:$A$4003))),--('Diags Raw Data'!$Q$6:$Q$4003&lt;&gt;"N/A"),'Diags Raw Data'!$T$6:$T$4003)+SUMPRODUCT(--(ISNUMBER(SEARCH($A182,'Diags Raw Data'!$A$6:$A$4003))),--('Diags Raw Data'!$Q$6:$Q$4003&lt;&gt;"N/A"),'Diags Raw Data'!$U$6:$U$4003)</f>
        <v>0</v>
      </c>
      <c r="O182" s="517">
        <f t="shared" si="19"/>
        <v>0</v>
      </c>
      <c r="P182" s="518">
        <f>SUMIF('Diags Raw Data'!$A$6:$A$4003,"*"&amp;$A182&amp;"*",'Diags Raw Data'!$Z$6:$Z$4003)</f>
        <v>0</v>
      </c>
      <c r="Q182" s="519">
        <f>SUM(SUMIF('Diags Raw Data'!$A$6:$A$4003,"*"&amp;$A182&amp;"*",'Diags Raw Data'!$AA$6:$AA$4003),SUMIF('Diags Raw Data'!$A$6:$A$4003,"*"&amp;$A182&amp;"*",'Diags Raw Data'!$AB$6:$AB$4003))</f>
        <v>0</v>
      </c>
      <c r="R182" s="520">
        <f t="shared" si="20"/>
        <v>0</v>
      </c>
      <c r="S182" s="520">
        <f t="shared" si="21"/>
        <v>0</v>
      </c>
      <c r="T182" s="521">
        <f t="shared" si="22"/>
        <v>0</v>
      </c>
      <c r="U182" s="456" t="str">
        <f>VLOOKUP(A182,'Diags Raw Data'!$A$6:$AH$4003,33,FALSE)</f>
        <v>N/A</v>
      </c>
      <c r="V182" s="585" t="s">
        <v>464</v>
      </c>
    </row>
    <row r="183" spans="1:22" ht="30.75" thickBot="1" x14ac:dyDescent="0.3">
      <c r="A183" s="576">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9">
        <f>SUMIF('Diags Raw Data'!$A$6:$A$4003,"*"&amp;$A183&amp;"*",'Diags Raw Data'!$K$6:$K$4003)</f>
        <v>0</v>
      </c>
      <c r="J183" s="461">
        <f>SUMIF('Diags Raw Data'!$A$6:$A$4003,"*"&amp;$A183&amp;"*",'Diags Raw Data'!$L$6:$L$4003)</f>
        <v>0</v>
      </c>
      <c r="K183" s="513" t="e" cm="1">
        <f t="array" ref="K183">IF(D183="",0, SUMPRODUCT(--(ISNUMBER(SEARCH($A183,'Diags Raw Data'!$A$6:$A$4003))),'Diags Raw Data'!$L$6:$L$4003,'Diags Raw Data'!$N$6:$N$4003)/J183)</f>
        <v>#DIV/0!</v>
      </c>
      <c r="L183" s="514" t="e" cm="1">
        <f t="array" ref="L183">IF(D183="",0, SUMPRODUCT(--(ISNUMBER(SEARCH($A183,'Diags Raw Data'!$A$6:$A$4003))),'Diags Raw Data'!$L$6:$L$4003,'Diags Raw Data'!$P$6:$P$4003)/J183)</f>
        <v>#DIV/0!</v>
      </c>
      <c r="M183" s="515" cm="1">
        <f t="array" ref="M183">SUMPRODUCT(--(ISNUMBER(SEARCH($A183,'Diags Raw Data'!$A$6:$A$4003))),--('Diags Raw Data'!$Q$6:$Q$4003&lt;&gt;"N/A"),'Diags Raw Data'!$R$6:$R$4003)</f>
        <v>0</v>
      </c>
      <c r="N183" s="516" cm="1">
        <f t="array" ref="N183">SUMPRODUCT(--(ISNUMBER(SEARCH($A183,'Diags Raw Data'!$A$6:$A$4003))),--('Diags Raw Data'!$Q$6:$Q$4003&lt;&gt;"N/A"),'Diags Raw Data'!$T$6:$T$4003)+SUMPRODUCT(--(ISNUMBER(SEARCH($A183,'Diags Raw Data'!$A$6:$A$4003))),--('Diags Raw Data'!$Q$6:$Q$4003&lt;&gt;"N/A"),'Diags Raw Data'!$U$6:$U$4003)</f>
        <v>0</v>
      </c>
      <c r="O183" s="517">
        <f t="shared" si="19"/>
        <v>0</v>
      </c>
      <c r="P183" s="518">
        <f>SUMIF('Diags Raw Data'!$A$6:$A$4003,"*"&amp;$A183&amp;"*",'Diags Raw Data'!$Z$6:$Z$4003)</f>
        <v>0</v>
      </c>
      <c r="Q183" s="519">
        <f>SUM(SUMIF('Diags Raw Data'!$A$6:$A$4003,"*"&amp;$A183&amp;"*",'Diags Raw Data'!$AA$6:$AA$4003),SUMIF('Diags Raw Data'!$A$6:$A$4003,"*"&amp;$A183&amp;"*",'Diags Raw Data'!$AB$6:$AB$4003))</f>
        <v>0</v>
      </c>
      <c r="R183" s="520">
        <f t="shared" si="20"/>
        <v>0</v>
      </c>
      <c r="S183" s="520">
        <f t="shared" si="21"/>
        <v>0</v>
      </c>
      <c r="T183" s="521">
        <f t="shared" si="22"/>
        <v>0</v>
      </c>
      <c r="U183" s="456" t="str">
        <f>VLOOKUP(A183,'Diags Raw Data'!$A$6:$AH$4003,33,FALSE)</f>
        <v>N/A</v>
      </c>
      <c r="V183" s="182"/>
    </row>
    <row r="184" spans="1:22" ht="30.75" thickBot="1" x14ac:dyDescent="0.3">
      <c r="A184" s="576">
        <v>12.397</v>
      </c>
      <c r="B184" s="458" t="str">
        <f>VLOOKUP(A184,'Feature Raw Data'!$A$3:$B$3922,2,FALSE)</f>
        <v>Benchmark Stimulus Replay at Block</v>
      </c>
      <c r="C184" s="459" t="str">
        <f>VLOOKUP(A184,'Feature Raw Data'!$A$3:$C$3922,3,FALSE)</f>
        <v>P2</v>
      </c>
      <c r="D184" s="460" t="str" cm="1">
        <f t="array" ref="D184">_xlfn.TEXTJOIN("",TRUE,IF(ISNUMBER(SEARCH($A184,'Diags Raw Data'!$A$6:$A$4003)),CONCATENATE('Diags Raw Data'!$H$6:$H$4003,", "),""))</f>
        <v xml:space="preserve">N/A, </v>
      </c>
      <c r="E184" s="341" t="str">
        <f>VLOOKUP(A184,'Diags Raw Data'!$A$6:$D$4003,4,FALSE)</f>
        <v>GFX</v>
      </c>
      <c r="F184" s="341" t="str">
        <f>VLOOKUP(A184,'Feature Raw Data'!$A$3:$E$3922,5,FALSE)</f>
        <v>New</v>
      </c>
      <c r="G184" s="341" t="str">
        <f t="shared" si="17"/>
        <v>No</v>
      </c>
      <c r="H184" s="341" t="str">
        <f t="shared" si="18"/>
        <v>No</v>
      </c>
      <c r="I184" s="459">
        <f>SUMIF('Diags Raw Data'!$A$6:$A$4003,"*"&amp;$A184&amp;"*",'Diags Raw Data'!$K$6:$K$4003)</f>
        <v>0</v>
      </c>
      <c r="J184" s="461">
        <f>SUMIF('Diags Raw Data'!$A$6:$A$4003,"*"&amp;$A184&amp;"*",'Diags Raw Data'!$L$6:$L$4003)</f>
        <v>0</v>
      </c>
      <c r="K184" s="513" t="e" cm="1">
        <f t="array" ref="K184">IF(D184="",0, SUMPRODUCT(--(ISNUMBER(SEARCH($A184,'Diags Raw Data'!$A$6:$A$4003))),'Diags Raw Data'!$L$6:$L$4003,'Diags Raw Data'!$N$6:$N$4003)/J184)</f>
        <v>#DIV/0!</v>
      </c>
      <c r="L184" s="514" t="e" cm="1">
        <f t="array" ref="L184">IF(D184="",0, SUMPRODUCT(--(ISNUMBER(SEARCH($A184,'Diags Raw Data'!$A$6:$A$4003))),'Diags Raw Data'!$L$6:$L$4003,'Diags Raw Data'!$P$6:$P$4003)/J184)</f>
        <v>#DIV/0!</v>
      </c>
      <c r="M184" s="515" cm="1">
        <f t="array" ref="M184">SUMPRODUCT(--(ISNUMBER(SEARCH($A184,'Diags Raw Data'!$A$6:$A$4003))),--('Diags Raw Data'!$Q$6:$Q$4003&lt;&gt;"N/A"),'Diags Raw Data'!$R$6:$R$4003)</f>
        <v>0</v>
      </c>
      <c r="N184" s="516" cm="1">
        <f t="array" ref="N184">SUMPRODUCT(--(ISNUMBER(SEARCH($A184,'Diags Raw Data'!$A$6:$A$4003))),--('Diags Raw Data'!$Q$6:$Q$4003&lt;&gt;"N/A"),'Diags Raw Data'!$T$6:$T$4003)+SUMPRODUCT(--(ISNUMBER(SEARCH($A184,'Diags Raw Data'!$A$6:$A$4003))),--('Diags Raw Data'!$Q$6:$Q$4003&lt;&gt;"N/A"),'Diags Raw Data'!$U$6:$U$4003)</f>
        <v>0</v>
      </c>
      <c r="O184" s="517">
        <f t="shared" si="19"/>
        <v>0</v>
      </c>
      <c r="P184" s="518">
        <f>SUMIF('Diags Raw Data'!$A$6:$A$4003,"*"&amp;$A184&amp;"*",'Diags Raw Data'!$Z$6:$Z$4003)</f>
        <v>0</v>
      </c>
      <c r="Q184" s="519">
        <f>SUM(SUMIF('Diags Raw Data'!$A$6:$A$4003,"*"&amp;$A184&amp;"*",'Diags Raw Data'!$AA$6:$AA$4003),SUMIF('Diags Raw Data'!$A$6:$A$4003,"*"&amp;$A184&amp;"*",'Diags Raw Data'!$AB$6:$AB$4003))</f>
        <v>0</v>
      </c>
      <c r="R184" s="520">
        <f t="shared" si="20"/>
        <v>0</v>
      </c>
      <c r="S184" s="520">
        <f t="shared" si="21"/>
        <v>0</v>
      </c>
      <c r="T184" s="521">
        <f t="shared" si="22"/>
        <v>0</v>
      </c>
      <c r="U184" s="456" t="str">
        <f>VLOOKUP(A184,'Diags Raw Data'!$A$6:$AH$4003,33,FALSE)</f>
        <v>N/A</v>
      </c>
      <c r="V184" s="182"/>
    </row>
    <row r="185" spans="1:22" ht="15.75" thickBot="1" x14ac:dyDescent="0.3">
      <c r="A185" s="576">
        <v>12.398</v>
      </c>
      <c r="B185" s="458" t="str">
        <f>VLOOKUP(A185,'Feature Raw Data'!$A$3:$B$3922,2,FALSE)</f>
        <v xml:space="preserve">Adoption of RDL2RTL </v>
      </c>
      <c r="C185" s="459" t="str">
        <f>VLOOKUP(A185,'Feature Raw Data'!$A$3:$C$3922,3,FALSE)</f>
        <v>P2</v>
      </c>
      <c r="D185" s="460" t="str" cm="1">
        <f t="array" ref="D185">_xlfn.TEXTJOIN("",TRUE,IF(ISNUMBER(SEARCH($A185,'Diags Raw Data'!$A$6:$A$4003)),CONCATENATE('Diags Raw Data'!$H$6:$H$4003,", "),""))</f>
        <v xml:space="preserve">N/A, </v>
      </c>
      <c r="E185" s="341" t="str">
        <f>VLOOKUP(A185,'Diags Raw Data'!$A$6:$D$4003,4,FALSE)</f>
        <v>GFX</v>
      </c>
      <c r="F185" s="341" t="str">
        <f>VLOOKUP(A185,'Feature Raw Data'!$A$3:$E$3922,5,FALSE)</f>
        <v>New</v>
      </c>
      <c r="G185" s="341" t="str">
        <f t="shared" si="17"/>
        <v>No</v>
      </c>
      <c r="H185" s="341" t="str">
        <f t="shared" si="18"/>
        <v>No</v>
      </c>
      <c r="I185" s="459">
        <f>SUMIF('Diags Raw Data'!$A$6:$A$4003,"*"&amp;$A185&amp;"*",'Diags Raw Data'!$K$6:$K$4003)</f>
        <v>0</v>
      </c>
      <c r="J185" s="461">
        <f>SUMIF('Diags Raw Data'!$A$6:$A$4003,"*"&amp;$A185&amp;"*",'Diags Raw Data'!$L$6:$L$4003)</f>
        <v>0</v>
      </c>
      <c r="K185" s="513" t="e" cm="1">
        <f t="array" ref="K185">IF(D185="",0, SUMPRODUCT(--(ISNUMBER(SEARCH($A185,'Diags Raw Data'!$A$6:$A$4003))),'Diags Raw Data'!$L$6:$L$4003,'Diags Raw Data'!$N$6:$N$4003)/J185)</f>
        <v>#DIV/0!</v>
      </c>
      <c r="L185" s="514" t="e" cm="1">
        <f t="array" ref="L185">IF(D185="",0, SUMPRODUCT(--(ISNUMBER(SEARCH($A185,'Diags Raw Data'!$A$6:$A$4003))),'Diags Raw Data'!$L$6:$L$4003,'Diags Raw Data'!$P$6:$P$4003)/J185)</f>
        <v>#DIV/0!</v>
      </c>
      <c r="M185" s="515" cm="1">
        <f t="array" ref="M185">SUMPRODUCT(--(ISNUMBER(SEARCH($A185,'Diags Raw Data'!$A$6:$A$4003))),--('Diags Raw Data'!$Q$6:$Q$4003&lt;&gt;"N/A"),'Diags Raw Data'!$R$6:$R$4003)</f>
        <v>0</v>
      </c>
      <c r="N185" s="516" cm="1">
        <f t="array" ref="N185">SUMPRODUCT(--(ISNUMBER(SEARCH($A185,'Diags Raw Data'!$A$6:$A$4003))),--('Diags Raw Data'!$Q$6:$Q$4003&lt;&gt;"N/A"),'Diags Raw Data'!$T$6:$T$4003)+SUMPRODUCT(--(ISNUMBER(SEARCH($A185,'Diags Raw Data'!$A$6:$A$4003))),--('Diags Raw Data'!$Q$6:$Q$4003&lt;&gt;"N/A"),'Diags Raw Data'!$U$6:$U$4003)</f>
        <v>0</v>
      </c>
      <c r="O185" s="517">
        <f t="shared" si="19"/>
        <v>0</v>
      </c>
      <c r="P185" s="518">
        <f>SUMIF('Diags Raw Data'!$A$6:$A$4003,"*"&amp;$A185&amp;"*",'Diags Raw Data'!$Z$6:$Z$4003)</f>
        <v>0</v>
      </c>
      <c r="Q185" s="519">
        <f>SUM(SUMIF('Diags Raw Data'!$A$6:$A$4003,"*"&amp;$A185&amp;"*",'Diags Raw Data'!$AA$6:$AA$4003),SUMIF('Diags Raw Data'!$A$6:$A$4003,"*"&amp;$A185&amp;"*",'Diags Raw Data'!$AB$6:$AB$4003))</f>
        <v>0</v>
      </c>
      <c r="R185" s="520">
        <f t="shared" si="20"/>
        <v>0</v>
      </c>
      <c r="S185" s="520">
        <f t="shared" si="21"/>
        <v>0</v>
      </c>
      <c r="T185" s="521">
        <f t="shared" si="22"/>
        <v>0</v>
      </c>
      <c r="U185" s="456" t="str">
        <f>VLOOKUP(A185,'Diags Raw Data'!$A$6:$AH$4003,33,FALSE)</f>
        <v>N/A</v>
      </c>
      <c r="V185" s="182"/>
    </row>
    <row r="186" spans="1:22" ht="30.75" thickBot="1" x14ac:dyDescent="0.3">
      <c r="A186" s="576">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Data'!$A$6:$A$4003)),CONCATENATE('Diags Raw Data'!$H$6:$H$4003,", "),""))</f>
        <v xml:space="preserve">N/A, </v>
      </c>
      <c r="E186" s="341" t="str">
        <f>VLOOKUP(A186,'Diags Raw Data'!$A$6:$D$4003,4,FALSE)</f>
        <v>PP</v>
      </c>
      <c r="F186" s="341" t="str">
        <f>VLOOKUP(A186,'Feature Raw Data'!$A$3:$E$3922,5,FALSE)</f>
        <v>New</v>
      </c>
      <c r="G186" s="341" t="str">
        <f t="shared" si="17"/>
        <v>No</v>
      </c>
      <c r="H186" s="341" t="str">
        <f t="shared" si="18"/>
        <v>No</v>
      </c>
      <c r="I186" s="459">
        <f>SUMIF('Diags Raw Data'!$A$6:$A$4003,"*"&amp;$A186&amp;"*",'Diags Raw Data'!$K$6:$K$4003)</f>
        <v>0</v>
      </c>
      <c r="J186" s="461">
        <f>SUMIF('Diags Raw Data'!$A$6:$A$4003,"*"&amp;$A186&amp;"*",'Diags Raw Data'!$L$6:$L$4003)</f>
        <v>0</v>
      </c>
      <c r="K186" s="513" t="e" cm="1">
        <f t="array" ref="K186">IF(D186="",0, SUMPRODUCT(--(ISNUMBER(SEARCH($A186,'Diags Raw Data'!$A$6:$A$4003))),'Diags Raw Data'!$L$6:$L$4003,'Diags Raw Data'!$N$6:$N$4003)/J186)</f>
        <v>#DIV/0!</v>
      </c>
      <c r="L186" s="514" t="e" cm="1">
        <f t="array" ref="L186">IF(D186="",0, SUMPRODUCT(--(ISNUMBER(SEARCH($A186,'Diags Raw Data'!$A$6:$A$4003))),'Diags Raw Data'!$L$6:$L$4003,'Diags Raw Data'!$P$6:$P$4003)/J186)</f>
        <v>#DIV/0!</v>
      </c>
      <c r="M186" s="515" cm="1">
        <f t="array" ref="M186">SUMPRODUCT(--(ISNUMBER(SEARCH($A186,'Diags Raw Data'!$A$6:$A$4003))),--('Diags Raw Data'!$Q$6:$Q$4003&lt;&gt;"N/A"),'Diags Raw Data'!$R$6:$R$4003)</f>
        <v>0</v>
      </c>
      <c r="N186" s="516" cm="1">
        <f t="array" ref="N186">SUMPRODUCT(--(ISNUMBER(SEARCH($A186,'Diags Raw Data'!$A$6:$A$4003))),--('Diags Raw Data'!$Q$6:$Q$4003&lt;&gt;"N/A"),'Diags Raw Data'!$T$6:$T$4003)+SUMPRODUCT(--(ISNUMBER(SEARCH($A186,'Diags Raw Data'!$A$6:$A$4003))),--('Diags Raw Data'!$Q$6:$Q$4003&lt;&gt;"N/A"),'Diags Raw Data'!$U$6:$U$4003)</f>
        <v>0</v>
      </c>
      <c r="O186" s="517">
        <f t="shared" si="19"/>
        <v>0</v>
      </c>
      <c r="P186" s="518">
        <f>SUMIF('Diags Raw Data'!$A$6:$A$4003,"*"&amp;$A186&amp;"*",'Diags Raw Data'!$Z$6:$Z$4003)</f>
        <v>0</v>
      </c>
      <c r="Q186" s="519">
        <f>SUM(SUMIF('Diags Raw Data'!$A$6:$A$4003,"*"&amp;$A186&amp;"*",'Diags Raw Data'!$AA$6:$AA$4003),SUMIF('Diags Raw Data'!$A$6:$A$4003,"*"&amp;$A186&amp;"*",'Diags Raw Data'!$AB$6:$AB$4003))</f>
        <v>0</v>
      </c>
      <c r="R186" s="520">
        <f t="shared" si="20"/>
        <v>0</v>
      </c>
      <c r="S186" s="520">
        <f t="shared" si="21"/>
        <v>0</v>
      </c>
      <c r="T186" s="521">
        <f t="shared" si="22"/>
        <v>0</v>
      </c>
      <c r="U186" s="456" t="str">
        <f>VLOOKUP(A186,'Diags Raw Data'!$A$6:$AH$4003,33,FALSE)</f>
        <v>N/A</v>
      </c>
      <c r="V186" s="182"/>
    </row>
    <row r="187" spans="1:22" ht="390.75" thickBot="1" x14ac:dyDescent="0.3">
      <c r="A187" s="576">
        <v>12.4</v>
      </c>
      <c r="B187" s="458" t="str">
        <f>VLOOKUP(A187,'Feature Raw Data'!$A$3:$B$3922,2,FALSE)</f>
        <v>SRAM Bit/byte write enable</v>
      </c>
      <c r="C187" s="459" t="str">
        <f>VLOOKUP(A187,'Feature Raw Data'!$A$3:$C$3922,3,FALSE)</f>
        <v>P1</v>
      </c>
      <c r="D187" s="460" t="str" cm="1">
        <f t="array" ref="D187">_xlfn.TEXTJOIN("",TRUE,IF(ISNUMBER(SEARCH($A187,'Diags Raw Data'!$A$6:$A$4003)),CONCATENATE('Diags Raw Data'!$H$6:$H$4003,", "),""))</f>
        <v xml:space="preserve">N/A, N/A, N/A, N/A, N/A, N/A, N/A, cs16.0 wgs_gpa3_disable_dispatch_pm4_01, PMM coverage through CGCG/PG features, N/A, N/A, N/A, gci1311, N/A, N/A, N/A, placeholder_i.1, rt1.400-401, N/A, utci16.1, N/A, N/A, N/A, placeholder_j.1, shci2039.0-3, N/A, N/A, rt33.0, rt33.1-2, gci1307.4-7, placeholder_k.1-2, N/A, spi453, glxi61.1-2, gfx.linpack_gfx_compute, N/A, N/A, N/A, placeholder_l.1-8, placeholder_a.1-108, N/A, N/A, N/A, gci1310, N/A, cpi415, N/A, gci1309.0-3, gmhub.athub_raw_monolithic_test/CPWD, gfx.sr_stat, , gfx.inst_perf/v_wmma_f32_16x16x.*
gfx.inst_perf/v_wmma_i32_16x16x32_iu4
gci39.1-6, N/A, N/A, N/A, placeholder_b.1, N/A, N/A, txi83, N/A, gfx.stress3d.gfxoff/food_store, N/A, STD1.6    , N/A, N/A, N/A, N/A, N/A, N/A, N/A, placeholder_c.1, </v>
      </c>
      <c r="E187" s="341" t="str">
        <f>VLOOKUP(A187,'Diags Raw Data'!$A$6:$D$4003,4,FALSE)</f>
        <v>GFX</v>
      </c>
      <c r="F187" s="341" t="str">
        <f>VLOOKUP(A187,'Feature Raw Data'!$A$3:$E$3922,5,FALSE)</f>
        <v>New</v>
      </c>
      <c r="G187" s="341" t="str">
        <f t="shared" si="17"/>
        <v>Yes</v>
      </c>
      <c r="H187" s="341" t="str">
        <f t="shared" si="18"/>
        <v>Yes</v>
      </c>
      <c r="I187" s="459">
        <f>SUMIF('Diags Raw Data'!$A$6:$A$4003,"*"&amp;$A187&amp;"*",'Diags Raw Data'!$K$6:$K$4003)</f>
        <v>0</v>
      </c>
      <c r="J187" s="461">
        <f>SUMIF('Diags Raw Data'!$A$6:$A$4003,"*"&amp;$A187&amp;"*",'Diags Raw Data'!$L$6:$L$4003)</f>
        <v>0</v>
      </c>
      <c r="K187" s="513" t="e" cm="1">
        <f t="array" ref="K187">IF(D187="",0, SUMPRODUCT(--(ISNUMBER(SEARCH($A187,'Diags Raw Data'!$A$6:$A$4003))),'Diags Raw Data'!$L$6:$L$4003,'Diags Raw Data'!$N$6:$N$4003)/J187)</f>
        <v>#DIV/0!</v>
      </c>
      <c r="L187" s="514" t="e" cm="1">
        <f t="array" ref="L187">IF(D187="",0, SUMPRODUCT(--(ISNUMBER(SEARCH($A187,'Diags Raw Data'!$A$6:$A$4003))),'Diags Raw Data'!$L$6:$L$4003,'Diags Raw Data'!$P$6:$P$4003)/J187)</f>
        <v>#DIV/0!</v>
      </c>
      <c r="M187" s="515" cm="1">
        <f t="array" ref="M187">SUMPRODUCT(--(ISNUMBER(SEARCH($A187,'Diags Raw Data'!$A$6:$A$4003))),--('Diags Raw Data'!$Q$6:$Q$4003&lt;&gt;"N/A"),'Diags Raw Data'!$R$6:$R$4003)</f>
        <v>79</v>
      </c>
      <c r="N187" s="516" cm="1">
        <f t="array" ref="N187">SUMPRODUCT(--(ISNUMBER(SEARCH($A187,'Diags Raw Data'!$A$6:$A$4003))),--('Diags Raw Data'!$Q$6:$Q$4003&lt;&gt;"N/A"),'Diags Raw Data'!$T$6:$T$4003)+SUMPRODUCT(--(ISNUMBER(SEARCH($A187,'Diags Raw Data'!$A$6:$A$4003))),--('Diags Raw Data'!$Q$6:$Q$4003&lt;&gt;"N/A"),'Diags Raw Data'!$U$6:$U$4003)</f>
        <v>65</v>
      </c>
      <c r="O187" s="517">
        <f t="shared" si="19"/>
        <v>0.82278481012658233</v>
      </c>
      <c r="P187" s="518">
        <f>SUMIF('Diags Raw Data'!$A$6:$A$4003,"*"&amp;$A187&amp;"*",'Diags Raw Data'!$Z$6:$Z$4003)</f>
        <v>0</v>
      </c>
      <c r="Q187" s="519">
        <f>SUM(SUMIF('Diags Raw Data'!$A$6:$A$4003,"*"&amp;$A187&amp;"*",'Diags Raw Data'!$AA$6:$AA$4003),SUMIF('Diags Raw Data'!$A$6:$A$4003,"*"&amp;$A187&amp;"*",'Diags Raw Data'!$AB$6:$AB$4003))</f>
        <v>0</v>
      </c>
      <c r="R187" s="520">
        <f t="shared" si="20"/>
        <v>0</v>
      </c>
      <c r="S187" s="520">
        <f t="shared" si="21"/>
        <v>0</v>
      </c>
      <c r="T187" s="521">
        <f t="shared" si="22"/>
        <v>0</v>
      </c>
      <c r="U187" s="456" t="str">
        <f>VLOOKUP(A187,'Diags Raw Data'!$A$6:$AH$4003,33,FALSE)</f>
        <v>N/A</v>
      </c>
      <c r="V187" s="182"/>
    </row>
    <row r="188" spans="1:22" ht="30.75" thickBot="1" x14ac:dyDescent="0.3">
      <c r="A188" s="576">
        <v>12.401</v>
      </c>
      <c r="B188" s="458" t="str">
        <f>VLOOKUP(A188,'Feature Raw Data'!$A$3:$B$3922,2,FALSE)</f>
        <v>Improving MBFF ratio (Octa/Hexa Flops)</v>
      </c>
      <c r="C188" s="459" t="str">
        <f>VLOOKUP(A188,'Feature Raw Data'!$A$3:$C$3922,3,FALSE)</f>
        <v>P2</v>
      </c>
      <c r="D188" s="460" t="str" cm="1">
        <f t="array" ref="D188">_xlfn.TEXTJOIN("",TRUE,IF(ISNUMBER(SEARCH($A188,'Diags Raw Data'!$A$6:$A$4003)),CONCATENATE('Diags Raw Data'!$H$6:$H$4003,", "),""))</f>
        <v xml:space="preserve">N/A, </v>
      </c>
      <c r="E188" s="341" t="str">
        <f>VLOOKUP(A188,'Diags Raw Data'!$A$6:$D$4003,4,FALSE)</f>
        <v>CMM</v>
      </c>
      <c r="F188" s="341" t="str">
        <f>VLOOKUP(A188,'Feature Raw Data'!$A$3:$E$3922,5,FALSE)</f>
        <v>New</v>
      </c>
      <c r="G188" s="341" t="str">
        <f t="shared" si="17"/>
        <v>No</v>
      </c>
      <c r="H188" s="341" t="str">
        <f t="shared" si="18"/>
        <v>No</v>
      </c>
      <c r="I188" s="459">
        <f>SUMIF('Diags Raw Data'!$A$6:$A$4003,"*"&amp;$A188&amp;"*",'Diags Raw Data'!$K$6:$K$4003)</f>
        <v>0</v>
      </c>
      <c r="J188" s="461">
        <f>SUMIF('Diags Raw Data'!$A$6:$A$4003,"*"&amp;$A188&amp;"*",'Diags Raw Data'!$L$6:$L$4003)</f>
        <v>0</v>
      </c>
      <c r="K188" s="513" t="e" cm="1">
        <f t="array" ref="K188">IF(D188="",0, SUMPRODUCT(--(ISNUMBER(SEARCH($A188,'Diags Raw Data'!$A$6:$A$4003))),'Diags Raw Data'!$L$6:$L$4003,'Diags Raw Data'!$N$6:$N$4003)/J188)</f>
        <v>#DIV/0!</v>
      </c>
      <c r="L188" s="514" t="e" cm="1">
        <f t="array" ref="L188">IF(D188="",0, SUMPRODUCT(--(ISNUMBER(SEARCH($A188,'Diags Raw Data'!$A$6:$A$4003))),'Diags Raw Data'!$L$6:$L$4003,'Diags Raw Data'!$P$6:$P$4003)/J188)</f>
        <v>#DIV/0!</v>
      </c>
      <c r="M188" s="515" cm="1">
        <f t="array" ref="M188">SUMPRODUCT(--(ISNUMBER(SEARCH($A188,'Diags Raw Data'!$A$6:$A$4003))),--('Diags Raw Data'!$Q$6:$Q$4003&lt;&gt;"N/A"),'Diags Raw Data'!$R$6:$R$4003)</f>
        <v>0</v>
      </c>
      <c r="N188" s="516" cm="1">
        <f t="array" ref="N188">SUMPRODUCT(--(ISNUMBER(SEARCH($A188,'Diags Raw Data'!$A$6:$A$4003))),--('Diags Raw Data'!$Q$6:$Q$4003&lt;&gt;"N/A"),'Diags Raw Data'!$T$6:$T$4003)+SUMPRODUCT(--(ISNUMBER(SEARCH($A188,'Diags Raw Data'!$A$6:$A$4003))),--('Diags Raw Data'!$Q$6:$Q$4003&lt;&gt;"N/A"),'Diags Raw Data'!$U$6:$U$4003)</f>
        <v>0</v>
      </c>
      <c r="O188" s="517">
        <f>IF((M188=0),0,N188/M188)</f>
        <v>0</v>
      </c>
      <c r="P188" s="518">
        <f>SUMIF('Diags Raw Data'!$A$6:$A$4003,"*"&amp;$A188&amp;"*",'Diags Raw Data'!$Z$6:$Z$4003)</f>
        <v>0</v>
      </c>
      <c r="Q188" s="519">
        <f>SUM(SUMIF('Diags Raw Data'!$A$6:$A$4003,"*"&amp;$A188&amp;"*",'Diags Raw Data'!$AA$6:$AA$4003),SUMIF('Diags Raw Data'!$A$6:$A$4003,"*"&amp;$A188&amp;"*",'Diags Raw Data'!$AB$6:$AB$4003))</f>
        <v>0</v>
      </c>
      <c r="R188" s="520">
        <f>IF((J188=0),0,P188/J188)</f>
        <v>0</v>
      </c>
      <c r="S188" s="520">
        <f>IF((P188=0),0,Q188/P188)</f>
        <v>0</v>
      </c>
      <c r="T188" s="521">
        <f>R188*S188</f>
        <v>0</v>
      </c>
      <c r="U188" s="456" t="str">
        <f>VLOOKUP(A188,'Diags Raw Data'!$A$6:$AH$4003,33,FALSE)</f>
        <v>N/A</v>
      </c>
      <c r="V188" s="182"/>
    </row>
    <row r="189" spans="1:22" ht="30.75" thickBot="1" x14ac:dyDescent="0.3">
      <c r="A189" s="576">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Data'!$A$6:$A$4003)),CONCATENATE('Diags Raw Data'!$H$6:$H$4003,", "),""))</f>
        <v xml:space="preserve">N/A, </v>
      </c>
      <c r="E189" s="341" t="str">
        <f>VLOOKUP(A189,'Diags Raw Data'!$A$6:$D$4003,4,FALSE)</f>
        <v>GFX</v>
      </c>
      <c r="F189" s="341" t="str">
        <f>VLOOKUP(A189,'Feature Raw Data'!$A$3:$E$3922,5,FALSE)</f>
        <v>New</v>
      </c>
      <c r="G189" s="341" t="str">
        <f t="shared" si="17"/>
        <v>No</v>
      </c>
      <c r="H189" s="341" t="str">
        <f t="shared" si="18"/>
        <v>No</v>
      </c>
      <c r="I189" s="459">
        <f>SUMIF('Diags Raw Data'!$A$6:$A$4003,"*"&amp;$A189&amp;"*",'Diags Raw Data'!$K$6:$K$4003)</f>
        <v>0</v>
      </c>
      <c r="J189" s="461">
        <f>SUMIF('Diags Raw Data'!$A$6:$A$4003,"*"&amp;$A189&amp;"*",'Diags Raw Data'!$L$6:$L$4003)</f>
        <v>0</v>
      </c>
      <c r="K189" s="513" t="e" cm="1">
        <f t="array" ref="K189">IF(D189="",0, SUMPRODUCT(--(ISNUMBER(SEARCH($A189,'Diags Raw Data'!$A$6:$A$4003))),'Diags Raw Data'!$L$6:$L$4003,'Diags Raw Data'!$N$6:$N$4003)/J189)</f>
        <v>#DIV/0!</v>
      </c>
      <c r="L189" s="514" t="e" cm="1">
        <f t="array" ref="L189">IF(D189="",0, SUMPRODUCT(--(ISNUMBER(SEARCH($A189,'Diags Raw Data'!$A$6:$A$4003))),'Diags Raw Data'!$L$6:$L$4003,'Diags Raw Data'!$P$6:$P$4003)/J189)</f>
        <v>#DIV/0!</v>
      </c>
      <c r="M189" s="515" cm="1">
        <f t="array" ref="M189">SUMPRODUCT(--(ISNUMBER(SEARCH($A189,'Diags Raw Data'!$A$6:$A$4003))),--('Diags Raw Data'!$Q$6:$Q$4003&lt;&gt;"N/A"),'Diags Raw Data'!$R$6:$R$4003)</f>
        <v>0</v>
      </c>
      <c r="N189" s="516" cm="1">
        <f t="array" ref="N189">SUMPRODUCT(--(ISNUMBER(SEARCH($A189,'Diags Raw Data'!$A$6:$A$4003))),--('Diags Raw Data'!$Q$6:$Q$4003&lt;&gt;"N/A"),'Diags Raw Data'!$T$6:$T$4003)+SUMPRODUCT(--(ISNUMBER(SEARCH($A189,'Diags Raw Data'!$A$6:$A$4003))),--('Diags Raw Data'!$Q$6:$Q$4003&lt;&gt;"N/A"),'Diags Raw Data'!$U$6:$U$4003)</f>
        <v>0</v>
      </c>
      <c r="O189" s="517">
        <f>IF((M189=0),0,N189/M189)</f>
        <v>0</v>
      </c>
      <c r="P189" s="518">
        <f>SUMIF('Diags Raw Data'!$A$6:$A$4003,"*"&amp;$A189&amp;"*",'Diags Raw Data'!$Z$6:$Z$4003)</f>
        <v>0</v>
      </c>
      <c r="Q189" s="519">
        <f>SUM(SUMIF('Diags Raw Data'!$A$6:$A$4003,"*"&amp;$A189&amp;"*",'Diags Raw Data'!$AA$6:$AA$4003),SUMIF('Diags Raw Data'!$A$6:$A$4003,"*"&amp;$A189&amp;"*",'Diags Raw Data'!$AB$6:$AB$4003))</f>
        <v>0</v>
      </c>
      <c r="R189" s="520">
        <f>IF((J189=0),0,P189/J189)</f>
        <v>0</v>
      </c>
      <c r="S189" s="520">
        <f>IF((P189=0),0,Q189/P189)</f>
        <v>0</v>
      </c>
      <c r="T189" s="521">
        <f>R189*S189</f>
        <v>0</v>
      </c>
      <c r="U189" s="456" t="str">
        <f>VLOOKUP(A189,'Diags Raw Data'!$A$6:$AH$4003,33,FALSE)</f>
        <v>N/A</v>
      </c>
      <c r="V189" s="182"/>
    </row>
    <row r="190" spans="1:22" ht="150.75" thickBot="1" x14ac:dyDescent="0.3">
      <c r="A190" s="576">
        <v>12.403</v>
      </c>
      <c r="B190" s="45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Data'!$A$6:$A$4003)),CONCATENATE('Diags Raw Data'!$H$6:$H$4003,", "),""))</f>
        <v xml:space="preserve">N/A, </v>
      </c>
      <c r="E190" s="341" t="str">
        <f>VLOOKUP(A190,'Diags Raw Data'!$A$6:$D$4003,4,FALSE)</f>
        <v>GFX</v>
      </c>
      <c r="F190" s="341" t="str">
        <f>VLOOKUP(A190,'Feature Raw Data'!$A$3:$E$3922,5,FALSE)</f>
        <v>New</v>
      </c>
      <c r="G190" s="341" t="str">
        <f t="shared" ref="G190:G237" si="23">IF(D190="N/A, ","No","Yes")</f>
        <v>No</v>
      </c>
      <c r="H190" s="341" t="str">
        <f t="shared" si="18"/>
        <v>No</v>
      </c>
      <c r="I190" s="459">
        <f>SUMIF('Diags Raw Data'!$A$6:$A$4003,"*"&amp;$A190&amp;"*",'Diags Raw Data'!$K$6:$K$4003)</f>
        <v>0</v>
      </c>
      <c r="J190" s="461">
        <f>SUMIF('Diags Raw Data'!$A$6:$A$4003,"*"&amp;$A190&amp;"*",'Diags Raw Data'!$L$6:$L$4003)</f>
        <v>0</v>
      </c>
      <c r="K190" s="513" t="e" cm="1">
        <f t="array" ref="K190">IF(D190="",0, SUMPRODUCT(--(ISNUMBER(SEARCH($A190,'Diags Raw Data'!$A$6:$A$4003))),'Diags Raw Data'!$L$6:$L$4003,'Diags Raw Data'!$N$6:$N$4003)/J190)</f>
        <v>#DIV/0!</v>
      </c>
      <c r="L190" s="514" t="e" cm="1">
        <f t="array" ref="L190">IF(D190="",0, SUMPRODUCT(--(ISNUMBER(SEARCH($A190,'Diags Raw Data'!$A$6:$A$4003))),'Diags Raw Data'!$L$6:$L$4003,'Diags Raw Data'!$P$6:$P$4003)/J190)</f>
        <v>#DIV/0!</v>
      </c>
      <c r="M190" s="515" cm="1">
        <f t="array" ref="M190">SUMPRODUCT(--(ISNUMBER(SEARCH($A190,'Diags Raw Data'!$A$6:$A$4003))),--('Diags Raw Data'!$Q$6:$Q$4003&lt;&gt;"N/A"),'Diags Raw Data'!$R$6:$R$4003)</f>
        <v>0</v>
      </c>
      <c r="N190" s="516" cm="1">
        <f t="array" ref="N190">SUMPRODUCT(--(ISNUMBER(SEARCH($A190,'Diags Raw Data'!$A$6:$A$4003))),--('Diags Raw Data'!$Q$6:$Q$4003&lt;&gt;"N/A"),'Diags Raw Data'!$T$6:$T$4003)+SUMPRODUCT(--(ISNUMBER(SEARCH($A190,'Diags Raw Data'!$A$6:$A$4003))),--('Diags Raw Data'!$Q$6:$Q$4003&lt;&gt;"N/A"),'Diags Raw Data'!$U$6:$U$4003)</f>
        <v>0</v>
      </c>
      <c r="O190" s="517">
        <f t="shared" ref="O190:O191" si="24">IF((M190=0),0,N190/M190)</f>
        <v>0</v>
      </c>
      <c r="P190" s="518">
        <f>SUMIF('Diags Raw Data'!$A$6:$A$4003,"*"&amp;$A190&amp;"*",'Diags Raw Data'!$Z$6:$Z$4003)</f>
        <v>0</v>
      </c>
      <c r="Q190" s="519">
        <f>SUM(SUMIF('Diags Raw Data'!$A$6:$A$4003,"*"&amp;$A190&amp;"*",'Diags Raw Data'!$AA$6:$AA$4003),SUMIF('Diags Raw Data'!$A$6:$A$4003,"*"&amp;$A190&amp;"*",'Diags Raw Data'!$AB$6:$AB$4003))</f>
        <v>0</v>
      </c>
      <c r="R190" s="520">
        <f t="shared" ref="R190:R191" si="25">IF((J190=0),0,P190/J190)</f>
        <v>0</v>
      </c>
      <c r="S190" s="520">
        <f t="shared" ref="S190" si="26">IF((P190=0),0,Q190/P190)</f>
        <v>0</v>
      </c>
      <c r="T190" s="521">
        <f t="shared" ref="T190" si="27">R190*S190</f>
        <v>0</v>
      </c>
      <c r="U190" s="456" t="str">
        <f>VLOOKUP(A190,'Diags Raw Data'!$A$6:$AH$4003,33,FALSE)</f>
        <v>N/A</v>
      </c>
      <c r="V190" s="182"/>
    </row>
    <row r="191" spans="1:22" ht="105.75" thickBot="1" x14ac:dyDescent="0.3">
      <c r="A191" s="576">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Data'!$A$6:$A$4003)),CONCATENATE('Diags Raw Data'!$H$6:$H$4003,", "),""))</f>
        <v xml:space="preserve">N/A, </v>
      </c>
      <c r="E191" s="341" t="str">
        <f>VLOOKUP(A191,'Diags Raw Data'!$A$6:$D$4003,4,FALSE)</f>
        <v>GFX</v>
      </c>
      <c r="F191" s="341" t="str">
        <f>VLOOKUP(A191,'Feature Raw Data'!$A$3:$E$3922,5,FALSE)</f>
        <v>New</v>
      </c>
      <c r="G191" s="341" t="str">
        <f t="shared" si="23"/>
        <v>No</v>
      </c>
      <c r="H191" s="341" t="str">
        <f t="shared" si="18"/>
        <v>No</v>
      </c>
      <c r="I191" s="459">
        <f>SUMIF('Diags Raw Data'!$A$6:$A$4003,"*"&amp;$A191&amp;"*",'Diags Raw Data'!$K$6:$K$4003)</f>
        <v>0</v>
      </c>
      <c r="J191" s="461">
        <f>SUMIF('Diags Raw Data'!$A$6:$A$4003,"*"&amp;$A191&amp;"*",'Diags Raw Data'!$L$6:$L$4003)</f>
        <v>0</v>
      </c>
      <c r="K191" s="513" t="e" cm="1">
        <f t="array" ref="K191">IF(D191="",0, SUMPRODUCT(--(ISNUMBER(SEARCH($A191,'Diags Raw Data'!$A$6:$A$4003))),'Diags Raw Data'!$L$6:$L$4003,'Diags Raw Data'!$N$6:$N$4003)/J191)</f>
        <v>#DIV/0!</v>
      </c>
      <c r="L191" s="514" t="e" cm="1">
        <f t="array" ref="L191">IF(D191="",0, SUMPRODUCT(--(ISNUMBER(SEARCH($A191,'Diags Raw Data'!$A$6:$A$4003))),'Diags Raw Data'!$L$6:$L$4003,'Diags Raw Data'!$P$6:$P$4003)/J191)</f>
        <v>#DIV/0!</v>
      </c>
      <c r="M191" s="515" cm="1">
        <f t="array" ref="M191">SUMPRODUCT(--(ISNUMBER(SEARCH($A191,'Diags Raw Data'!$A$6:$A$4003))),--('Diags Raw Data'!$Q$6:$Q$4003&lt;&gt;"N/A"),'Diags Raw Data'!$R$6:$R$4003)</f>
        <v>0</v>
      </c>
      <c r="N191" s="516" cm="1">
        <f t="array" ref="N191">SUMPRODUCT(--(ISNUMBER(SEARCH($A191,'Diags Raw Data'!$A$6:$A$4003))),--('Diags Raw Data'!$Q$6:$Q$4003&lt;&gt;"N/A"),'Diags Raw Data'!$T$6:$T$4003)+SUMPRODUCT(--(ISNUMBER(SEARCH($A191,'Diags Raw Data'!$A$6:$A$4003))),--('Diags Raw Data'!$Q$6:$Q$4003&lt;&gt;"N/A"),'Diags Raw Data'!$U$6:$U$4003)</f>
        <v>0</v>
      </c>
      <c r="O191" s="517">
        <f t="shared" si="24"/>
        <v>0</v>
      </c>
      <c r="P191" s="518">
        <f>SUMIF('Diags Raw Data'!$A$6:$A$4003,"*"&amp;$A191&amp;"*",'Diags Raw Data'!$Z$6:$Z$4003)</f>
        <v>0</v>
      </c>
      <c r="Q191" s="519">
        <f>SUM(SUMIF('Diags Raw Data'!$A$6:$A$4003,"*"&amp;$A191&amp;"*",'Diags Raw Data'!$AA$6:$AA$4003),SUMIF('Diags Raw Data'!$A$6:$A$4003,"*"&amp;$A191&amp;"*",'Diags Raw Data'!$AB$6:$AB$4003))</f>
        <v>0</v>
      </c>
      <c r="R191" s="520">
        <f t="shared" si="25"/>
        <v>0</v>
      </c>
      <c r="S191" s="520">
        <f>IF((P191=0),0,Q191/P191)</f>
        <v>0</v>
      </c>
      <c r="T191" s="521">
        <f>R191*S191</f>
        <v>0</v>
      </c>
      <c r="U191" s="456" t="str">
        <f>VLOOKUP(A191,'Diags Raw Data'!$A$6:$AH$4003,33,FALSE)</f>
        <v>N/A</v>
      </c>
      <c r="V191" s="182"/>
    </row>
    <row r="192" spans="1:22" ht="60.75" thickBot="1" x14ac:dyDescent="0.3">
      <c r="A192" s="576">
        <v>12.41</v>
      </c>
      <c r="B192" s="458" t="str">
        <f>VLOOKUP(A192,'Feature Raw Data'!$A$3:$B$3922,2,FALSE)</f>
        <v>User Data Scatter Engine (RS64)</v>
      </c>
      <c r="C192" s="459" t="str">
        <f>VLOOKUP(A192,'Feature Raw Data'!$A$3:$C$3922,3,FALSE)</f>
        <v>P1</v>
      </c>
      <c r="D192" s="460" t="str" cm="1">
        <f t="array" ref="D192">_xlfn.TEXTJOIN("",TRUE,IF(ISNUMBER(SEARCH($A192,'Diags Raw Data'!$A$6:$A$4003)),CONCATENATE('Diags Raw Data'!$H$6:$H$4003,", "),""))</f>
        <v xml:space="preserve">N/A, N/A, cs16.0 wgs_gpa3_disable_dispatch_pm4_01, PMM coverage through CGCG/PG features, N/A, N/A, N/A, </v>
      </c>
      <c r="E192" s="341" t="str">
        <f>VLOOKUP(A192,'Diags Raw Data'!$A$6:$D$4003,4,FALSE)</f>
        <v>CTL</v>
      </c>
      <c r="F192" s="341" t="str">
        <f>VLOOKUP(A192,'Feature Raw Data'!$A$3:$E$3922,5,FALSE)</f>
        <v>New</v>
      </c>
      <c r="G192" s="341" t="str">
        <f t="shared" si="23"/>
        <v>Yes</v>
      </c>
      <c r="H192" s="341" t="str">
        <f t="shared" ref="H192:H237" si="28">IF(D192="N/A, ","No","Yes")</f>
        <v>Yes</v>
      </c>
      <c r="I192" s="459">
        <f>SUMIF('Diags Raw Data'!$A$6:$A$4003,"*"&amp;$A192&amp;"*",'Diags Raw Data'!$K$6:$K$4003)</f>
        <v>0</v>
      </c>
      <c r="J192" s="461">
        <f>SUMIF('Diags Raw Data'!$A$6:$A$4003,"*"&amp;$A192&amp;"*",'Diags Raw Data'!$L$6:$L$4003)</f>
        <v>0</v>
      </c>
      <c r="K192" s="513" t="e" cm="1">
        <f t="array" ref="K192">IF(D192="",0, SUMPRODUCT(--(ISNUMBER(SEARCH($A192,'Diags Raw Data'!$A$6:$A$4003))),'Diags Raw Data'!$L$6:$L$4003,'Diags Raw Data'!$N$6:$N$4003)/J192)</f>
        <v>#DIV/0!</v>
      </c>
      <c r="L192" s="514" t="e" cm="1">
        <f t="array" ref="L192">IF(D192="",0, SUMPRODUCT(--(ISNUMBER(SEARCH($A192,'Diags Raw Data'!$A$6:$A$4003))),'Diags Raw Data'!$L$6:$L$4003,'Diags Raw Data'!$P$6:$P$4003)/J192)</f>
        <v>#DIV/0!</v>
      </c>
      <c r="M192" s="515" cm="1">
        <f t="array" ref="M192">SUMPRODUCT(--(ISNUMBER(SEARCH($A192,'Diags Raw Data'!$A$6:$A$4003))),--('Diags Raw Data'!$Q$6:$Q$4003&lt;&gt;"N/A"),'Diags Raw Data'!$R$6:$R$4003)</f>
        <v>3</v>
      </c>
      <c r="N192" s="516" cm="1">
        <f t="array" ref="N192">SUMPRODUCT(--(ISNUMBER(SEARCH($A192,'Diags Raw Data'!$A$6:$A$4003))),--('Diags Raw Data'!$Q$6:$Q$4003&lt;&gt;"N/A"),'Diags Raw Data'!$T$6:$T$4003)+SUMPRODUCT(--(ISNUMBER(SEARCH($A192,'Diags Raw Data'!$A$6:$A$4003))),--('Diags Raw Data'!$Q$6:$Q$4003&lt;&gt;"N/A"),'Diags Raw Data'!$U$6:$U$4003)</f>
        <v>2</v>
      </c>
      <c r="O192" s="517">
        <f>IF((M192=0),0,N192/M192)</f>
        <v>0.66666666666666663</v>
      </c>
      <c r="P192" s="518">
        <f>SUMIF('Diags Raw Data'!$A$6:$A$4003,"*"&amp;$A192&amp;"*",'Diags Raw Data'!$Z$6:$Z$4003)</f>
        <v>0</v>
      </c>
      <c r="Q192" s="519">
        <f>SUM(SUMIF('Diags Raw Data'!$A$6:$A$4003,"*"&amp;$A192&amp;"*",'Diags Raw Data'!$AA$6:$AA$4003),SUMIF('Diags Raw Data'!$A$6:$A$4003,"*"&amp;$A192&amp;"*",'Diags Raw Data'!$AB$6:$AB$4003))</f>
        <v>0</v>
      </c>
      <c r="R192" s="520">
        <f>IF((J192=0),0,P192/J192)</f>
        <v>0</v>
      </c>
      <c r="S192" s="520">
        <f t="shared" ref="S192:S194" si="29">IF((P192=0),0,Q192/P192)</f>
        <v>0</v>
      </c>
      <c r="T192" s="521">
        <f t="shared" ref="T192:T194" si="30">R192*S192</f>
        <v>0</v>
      </c>
      <c r="U192" s="456" t="str">
        <f>VLOOKUP(A192,'Diags Raw Data'!$A$6:$AH$4003,33,FALSE)</f>
        <v>N/A</v>
      </c>
      <c r="V192" s="182"/>
    </row>
    <row r="193" spans="1:22" ht="15.75" thickBot="1" x14ac:dyDescent="0.3">
      <c r="A193" s="576">
        <v>12.411</v>
      </c>
      <c r="B193" s="458" t="str">
        <f>VLOOKUP(A193,'Feature Raw Data'!$A$3:$B$3922,2,FALSE)</f>
        <v>Replace SDMA F32 with RS64</v>
      </c>
      <c r="C193" s="459" t="str">
        <f>VLOOKUP(A193,'Feature Raw Data'!$A$3:$C$3922,3,FALSE)</f>
        <v>P2</v>
      </c>
      <c r="D193" s="460"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9">
        <f>SUMIF('Diags Raw Data'!$A$6:$A$4003,"*"&amp;$A193&amp;"*",'Diags Raw Data'!$K$6:$K$4003)</f>
        <v>0</v>
      </c>
      <c r="J193" s="461">
        <f>SUMIF('Diags Raw Data'!$A$6:$A$4003,"*"&amp;$A193&amp;"*",'Diags Raw Data'!$L$6:$L$4003)</f>
        <v>0</v>
      </c>
      <c r="K193" s="513" t="e" cm="1">
        <f t="array" ref="K193">IF(D193="",0, SUMPRODUCT(--(ISNUMBER(SEARCH($A193,'Diags Raw Data'!$A$6:$A$4003))),'Diags Raw Data'!$L$6:$L$4003,'Diags Raw Data'!$N$6:$N$4003)/J193)</f>
        <v>#DIV/0!</v>
      </c>
      <c r="L193" s="514" t="e" cm="1">
        <f t="array" ref="L193">IF(D193="",0, SUMPRODUCT(--(ISNUMBER(SEARCH($A193,'Diags Raw Data'!$A$6:$A$4003))),'Diags Raw Data'!$L$6:$L$4003,'Diags Raw Data'!$P$6:$P$4003)/J193)</f>
        <v>#DIV/0!</v>
      </c>
      <c r="M193" s="515" cm="1">
        <f t="array" ref="M193">SUMPRODUCT(--(ISNUMBER(SEARCH($A193,'Diags Raw Data'!$A$6:$A$4003))),--('Diags Raw Data'!$Q$6:$Q$4003&lt;&gt;"N/A"),'Diags Raw Data'!$R$6:$R$4003)</f>
        <v>0</v>
      </c>
      <c r="N193" s="516" cm="1">
        <f t="array" ref="N193">SUMPRODUCT(--(ISNUMBER(SEARCH($A193,'Diags Raw Data'!$A$6:$A$4003))),--('Diags Raw Data'!$Q$6:$Q$4003&lt;&gt;"N/A"),'Diags Raw Data'!$T$6:$T$4003)+SUMPRODUCT(--(ISNUMBER(SEARCH($A193,'Diags Raw Data'!$A$6:$A$4003))),--('Diags Raw Data'!$Q$6:$Q$4003&lt;&gt;"N/A"),'Diags Raw Data'!$U$6:$U$4003)</f>
        <v>0</v>
      </c>
      <c r="O193" s="517">
        <f>IF((M193=0),0,N193/M193)</f>
        <v>0</v>
      </c>
      <c r="P193" s="518">
        <f>SUMIF('Diags Raw Data'!$A$6:$A$4003,"*"&amp;$A193&amp;"*",'Diags Raw Data'!$Z$6:$Z$4003)</f>
        <v>0</v>
      </c>
      <c r="Q193" s="519">
        <f>SUM(SUMIF('Diags Raw Data'!$A$6:$A$4003,"*"&amp;$A193&amp;"*",'Diags Raw Data'!$AA$6:$AA$4003),SUMIF('Diags Raw Data'!$A$6:$A$4003,"*"&amp;$A193&amp;"*",'Diags Raw Data'!$AB$6:$AB$4003))</f>
        <v>0</v>
      </c>
      <c r="R193" s="520">
        <f t="shared" ref="R193:R194" si="31">IF((J193=0),0,P193/J193)</f>
        <v>0</v>
      </c>
      <c r="S193" s="520">
        <f t="shared" si="29"/>
        <v>0</v>
      </c>
      <c r="T193" s="521">
        <f t="shared" si="30"/>
        <v>0</v>
      </c>
      <c r="U193" s="456" t="str">
        <f>VLOOKUP(A193,'Diags Raw Data'!$A$6:$AH$4003,33,FALSE)</f>
        <v>N/A</v>
      </c>
      <c r="V193" s="182"/>
    </row>
    <row r="194" spans="1:22" ht="45.75" thickBot="1" x14ac:dyDescent="0.3">
      <c r="A194" s="576">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Data'!$A$6:$A$4003)),CONCATENATE('Diags Raw Data'!$H$6:$H$4003,", "),""))</f>
        <v xml:space="preserve">cs16.0 wgs_gpa3_disable_dispatch_pm4_01, </v>
      </c>
      <c r="E194" s="341" t="str">
        <f>VLOOKUP(A194,'Diags Raw Data'!$A$6:$D$4003,4,FALSE)</f>
        <v>CMM</v>
      </c>
      <c r="F194" s="341" t="str">
        <f>VLOOKUP(A194,'Feature Raw Data'!$A$3:$E$3922,5,FALSE)</f>
        <v>New</v>
      </c>
      <c r="G194" s="341" t="str">
        <f t="shared" si="23"/>
        <v>Yes</v>
      </c>
      <c r="H194" s="341" t="str">
        <f t="shared" si="28"/>
        <v>Yes</v>
      </c>
      <c r="I194" s="459">
        <f>SUMIF('Diags Raw Data'!$A$6:$A$4003,"*"&amp;$A194&amp;"*",'Diags Raw Data'!$K$6:$K$4003)</f>
        <v>0</v>
      </c>
      <c r="J194" s="461">
        <f>SUMIF('Diags Raw Data'!$A$6:$A$4003,"*"&amp;$A194&amp;"*",'Diags Raw Data'!$L$6:$L$4003)</f>
        <v>0</v>
      </c>
      <c r="K194" s="513" t="e" cm="1">
        <f t="array" ref="K194">IF(D194="",0, SUMPRODUCT(--(ISNUMBER(SEARCH($A194,'Diags Raw Data'!$A$6:$A$4003))),'Diags Raw Data'!$L$6:$L$4003,'Diags Raw Data'!$N$6:$N$4003)/J194)</f>
        <v>#DIV/0!</v>
      </c>
      <c r="L194" s="514" t="e" cm="1">
        <f t="array" ref="L194">IF(D194="",0, SUMPRODUCT(--(ISNUMBER(SEARCH($A194,'Diags Raw Data'!$A$6:$A$4003))),'Diags Raw Data'!$L$6:$L$4003,'Diags Raw Data'!$P$6:$P$4003)/J194)</f>
        <v>#DIV/0!</v>
      </c>
      <c r="M194" s="515" cm="1">
        <f t="array" ref="M194">SUMPRODUCT(--(ISNUMBER(SEARCH($A194,'Diags Raw Data'!$A$6:$A$4003))),--('Diags Raw Data'!$Q$6:$Q$4003&lt;&gt;"N/A"),'Diags Raw Data'!$R$6:$R$4003)</f>
        <v>2</v>
      </c>
      <c r="N194" s="516" cm="1">
        <f t="array" ref="N194">SUMPRODUCT(--(ISNUMBER(SEARCH($A194,'Diags Raw Data'!$A$6:$A$4003))),--('Diags Raw Data'!$Q$6:$Q$4003&lt;&gt;"N/A"),'Diags Raw Data'!$T$6:$T$4003)+SUMPRODUCT(--(ISNUMBER(SEARCH($A194,'Diags Raw Data'!$A$6:$A$4003))),--('Diags Raw Data'!$Q$6:$Q$4003&lt;&gt;"N/A"),'Diags Raw Data'!$U$6:$U$4003)</f>
        <v>2</v>
      </c>
      <c r="O194" s="517">
        <f>IF((M194=0),0,N194/M194)</f>
        <v>1</v>
      </c>
      <c r="P194" s="518">
        <f>SUMIF('Diags Raw Data'!$A$6:$A$4003,"*"&amp;$A194&amp;"*",'Diags Raw Data'!$Z$6:$Z$4003)</f>
        <v>0</v>
      </c>
      <c r="Q194" s="519">
        <f>SUM(SUMIF('Diags Raw Data'!$A$6:$A$4003,"*"&amp;$A194&amp;"*",'Diags Raw Data'!$AA$6:$AA$4003),SUMIF('Diags Raw Data'!$A$6:$A$4003,"*"&amp;$A194&amp;"*",'Diags Raw Data'!$AB$6:$AB$4003))</f>
        <v>0</v>
      </c>
      <c r="R194" s="520">
        <f t="shared" si="31"/>
        <v>0</v>
      </c>
      <c r="S194" s="520">
        <f t="shared" si="29"/>
        <v>0</v>
      </c>
      <c r="T194" s="521">
        <f t="shared" si="30"/>
        <v>0</v>
      </c>
      <c r="U194" s="456" t="str">
        <f>VLOOKUP(A194,'Diags Raw Data'!$A$6:$AH$4003,33,FALSE)</f>
        <v>WK5</v>
      </c>
      <c r="V194" s="182"/>
    </row>
    <row r="195" spans="1:22" ht="30.75" thickBot="1" x14ac:dyDescent="0.3">
      <c r="A195" s="576">
        <v>12.413</v>
      </c>
      <c r="B195" s="458" t="str">
        <f>VLOOKUP(A195,'Feature Raw Data'!$A$3:$B$3922,2,FALSE)</f>
        <v>Switch GFX to Memgen-based SRAM FGCG</v>
      </c>
      <c r="C195" s="459" t="str">
        <f>VLOOKUP(A195,'Feature Raw Data'!$A$3:$C$3922,3,FALSE)</f>
        <v>P1</v>
      </c>
      <c r="D195" s="460" t="str" cm="1">
        <f t="array" ref="D195">_xlfn.TEXTJOIN("",TRUE,IF(ISNUMBER(SEARCH($A195,'Diags Raw Data'!$A$6:$A$4003)),CONCATENATE('Diags Raw Data'!$H$6:$H$4003,", "),""))</f>
        <v xml:space="preserve">PMM coverage through CGCG/PG features, </v>
      </c>
      <c r="E195" s="341" t="str">
        <f>VLOOKUP(A195,'Diags Raw Data'!$A$6:$D$4003,4,FALSE)</f>
        <v>GC</v>
      </c>
      <c r="F195" s="341" t="str">
        <f>VLOOKUP(A195,'Feature Raw Data'!$A$3:$E$3922,5,FALSE)</f>
        <v>New</v>
      </c>
      <c r="G195" s="341" t="str">
        <f t="shared" si="23"/>
        <v>Yes</v>
      </c>
      <c r="H195" s="341" t="str">
        <f t="shared" si="28"/>
        <v>Yes</v>
      </c>
      <c r="I195" s="459">
        <f>SUMIF('Diags Raw Data'!$A$6:$A$4003,"*"&amp;$A195&amp;"*",'Diags Raw Data'!$K$6:$K$4003)</f>
        <v>0</v>
      </c>
      <c r="J195" s="461">
        <f>SUMIF('Diags Raw Data'!$A$6:$A$4003,"*"&amp;$A195&amp;"*",'Diags Raw Data'!$L$6:$L$4003)</f>
        <v>0</v>
      </c>
      <c r="K195" s="513" t="e" cm="1">
        <f t="array" ref="K195">IF(D195="",0, SUMPRODUCT(--(ISNUMBER(SEARCH($A195,'Diags Raw Data'!$A$6:$A$4003))),'Diags Raw Data'!$L$6:$L$4003,'Diags Raw Data'!$N$6:$N$4003)/J195)</f>
        <v>#DIV/0!</v>
      </c>
      <c r="L195" s="514" t="e" cm="1">
        <f t="array" ref="L195">IF(D195="",0, SUMPRODUCT(--(ISNUMBER(SEARCH($A195,'Diags Raw Data'!$A$6:$A$4003))),'Diags Raw Data'!$L$6:$L$4003,'Diags Raw Data'!$P$6:$P$4003)/J195)</f>
        <v>#DIV/0!</v>
      </c>
      <c r="M195" s="515" cm="1">
        <f t="array" ref="M195">SUMPRODUCT(--(ISNUMBER(SEARCH($A195,'Diags Raw Data'!$A$6:$A$4003))),--('Diags Raw Data'!$Q$6:$Q$4003&lt;&gt;"N/A"),'Diags Raw Data'!$R$6:$R$4003)</f>
        <v>1</v>
      </c>
      <c r="N195" s="516" cm="1">
        <f t="array" ref="N195">SUMPRODUCT(--(ISNUMBER(SEARCH($A195,'Diags Raw Data'!$A$6:$A$4003))),--('Diags Raw Data'!$Q$6:$Q$4003&lt;&gt;"N/A"),'Diags Raw Data'!$T$6:$T$4003)+SUMPRODUCT(--(ISNUMBER(SEARCH($A195,'Diags Raw Data'!$A$6:$A$4003))),--('Diags Raw Data'!$Q$6:$Q$4003&lt;&gt;"N/A"),'Diags Raw Data'!$U$6:$U$4003)</f>
        <v>0</v>
      </c>
      <c r="O195" s="517">
        <f>IF((M195=0),0,N195/M195)</f>
        <v>0</v>
      </c>
      <c r="P195" s="518">
        <f>SUMIF('Diags Raw Data'!$A$6:$A$4003,"*"&amp;$A195&amp;"*",'Diags Raw Data'!$Z$6:$Z$4003)</f>
        <v>0</v>
      </c>
      <c r="Q195" s="519">
        <f>SUM(SUMIF('Diags Raw Data'!$A$6:$A$4003,"*"&amp;$A195&amp;"*",'Diags Raw Data'!$AA$6:$AA$4003),SUMIF('Diags Raw Data'!$A$6:$A$4003,"*"&amp;$A195&amp;"*",'Diags Raw Data'!$AB$6:$AB$4003))</f>
        <v>0</v>
      </c>
      <c r="R195" s="520">
        <f>IF((J195=0),0,P195/J195)</f>
        <v>0</v>
      </c>
      <c r="S195" s="520">
        <f>IF((P195=0),0,Q195/P195)</f>
        <v>0</v>
      </c>
      <c r="T195" s="521">
        <f>R195*S195</f>
        <v>0</v>
      </c>
      <c r="U195" s="456" t="str">
        <f>VLOOKUP(A195,'Diags Raw Data'!$A$6:$AH$4003,33,FALSE)</f>
        <v>WK5</v>
      </c>
      <c r="V195" s="182"/>
    </row>
    <row r="196" spans="1:22" ht="30.75" thickBot="1" x14ac:dyDescent="0.3">
      <c r="A196" s="576">
        <v>12.414</v>
      </c>
      <c r="B196" s="458" t="str">
        <f>VLOOKUP(A196,'Feature Raw Data'!$A$3:$B$3922,2,FALSE)</f>
        <v>Add an L1 TLB into the SDMA front-end</v>
      </c>
      <c r="C196" s="459" t="str">
        <f>VLOOKUP(A196,'Feature Raw Data'!$A$3:$C$3922,3,FALSE)</f>
        <v>P1</v>
      </c>
      <c r="D196" s="460" t="str" cm="1">
        <f t="array" ref="D196">_xlfn.TEXTJOIN("",TRUE,IF(ISNUMBER(SEARCH($A196,'Diags Raw Data'!$A$6:$A$4003)),CONCATENATE('Diags Raw Data'!$H$6:$H$4003,", "),""))</f>
        <v xml:space="preserve">N/A, </v>
      </c>
      <c r="E196" s="341" t="str">
        <f>VLOOKUP(A196,'Diags Raw Data'!$A$6:$D$4003,4,FALSE)</f>
        <v>UTCL2</v>
      </c>
      <c r="F196" s="341" t="str">
        <f>VLOOKUP(A196,'Feature Raw Data'!$A$3:$E$3922,5,FALSE)</f>
        <v>New</v>
      </c>
      <c r="G196" s="341" t="str">
        <f t="shared" si="23"/>
        <v>No</v>
      </c>
      <c r="H196" s="341" t="str">
        <f t="shared" si="28"/>
        <v>No</v>
      </c>
      <c r="I196" s="459">
        <f>SUMIF('Diags Raw Data'!$A$6:$A$4003,"*"&amp;$A196&amp;"*",'Diags Raw Data'!$K$6:$K$4003)</f>
        <v>0</v>
      </c>
      <c r="J196" s="461">
        <f>SUMIF('Diags Raw Data'!$A$6:$A$4003,"*"&amp;$A196&amp;"*",'Diags Raw Data'!$L$6:$L$4003)</f>
        <v>0</v>
      </c>
      <c r="K196" s="513" t="e" cm="1">
        <f t="array" ref="K196">IF(D196="",0, SUMPRODUCT(--(ISNUMBER(SEARCH($A196,'Diags Raw Data'!$A$6:$A$4003))),'Diags Raw Data'!$L$6:$L$4003,'Diags Raw Data'!$N$6:$N$4003)/J196)</f>
        <v>#DIV/0!</v>
      </c>
      <c r="L196" s="514" t="e" cm="1">
        <f t="array" ref="L196">IF(D196="",0, SUMPRODUCT(--(ISNUMBER(SEARCH($A196,'Diags Raw Data'!$A$6:$A$4003))),'Diags Raw Data'!$L$6:$L$4003,'Diags Raw Data'!$P$6:$P$4003)/J196)</f>
        <v>#DIV/0!</v>
      </c>
      <c r="M196" s="515" cm="1">
        <f t="array" ref="M196">SUMPRODUCT(--(ISNUMBER(SEARCH($A196,'Diags Raw Data'!$A$6:$A$4003))),--('Diags Raw Data'!$Q$6:$Q$4003&lt;&gt;"N/A"),'Diags Raw Data'!$R$6:$R$4003)</f>
        <v>0</v>
      </c>
      <c r="N196" s="516" cm="1">
        <f t="array" ref="N196">SUMPRODUCT(--(ISNUMBER(SEARCH($A196,'Diags Raw Data'!$A$6:$A$4003))),--('Diags Raw Data'!$Q$6:$Q$4003&lt;&gt;"N/A"),'Diags Raw Data'!$T$6:$T$4003)+SUMPRODUCT(--(ISNUMBER(SEARCH($A196,'Diags Raw Data'!$A$6:$A$4003))),--('Diags Raw Data'!$Q$6:$Q$4003&lt;&gt;"N/A"),'Diags Raw Data'!$U$6:$U$4003)</f>
        <v>0</v>
      </c>
      <c r="O196" s="517">
        <f t="shared" ref="O196:O198" si="32">IF((M196=0),0,N196/M196)</f>
        <v>0</v>
      </c>
      <c r="P196" s="518">
        <f>SUMIF('Diags Raw Data'!$A$6:$A$4003,"*"&amp;$A196&amp;"*",'Diags Raw Data'!$Z$6:$Z$4003)</f>
        <v>0</v>
      </c>
      <c r="Q196" s="519">
        <f>SUM(SUMIF('Diags Raw Data'!$A$6:$A$4003,"*"&amp;$A196&amp;"*",'Diags Raw Data'!$AA$6:$AA$4003),SUMIF('Diags Raw Data'!$A$6:$A$4003,"*"&amp;$A196&amp;"*",'Diags Raw Data'!$AB$6:$AB$4003))</f>
        <v>0</v>
      </c>
      <c r="R196" s="520">
        <f t="shared" ref="R196:R198" si="33">IF((J196=0),0,P196/J196)</f>
        <v>0</v>
      </c>
      <c r="S196" s="520">
        <f t="shared" ref="S196:S201" si="34">IF((P196=0),0,Q196/P196)</f>
        <v>0</v>
      </c>
      <c r="T196" s="521">
        <f t="shared" ref="T196:T200" si="35">R196*S196</f>
        <v>0</v>
      </c>
      <c r="U196" s="456" t="str">
        <f>VLOOKUP(A196,'Diags Raw Data'!$A$6:$AH$4003,33,FALSE)</f>
        <v>N/A</v>
      </c>
      <c r="V196" s="182"/>
    </row>
    <row r="197" spans="1:22" ht="30.75" thickBot="1" x14ac:dyDescent="0.3">
      <c r="A197" s="576">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Data'!$A$6:$A$4003)),CONCATENATE('Diags Raw Data'!$H$6:$H$4003,", "),""))</f>
        <v xml:space="preserve">N/A, </v>
      </c>
      <c r="E197" s="341" t="str">
        <f>VLOOKUP(A197,'Diags Raw Data'!$A$6:$D$4003,4,FALSE)</f>
        <v>CTL</v>
      </c>
      <c r="F197" s="341" t="str">
        <f>VLOOKUP(A197,'Feature Raw Data'!$A$3:$E$3922,5,FALSE)</f>
        <v>New</v>
      </c>
      <c r="G197" s="341" t="str">
        <f t="shared" si="23"/>
        <v>No</v>
      </c>
      <c r="H197" s="341" t="str">
        <f t="shared" si="28"/>
        <v>No</v>
      </c>
      <c r="I197" s="459">
        <f>SUMIF('Diags Raw Data'!$A$6:$A$4003,"*"&amp;$A197&amp;"*",'Diags Raw Data'!$K$6:$K$4003)</f>
        <v>0</v>
      </c>
      <c r="J197" s="461">
        <f>SUMIF('Diags Raw Data'!$A$6:$A$4003,"*"&amp;$A197&amp;"*",'Diags Raw Data'!$L$6:$L$4003)</f>
        <v>0</v>
      </c>
      <c r="K197" s="513" t="e" cm="1">
        <f t="array" ref="K197">IF(D197="",0, SUMPRODUCT(--(ISNUMBER(SEARCH($A197,'Diags Raw Data'!$A$6:$A$4003))),'Diags Raw Data'!$L$6:$L$4003,'Diags Raw Data'!$N$6:$N$4003)/J197)</f>
        <v>#DIV/0!</v>
      </c>
      <c r="L197" s="514" t="e" cm="1">
        <f t="array" ref="L197">IF(D197="",0, SUMPRODUCT(--(ISNUMBER(SEARCH($A197,'Diags Raw Data'!$A$6:$A$4003))),'Diags Raw Data'!$L$6:$L$4003,'Diags Raw Data'!$P$6:$P$4003)/J197)</f>
        <v>#DIV/0!</v>
      </c>
      <c r="M197" s="515" cm="1">
        <f t="array" ref="M197">SUMPRODUCT(--(ISNUMBER(SEARCH($A197,'Diags Raw Data'!$A$6:$A$4003))),--('Diags Raw Data'!$Q$6:$Q$4003&lt;&gt;"N/A"),'Diags Raw Data'!$R$6:$R$4003)</f>
        <v>0</v>
      </c>
      <c r="N197" s="516" cm="1">
        <f t="array" ref="N197">SUMPRODUCT(--(ISNUMBER(SEARCH($A197,'Diags Raw Data'!$A$6:$A$4003))),--('Diags Raw Data'!$Q$6:$Q$4003&lt;&gt;"N/A"),'Diags Raw Data'!$T$6:$T$4003)+SUMPRODUCT(--(ISNUMBER(SEARCH($A197,'Diags Raw Data'!$A$6:$A$4003))),--('Diags Raw Data'!$Q$6:$Q$4003&lt;&gt;"N/A"),'Diags Raw Data'!$U$6:$U$4003)</f>
        <v>0</v>
      </c>
      <c r="O197" s="517">
        <f t="shared" si="32"/>
        <v>0</v>
      </c>
      <c r="P197" s="518">
        <f>SUMIF('Diags Raw Data'!$A$6:$A$4003,"*"&amp;$A197&amp;"*",'Diags Raw Data'!$Z$6:$Z$4003)</f>
        <v>0</v>
      </c>
      <c r="Q197" s="519">
        <f>SUM(SUMIF('Diags Raw Data'!$A$6:$A$4003,"*"&amp;$A197&amp;"*",'Diags Raw Data'!$AA$6:$AA$4003),SUMIF('Diags Raw Data'!$A$6:$A$4003,"*"&amp;$A197&amp;"*",'Diags Raw Data'!$AB$6:$AB$4003))</f>
        <v>0</v>
      </c>
      <c r="R197" s="520">
        <f t="shared" si="33"/>
        <v>0</v>
      </c>
      <c r="S197" s="520">
        <f t="shared" si="34"/>
        <v>0</v>
      </c>
      <c r="T197" s="521">
        <f t="shared" si="35"/>
        <v>0</v>
      </c>
      <c r="U197" s="456" t="str">
        <f>VLOOKUP(A197,'Diags Raw Data'!$A$6:$AH$4003,33,FALSE)</f>
        <v>N/A</v>
      </c>
      <c r="V197" s="182"/>
    </row>
    <row r="198" spans="1:22" ht="45.75" thickBot="1" x14ac:dyDescent="0.3">
      <c r="A198" s="576">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Data'!$A$6:$A$4003)),CONCATENATE('Diags Raw Data'!$H$6:$H$4003,", "),""))</f>
        <v xml:space="preserve">N/A, </v>
      </c>
      <c r="E198" s="341" t="str">
        <f>VLOOKUP(A198,'Diags Raw Data'!$A$6:$D$4003,4,FALSE)</f>
        <v>CTL</v>
      </c>
      <c r="F198" s="341" t="str">
        <f>VLOOKUP(A198,'Feature Raw Data'!$A$3:$E$3922,5,FALSE)</f>
        <v>New</v>
      </c>
      <c r="G198" s="341" t="str">
        <f t="shared" si="23"/>
        <v>No</v>
      </c>
      <c r="H198" s="341" t="str">
        <f t="shared" si="28"/>
        <v>No</v>
      </c>
      <c r="I198" s="459">
        <f>SUMIF('Diags Raw Data'!$A$6:$A$4003,"*"&amp;$A198&amp;"*",'Diags Raw Data'!$K$6:$K$4003)</f>
        <v>0</v>
      </c>
      <c r="J198" s="461">
        <f>SUMIF('Diags Raw Data'!$A$6:$A$4003,"*"&amp;$A198&amp;"*",'Diags Raw Data'!$L$6:$L$4003)</f>
        <v>0</v>
      </c>
      <c r="K198" s="513" t="e" cm="1">
        <f t="array" ref="K198">IF(D198="",0, SUMPRODUCT(--(ISNUMBER(SEARCH($A198,'Diags Raw Data'!$A$6:$A$4003))),'Diags Raw Data'!$L$6:$L$4003,'Diags Raw Data'!$N$6:$N$4003)/J198)</f>
        <v>#DIV/0!</v>
      </c>
      <c r="L198" s="514" t="e" cm="1">
        <f t="array" ref="L198">IF(D198="",0, SUMPRODUCT(--(ISNUMBER(SEARCH($A198,'Diags Raw Data'!$A$6:$A$4003))),'Diags Raw Data'!$L$6:$L$4003,'Diags Raw Data'!$P$6:$P$4003)/J198)</f>
        <v>#DIV/0!</v>
      </c>
      <c r="M198" s="515" cm="1">
        <f t="array" ref="M198">SUMPRODUCT(--(ISNUMBER(SEARCH($A198,'Diags Raw Data'!$A$6:$A$4003))),--('Diags Raw Data'!$Q$6:$Q$4003&lt;&gt;"N/A"),'Diags Raw Data'!$R$6:$R$4003)</f>
        <v>0</v>
      </c>
      <c r="N198" s="516" cm="1">
        <f t="array" ref="N198">SUMPRODUCT(--(ISNUMBER(SEARCH($A198,'Diags Raw Data'!$A$6:$A$4003))),--('Diags Raw Data'!$Q$6:$Q$4003&lt;&gt;"N/A"),'Diags Raw Data'!$T$6:$T$4003)+SUMPRODUCT(--(ISNUMBER(SEARCH($A198,'Diags Raw Data'!$A$6:$A$4003))),--('Diags Raw Data'!$Q$6:$Q$4003&lt;&gt;"N/A"),'Diags Raw Data'!$U$6:$U$4003)</f>
        <v>0</v>
      </c>
      <c r="O198" s="517">
        <f t="shared" si="32"/>
        <v>0</v>
      </c>
      <c r="P198" s="518">
        <f>SUMIF('Diags Raw Data'!$A$6:$A$4003,"*"&amp;$A198&amp;"*",'Diags Raw Data'!$Z$6:$Z$4003)</f>
        <v>0</v>
      </c>
      <c r="Q198" s="519">
        <f>SUM(SUMIF('Diags Raw Data'!$A$6:$A$4003,"*"&amp;$A198&amp;"*",'Diags Raw Data'!$AA$6:$AA$4003),SUMIF('Diags Raw Data'!$A$6:$A$4003,"*"&amp;$A198&amp;"*",'Diags Raw Data'!$AB$6:$AB$4003))</f>
        <v>0</v>
      </c>
      <c r="R198" s="520">
        <f t="shared" si="33"/>
        <v>0</v>
      </c>
      <c r="S198" s="520">
        <f t="shared" si="34"/>
        <v>0</v>
      </c>
      <c r="T198" s="521">
        <f t="shared" si="35"/>
        <v>0</v>
      </c>
      <c r="U198" s="456" t="str">
        <f>VLOOKUP(A198,'Diags Raw Data'!$A$6:$AH$4003,33,FALSE)</f>
        <v>N/A</v>
      </c>
      <c r="V198" s="182"/>
    </row>
    <row r="199" spans="1:22" ht="30.75" thickBot="1" x14ac:dyDescent="0.3">
      <c r="A199" s="576">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Data'!$A$6:$A$4003)),CONCATENATE('Diags Raw Data'!$H$6:$H$4003,", "),""))</f>
        <v xml:space="preserve">gci1311, N/A, N/A, N/A, placeholder_i.1, </v>
      </c>
      <c r="E199" s="341" t="str">
        <f>VLOOKUP(A199,'Diags Raw Data'!$A$6:$D$4003,4,FALSE)</f>
        <v>SIO</v>
      </c>
      <c r="F199" s="341" t="str">
        <f>VLOOKUP(A199,'Feature Raw Data'!$A$3:$E$3922,5,FALSE)</f>
        <v>New</v>
      </c>
      <c r="G199" s="341" t="str">
        <f t="shared" si="23"/>
        <v>Yes</v>
      </c>
      <c r="H199" s="341" t="str">
        <f t="shared" si="28"/>
        <v>Yes</v>
      </c>
      <c r="I199" s="459">
        <f>SUMIF('Diags Raw Data'!$A$6:$A$4003,"*"&amp;$A199&amp;"*",'Diags Raw Data'!$K$6:$K$4003)</f>
        <v>0</v>
      </c>
      <c r="J199" s="461">
        <f>SUMIF('Diags Raw Data'!$A$6:$A$4003,"*"&amp;$A199&amp;"*",'Diags Raw Data'!$L$6:$L$4003)</f>
        <v>0</v>
      </c>
      <c r="K199" s="513" t="e" cm="1">
        <f t="array" ref="K199">IF(D199="",0, SUMPRODUCT(--(ISNUMBER(SEARCH($A199,'Diags Raw Data'!$A$6:$A$4003))),'Diags Raw Data'!$L$6:$L$4003,'Diags Raw Data'!$N$6:$N$4003)/J199)</f>
        <v>#DIV/0!</v>
      </c>
      <c r="L199" s="514" t="e" cm="1">
        <f t="array" ref="L199">IF(D199="",0, SUMPRODUCT(--(ISNUMBER(SEARCH($A199,'Diags Raw Data'!$A$6:$A$4003))),'Diags Raw Data'!$L$6:$L$4003,'Diags Raw Data'!$P$6:$P$4003)/J199)</f>
        <v>#DIV/0!</v>
      </c>
      <c r="M199" s="515" cm="1">
        <f t="array" ref="M199">SUMPRODUCT(--(ISNUMBER(SEARCH($A199,'Diags Raw Data'!$A$6:$A$4003))),--('Diags Raw Data'!$Q$6:$Q$4003&lt;&gt;"N/A"),'Diags Raw Data'!$R$6:$R$4003)</f>
        <v>2</v>
      </c>
      <c r="N199" s="516" cm="1">
        <f t="array" ref="N199">SUMPRODUCT(--(ISNUMBER(SEARCH($A199,'Diags Raw Data'!$A$6:$A$4003))),--('Diags Raw Data'!$Q$6:$Q$4003&lt;&gt;"N/A"),'Diags Raw Data'!$T$6:$T$4003)+SUMPRODUCT(--(ISNUMBER(SEARCH($A199,'Diags Raw Data'!$A$6:$A$4003))),--('Diags Raw Data'!$Q$6:$Q$4003&lt;&gt;"N/A"),'Diags Raw Data'!$U$6:$U$4003)</f>
        <v>1</v>
      </c>
      <c r="O199" s="517">
        <f>IF((M199=0),0,N199/M199)</f>
        <v>0.5</v>
      </c>
      <c r="P199" s="518">
        <f>SUMIF('Diags Raw Data'!$A$6:$A$4003,"*"&amp;$A199&amp;"*",'Diags Raw Data'!$Z$6:$Z$4003)</f>
        <v>0</v>
      </c>
      <c r="Q199" s="519">
        <f>SUM(SUMIF('Diags Raw Data'!$A$6:$A$4003,"*"&amp;$A199&amp;"*",'Diags Raw Data'!$AA$6:$AA$4003),SUMIF('Diags Raw Data'!$A$6:$A$4003,"*"&amp;$A199&amp;"*",'Diags Raw Data'!$AB$6:$AB$4003))</f>
        <v>0</v>
      </c>
      <c r="R199" s="520">
        <f>IF((J199=0),0,P199/J199)</f>
        <v>0</v>
      </c>
      <c r="S199" s="520">
        <f t="shared" si="34"/>
        <v>0</v>
      </c>
      <c r="T199" s="521">
        <f t="shared" si="35"/>
        <v>0</v>
      </c>
      <c r="U199" s="456" t="str">
        <f>VLOOKUP(A199,'Diags Raw Data'!$A$6:$AH$4003,33,FALSE)</f>
        <v>WK7</v>
      </c>
      <c r="V199" s="182"/>
    </row>
    <row r="200" spans="1:22" ht="15.75" thickBot="1" x14ac:dyDescent="0.3">
      <c r="A200" s="576">
        <v>12.420999999999999</v>
      </c>
      <c r="B200" s="458" t="str">
        <f>VLOOKUP(A200,'Feature Raw Data'!$A$3:$B$3922,2,FALSE)</f>
        <v>TOC updates for RLC FW</v>
      </c>
      <c r="C200" s="459" t="str">
        <f>VLOOKUP(A200,'Feature Raw Data'!$A$3:$C$3922,3,FALSE)</f>
        <v>P1</v>
      </c>
      <c r="D200" s="460" t="str" cm="1">
        <f t="array" ref="D200">_xlfn.TEXTJOIN("",TRUE,IF(ISNUMBER(SEARCH($A200,'Diags Raw Data'!$A$6:$A$4003)),CONCATENATE('Diags Raw Data'!$H$6:$H$4003,", "),""))</f>
        <v xml:space="preserve">N/A, </v>
      </c>
      <c r="E200" s="341" t="str">
        <f>VLOOKUP(A200,'Diags Raw Data'!$A$6:$D$4003,4,FALSE)</f>
        <v>CTL</v>
      </c>
      <c r="F200" s="341" t="str">
        <f>VLOOKUP(A200,'Feature Raw Data'!$A$3:$E$3922,5,FALSE)</f>
        <v>New</v>
      </c>
      <c r="G200" s="341" t="str">
        <f t="shared" si="23"/>
        <v>No</v>
      </c>
      <c r="H200" s="341" t="str">
        <f t="shared" si="28"/>
        <v>No</v>
      </c>
      <c r="I200" s="459">
        <f>SUMIF('Diags Raw Data'!$A$6:$A$4003,"*"&amp;$A200&amp;"*",'Diags Raw Data'!$K$6:$K$4003)</f>
        <v>0</v>
      </c>
      <c r="J200" s="461">
        <f>SUMIF('Diags Raw Data'!$A$6:$A$4003,"*"&amp;$A200&amp;"*",'Diags Raw Data'!$L$6:$L$4003)</f>
        <v>0</v>
      </c>
      <c r="K200" s="513" t="e" cm="1">
        <f t="array" ref="K200">IF(D200="",0, SUMPRODUCT(--(ISNUMBER(SEARCH($A200,'Diags Raw Data'!$A$6:$A$4003))),'Diags Raw Data'!$L$6:$L$4003,'Diags Raw Data'!$N$6:$N$4003)/J200)</f>
        <v>#DIV/0!</v>
      </c>
      <c r="L200" s="514" t="e" cm="1">
        <f t="array" ref="L200">IF(D200="",0, SUMPRODUCT(--(ISNUMBER(SEARCH($A200,'Diags Raw Data'!$A$6:$A$4003))),'Diags Raw Data'!$L$6:$L$4003,'Diags Raw Data'!$P$6:$P$4003)/J200)</f>
        <v>#DIV/0!</v>
      </c>
      <c r="M200" s="515" cm="1">
        <f t="array" ref="M200">SUMPRODUCT(--(ISNUMBER(SEARCH($A200,'Diags Raw Data'!$A$6:$A$4003))),--('Diags Raw Data'!$Q$6:$Q$4003&lt;&gt;"N/A"),'Diags Raw Data'!$R$6:$R$4003)</f>
        <v>0</v>
      </c>
      <c r="N200" s="516" cm="1">
        <f t="array" ref="N200">SUMPRODUCT(--(ISNUMBER(SEARCH($A200,'Diags Raw Data'!$A$6:$A$4003))),--('Diags Raw Data'!$Q$6:$Q$4003&lt;&gt;"N/A"),'Diags Raw Data'!$T$6:$T$4003)+SUMPRODUCT(--(ISNUMBER(SEARCH($A200,'Diags Raw Data'!$A$6:$A$4003))),--('Diags Raw Data'!$Q$6:$Q$4003&lt;&gt;"N/A"),'Diags Raw Data'!$U$6:$U$4003)</f>
        <v>0</v>
      </c>
      <c r="O200" s="517">
        <f t="shared" ref="O200:O201" si="36">IF((M200=0),0,N200/M200)</f>
        <v>0</v>
      </c>
      <c r="P200" s="518">
        <f>SUMIF('Diags Raw Data'!$A$6:$A$4003,"*"&amp;$A200&amp;"*",'Diags Raw Data'!$Z$6:$Z$4003)</f>
        <v>0</v>
      </c>
      <c r="Q200" s="519">
        <f>SUM(SUMIF('Diags Raw Data'!$A$6:$A$4003,"*"&amp;$A200&amp;"*",'Diags Raw Data'!$AA$6:$AA$4003),SUMIF('Diags Raw Data'!$A$6:$A$4003,"*"&amp;$A200&amp;"*",'Diags Raw Data'!$AB$6:$AB$4003))</f>
        <v>0</v>
      </c>
      <c r="R200" s="520">
        <f>IF((J200=0),0,P200/J200)</f>
        <v>0</v>
      </c>
      <c r="S200" s="520">
        <f t="shared" si="34"/>
        <v>0</v>
      </c>
      <c r="T200" s="521">
        <f t="shared" si="35"/>
        <v>0</v>
      </c>
      <c r="U200" s="456" t="str">
        <f>VLOOKUP(A200,'Diags Raw Data'!$A$6:$AH$4003,33,FALSE)</f>
        <v>N/A</v>
      </c>
      <c r="V200" s="182"/>
    </row>
    <row r="201" spans="1:22" ht="30.75" thickBot="1" x14ac:dyDescent="0.3">
      <c r="A201" s="576">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Data'!$A$6:$A$4003)),CONCATENATE('Diags Raw Data'!$H$6:$H$4003,", "),""))</f>
        <v xml:space="preserve">N/A, </v>
      </c>
      <c r="E201" s="341" t="str">
        <f>VLOOKUP(A201,'Diags Raw Data'!$A$6:$D$4003,4,FALSE)</f>
        <v>GFX</v>
      </c>
      <c r="F201" s="341" t="str">
        <f>VLOOKUP(A201,'Feature Raw Data'!$A$3:$E$3922,5,FALSE)</f>
        <v>New</v>
      </c>
      <c r="G201" s="341" t="str">
        <f t="shared" si="23"/>
        <v>No</v>
      </c>
      <c r="H201" s="341" t="str">
        <f t="shared" si="28"/>
        <v>No</v>
      </c>
      <c r="I201" s="459">
        <f>SUMIF('Diags Raw Data'!$A$6:$A$4003,"*"&amp;$A201&amp;"*",'Diags Raw Data'!$K$6:$K$4003)</f>
        <v>0</v>
      </c>
      <c r="J201" s="461">
        <f>SUMIF('Diags Raw Data'!$A$6:$A$4003,"*"&amp;$A201&amp;"*",'Diags Raw Data'!$L$6:$L$4003)</f>
        <v>0</v>
      </c>
      <c r="K201" s="513" t="e" cm="1">
        <f t="array" ref="K201">IF(D201="",0, SUMPRODUCT(--(ISNUMBER(SEARCH($A201,'Diags Raw Data'!$A$6:$A$4003))),'Diags Raw Data'!$L$6:$L$4003,'Diags Raw Data'!$N$6:$N$4003)/J201)</f>
        <v>#DIV/0!</v>
      </c>
      <c r="L201" s="514" t="e" cm="1">
        <f t="array" ref="L201">IF(D201="",0, SUMPRODUCT(--(ISNUMBER(SEARCH($A201,'Diags Raw Data'!$A$6:$A$4003))),'Diags Raw Data'!$L$6:$L$4003,'Diags Raw Data'!$P$6:$P$4003)/J201)</f>
        <v>#DIV/0!</v>
      </c>
      <c r="M201" s="515" cm="1">
        <f t="array" ref="M201">SUMPRODUCT(--(ISNUMBER(SEARCH($A201,'Diags Raw Data'!$A$6:$A$4003))),--('Diags Raw Data'!$Q$6:$Q$4003&lt;&gt;"N/A"),'Diags Raw Data'!$R$6:$R$4003)</f>
        <v>0</v>
      </c>
      <c r="N201" s="516" cm="1">
        <f t="array" ref="N201">SUMPRODUCT(--(ISNUMBER(SEARCH($A201,'Diags Raw Data'!$A$6:$A$4003))),--('Diags Raw Data'!$Q$6:$Q$4003&lt;&gt;"N/A"),'Diags Raw Data'!$T$6:$T$4003)+SUMPRODUCT(--(ISNUMBER(SEARCH($A201,'Diags Raw Data'!$A$6:$A$4003))),--('Diags Raw Data'!$Q$6:$Q$4003&lt;&gt;"N/A"),'Diags Raw Data'!$U$6:$U$4003)</f>
        <v>0</v>
      </c>
      <c r="O201" s="517">
        <f t="shared" si="36"/>
        <v>0</v>
      </c>
      <c r="P201" s="518">
        <f>SUMIF('Diags Raw Data'!$A$6:$A$4003,"*"&amp;$A201&amp;"*",'Diags Raw Data'!$Z$6:$Z$4003)</f>
        <v>0</v>
      </c>
      <c r="Q201" s="519">
        <f>SUM(SUMIF('Diags Raw Data'!$A$6:$A$4003,"*"&amp;$A201&amp;"*",'Diags Raw Data'!$AA$6:$AA$4003),SUMIF('Diags Raw Data'!$A$6:$A$4003,"*"&amp;$A201&amp;"*",'Diags Raw Data'!$AB$6:$AB$4003))</f>
        <v>0</v>
      </c>
      <c r="R201" s="520">
        <f>IF((J201=0),0,P201/J201)</f>
        <v>0</v>
      </c>
      <c r="S201" s="520">
        <f t="shared" si="34"/>
        <v>0</v>
      </c>
      <c r="T201" s="521">
        <f>R201*S201</f>
        <v>0</v>
      </c>
      <c r="U201" s="456" t="str">
        <f>VLOOKUP(A201,'Diags Raw Data'!$A$6:$AH$4003,33,FALSE)</f>
        <v>N/A</v>
      </c>
      <c r="V201" s="182"/>
    </row>
    <row r="202" spans="1:22" ht="30.75" thickBot="1" x14ac:dyDescent="0.3">
      <c r="A202" s="576">
        <v>12.425000000000001</v>
      </c>
      <c r="B202" s="458" t="str">
        <f>VLOOKUP(A202,'Feature Raw Data'!$A$3:$B$3922,2,FALSE)</f>
        <v>GE WD_QOS.DRAW_STALL behavior</v>
      </c>
      <c r="C202" s="459" t="str">
        <f>VLOOKUP(A202,'Feature Raw Data'!$A$3:$C$3922,3,FALSE)</f>
        <v>P2</v>
      </c>
      <c r="D202" s="460"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9">
        <f>SUMIF('Diags Raw Data'!$A$6:$A$4003,"*"&amp;$A202&amp;"*",'Diags Raw Data'!$K$6:$K$4003)</f>
        <v>0</v>
      </c>
      <c r="J202" s="461">
        <f>SUMIF('Diags Raw Data'!$A$6:$A$4003,"*"&amp;$A202&amp;"*",'Diags Raw Data'!$L$6:$L$4003)</f>
        <v>0</v>
      </c>
      <c r="K202" s="513" t="e" cm="1">
        <f t="array" ref="K202">IF(D202="",0, SUMPRODUCT(--(ISNUMBER(SEARCH($A202,'Diags Raw Data'!$A$6:$A$4003))),'Diags Raw Data'!$L$6:$L$4003,'Diags Raw Data'!$N$6:$N$4003)/J202)</f>
        <v>#DIV/0!</v>
      </c>
      <c r="L202" s="514" t="e" cm="1">
        <f t="array" ref="L202">IF(D202="",0, SUMPRODUCT(--(ISNUMBER(SEARCH($A202,'Diags Raw Data'!$A$6:$A$4003))),'Diags Raw Data'!$L$6:$L$4003,'Diags Raw Data'!$P$6:$P$4003)/J202)</f>
        <v>#DIV/0!</v>
      </c>
      <c r="M202" s="515" cm="1">
        <f t="array" ref="M202">SUMPRODUCT(--(ISNUMBER(SEARCH($A202,'Diags Raw Data'!$A$6:$A$4003))),--('Diags Raw Data'!$Q$6:$Q$4003&lt;&gt;"N/A"),'Diags Raw Data'!$R$6:$R$4003)</f>
        <v>0</v>
      </c>
      <c r="N202" s="516" cm="1">
        <f t="array" ref="N202">SUMPRODUCT(--(ISNUMBER(SEARCH($A202,'Diags Raw Data'!$A$6:$A$4003))),--('Diags Raw Data'!$Q$6:$Q$4003&lt;&gt;"N/A"),'Diags Raw Data'!$T$6:$T$4003)+SUMPRODUCT(--(ISNUMBER(SEARCH($A202,'Diags Raw Data'!$A$6:$A$4003))),--('Diags Raw Data'!$Q$6:$Q$4003&lt;&gt;"N/A"),'Diags Raw Data'!$U$6:$U$4003)</f>
        <v>0</v>
      </c>
      <c r="O202" s="517">
        <f>IF((M202=0),0,N202/M202)</f>
        <v>0</v>
      </c>
      <c r="P202" s="518">
        <f>SUMIF('Diags Raw Data'!$A$6:$A$4003,"*"&amp;$A202&amp;"*",'Diags Raw Data'!$Z$6:$Z$4003)</f>
        <v>0</v>
      </c>
      <c r="Q202" s="519">
        <f>SUM(SUMIF('Diags Raw Data'!$A$6:$A$4003,"*"&amp;$A202&amp;"*",'Diags Raw Data'!$AA$6:$AA$4003),SUMIF('Diags Raw Data'!$A$6:$A$4003,"*"&amp;$A202&amp;"*",'Diags Raw Data'!$AB$6:$AB$4003))</f>
        <v>0</v>
      </c>
      <c r="R202" s="520">
        <f>IF((J202=0),0,P202/J202)</f>
        <v>0</v>
      </c>
      <c r="S202" s="520">
        <f>IF((P202=0),0,Q202/P202)</f>
        <v>0</v>
      </c>
      <c r="T202" s="521">
        <f>R202*S202</f>
        <v>0</v>
      </c>
      <c r="U202" s="456" t="str">
        <f>VLOOKUP(A202,'Diags Raw Data'!$A$6:$AH$4003,33,FALSE)</f>
        <v>N/A</v>
      </c>
      <c r="V202" s="182"/>
    </row>
    <row r="203" spans="1:22" ht="15.75" thickBot="1" x14ac:dyDescent="0.3">
      <c r="A203" s="576">
        <v>12.429</v>
      </c>
      <c r="B203" s="458" t="str">
        <f>VLOOKUP(A203,'Feature Raw Data'!$A$3:$B$3922,2,FALSE)</f>
        <v>HP64 child reuse</v>
      </c>
      <c r="C203" s="459" t="str">
        <f>VLOOKUP(A203,'Feature Raw Data'!$A$3:$C$3922,3,FALSE)</f>
        <v>P1</v>
      </c>
      <c r="D203" s="460" t="str" cm="1">
        <f t="array" ref="D203">_xlfn.TEXTJOIN("",TRUE,IF(ISNUMBER(SEARCH($A203,'Diags Raw Data'!$A$6:$A$4003)),CONCATENATE('Diags Raw Data'!$H$6:$H$4003,", "),""))</f>
        <v xml:space="preserve">placeholder_i.1, </v>
      </c>
      <c r="E203" s="341" t="str">
        <f>VLOOKUP(A203,'Diags Raw Data'!$A$6:$D$4003,4,FALSE)</f>
        <v>TEX</v>
      </c>
      <c r="F203" s="341" t="str">
        <f>VLOOKUP(A203,'Feature Raw Data'!$A$3:$E$3922,5,FALSE)</f>
        <v>New</v>
      </c>
      <c r="G203" s="341" t="str">
        <f t="shared" si="23"/>
        <v>Yes</v>
      </c>
      <c r="H203" s="341" t="str">
        <f t="shared" si="28"/>
        <v>Yes</v>
      </c>
      <c r="I203" s="459">
        <f>SUMIF('Diags Raw Data'!$A$6:$A$4003,"*"&amp;$A203&amp;"*",'Diags Raw Data'!$K$6:$K$4003)</f>
        <v>0</v>
      </c>
      <c r="J203" s="461">
        <f>SUMIF('Diags Raw Data'!$A$6:$A$4003,"*"&amp;$A203&amp;"*",'Diags Raw Data'!$L$6:$L$4003)</f>
        <v>0</v>
      </c>
      <c r="K203" s="513" t="e" cm="1">
        <f t="array" ref="K203">IF(D203="",0, SUMPRODUCT(--(ISNUMBER(SEARCH($A203,'Diags Raw Data'!$A$6:$A$4003))),'Diags Raw Data'!$L$6:$L$4003,'Diags Raw Data'!$N$6:$N$4003)/J203)</f>
        <v>#DIV/0!</v>
      </c>
      <c r="L203" s="514" t="e" cm="1">
        <f t="array" ref="L203">IF(D203="",0, SUMPRODUCT(--(ISNUMBER(SEARCH($A203,'Diags Raw Data'!$A$6:$A$4003))),'Diags Raw Data'!$L$6:$L$4003,'Diags Raw Data'!$P$6:$P$4003)/J203)</f>
        <v>#DIV/0!</v>
      </c>
      <c r="M203" s="515" cm="1">
        <f t="array" ref="M203">SUMPRODUCT(--(ISNUMBER(SEARCH($A203,'Diags Raw Data'!$A$6:$A$4003))),--('Diags Raw Data'!$Q$6:$Q$4003&lt;&gt;"N/A"),'Diags Raw Data'!$R$6:$R$4003)</f>
        <v>1</v>
      </c>
      <c r="N203" s="516" cm="1">
        <f t="array" ref="N203">SUMPRODUCT(--(ISNUMBER(SEARCH($A203,'Diags Raw Data'!$A$6:$A$4003))),--('Diags Raw Data'!$Q$6:$Q$4003&lt;&gt;"N/A"),'Diags Raw Data'!$T$6:$T$4003)+SUMPRODUCT(--(ISNUMBER(SEARCH($A203,'Diags Raw Data'!$A$6:$A$4003))),--('Diags Raw Data'!$Q$6:$Q$4003&lt;&gt;"N/A"),'Diags Raw Data'!$U$6:$U$4003)</f>
        <v>1</v>
      </c>
      <c r="O203" s="517">
        <f t="shared" ref="O203:O237" si="37">IF((M203=0),0,N203/M203)</f>
        <v>1</v>
      </c>
      <c r="P203" s="518">
        <f>SUMIF('Diags Raw Data'!$A$6:$A$4003,"*"&amp;$A203&amp;"*",'Diags Raw Data'!$Z$6:$Z$4003)</f>
        <v>0</v>
      </c>
      <c r="Q203" s="519">
        <f>SUM(SUMIF('Diags Raw Data'!$A$6:$A$4003,"*"&amp;$A203&amp;"*",'Diags Raw Data'!$AA$6:$AA$4003),SUMIF('Diags Raw Data'!$A$6:$A$4003,"*"&amp;$A203&amp;"*",'Diags Raw Data'!$AB$6:$AB$4003))</f>
        <v>0</v>
      </c>
      <c r="R203" s="520">
        <f t="shared" ref="R203:R237" si="38">IF((J203=0),0,P203/J203)</f>
        <v>0</v>
      </c>
      <c r="S203" s="520">
        <f t="shared" ref="S203:S237" si="39">IF((P203=0),0,Q203/P203)</f>
        <v>0</v>
      </c>
      <c r="T203" s="521">
        <f t="shared" ref="T203:T237" si="40">R203*S203</f>
        <v>0</v>
      </c>
      <c r="U203" s="456" t="str">
        <f>VLOOKUP(A203,'Diags Raw Data'!$A$6:$AH$4003,33,FALSE)</f>
        <v>WK5</v>
      </c>
      <c r="V203" s="182"/>
    </row>
    <row r="204" spans="1:22" ht="30.75" thickBot="1" x14ac:dyDescent="0.3">
      <c r="A204" s="576">
        <v>12.43</v>
      </c>
      <c r="B204" s="458" t="str">
        <f>VLOOKUP(A204,'Feature Raw Data'!$A$3:$B$3922,2,FALSE)</f>
        <v>Ray Tracing Tri Pair optimization</v>
      </c>
      <c r="C204" s="459" t="str">
        <f>VLOOKUP(A204,'Feature Raw Data'!$A$3:$C$3922,3,FALSE)</f>
        <v>P1</v>
      </c>
      <c r="D204" s="460" t="str" cm="1">
        <f t="array" ref="D204">_xlfn.TEXTJOIN("",TRUE,IF(ISNUMBER(SEARCH($A204,'Diags Raw Data'!$A$6:$A$4003)),CONCATENATE('Diags Raw Data'!$H$6:$H$4003,", "),""))</f>
        <v xml:space="preserve">rt1.400-401, N/A, utci16.1, </v>
      </c>
      <c r="E204" s="341" t="str">
        <f>VLOOKUP(A204,'Diags Raw Data'!$A$6:$D$4003,4,FALSE)</f>
        <v>TEX</v>
      </c>
      <c r="F204" s="341" t="str">
        <f>VLOOKUP(A204,'Feature Raw Data'!$A$3:$E$3922,5,FALSE)</f>
        <v>New</v>
      </c>
      <c r="G204" s="341" t="str">
        <f t="shared" si="23"/>
        <v>Yes</v>
      </c>
      <c r="H204" s="341" t="str">
        <f t="shared" si="28"/>
        <v>Yes</v>
      </c>
      <c r="I204" s="459">
        <f>SUMIF('Diags Raw Data'!$A$6:$A$4003,"*"&amp;$A204&amp;"*",'Diags Raw Data'!$K$6:$K$4003)</f>
        <v>0</v>
      </c>
      <c r="J204" s="461">
        <f>SUMIF('Diags Raw Data'!$A$6:$A$4003,"*"&amp;$A204&amp;"*",'Diags Raw Data'!$L$6:$L$4003)</f>
        <v>0</v>
      </c>
      <c r="K204" s="513" t="e" cm="1">
        <f t="array" ref="K204">IF(D204="",0, SUMPRODUCT(--(ISNUMBER(SEARCH($A204,'Diags Raw Data'!$A$6:$A$4003))),'Diags Raw Data'!$L$6:$L$4003,'Diags Raw Data'!$N$6:$N$4003)/J204)</f>
        <v>#DIV/0!</v>
      </c>
      <c r="L204" s="514" t="e" cm="1">
        <f t="array" ref="L204">IF(D204="",0, SUMPRODUCT(--(ISNUMBER(SEARCH($A204,'Diags Raw Data'!$A$6:$A$4003))),'Diags Raw Data'!$L$6:$L$4003,'Diags Raw Data'!$P$6:$P$4003)/J204)</f>
        <v>#DIV/0!</v>
      </c>
      <c r="M204" s="515" cm="1">
        <f t="array" ref="M204">SUMPRODUCT(--(ISNUMBER(SEARCH($A204,'Diags Raw Data'!$A$6:$A$4003))),--('Diags Raw Data'!$Q$6:$Q$4003&lt;&gt;"N/A"),'Diags Raw Data'!$R$6:$R$4003)</f>
        <v>3</v>
      </c>
      <c r="N204" s="516" cm="1">
        <f t="array" ref="N204">SUMPRODUCT(--(ISNUMBER(SEARCH($A204,'Diags Raw Data'!$A$6:$A$4003))),--('Diags Raw Data'!$Q$6:$Q$4003&lt;&gt;"N/A"),'Diags Raw Data'!$T$6:$T$4003)+SUMPRODUCT(--(ISNUMBER(SEARCH($A204,'Diags Raw Data'!$A$6:$A$4003))),--('Diags Raw Data'!$Q$6:$Q$4003&lt;&gt;"N/A"),'Diags Raw Data'!$U$6:$U$4003)</f>
        <v>2</v>
      </c>
      <c r="O204" s="517">
        <f t="shared" si="37"/>
        <v>0.66666666666666663</v>
      </c>
      <c r="P204" s="518">
        <f>SUMIF('Diags Raw Data'!$A$6:$A$4003,"*"&amp;$A204&amp;"*",'Diags Raw Data'!$Z$6:$Z$4003)</f>
        <v>0</v>
      </c>
      <c r="Q204" s="519">
        <f>SUM(SUMIF('Diags Raw Data'!$A$6:$A$4003,"*"&amp;$A204&amp;"*",'Diags Raw Data'!$AA$6:$AA$4003),SUMIF('Diags Raw Data'!$A$6:$A$4003,"*"&amp;$A204&amp;"*",'Diags Raw Data'!$AB$6:$AB$4003))</f>
        <v>0</v>
      </c>
      <c r="R204" s="520">
        <f t="shared" si="38"/>
        <v>0</v>
      </c>
      <c r="S204" s="520">
        <f t="shared" si="39"/>
        <v>0</v>
      </c>
      <c r="T204" s="521">
        <f t="shared" si="40"/>
        <v>0</v>
      </c>
      <c r="U204" s="456" t="str">
        <f>VLOOKUP(A204,'Diags Raw Data'!$A$6:$AH$4003,33,FALSE)</f>
        <v>WK4</v>
      </c>
      <c r="V204" s="182"/>
    </row>
    <row r="205" spans="1:22" ht="15.75" thickBot="1" x14ac:dyDescent="0.3">
      <c r="A205" s="576">
        <v>12.438000000000001</v>
      </c>
      <c r="B205" s="458" t="str">
        <f>VLOOKUP(A205,'Feature Raw Data'!$A$3:$B$3922,2,FALSE)</f>
        <v>Remove Soft Lock feature</v>
      </c>
      <c r="C205" s="459" t="str">
        <f>VLOOKUP(A205,'Feature Raw Data'!$A$3:$C$3922,3,FALSE)</f>
        <v>P2</v>
      </c>
      <c r="D205" s="460" t="str" cm="1">
        <f t="array" ref="D205">_xlfn.TEXTJOIN("",TRUE,IF(ISNUMBER(SEARCH($A205,'Diags Raw Data'!$A$6:$A$4003)),CONCATENATE('Diags Raw Data'!$H$6:$H$4003,", "),""))</f>
        <v xml:space="preserve">N/A, </v>
      </c>
      <c r="E205" s="341" t="str">
        <f>VLOOKUP(A205,'Diags Raw Data'!$A$6:$D$4003,4,FALSE)</f>
        <v>SIO</v>
      </c>
      <c r="F205" s="341" t="str">
        <f>VLOOKUP(A205,'Feature Raw Data'!$A$3:$E$3922,5,FALSE)</f>
        <v>New</v>
      </c>
      <c r="G205" s="341" t="str">
        <f t="shared" si="23"/>
        <v>No</v>
      </c>
      <c r="H205" s="341" t="str">
        <f t="shared" si="28"/>
        <v>No</v>
      </c>
      <c r="I205" s="459">
        <f>SUMIF('Diags Raw Data'!$A$6:$A$4003,"*"&amp;$A205&amp;"*",'Diags Raw Data'!$K$6:$K$4003)</f>
        <v>0</v>
      </c>
      <c r="J205" s="461">
        <f>SUMIF('Diags Raw Data'!$A$6:$A$4003,"*"&amp;$A205&amp;"*",'Diags Raw Data'!$L$6:$L$4003)</f>
        <v>0</v>
      </c>
      <c r="K205" s="513" t="e" cm="1">
        <f t="array" ref="K205">IF(D205="",0, SUMPRODUCT(--(ISNUMBER(SEARCH($A205,'Diags Raw Data'!$A$6:$A$4003))),'Diags Raw Data'!$L$6:$L$4003,'Diags Raw Data'!$N$6:$N$4003)/J205)</f>
        <v>#DIV/0!</v>
      </c>
      <c r="L205" s="514" t="e" cm="1">
        <f t="array" ref="L205">IF(D205="",0, SUMPRODUCT(--(ISNUMBER(SEARCH($A205,'Diags Raw Data'!$A$6:$A$4003))),'Diags Raw Data'!$L$6:$L$4003,'Diags Raw Data'!$P$6:$P$4003)/J205)</f>
        <v>#DIV/0!</v>
      </c>
      <c r="M205" s="515" cm="1">
        <f t="array" ref="M205">SUMPRODUCT(--(ISNUMBER(SEARCH($A205,'Diags Raw Data'!$A$6:$A$4003))),--('Diags Raw Data'!$Q$6:$Q$4003&lt;&gt;"N/A"),'Diags Raw Data'!$R$6:$R$4003)</f>
        <v>0</v>
      </c>
      <c r="N205" s="516" cm="1">
        <f t="array" ref="N205">SUMPRODUCT(--(ISNUMBER(SEARCH($A205,'Diags Raw Data'!$A$6:$A$4003))),--('Diags Raw Data'!$Q$6:$Q$4003&lt;&gt;"N/A"),'Diags Raw Data'!$T$6:$T$4003)+SUMPRODUCT(--(ISNUMBER(SEARCH($A205,'Diags Raw Data'!$A$6:$A$4003))),--('Diags Raw Data'!$Q$6:$Q$4003&lt;&gt;"N/A"),'Diags Raw Data'!$U$6:$U$4003)</f>
        <v>0</v>
      </c>
      <c r="O205" s="517">
        <f t="shared" si="37"/>
        <v>0</v>
      </c>
      <c r="P205" s="518">
        <f>SUMIF('Diags Raw Data'!$A$6:$A$4003,"*"&amp;$A205&amp;"*",'Diags Raw Data'!$Z$6:$Z$4003)</f>
        <v>0</v>
      </c>
      <c r="Q205" s="519">
        <f>SUM(SUMIF('Diags Raw Data'!$A$6:$A$4003,"*"&amp;$A205&amp;"*",'Diags Raw Data'!$AA$6:$AA$4003),SUMIF('Diags Raw Data'!$A$6:$A$4003,"*"&amp;$A205&amp;"*",'Diags Raw Data'!$AB$6:$AB$4003))</f>
        <v>0</v>
      </c>
      <c r="R205" s="520">
        <f t="shared" si="38"/>
        <v>0</v>
      </c>
      <c r="S205" s="520">
        <f t="shared" si="39"/>
        <v>0</v>
      </c>
      <c r="T205" s="521">
        <f t="shared" si="40"/>
        <v>0</v>
      </c>
      <c r="U205" s="456" t="str">
        <f>VLOOKUP(A205,'Diags Raw Data'!$A$6:$AH$4003,33,FALSE)</f>
        <v>N/A</v>
      </c>
      <c r="V205" s="182"/>
    </row>
    <row r="206" spans="1:22" ht="30.75" thickBot="1" x14ac:dyDescent="0.3">
      <c r="A206" s="576">
        <v>12.439</v>
      </c>
      <c r="B206" s="458" t="str">
        <f>VLOOKUP(A206,'Feature Raw Data'!$A$3:$B$3922,2,FALSE)</f>
        <v>Improve register based invalidation</v>
      </c>
      <c r="C206" s="459" t="str">
        <f>VLOOKUP(A206,'Feature Raw Data'!$A$3:$C$3922,3,FALSE)</f>
        <v>P2</v>
      </c>
      <c r="D206" s="460" t="str" cm="1">
        <f t="array" ref="D206">_xlfn.TEXTJOIN("",TRUE,IF(ISNUMBER(SEARCH($A206,'Diags Raw Data'!$A$6:$A$4003)),CONCATENATE('Diags Raw Data'!$H$6:$H$4003,", "),""))</f>
        <v xml:space="preserve">utci16.1, </v>
      </c>
      <c r="E206" s="341" t="str">
        <f>VLOOKUP(A206,'Diags Raw Data'!$A$6:$D$4003,4,FALSE)</f>
        <v>CTL</v>
      </c>
      <c r="F206" s="341" t="str">
        <f>VLOOKUP(A206,'Feature Raw Data'!$A$3:$E$3922,5,FALSE)</f>
        <v>New</v>
      </c>
      <c r="G206" s="341" t="str">
        <f t="shared" si="23"/>
        <v>Yes</v>
      </c>
      <c r="H206" s="341" t="str">
        <f t="shared" si="28"/>
        <v>Yes</v>
      </c>
      <c r="I206" s="459">
        <f>SUMIF('Diags Raw Data'!$A$6:$A$4003,"*"&amp;$A206&amp;"*",'Diags Raw Data'!$K$6:$K$4003)</f>
        <v>0</v>
      </c>
      <c r="J206" s="461">
        <f>SUMIF('Diags Raw Data'!$A$6:$A$4003,"*"&amp;$A206&amp;"*",'Diags Raw Data'!$L$6:$L$4003)</f>
        <v>0</v>
      </c>
      <c r="K206" s="513" t="e" cm="1">
        <f t="array" ref="K206">IF(D206="",0, SUMPRODUCT(--(ISNUMBER(SEARCH($A206,'Diags Raw Data'!$A$6:$A$4003))),'Diags Raw Data'!$L$6:$L$4003,'Diags Raw Data'!$N$6:$N$4003)/J206)</f>
        <v>#DIV/0!</v>
      </c>
      <c r="L206" s="514" t="e" cm="1">
        <f t="array" ref="L206">IF(D206="",0, SUMPRODUCT(--(ISNUMBER(SEARCH($A206,'Diags Raw Data'!$A$6:$A$4003))),'Diags Raw Data'!$L$6:$L$4003,'Diags Raw Data'!$P$6:$P$4003)/J206)</f>
        <v>#DIV/0!</v>
      </c>
      <c r="M206" s="515" cm="1">
        <f t="array" ref="M206">SUMPRODUCT(--(ISNUMBER(SEARCH($A206,'Diags Raw Data'!$A$6:$A$4003))),--('Diags Raw Data'!$Q$6:$Q$4003&lt;&gt;"N/A"),'Diags Raw Data'!$R$6:$R$4003)</f>
        <v>1</v>
      </c>
      <c r="N206" s="516" cm="1">
        <f t="array" ref="N206">SUMPRODUCT(--(ISNUMBER(SEARCH($A206,'Diags Raw Data'!$A$6:$A$4003))),--('Diags Raw Data'!$Q$6:$Q$4003&lt;&gt;"N/A"),'Diags Raw Data'!$T$6:$T$4003)+SUMPRODUCT(--(ISNUMBER(SEARCH($A206,'Diags Raw Data'!$A$6:$A$4003))),--('Diags Raw Data'!$Q$6:$Q$4003&lt;&gt;"N/A"),'Diags Raw Data'!$U$6:$U$4003)</f>
        <v>0</v>
      </c>
      <c r="O206" s="517">
        <f t="shared" si="37"/>
        <v>0</v>
      </c>
      <c r="P206" s="518">
        <f>SUMIF('Diags Raw Data'!$A$6:$A$4003,"*"&amp;$A206&amp;"*",'Diags Raw Data'!$Z$6:$Z$4003)</f>
        <v>0</v>
      </c>
      <c r="Q206" s="519">
        <f>SUM(SUMIF('Diags Raw Data'!$A$6:$A$4003,"*"&amp;$A206&amp;"*",'Diags Raw Data'!$AA$6:$AA$4003),SUMIF('Diags Raw Data'!$A$6:$A$4003,"*"&amp;$A206&amp;"*",'Diags Raw Data'!$AB$6:$AB$4003))</f>
        <v>0</v>
      </c>
      <c r="R206" s="520">
        <f t="shared" si="38"/>
        <v>0</v>
      </c>
      <c r="S206" s="520">
        <f t="shared" si="39"/>
        <v>0</v>
      </c>
      <c r="T206" s="521">
        <f t="shared" si="40"/>
        <v>0</v>
      </c>
      <c r="U206" s="456" t="str">
        <f>VLOOKUP(A206,'Diags Raw Data'!$A$6:$AH$4003,33,FALSE)</f>
        <v>WK8</v>
      </c>
      <c r="V206" s="182"/>
    </row>
    <row r="207" spans="1:22" ht="45.75" thickBot="1" x14ac:dyDescent="0.3">
      <c r="A207" s="576">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Data'!$A$6:$A$4003)),CONCATENATE('Diags Raw Data'!$H$6:$H$4003,", "),""))</f>
        <v xml:space="preserve">N/A, N/A, N/A, placeholder_j.1, shci2039.0-3, N/A, N/A, rt33.0, rt33.1-2, </v>
      </c>
      <c r="E207" s="341" t="str">
        <f>VLOOKUP(A207,'Diags Raw Data'!$A$6:$D$4003,4,FALSE)</f>
        <v>CTL</v>
      </c>
      <c r="F207" s="341" t="str">
        <f>VLOOKUP(A207,'Feature Raw Data'!$A$3:$E$3922,5,FALSE)</f>
        <v>New</v>
      </c>
      <c r="G207" s="341" t="str">
        <f>IF(D207="N/A, , , , , , , , , ","No","Yes")</f>
        <v>Yes</v>
      </c>
      <c r="H207" s="341" t="str">
        <f>IF(D207="N/A, , , , , , , , , ","No","Yes")</f>
        <v>Yes</v>
      </c>
      <c r="I207" s="459">
        <f>SUMIF('Diags Raw Data'!$A$6:$A$4003,"*"&amp;$A207&amp;"*",'Diags Raw Data'!$K$6:$K$4003)</f>
        <v>0</v>
      </c>
      <c r="J207" s="461">
        <f>SUMIF('Diags Raw Data'!$A$6:$A$4003,"*"&amp;$A207&amp;"*",'Diags Raw Data'!$L$6:$L$4003)</f>
        <v>0</v>
      </c>
      <c r="K207" s="513" t="e" cm="1">
        <f t="array" ref="K207">IF(D207="",0, SUMPRODUCT(--(ISNUMBER(SEARCH($A207,'Diags Raw Data'!$A$6:$A$4003))),'Diags Raw Data'!$L$6:$L$4003,'Diags Raw Data'!$N$6:$N$4003)/J207)</f>
        <v>#DIV/0!</v>
      </c>
      <c r="L207" s="514" t="e" cm="1">
        <f t="array" ref="L207">IF(D207="",0, SUMPRODUCT(--(ISNUMBER(SEARCH($A207,'Diags Raw Data'!$A$6:$A$4003))),'Diags Raw Data'!$L$6:$L$4003,'Diags Raw Data'!$P$6:$P$4003)/J207)</f>
        <v>#DIV/0!</v>
      </c>
      <c r="M207" s="515" cm="1">
        <f t="array" ref="M207">SUMPRODUCT(--(ISNUMBER(SEARCH($A207,'Diags Raw Data'!$A$6:$A$4003))),--('Diags Raw Data'!$Q$6:$Q$4003&lt;&gt;"N/A"),'Diags Raw Data'!$R$6:$R$4003)</f>
        <v>11</v>
      </c>
      <c r="N207" s="516" cm="1">
        <f t="array" ref="N207">SUMPRODUCT(--(ISNUMBER(SEARCH($A207,'Diags Raw Data'!$A$6:$A$4003))),--('Diags Raw Data'!$Q$6:$Q$4003&lt;&gt;"N/A"),'Diags Raw Data'!$T$6:$T$4003)+SUMPRODUCT(--(ISNUMBER(SEARCH($A207,'Diags Raw Data'!$A$6:$A$4003))),--('Diags Raw Data'!$Q$6:$Q$4003&lt;&gt;"N/A"),'Diags Raw Data'!$U$6:$U$4003)</f>
        <v>11</v>
      </c>
      <c r="O207" s="517">
        <f t="shared" si="37"/>
        <v>1</v>
      </c>
      <c r="P207" s="518">
        <f>SUMIF('Diags Raw Data'!$A$6:$A$4003,"*"&amp;$A207&amp;"*",'Diags Raw Data'!$Z$6:$Z$4003)</f>
        <v>0</v>
      </c>
      <c r="Q207" s="519">
        <f>SUM(SUMIF('Diags Raw Data'!$A$6:$A$4003,"*"&amp;$A207&amp;"*",'Diags Raw Data'!$AA$6:$AA$4003),SUMIF('Diags Raw Data'!$A$6:$A$4003,"*"&amp;$A207&amp;"*",'Diags Raw Data'!$AB$6:$AB$4003))</f>
        <v>0</v>
      </c>
      <c r="R207" s="520">
        <f t="shared" si="38"/>
        <v>0</v>
      </c>
      <c r="S207" s="520">
        <f t="shared" si="39"/>
        <v>0</v>
      </c>
      <c r="T207" s="521">
        <f t="shared" si="40"/>
        <v>0</v>
      </c>
      <c r="U207" s="456" t="str">
        <f>VLOOKUP(A207,'Diags Raw Data'!$A$6:$AH$4003,33,FALSE)</f>
        <v>N/A</v>
      </c>
      <c r="V207" s="585" t="s">
        <v>442</v>
      </c>
    </row>
    <row r="208" spans="1:22" ht="30.75" thickBot="1" x14ac:dyDescent="0.3">
      <c r="A208" s="576">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9">
        <f>SUMIF('Diags Raw Data'!$A$6:$A$4003,"*"&amp;$A208&amp;"*",'Diags Raw Data'!$K$6:$K$4003)</f>
        <v>0</v>
      </c>
      <c r="J208" s="461">
        <f>SUMIF('Diags Raw Data'!$A$6:$A$4003,"*"&amp;$A208&amp;"*",'Diags Raw Data'!$L$6:$L$4003)</f>
        <v>0</v>
      </c>
      <c r="K208" s="513" t="e" cm="1">
        <f t="array" ref="K208">IF(D208="",0, SUMPRODUCT(--(ISNUMBER(SEARCH($A208,'Diags Raw Data'!$A$6:$A$4003))),'Diags Raw Data'!$L$6:$L$4003,'Diags Raw Data'!$N$6:$N$4003)/J208)</f>
        <v>#DIV/0!</v>
      </c>
      <c r="L208" s="514" t="e" cm="1">
        <f t="array" ref="L208">IF(D208="",0, SUMPRODUCT(--(ISNUMBER(SEARCH($A208,'Diags Raw Data'!$A$6:$A$4003))),'Diags Raw Data'!$L$6:$L$4003,'Diags Raw Data'!$P$6:$P$4003)/J208)</f>
        <v>#DIV/0!</v>
      </c>
      <c r="M208" s="515" cm="1">
        <f t="array" ref="M208">SUMPRODUCT(--(ISNUMBER(SEARCH($A208,'Diags Raw Data'!$A$6:$A$4003))),--('Diags Raw Data'!$Q$6:$Q$4003&lt;&gt;"N/A"),'Diags Raw Data'!$R$6:$R$4003)</f>
        <v>0</v>
      </c>
      <c r="N208" s="516" cm="1">
        <f t="array" ref="N208">SUMPRODUCT(--(ISNUMBER(SEARCH($A208,'Diags Raw Data'!$A$6:$A$4003))),--('Diags Raw Data'!$Q$6:$Q$4003&lt;&gt;"N/A"),'Diags Raw Data'!$T$6:$T$4003)+SUMPRODUCT(--(ISNUMBER(SEARCH($A208,'Diags Raw Data'!$A$6:$A$4003))),--('Diags Raw Data'!$Q$6:$Q$4003&lt;&gt;"N/A"),'Diags Raw Data'!$U$6:$U$4003)</f>
        <v>0</v>
      </c>
      <c r="O208" s="517">
        <f t="shared" si="37"/>
        <v>0</v>
      </c>
      <c r="P208" s="518">
        <f>SUMIF('Diags Raw Data'!$A$6:$A$4003,"*"&amp;$A208&amp;"*",'Diags Raw Data'!$Z$6:$Z$4003)</f>
        <v>0</v>
      </c>
      <c r="Q208" s="519">
        <f>SUM(SUMIF('Diags Raw Data'!$A$6:$A$4003,"*"&amp;$A208&amp;"*",'Diags Raw Data'!$AA$6:$AA$4003),SUMIF('Diags Raw Data'!$A$6:$A$4003,"*"&amp;$A208&amp;"*",'Diags Raw Data'!$AB$6:$AB$4003))</f>
        <v>0</v>
      </c>
      <c r="R208" s="520">
        <f t="shared" si="38"/>
        <v>0</v>
      </c>
      <c r="S208" s="520">
        <f t="shared" si="39"/>
        <v>0</v>
      </c>
      <c r="T208" s="521">
        <f t="shared" si="40"/>
        <v>0</v>
      </c>
      <c r="U208" s="456" t="str">
        <f>VLOOKUP(A208,'Diags Raw Data'!$A$6:$AH$4003,33,FALSE)</f>
        <v>N/A</v>
      </c>
      <c r="V208" s="182"/>
    </row>
    <row r="209" spans="1:22" ht="30.75" thickBot="1" x14ac:dyDescent="0.3">
      <c r="A209" s="576">
        <v>12.442</v>
      </c>
      <c r="B209" s="458" t="str">
        <f>VLOOKUP(A209,'Feature Raw Data'!$A$3:$B$3922,2,FALSE)</f>
        <v>EA and GL2CC move from GRBM to GRBMH</v>
      </c>
      <c r="C209" s="459" t="str">
        <f>VLOOKUP(A209,'Feature Raw Data'!$A$3:$C$3922,3,FALSE)</f>
        <v>P2</v>
      </c>
      <c r="D209" s="460" t="str" cm="1">
        <f t="array" ref="D209">_xlfn.TEXTJOIN("",TRUE,IF(ISNUMBER(SEARCH($A209,'Diags Raw Data'!$A$6:$A$4003)),CONCATENATE('Diags Raw Data'!$H$6:$H$4003,", "),""))</f>
        <v xml:space="preserve">N/A, </v>
      </c>
      <c r="E209" s="341" t="str">
        <f>VLOOKUP(A209,'Diags Raw Data'!$A$6:$D$4003,4,FALSE)</f>
        <v>CTL</v>
      </c>
      <c r="F209" s="341" t="str">
        <f>VLOOKUP(A209,'Feature Raw Data'!$A$3:$E$3922,5,FALSE)</f>
        <v>New</v>
      </c>
      <c r="G209" s="341" t="str">
        <f t="shared" si="23"/>
        <v>No</v>
      </c>
      <c r="H209" s="341" t="str">
        <f t="shared" si="28"/>
        <v>No</v>
      </c>
      <c r="I209" s="459">
        <f>SUMIF('Diags Raw Data'!$A$6:$A$4003,"*"&amp;$A209&amp;"*",'Diags Raw Data'!$K$6:$K$4003)</f>
        <v>0</v>
      </c>
      <c r="J209" s="461">
        <f>SUMIF('Diags Raw Data'!$A$6:$A$4003,"*"&amp;$A209&amp;"*",'Diags Raw Data'!$L$6:$L$4003)</f>
        <v>0</v>
      </c>
      <c r="K209" s="513" t="e" cm="1">
        <f t="array" ref="K209">IF(D209="",0, SUMPRODUCT(--(ISNUMBER(SEARCH($A209,'Diags Raw Data'!$A$6:$A$4003))),'Diags Raw Data'!$L$6:$L$4003,'Diags Raw Data'!$N$6:$N$4003)/J209)</f>
        <v>#DIV/0!</v>
      </c>
      <c r="L209" s="514" t="e" cm="1">
        <f t="array" ref="L209">IF(D209="",0, SUMPRODUCT(--(ISNUMBER(SEARCH($A209,'Diags Raw Data'!$A$6:$A$4003))),'Diags Raw Data'!$L$6:$L$4003,'Diags Raw Data'!$P$6:$P$4003)/J209)</f>
        <v>#DIV/0!</v>
      </c>
      <c r="M209" s="515" cm="1">
        <f t="array" ref="M209">SUMPRODUCT(--(ISNUMBER(SEARCH($A209,'Diags Raw Data'!$A$6:$A$4003))),--('Diags Raw Data'!$Q$6:$Q$4003&lt;&gt;"N/A"),'Diags Raw Data'!$R$6:$R$4003)</f>
        <v>0</v>
      </c>
      <c r="N209" s="516" cm="1">
        <f t="array" ref="N209">SUMPRODUCT(--(ISNUMBER(SEARCH($A209,'Diags Raw Data'!$A$6:$A$4003))),--('Diags Raw Data'!$Q$6:$Q$4003&lt;&gt;"N/A"),'Diags Raw Data'!$T$6:$T$4003)+SUMPRODUCT(--(ISNUMBER(SEARCH($A209,'Diags Raw Data'!$A$6:$A$4003))),--('Diags Raw Data'!$Q$6:$Q$4003&lt;&gt;"N/A"),'Diags Raw Data'!$U$6:$U$4003)</f>
        <v>0</v>
      </c>
      <c r="O209" s="517">
        <f t="shared" si="37"/>
        <v>0</v>
      </c>
      <c r="P209" s="518">
        <f>SUMIF('Diags Raw Data'!$A$6:$A$4003,"*"&amp;$A209&amp;"*",'Diags Raw Data'!$Z$6:$Z$4003)</f>
        <v>0</v>
      </c>
      <c r="Q209" s="519">
        <f>SUM(SUMIF('Diags Raw Data'!$A$6:$A$4003,"*"&amp;$A209&amp;"*",'Diags Raw Data'!$AA$6:$AA$4003),SUMIF('Diags Raw Data'!$A$6:$A$4003,"*"&amp;$A209&amp;"*",'Diags Raw Data'!$AB$6:$AB$4003))</f>
        <v>0</v>
      </c>
      <c r="R209" s="520">
        <f t="shared" si="38"/>
        <v>0</v>
      </c>
      <c r="S209" s="520">
        <f t="shared" si="39"/>
        <v>0</v>
      </c>
      <c r="T209" s="521">
        <f t="shared" si="40"/>
        <v>0</v>
      </c>
      <c r="U209" s="456" t="str">
        <f>VLOOKUP(A209,'Diags Raw Data'!$A$6:$AH$4003,33,FALSE)</f>
        <v>N/A</v>
      </c>
      <c r="V209" s="182"/>
    </row>
    <row r="210" spans="1:22" ht="30.75" thickBot="1" x14ac:dyDescent="0.3">
      <c r="A210" s="576">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Data'!$A$6:$A$4003)),CONCATENATE('Diags Raw Data'!$H$6:$H$4003,", "),""))</f>
        <v xml:space="preserve">placeholder_j.1, </v>
      </c>
      <c r="E210" s="341" t="str">
        <f>VLOOKUP(A210,'Diags Raw Data'!$A$6:$D$4003,4,FALSE)</f>
        <v>TEX</v>
      </c>
      <c r="F210" s="341" t="str">
        <f>VLOOKUP(A210,'Feature Raw Data'!$A$3:$E$3922,5,FALSE)</f>
        <v>New</v>
      </c>
      <c r="G210" s="341" t="str">
        <f t="shared" si="23"/>
        <v>Yes</v>
      </c>
      <c r="H210" s="341" t="str">
        <f t="shared" si="28"/>
        <v>Yes</v>
      </c>
      <c r="I210" s="459">
        <f>SUMIF('Diags Raw Data'!$A$6:$A$4003,"*"&amp;$A210&amp;"*",'Diags Raw Data'!$K$6:$K$4003)</f>
        <v>0</v>
      </c>
      <c r="J210" s="461">
        <f>SUMIF('Diags Raw Data'!$A$6:$A$4003,"*"&amp;$A210&amp;"*",'Diags Raw Data'!$L$6:$L$4003)</f>
        <v>0</v>
      </c>
      <c r="K210" s="513" t="e" cm="1">
        <f t="array" ref="K210">IF(D210="",0, SUMPRODUCT(--(ISNUMBER(SEARCH($A210,'Diags Raw Data'!$A$6:$A$4003))),'Diags Raw Data'!$L$6:$L$4003,'Diags Raw Data'!$N$6:$N$4003)/J210)</f>
        <v>#DIV/0!</v>
      </c>
      <c r="L210" s="514" t="e" cm="1">
        <f t="array" ref="L210">IF(D210="",0, SUMPRODUCT(--(ISNUMBER(SEARCH($A210,'Diags Raw Data'!$A$6:$A$4003))),'Diags Raw Data'!$L$6:$L$4003,'Diags Raw Data'!$P$6:$P$4003)/J210)</f>
        <v>#DIV/0!</v>
      </c>
      <c r="M210" s="515" cm="1">
        <f t="array" ref="M210">SUMPRODUCT(--(ISNUMBER(SEARCH($A210,'Diags Raw Data'!$A$6:$A$4003))),--('Diags Raw Data'!$Q$6:$Q$4003&lt;&gt;"N/A"),'Diags Raw Data'!$R$6:$R$4003)</f>
        <v>4</v>
      </c>
      <c r="N210" s="516" cm="1">
        <f t="array" ref="N210">SUMPRODUCT(--(ISNUMBER(SEARCH($A210,'Diags Raw Data'!$A$6:$A$4003))),--('Diags Raw Data'!$Q$6:$Q$4003&lt;&gt;"N/A"),'Diags Raw Data'!$T$6:$T$4003)+SUMPRODUCT(--(ISNUMBER(SEARCH($A210,'Diags Raw Data'!$A$6:$A$4003))),--('Diags Raw Data'!$Q$6:$Q$4003&lt;&gt;"N/A"),'Diags Raw Data'!$U$6:$U$4003)</f>
        <v>4</v>
      </c>
      <c r="O210" s="517">
        <f t="shared" si="37"/>
        <v>1</v>
      </c>
      <c r="P210" s="518">
        <f>SUMIF('Diags Raw Data'!$A$6:$A$4003,"*"&amp;$A210&amp;"*",'Diags Raw Data'!$Z$6:$Z$4003)</f>
        <v>0</v>
      </c>
      <c r="Q210" s="519">
        <f>SUM(SUMIF('Diags Raw Data'!$A$6:$A$4003,"*"&amp;$A210&amp;"*",'Diags Raw Data'!$AA$6:$AA$4003),SUMIF('Diags Raw Data'!$A$6:$A$4003,"*"&amp;$A210&amp;"*",'Diags Raw Data'!$AB$6:$AB$4003))</f>
        <v>0</v>
      </c>
      <c r="R210" s="520">
        <f t="shared" si="38"/>
        <v>0</v>
      </c>
      <c r="S210" s="520">
        <f t="shared" si="39"/>
        <v>0</v>
      </c>
      <c r="T210" s="521">
        <f t="shared" si="40"/>
        <v>0</v>
      </c>
      <c r="U210" s="456" t="str">
        <f>VLOOKUP(A210,'Diags Raw Data'!$A$6:$AH$4003,33,FALSE)</f>
        <v>WK8</v>
      </c>
      <c r="V210" s="182"/>
    </row>
    <row r="211" spans="1:22" ht="30.75" thickBot="1" x14ac:dyDescent="0.3">
      <c r="A211" s="576">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Data'!$A$6:$A$4003)),CONCATENATE('Diags Raw Data'!$H$6:$H$4003,", "),""))</f>
        <v xml:space="preserve">shci2039.0-3, </v>
      </c>
      <c r="E211" s="341" t="str">
        <f>VLOOKUP(A211,'Diags Raw Data'!$A$6:$D$4003,4,FALSE)</f>
        <v>SH</v>
      </c>
      <c r="F211" s="341" t="str">
        <f>VLOOKUP(A211,'Feature Raw Data'!$A$3:$E$3922,5,FALSE)</f>
        <v>New</v>
      </c>
      <c r="G211" s="341" t="str">
        <f t="shared" si="23"/>
        <v>Yes</v>
      </c>
      <c r="H211" s="341" t="str">
        <f t="shared" si="28"/>
        <v>Yes</v>
      </c>
      <c r="I211" s="459">
        <f>SUMIF('Diags Raw Data'!$A$6:$A$4003,"*"&amp;$A211&amp;"*",'Diags Raw Data'!$K$6:$K$4003)</f>
        <v>0</v>
      </c>
      <c r="J211" s="461">
        <f>SUMIF('Diags Raw Data'!$A$6:$A$4003,"*"&amp;$A211&amp;"*",'Diags Raw Data'!$L$6:$L$4003)</f>
        <v>0</v>
      </c>
      <c r="K211" s="513" t="e" cm="1">
        <f t="array" ref="K211">IF(D211="",0, SUMPRODUCT(--(ISNUMBER(SEARCH($A211,'Diags Raw Data'!$A$6:$A$4003))),'Diags Raw Data'!$L$6:$L$4003,'Diags Raw Data'!$N$6:$N$4003)/J211)</f>
        <v>#DIV/0!</v>
      </c>
      <c r="L211" s="514" t="e" cm="1">
        <f t="array" ref="L211">IF(D211="",0, SUMPRODUCT(--(ISNUMBER(SEARCH($A211,'Diags Raw Data'!$A$6:$A$4003))),'Diags Raw Data'!$L$6:$L$4003,'Diags Raw Data'!$P$6:$P$4003)/J211)</f>
        <v>#DIV/0!</v>
      </c>
      <c r="M211" s="515" cm="1">
        <f t="array" ref="M211">SUMPRODUCT(--(ISNUMBER(SEARCH($A211,'Diags Raw Data'!$A$6:$A$4003))),--('Diags Raw Data'!$Q$6:$Q$4003&lt;&gt;"N/A"),'Diags Raw Data'!$R$6:$R$4003)</f>
        <v>4</v>
      </c>
      <c r="N211" s="516" cm="1">
        <f t="array" ref="N211">SUMPRODUCT(--(ISNUMBER(SEARCH($A211,'Diags Raw Data'!$A$6:$A$4003))),--('Diags Raw Data'!$Q$6:$Q$4003&lt;&gt;"N/A"),'Diags Raw Data'!$T$6:$T$4003)+SUMPRODUCT(--(ISNUMBER(SEARCH($A211,'Diags Raw Data'!$A$6:$A$4003))),--('Diags Raw Data'!$Q$6:$Q$4003&lt;&gt;"N/A"),'Diags Raw Data'!$U$6:$U$4003)</f>
        <v>4</v>
      </c>
      <c r="O211" s="517">
        <f t="shared" si="37"/>
        <v>1</v>
      </c>
      <c r="P211" s="518">
        <f>SUMIF('Diags Raw Data'!$A$6:$A$4003,"*"&amp;$A211&amp;"*",'Diags Raw Data'!$Z$6:$Z$4003)</f>
        <v>0</v>
      </c>
      <c r="Q211" s="519">
        <f>SUM(SUMIF('Diags Raw Data'!$A$6:$A$4003,"*"&amp;$A211&amp;"*",'Diags Raw Data'!$AA$6:$AA$4003),SUMIF('Diags Raw Data'!$A$6:$A$4003,"*"&amp;$A211&amp;"*",'Diags Raw Data'!$AB$6:$AB$4003))</f>
        <v>0</v>
      </c>
      <c r="R211" s="520">
        <f t="shared" si="38"/>
        <v>0</v>
      </c>
      <c r="S211" s="520">
        <f t="shared" si="39"/>
        <v>0</v>
      </c>
      <c r="T211" s="521">
        <f t="shared" si="40"/>
        <v>0</v>
      </c>
      <c r="U211" s="456" t="str">
        <f>VLOOKUP(A211,'Diags Raw Data'!$A$6:$AH$4003,33,FALSE)</f>
        <v>WK8</v>
      </c>
      <c r="V211" s="182"/>
    </row>
    <row r="212" spans="1:22" ht="30.75" thickBot="1" x14ac:dyDescent="0.3">
      <c r="A212" s="576">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Data'!$A$6:$A$4003)),CONCATENATE('Diags Raw Data'!$H$6:$H$4003,", "),""))</f>
        <v xml:space="preserve">N/A, </v>
      </c>
      <c r="E212" s="341" t="str">
        <f>VLOOKUP(A212,'Diags Raw Data'!$A$6:$D$4003,4,FALSE)</f>
        <v>CMM</v>
      </c>
      <c r="F212" s="341" t="str">
        <f>VLOOKUP(A212,'Feature Raw Data'!$A$3:$E$3922,5,FALSE)</f>
        <v>New</v>
      </c>
      <c r="G212" s="341" t="str">
        <f t="shared" si="23"/>
        <v>No</v>
      </c>
      <c r="H212" s="341" t="str">
        <f t="shared" si="28"/>
        <v>No</v>
      </c>
      <c r="I212" s="459">
        <f>SUMIF('Diags Raw Data'!$A$6:$A$4003,"*"&amp;$A212&amp;"*",'Diags Raw Data'!$K$6:$K$4003)</f>
        <v>0</v>
      </c>
      <c r="J212" s="461">
        <f>SUMIF('Diags Raw Data'!$A$6:$A$4003,"*"&amp;$A212&amp;"*",'Diags Raw Data'!$L$6:$L$4003)</f>
        <v>0</v>
      </c>
      <c r="K212" s="513" t="e" cm="1">
        <f t="array" ref="K212">IF(D212="",0, SUMPRODUCT(--(ISNUMBER(SEARCH($A212,'Diags Raw Data'!$A$6:$A$4003))),'Diags Raw Data'!$L$6:$L$4003,'Diags Raw Data'!$N$6:$N$4003)/J212)</f>
        <v>#DIV/0!</v>
      </c>
      <c r="L212" s="514" t="e" cm="1">
        <f t="array" ref="L212">IF(D212="",0, SUMPRODUCT(--(ISNUMBER(SEARCH($A212,'Diags Raw Data'!$A$6:$A$4003))),'Diags Raw Data'!$L$6:$L$4003,'Diags Raw Data'!$P$6:$P$4003)/J212)</f>
        <v>#DIV/0!</v>
      </c>
      <c r="M212" s="515" cm="1">
        <f t="array" ref="M212">SUMPRODUCT(--(ISNUMBER(SEARCH($A212,'Diags Raw Data'!$A$6:$A$4003))),--('Diags Raw Data'!$Q$6:$Q$4003&lt;&gt;"N/A"),'Diags Raw Data'!$R$6:$R$4003)</f>
        <v>0</v>
      </c>
      <c r="N212" s="516" cm="1">
        <f t="array" ref="N212">SUMPRODUCT(--(ISNUMBER(SEARCH($A212,'Diags Raw Data'!$A$6:$A$4003))),--('Diags Raw Data'!$Q$6:$Q$4003&lt;&gt;"N/A"),'Diags Raw Data'!$T$6:$T$4003)+SUMPRODUCT(--(ISNUMBER(SEARCH($A212,'Diags Raw Data'!$A$6:$A$4003))),--('Diags Raw Data'!$Q$6:$Q$4003&lt;&gt;"N/A"),'Diags Raw Data'!$U$6:$U$4003)</f>
        <v>0</v>
      </c>
      <c r="O212" s="517">
        <f t="shared" si="37"/>
        <v>0</v>
      </c>
      <c r="P212" s="518">
        <f>SUMIF('Diags Raw Data'!$A$6:$A$4003,"*"&amp;$A212&amp;"*",'Diags Raw Data'!$Z$6:$Z$4003)</f>
        <v>0</v>
      </c>
      <c r="Q212" s="519">
        <f>SUM(SUMIF('Diags Raw Data'!$A$6:$A$4003,"*"&amp;$A212&amp;"*",'Diags Raw Data'!$AA$6:$AA$4003),SUMIF('Diags Raw Data'!$A$6:$A$4003,"*"&amp;$A212&amp;"*",'Diags Raw Data'!$AB$6:$AB$4003))</f>
        <v>0</v>
      </c>
      <c r="R212" s="520">
        <f t="shared" si="38"/>
        <v>0</v>
      </c>
      <c r="S212" s="520">
        <f t="shared" si="39"/>
        <v>0</v>
      </c>
      <c r="T212" s="521">
        <f t="shared" si="40"/>
        <v>0</v>
      </c>
      <c r="U212" s="456" t="str">
        <f>VLOOKUP(A212,'Diags Raw Data'!$A$6:$AH$4003,33,FALSE)</f>
        <v>N/A</v>
      </c>
      <c r="V212" s="182"/>
    </row>
    <row r="213" spans="1:22" ht="30.75" thickBot="1" x14ac:dyDescent="0.3">
      <c r="A213" s="576">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Data'!$A$6:$A$4003)),CONCATENATE('Diags Raw Data'!$H$6:$H$4003,", "),""))</f>
        <v xml:space="preserve">N/A, </v>
      </c>
      <c r="E213" s="341" t="str">
        <f>VLOOKUP(A213,'Diags Raw Data'!$A$6:$D$4003,4,FALSE)</f>
        <v>CMM</v>
      </c>
      <c r="F213" s="341" t="str">
        <f>VLOOKUP(A213,'Feature Raw Data'!$A$3:$E$3922,5,FALSE)</f>
        <v>New</v>
      </c>
      <c r="G213" s="341" t="str">
        <f t="shared" si="23"/>
        <v>No</v>
      </c>
      <c r="H213" s="341" t="str">
        <f t="shared" si="28"/>
        <v>No</v>
      </c>
      <c r="I213" s="459">
        <f>SUMIF('Diags Raw Data'!$A$6:$A$4003,"*"&amp;$A213&amp;"*",'Diags Raw Data'!$K$6:$K$4003)</f>
        <v>0</v>
      </c>
      <c r="J213" s="461">
        <f>SUMIF('Diags Raw Data'!$A$6:$A$4003,"*"&amp;$A213&amp;"*",'Diags Raw Data'!$L$6:$L$4003)</f>
        <v>0</v>
      </c>
      <c r="K213" s="513" t="e" cm="1">
        <f t="array" ref="K213">IF(D213="",0, SUMPRODUCT(--(ISNUMBER(SEARCH($A213,'Diags Raw Data'!$A$6:$A$4003))),'Diags Raw Data'!$L$6:$L$4003,'Diags Raw Data'!$N$6:$N$4003)/J213)</f>
        <v>#DIV/0!</v>
      </c>
      <c r="L213" s="514" t="e" cm="1">
        <f t="array" ref="L213">IF(D213="",0, SUMPRODUCT(--(ISNUMBER(SEARCH($A213,'Diags Raw Data'!$A$6:$A$4003))),'Diags Raw Data'!$L$6:$L$4003,'Diags Raw Data'!$P$6:$P$4003)/J213)</f>
        <v>#DIV/0!</v>
      </c>
      <c r="M213" s="515" cm="1">
        <f t="array" ref="M213">SUMPRODUCT(--(ISNUMBER(SEARCH($A213,'Diags Raw Data'!$A$6:$A$4003))),--('Diags Raw Data'!$Q$6:$Q$4003&lt;&gt;"N/A"),'Diags Raw Data'!$R$6:$R$4003)</f>
        <v>0</v>
      </c>
      <c r="N213" s="516" cm="1">
        <f t="array" ref="N213">SUMPRODUCT(--(ISNUMBER(SEARCH($A213,'Diags Raw Data'!$A$6:$A$4003))),--('Diags Raw Data'!$Q$6:$Q$4003&lt;&gt;"N/A"),'Diags Raw Data'!$T$6:$T$4003)+SUMPRODUCT(--(ISNUMBER(SEARCH($A213,'Diags Raw Data'!$A$6:$A$4003))),--('Diags Raw Data'!$Q$6:$Q$4003&lt;&gt;"N/A"),'Diags Raw Data'!$U$6:$U$4003)</f>
        <v>0</v>
      </c>
      <c r="O213" s="517">
        <f t="shared" si="37"/>
        <v>0</v>
      </c>
      <c r="P213" s="518">
        <f>SUMIF('Diags Raw Data'!$A$6:$A$4003,"*"&amp;$A213&amp;"*",'Diags Raw Data'!$Z$6:$Z$4003)</f>
        <v>0</v>
      </c>
      <c r="Q213" s="519">
        <f>SUM(SUMIF('Diags Raw Data'!$A$6:$A$4003,"*"&amp;$A213&amp;"*",'Diags Raw Data'!$AA$6:$AA$4003),SUMIF('Diags Raw Data'!$A$6:$A$4003,"*"&amp;$A213&amp;"*",'Diags Raw Data'!$AB$6:$AB$4003))</f>
        <v>0</v>
      </c>
      <c r="R213" s="520">
        <f t="shared" si="38"/>
        <v>0</v>
      </c>
      <c r="S213" s="520">
        <f t="shared" si="39"/>
        <v>0</v>
      </c>
      <c r="T213" s="521">
        <f t="shared" si="40"/>
        <v>0</v>
      </c>
      <c r="U213" s="456" t="str">
        <f>VLOOKUP(A213,'Diags Raw Data'!$A$6:$AH$4003,33,FALSE)</f>
        <v>N/A</v>
      </c>
      <c r="V213" s="182"/>
    </row>
    <row r="214" spans="1:22" ht="45.75" thickBot="1" x14ac:dyDescent="0.3">
      <c r="A214" s="576">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Data'!$A$6:$A$4003)),CONCATENATE('Diags Raw Data'!$H$6:$H$4003,", "),""))</f>
        <v xml:space="preserve">rt33.0, </v>
      </c>
      <c r="E214" s="341" t="str">
        <f>VLOOKUP(A214,'Diags Raw Data'!$A$6:$D$4003,4,FALSE)</f>
        <v>TEX</v>
      </c>
      <c r="F214" s="341" t="str">
        <f>VLOOKUP(A214,'Feature Raw Data'!$A$3:$E$3922,5,FALSE)</f>
        <v>New</v>
      </c>
      <c r="G214" s="341" t="str">
        <f t="shared" si="23"/>
        <v>Yes</v>
      </c>
      <c r="H214" s="341" t="str">
        <f t="shared" si="28"/>
        <v>Yes</v>
      </c>
      <c r="I214" s="459">
        <f>SUMIF('Diags Raw Data'!$A$6:$A$4003,"*"&amp;$A214&amp;"*",'Diags Raw Data'!$K$6:$K$4003)</f>
        <v>0</v>
      </c>
      <c r="J214" s="461">
        <f>SUMIF('Diags Raw Data'!$A$6:$A$4003,"*"&amp;$A214&amp;"*",'Diags Raw Data'!$L$6:$L$4003)</f>
        <v>0</v>
      </c>
      <c r="K214" s="513" t="e" cm="1">
        <f t="array" ref="K214">IF(D214="",0, SUMPRODUCT(--(ISNUMBER(SEARCH($A214,'Diags Raw Data'!$A$6:$A$4003))),'Diags Raw Data'!$L$6:$L$4003,'Diags Raw Data'!$N$6:$N$4003)/J214)</f>
        <v>#DIV/0!</v>
      </c>
      <c r="L214" s="514" t="e" cm="1">
        <f t="array" ref="L214">IF(D214="",0, SUMPRODUCT(--(ISNUMBER(SEARCH($A214,'Diags Raw Data'!$A$6:$A$4003))),'Diags Raw Data'!$L$6:$L$4003,'Diags Raw Data'!$P$6:$P$4003)/J214)</f>
        <v>#DIV/0!</v>
      </c>
      <c r="M214" s="515" cm="1">
        <f t="array" ref="M214">SUMPRODUCT(--(ISNUMBER(SEARCH($A214,'Diags Raw Data'!$A$6:$A$4003))),--('Diags Raw Data'!$Q$6:$Q$4003&lt;&gt;"N/A"),'Diags Raw Data'!$R$6:$R$4003)</f>
        <v>1</v>
      </c>
      <c r="N214" s="516" cm="1">
        <f t="array" ref="N214">SUMPRODUCT(--(ISNUMBER(SEARCH($A214,'Diags Raw Data'!$A$6:$A$4003))),--('Diags Raw Data'!$Q$6:$Q$4003&lt;&gt;"N/A"),'Diags Raw Data'!$T$6:$T$4003)+SUMPRODUCT(--(ISNUMBER(SEARCH($A214,'Diags Raw Data'!$A$6:$A$4003))),--('Diags Raw Data'!$Q$6:$Q$4003&lt;&gt;"N/A"),'Diags Raw Data'!$U$6:$U$4003)</f>
        <v>1</v>
      </c>
      <c r="O214" s="517">
        <f t="shared" si="37"/>
        <v>1</v>
      </c>
      <c r="P214" s="518">
        <f>SUMIF('Diags Raw Data'!$A$6:$A$4003,"*"&amp;$A214&amp;"*",'Diags Raw Data'!$Z$6:$Z$4003)</f>
        <v>0</v>
      </c>
      <c r="Q214" s="519">
        <f>SUM(SUMIF('Diags Raw Data'!$A$6:$A$4003,"*"&amp;$A214&amp;"*",'Diags Raw Data'!$AA$6:$AA$4003),SUMIF('Diags Raw Data'!$A$6:$A$4003,"*"&amp;$A214&amp;"*",'Diags Raw Data'!$AB$6:$AB$4003))</f>
        <v>0</v>
      </c>
      <c r="R214" s="520">
        <f t="shared" si="38"/>
        <v>0</v>
      </c>
      <c r="S214" s="520">
        <f t="shared" si="39"/>
        <v>0</v>
      </c>
      <c r="T214" s="521">
        <f t="shared" si="40"/>
        <v>0</v>
      </c>
      <c r="U214" s="456" t="str">
        <f>VLOOKUP(A214,'Diags Raw Data'!$A$6:$AH$4003,33,FALSE)</f>
        <v>WK8</v>
      </c>
      <c r="V214" s="182"/>
    </row>
    <row r="215" spans="1:22" ht="30.75" thickBot="1" x14ac:dyDescent="0.3">
      <c r="A215" s="576">
        <v>12.449</v>
      </c>
      <c r="B215" s="458" t="str">
        <f>VLOOKUP(A215,'Feature Raw Data'!$A$3:$B$3922,2,FALSE)</f>
        <v>Remove culling with skip_triangles in TA</v>
      </c>
      <c r="C215" s="459" t="str">
        <f>VLOOKUP(A215,'Feature Raw Data'!$A$3:$C$3922,3,FALSE)</f>
        <v>P1</v>
      </c>
      <c r="D215" s="460" t="str" cm="1">
        <f t="array" ref="D215">_xlfn.TEXTJOIN("",TRUE,IF(ISNUMBER(SEARCH($A215,'Diags Raw Data'!$A$6:$A$4003)),CONCATENATE('Diags Raw Data'!$H$6:$H$4003,", "),""))</f>
        <v xml:space="preserve">rt33.1-2, </v>
      </c>
      <c r="E215" s="341" t="str">
        <f>VLOOKUP(A215,'Diags Raw Data'!$A$6:$D$4003,4,FALSE)</f>
        <v>TEX</v>
      </c>
      <c r="F215" s="341" t="str">
        <f>VLOOKUP(A215,'Feature Raw Data'!$A$3:$E$3922,5,FALSE)</f>
        <v>New</v>
      </c>
      <c r="G215" s="341" t="str">
        <f t="shared" si="23"/>
        <v>Yes</v>
      </c>
      <c r="H215" s="341" t="str">
        <f t="shared" si="28"/>
        <v>Yes</v>
      </c>
      <c r="I215" s="459">
        <f>SUMIF('Diags Raw Data'!$A$6:$A$4003,"*"&amp;$A215&amp;"*",'Diags Raw Data'!$K$6:$K$4003)</f>
        <v>0</v>
      </c>
      <c r="J215" s="461">
        <f>SUMIF('Diags Raw Data'!$A$6:$A$4003,"*"&amp;$A215&amp;"*",'Diags Raw Data'!$L$6:$L$4003)</f>
        <v>0</v>
      </c>
      <c r="K215" s="513" t="e" cm="1">
        <f t="array" ref="K215">IF(D215="",0, SUMPRODUCT(--(ISNUMBER(SEARCH($A215,'Diags Raw Data'!$A$6:$A$4003))),'Diags Raw Data'!$L$6:$L$4003,'Diags Raw Data'!$N$6:$N$4003)/J215)</f>
        <v>#DIV/0!</v>
      </c>
      <c r="L215" s="514" t="e" cm="1">
        <f t="array" ref="L215">IF(D215="",0, SUMPRODUCT(--(ISNUMBER(SEARCH($A215,'Diags Raw Data'!$A$6:$A$4003))),'Diags Raw Data'!$L$6:$L$4003,'Diags Raw Data'!$P$6:$P$4003)/J215)</f>
        <v>#DIV/0!</v>
      </c>
      <c r="M215" s="515" cm="1">
        <f t="array" ref="M215">SUMPRODUCT(--(ISNUMBER(SEARCH($A215,'Diags Raw Data'!$A$6:$A$4003))),--('Diags Raw Data'!$Q$6:$Q$4003&lt;&gt;"N/A"),'Diags Raw Data'!$R$6:$R$4003)</f>
        <v>2</v>
      </c>
      <c r="N215" s="516" cm="1">
        <f t="array" ref="N215">SUMPRODUCT(--(ISNUMBER(SEARCH($A215,'Diags Raw Data'!$A$6:$A$4003))),--('Diags Raw Data'!$Q$6:$Q$4003&lt;&gt;"N/A"),'Diags Raw Data'!$T$6:$T$4003)+SUMPRODUCT(--(ISNUMBER(SEARCH($A215,'Diags Raw Data'!$A$6:$A$4003))),--('Diags Raw Data'!$Q$6:$Q$4003&lt;&gt;"N/A"),'Diags Raw Data'!$U$6:$U$4003)</f>
        <v>2</v>
      </c>
      <c r="O215" s="517">
        <f t="shared" si="37"/>
        <v>1</v>
      </c>
      <c r="P215" s="518">
        <f>SUMIF('Diags Raw Data'!$A$6:$A$4003,"*"&amp;$A215&amp;"*",'Diags Raw Data'!$Z$6:$Z$4003)</f>
        <v>0</v>
      </c>
      <c r="Q215" s="519">
        <f>SUM(SUMIF('Diags Raw Data'!$A$6:$A$4003,"*"&amp;$A215&amp;"*",'Diags Raw Data'!$AA$6:$AA$4003),SUMIF('Diags Raw Data'!$A$6:$A$4003,"*"&amp;$A215&amp;"*",'Diags Raw Data'!$AB$6:$AB$4003))</f>
        <v>0</v>
      </c>
      <c r="R215" s="520">
        <f t="shared" si="38"/>
        <v>0</v>
      </c>
      <c r="S215" s="520">
        <f t="shared" si="39"/>
        <v>0</v>
      </c>
      <c r="T215" s="521">
        <f t="shared" si="40"/>
        <v>0</v>
      </c>
      <c r="U215" s="456" t="str">
        <f>VLOOKUP(A215,'Diags Raw Data'!$A$6:$AH$4003,33,FALSE)</f>
        <v>WK6</v>
      </c>
      <c r="V215" s="182"/>
    </row>
    <row r="216" spans="1:22" ht="60.75" thickBot="1" x14ac:dyDescent="0.3">
      <c r="A216" s="576">
        <v>12.45</v>
      </c>
      <c r="B216" s="458" t="str">
        <f>VLOOKUP(A216,'Feature Raw Data'!$A$3:$B$3922,2,FALSE)</f>
        <v>Add AtomicAdd packed math for F16</v>
      </c>
      <c r="C216" s="459" t="str">
        <f>VLOOKUP(A216,'Feature Raw Data'!$A$3:$C$3922,3,FALSE)</f>
        <v>P2</v>
      </c>
      <c r="D216" s="460" t="str" cm="1">
        <f t="array" ref="D216">_xlfn.TEXTJOIN("",TRUE,IF(ISNUMBER(SEARCH($A216,'Diags Raw Data'!$A$6:$A$4003)),CONCATENATE('Diags Raw Data'!$H$6:$H$4003,", "),""))</f>
        <v xml:space="preserve">gci1307.4-7, placeholder_k.1-2, N/A, spi453, glxi61.1-2, gfx.linpack_gfx_compute, N/A, N/A, N/A, </v>
      </c>
      <c r="E216" s="341" t="str">
        <f>VLOOKUP(A216,'Diags Raw Data'!$A$6:$D$4003,4,FALSE)</f>
        <v>SH</v>
      </c>
      <c r="F216" s="341" t="str">
        <f>VLOOKUP(A216,'Feature Raw Data'!$A$3:$E$3922,5,FALSE)</f>
        <v>New</v>
      </c>
      <c r="G216" s="341" t="str">
        <f t="shared" si="23"/>
        <v>Yes</v>
      </c>
      <c r="H216" s="341" t="str">
        <f t="shared" si="28"/>
        <v>Yes</v>
      </c>
      <c r="I216" s="459">
        <f>SUMIF('Diags Raw Data'!$A$6:$A$4003,"*"&amp;$A216&amp;"*",'Diags Raw Data'!$K$6:$K$4003)</f>
        <v>0</v>
      </c>
      <c r="J216" s="461">
        <f>SUMIF('Diags Raw Data'!$A$6:$A$4003,"*"&amp;$A216&amp;"*",'Diags Raw Data'!$L$6:$L$4003)</f>
        <v>0</v>
      </c>
      <c r="K216" s="513" t="e" cm="1">
        <f t="array" ref="K216">IF(D216="",0, SUMPRODUCT(--(ISNUMBER(SEARCH($A216,'Diags Raw Data'!$A$6:$A$4003))),'Diags Raw Data'!$L$6:$L$4003,'Diags Raw Data'!$N$6:$N$4003)/J216)</f>
        <v>#DIV/0!</v>
      </c>
      <c r="L216" s="514" t="e" cm="1">
        <f t="array" ref="L216">IF(D216="",0, SUMPRODUCT(--(ISNUMBER(SEARCH($A216,'Diags Raw Data'!$A$6:$A$4003))),'Diags Raw Data'!$L$6:$L$4003,'Diags Raw Data'!$P$6:$P$4003)/J216)</f>
        <v>#DIV/0!</v>
      </c>
      <c r="M216" s="515" cm="1">
        <f t="array" ref="M216">SUMPRODUCT(--(ISNUMBER(SEARCH($A216,'Diags Raw Data'!$A$6:$A$4003))),--('Diags Raw Data'!$Q$6:$Q$4003&lt;&gt;"N/A"),'Diags Raw Data'!$R$6:$R$4003)</f>
        <v>10</v>
      </c>
      <c r="N216" s="516" cm="1">
        <f t="array" ref="N216">SUMPRODUCT(--(ISNUMBER(SEARCH($A216,'Diags Raw Data'!$A$6:$A$4003))),--('Diags Raw Data'!$Q$6:$Q$4003&lt;&gt;"N/A"),'Diags Raw Data'!$T$6:$T$4003)+SUMPRODUCT(--(ISNUMBER(SEARCH($A216,'Diags Raw Data'!$A$6:$A$4003))),--('Diags Raw Data'!$Q$6:$Q$4003&lt;&gt;"N/A"),'Diags Raw Data'!$U$6:$U$4003)</f>
        <v>9</v>
      </c>
      <c r="O216" s="517">
        <f t="shared" si="37"/>
        <v>0.9</v>
      </c>
      <c r="P216" s="518">
        <f>SUMIF('Diags Raw Data'!$A$6:$A$4003,"*"&amp;$A216&amp;"*",'Diags Raw Data'!$Z$6:$Z$4003)</f>
        <v>0</v>
      </c>
      <c r="Q216" s="519">
        <f>SUM(SUMIF('Diags Raw Data'!$A$6:$A$4003,"*"&amp;$A216&amp;"*",'Diags Raw Data'!$AA$6:$AA$4003),SUMIF('Diags Raw Data'!$A$6:$A$4003,"*"&amp;$A216&amp;"*",'Diags Raw Data'!$AB$6:$AB$4003))</f>
        <v>0</v>
      </c>
      <c r="R216" s="520">
        <f t="shared" si="38"/>
        <v>0</v>
      </c>
      <c r="S216" s="520">
        <f t="shared" si="39"/>
        <v>0</v>
      </c>
      <c r="T216" s="521">
        <f t="shared" si="40"/>
        <v>0</v>
      </c>
      <c r="U216" s="456" t="str">
        <f>VLOOKUP(A216,'Diags Raw Data'!$A$6:$AH$4003,33,FALSE)</f>
        <v>WK7</v>
      </c>
      <c r="V216" s="182"/>
    </row>
    <row r="217" spans="1:22" ht="30.75" thickBot="1" x14ac:dyDescent="0.3">
      <c r="A217" s="576">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Data'!$A$6:$A$4003)),CONCATENATE('Diags Raw Data'!$H$6:$H$4003,", "),""))</f>
        <v xml:space="preserve">placeholder_k.1-2, </v>
      </c>
      <c r="E217" s="341" t="str">
        <f>VLOOKUP(A217,'Diags Raw Data'!$A$6:$D$4003,4,FALSE)</f>
        <v>TEX</v>
      </c>
      <c r="F217" s="341" t="str">
        <f>VLOOKUP(A217,'Feature Raw Data'!$A$3:$E$3922,5,FALSE)</f>
        <v>New</v>
      </c>
      <c r="G217" s="341" t="str">
        <f t="shared" si="23"/>
        <v>Yes</v>
      </c>
      <c r="H217" s="341" t="str">
        <f t="shared" si="28"/>
        <v>Yes</v>
      </c>
      <c r="I217" s="459">
        <f>SUMIF('Diags Raw Data'!$A$6:$A$4003,"*"&amp;$A217&amp;"*",'Diags Raw Data'!$K$6:$K$4003)</f>
        <v>0</v>
      </c>
      <c r="J217" s="461">
        <f>SUMIF('Diags Raw Data'!$A$6:$A$4003,"*"&amp;$A217&amp;"*",'Diags Raw Data'!$L$6:$L$4003)</f>
        <v>0</v>
      </c>
      <c r="K217" s="513" t="e" cm="1">
        <f t="array" ref="K217">IF(D217="",0, SUMPRODUCT(--(ISNUMBER(SEARCH($A217,'Diags Raw Data'!$A$6:$A$4003))),'Diags Raw Data'!$L$6:$L$4003,'Diags Raw Data'!$N$6:$N$4003)/J217)</f>
        <v>#DIV/0!</v>
      </c>
      <c r="L217" s="514" t="e" cm="1">
        <f t="array" ref="L217">IF(D217="",0, SUMPRODUCT(--(ISNUMBER(SEARCH($A217,'Diags Raw Data'!$A$6:$A$4003))),'Diags Raw Data'!$L$6:$L$4003,'Diags Raw Data'!$P$6:$P$4003)/J217)</f>
        <v>#DIV/0!</v>
      </c>
      <c r="M217" s="515" cm="1">
        <f t="array" ref="M217">SUMPRODUCT(--(ISNUMBER(SEARCH($A217,'Diags Raw Data'!$A$6:$A$4003))),--('Diags Raw Data'!$Q$6:$Q$4003&lt;&gt;"N/A"),'Diags Raw Data'!$R$6:$R$4003)</f>
        <v>2</v>
      </c>
      <c r="N217" s="516" cm="1">
        <f t="array" ref="N217">SUMPRODUCT(--(ISNUMBER(SEARCH($A217,'Diags Raw Data'!$A$6:$A$4003))),--('Diags Raw Data'!$Q$6:$Q$4003&lt;&gt;"N/A"),'Diags Raw Data'!$T$6:$T$4003)+SUMPRODUCT(--(ISNUMBER(SEARCH($A217,'Diags Raw Data'!$A$6:$A$4003))),--('Diags Raw Data'!$Q$6:$Q$4003&lt;&gt;"N/A"),'Diags Raw Data'!$U$6:$U$4003)</f>
        <v>2</v>
      </c>
      <c r="O217" s="517">
        <f t="shared" si="37"/>
        <v>1</v>
      </c>
      <c r="P217" s="518">
        <f>SUMIF('Diags Raw Data'!$A$6:$A$4003,"*"&amp;$A217&amp;"*",'Diags Raw Data'!$Z$6:$Z$4003)</f>
        <v>0</v>
      </c>
      <c r="Q217" s="519">
        <f>SUM(SUMIF('Diags Raw Data'!$A$6:$A$4003,"*"&amp;$A217&amp;"*",'Diags Raw Data'!$AA$6:$AA$4003),SUMIF('Diags Raw Data'!$A$6:$A$4003,"*"&amp;$A217&amp;"*",'Diags Raw Data'!$AB$6:$AB$4003))</f>
        <v>0</v>
      </c>
      <c r="R217" s="520">
        <f t="shared" si="38"/>
        <v>0</v>
      </c>
      <c r="S217" s="520">
        <f t="shared" si="39"/>
        <v>0</v>
      </c>
      <c r="T217" s="521">
        <f t="shared" si="40"/>
        <v>0</v>
      </c>
      <c r="U217" s="456" t="str">
        <f>VLOOKUP(A217,'Diags Raw Data'!$A$6:$AH$4003,33,FALSE)</f>
        <v>WK6</v>
      </c>
      <c r="V217" s="182"/>
    </row>
    <row r="218" spans="1:22" ht="15.75" thickBot="1" x14ac:dyDescent="0.3">
      <c r="A218" s="576">
        <v>12.452</v>
      </c>
      <c r="B218" s="458" t="str">
        <f>VLOOKUP(A218,'Feature Raw Data'!$A$3:$B$3922,2,FALSE)</f>
        <v>Breaking SE reuse in Navi48</v>
      </c>
      <c r="C218" s="459" t="str">
        <f>VLOOKUP(A218,'Feature Raw Data'!$A$3:$C$3922,3,FALSE)</f>
        <v>P2</v>
      </c>
      <c r="D218" s="460" t="str" cm="1">
        <f t="array" ref="D218">_xlfn.TEXTJOIN("",TRUE,IF(ISNUMBER(SEARCH($A218,'Diags Raw Data'!$A$6:$A$4003)),CONCATENATE('Diags Raw Data'!$H$6:$H$4003,", "),""))</f>
        <v xml:space="preserve">N/A, </v>
      </c>
      <c r="E218" s="341" t="str">
        <f>VLOOKUP(A218,'Diags Raw Data'!$A$6:$D$4003,4,FALSE)</f>
        <v>CMM</v>
      </c>
      <c r="F218" s="341" t="str">
        <f>VLOOKUP(A218,'Feature Raw Data'!$A$3:$E$3922,5,FALSE)</f>
        <v>New</v>
      </c>
      <c r="G218" s="341" t="str">
        <f t="shared" si="23"/>
        <v>No</v>
      </c>
      <c r="H218" s="341" t="str">
        <f t="shared" si="28"/>
        <v>No</v>
      </c>
      <c r="I218" s="459">
        <f>SUMIF('Diags Raw Data'!$A$6:$A$4003,"*"&amp;$A218&amp;"*",'Diags Raw Data'!$K$6:$K$4003)</f>
        <v>0</v>
      </c>
      <c r="J218" s="461">
        <f>SUMIF('Diags Raw Data'!$A$6:$A$4003,"*"&amp;$A218&amp;"*",'Diags Raw Data'!$L$6:$L$4003)</f>
        <v>0</v>
      </c>
      <c r="K218" s="513" t="e" cm="1">
        <f t="array" ref="K218">IF(D218="",0, SUMPRODUCT(--(ISNUMBER(SEARCH($A218,'Diags Raw Data'!$A$6:$A$4003))),'Diags Raw Data'!$L$6:$L$4003,'Diags Raw Data'!$N$6:$N$4003)/J218)</f>
        <v>#DIV/0!</v>
      </c>
      <c r="L218" s="514" t="e" cm="1">
        <f t="array" ref="L218">IF(D218="",0, SUMPRODUCT(--(ISNUMBER(SEARCH($A218,'Diags Raw Data'!$A$6:$A$4003))),'Diags Raw Data'!$L$6:$L$4003,'Diags Raw Data'!$P$6:$P$4003)/J218)</f>
        <v>#DIV/0!</v>
      </c>
      <c r="M218" s="515" cm="1">
        <f t="array" ref="M218">SUMPRODUCT(--(ISNUMBER(SEARCH($A218,'Diags Raw Data'!$A$6:$A$4003))),--('Diags Raw Data'!$Q$6:$Q$4003&lt;&gt;"N/A"),'Diags Raw Data'!$R$6:$R$4003)</f>
        <v>0</v>
      </c>
      <c r="N218" s="516" cm="1">
        <f t="array" ref="N218">SUMPRODUCT(--(ISNUMBER(SEARCH($A218,'Diags Raw Data'!$A$6:$A$4003))),--('Diags Raw Data'!$Q$6:$Q$4003&lt;&gt;"N/A"),'Diags Raw Data'!$T$6:$T$4003)+SUMPRODUCT(--(ISNUMBER(SEARCH($A218,'Diags Raw Data'!$A$6:$A$4003))),--('Diags Raw Data'!$Q$6:$Q$4003&lt;&gt;"N/A"),'Diags Raw Data'!$U$6:$U$4003)</f>
        <v>0</v>
      </c>
      <c r="O218" s="517">
        <f t="shared" si="37"/>
        <v>0</v>
      </c>
      <c r="P218" s="518">
        <f>SUMIF('Diags Raw Data'!$A$6:$A$4003,"*"&amp;$A218&amp;"*",'Diags Raw Data'!$Z$6:$Z$4003)</f>
        <v>0</v>
      </c>
      <c r="Q218" s="519">
        <f>SUM(SUMIF('Diags Raw Data'!$A$6:$A$4003,"*"&amp;$A218&amp;"*",'Diags Raw Data'!$AA$6:$AA$4003),SUMIF('Diags Raw Data'!$A$6:$A$4003,"*"&amp;$A218&amp;"*",'Diags Raw Data'!$AB$6:$AB$4003))</f>
        <v>0</v>
      </c>
      <c r="R218" s="520">
        <f t="shared" si="38"/>
        <v>0</v>
      </c>
      <c r="S218" s="520">
        <f t="shared" si="39"/>
        <v>0</v>
      </c>
      <c r="T218" s="521">
        <f t="shared" si="40"/>
        <v>0</v>
      </c>
      <c r="U218" s="456" t="str">
        <f>VLOOKUP(A218,'Diags Raw Data'!$A$6:$AH$4003,33,FALSE)</f>
        <v>N/A</v>
      </c>
      <c r="V218" s="182"/>
    </row>
    <row r="219" spans="1:22" ht="45.75" thickBot="1" x14ac:dyDescent="0.3">
      <c r="A219" s="576">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Data'!$A$6:$A$4003)),CONCATENATE('Diags Raw Data'!$H$6:$H$4003,", "),""))</f>
        <v xml:space="preserve">spi453, </v>
      </c>
      <c r="E219" s="341" t="str">
        <f>VLOOKUP(A219,'Diags Raw Data'!$A$6:$D$4003,4,FALSE)</f>
        <v>SIO</v>
      </c>
      <c r="F219" s="341" t="str">
        <f>VLOOKUP(A219,'Feature Raw Data'!$A$3:$E$3922,5,FALSE)</f>
        <v>New</v>
      </c>
      <c r="G219" s="341" t="str">
        <f t="shared" si="23"/>
        <v>Yes</v>
      </c>
      <c r="H219" s="341" t="str">
        <f t="shared" si="28"/>
        <v>Yes</v>
      </c>
      <c r="I219" s="459">
        <f>SUMIF('Diags Raw Data'!$A$6:$A$4003,"*"&amp;$A219&amp;"*",'Diags Raw Data'!$K$6:$K$4003)</f>
        <v>0</v>
      </c>
      <c r="J219" s="461">
        <f>SUMIF('Diags Raw Data'!$A$6:$A$4003,"*"&amp;$A219&amp;"*",'Diags Raw Data'!$L$6:$L$4003)</f>
        <v>0</v>
      </c>
      <c r="K219" s="513" t="e" cm="1">
        <f t="array" ref="K219">IF(D219="",0, SUMPRODUCT(--(ISNUMBER(SEARCH($A219,'Diags Raw Data'!$A$6:$A$4003))),'Diags Raw Data'!$L$6:$L$4003,'Diags Raw Data'!$N$6:$N$4003)/J219)</f>
        <v>#DIV/0!</v>
      </c>
      <c r="L219" s="514" t="e" cm="1">
        <f t="array" ref="L219">IF(D219="",0, SUMPRODUCT(--(ISNUMBER(SEARCH($A219,'Diags Raw Data'!$A$6:$A$4003))),'Diags Raw Data'!$L$6:$L$4003,'Diags Raw Data'!$P$6:$P$4003)/J219)</f>
        <v>#DIV/0!</v>
      </c>
      <c r="M219" s="515" cm="1">
        <f t="array" ref="M219">SUMPRODUCT(--(ISNUMBER(SEARCH($A219,'Diags Raw Data'!$A$6:$A$4003))),--('Diags Raw Data'!$Q$6:$Q$4003&lt;&gt;"N/A"),'Diags Raw Data'!$R$6:$R$4003)</f>
        <v>1</v>
      </c>
      <c r="N219" s="516" cm="1">
        <f t="array" ref="N219">SUMPRODUCT(--(ISNUMBER(SEARCH($A219,'Diags Raw Data'!$A$6:$A$4003))),--('Diags Raw Data'!$Q$6:$Q$4003&lt;&gt;"N/A"),'Diags Raw Data'!$T$6:$T$4003)+SUMPRODUCT(--(ISNUMBER(SEARCH($A219,'Diags Raw Data'!$A$6:$A$4003))),--('Diags Raw Data'!$Q$6:$Q$4003&lt;&gt;"N/A"),'Diags Raw Data'!$U$6:$U$4003)</f>
        <v>1</v>
      </c>
      <c r="O219" s="517">
        <f t="shared" si="37"/>
        <v>1</v>
      </c>
      <c r="P219" s="518">
        <f>SUMIF('Diags Raw Data'!$A$6:$A$4003,"*"&amp;$A219&amp;"*",'Diags Raw Data'!$Z$6:$Z$4003)</f>
        <v>0</v>
      </c>
      <c r="Q219" s="519">
        <f>SUM(SUMIF('Diags Raw Data'!$A$6:$A$4003,"*"&amp;$A219&amp;"*",'Diags Raw Data'!$AA$6:$AA$4003),SUMIF('Diags Raw Data'!$A$6:$A$4003,"*"&amp;$A219&amp;"*",'Diags Raw Data'!$AB$6:$AB$4003))</f>
        <v>0</v>
      </c>
      <c r="R219" s="520">
        <f t="shared" si="38"/>
        <v>0</v>
      </c>
      <c r="S219" s="520">
        <f t="shared" si="39"/>
        <v>0</v>
      </c>
      <c r="T219" s="521">
        <f t="shared" si="40"/>
        <v>0</v>
      </c>
      <c r="U219" s="456" t="str">
        <f>VLOOKUP(A219,'Diags Raw Data'!$A$6:$AH$4003,33,FALSE)</f>
        <v>WK6</v>
      </c>
      <c r="V219" s="182"/>
    </row>
    <row r="220" spans="1:22" ht="75.75" thickBot="1" x14ac:dyDescent="0.3">
      <c r="A220" s="576">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Data'!$A$6:$A$4003)),CONCATENATE('Diags Raw Data'!$H$6:$H$4003,", "),""))</f>
        <v xml:space="preserve">glxi61.1-2, </v>
      </c>
      <c r="E220" s="341" t="str">
        <f>VLOOKUP(A220,'Diags Raw Data'!$A$6:$D$4003,4,FALSE)</f>
        <v>CMM</v>
      </c>
      <c r="F220" s="341" t="str">
        <f>VLOOKUP(A220,'Feature Raw Data'!$A$3:$E$3922,5,FALSE)</f>
        <v>New</v>
      </c>
      <c r="G220" s="341" t="str">
        <f t="shared" si="23"/>
        <v>Yes</v>
      </c>
      <c r="H220" s="341" t="str">
        <f t="shared" si="28"/>
        <v>Yes</v>
      </c>
      <c r="I220" s="459">
        <f>SUMIF('Diags Raw Data'!$A$6:$A$4003,"*"&amp;$A220&amp;"*",'Diags Raw Data'!$K$6:$K$4003)</f>
        <v>0</v>
      </c>
      <c r="J220" s="461">
        <f>SUMIF('Diags Raw Data'!$A$6:$A$4003,"*"&amp;$A220&amp;"*",'Diags Raw Data'!$L$6:$L$4003)</f>
        <v>0</v>
      </c>
      <c r="K220" s="513" t="e" cm="1">
        <f t="array" ref="K220">IF(D220="",0, SUMPRODUCT(--(ISNUMBER(SEARCH($A220,'Diags Raw Data'!$A$6:$A$4003))),'Diags Raw Data'!$L$6:$L$4003,'Diags Raw Data'!$N$6:$N$4003)/J220)</f>
        <v>#DIV/0!</v>
      </c>
      <c r="L220" s="514" t="e" cm="1">
        <f t="array" ref="L220">IF(D220="",0, SUMPRODUCT(--(ISNUMBER(SEARCH($A220,'Diags Raw Data'!$A$6:$A$4003))),'Diags Raw Data'!$L$6:$L$4003,'Diags Raw Data'!$P$6:$P$4003)/J220)</f>
        <v>#DIV/0!</v>
      </c>
      <c r="M220" s="515" cm="1">
        <f t="array" ref="M220">SUMPRODUCT(--(ISNUMBER(SEARCH($A220,'Diags Raw Data'!$A$6:$A$4003))),--('Diags Raw Data'!$Q$6:$Q$4003&lt;&gt;"N/A"),'Diags Raw Data'!$R$6:$R$4003)</f>
        <v>2</v>
      </c>
      <c r="N220" s="516" cm="1">
        <f t="array" ref="N220">SUMPRODUCT(--(ISNUMBER(SEARCH($A220,'Diags Raw Data'!$A$6:$A$4003))),--('Diags Raw Data'!$Q$6:$Q$4003&lt;&gt;"N/A"),'Diags Raw Data'!$T$6:$T$4003)+SUMPRODUCT(--(ISNUMBER(SEARCH($A220,'Diags Raw Data'!$A$6:$A$4003))),--('Diags Raw Data'!$Q$6:$Q$4003&lt;&gt;"N/A"),'Diags Raw Data'!$U$6:$U$4003)</f>
        <v>2</v>
      </c>
      <c r="O220" s="517">
        <f t="shared" si="37"/>
        <v>1</v>
      </c>
      <c r="P220" s="518">
        <f>SUMIF('Diags Raw Data'!$A$6:$A$4003,"*"&amp;$A220&amp;"*",'Diags Raw Data'!$Z$6:$Z$4003)</f>
        <v>0</v>
      </c>
      <c r="Q220" s="519">
        <f>SUM(SUMIF('Diags Raw Data'!$A$6:$A$4003,"*"&amp;$A220&amp;"*",'Diags Raw Data'!$AA$6:$AA$4003),SUMIF('Diags Raw Data'!$A$6:$A$4003,"*"&amp;$A220&amp;"*",'Diags Raw Data'!$AB$6:$AB$4003))</f>
        <v>0</v>
      </c>
      <c r="R220" s="520">
        <f t="shared" si="38"/>
        <v>0</v>
      </c>
      <c r="S220" s="520">
        <f t="shared" si="39"/>
        <v>0</v>
      </c>
      <c r="T220" s="521">
        <f t="shared" si="40"/>
        <v>0</v>
      </c>
      <c r="U220" s="456" t="str">
        <f>VLOOKUP(A220,'Diags Raw Data'!$A$6:$AH$4003,33,FALSE)</f>
        <v>WK8</v>
      </c>
      <c r="V220" s="182"/>
    </row>
    <row r="221" spans="1:22" ht="30.75" thickBot="1" x14ac:dyDescent="0.3">
      <c r="A221" s="576">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Data'!$A$6:$A$4003)),CONCATENATE('Diags Raw Data'!$H$6:$H$4003,", "),""))</f>
        <v xml:space="preserve">gfx.linpack_gfx_compute, </v>
      </c>
      <c r="E221" s="341" t="str">
        <f>VLOOKUP(A221,'Diags Raw Data'!$A$6:$D$4003,4,FALSE)</f>
        <v>SIO</v>
      </c>
      <c r="F221" s="341" t="str">
        <f>VLOOKUP(A221,'Feature Raw Data'!$A$3:$E$3922,5,FALSE)</f>
        <v>New</v>
      </c>
      <c r="G221" s="341" t="str">
        <f t="shared" si="23"/>
        <v>Yes</v>
      </c>
      <c r="H221" s="341" t="str">
        <f t="shared" si="28"/>
        <v>Yes</v>
      </c>
      <c r="I221" s="459">
        <f>SUMIF('Diags Raw Data'!$A$6:$A$4003,"*"&amp;$A221&amp;"*",'Diags Raw Data'!$K$6:$K$4003)</f>
        <v>0</v>
      </c>
      <c r="J221" s="461">
        <f>SUMIF('Diags Raw Data'!$A$6:$A$4003,"*"&amp;$A221&amp;"*",'Diags Raw Data'!$L$6:$L$4003)</f>
        <v>0</v>
      </c>
      <c r="K221" s="513" t="e" cm="1">
        <f t="array" ref="K221">IF(D221="",0, SUMPRODUCT(--(ISNUMBER(SEARCH($A221,'Diags Raw Data'!$A$6:$A$4003))),'Diags Raw Data'!$L$6:$L$4003,'Diags Raw Data'!$N$6:$N$4003)/J221)</f>
        <v>#DIV/0!</v>
      </c>
      <c r="L221" s="514" t="e" cm="1">
        <f t="array" ref="L221">IF(D221="",0, SUMPRODUCT(--(ISNUMBER(SEARCH($A221,'Diags Raw Data'!$A$6:$A$4003))),'Diags Raw Data'!$L$6:$L$4003,'Diags Raw Data'!$P$6:$P$4003)/J221)</f>
        <v>#DIV/0!</v>
      </c>
      <c r="M221" s="515" cm="1">
        <f t="array" ref="M221">SUMPRODUCT(--(ISNUMBER(SEARCH($A221,'Diags Raw Data'!$A$6:$A$4003))),--('Diags Raw Data'!$Q$6:$Q$4003&lt;&gt;"N/A"),'Diags Raw Data'!$R$6:$R$4003)</f>
        <v>1</v>
      </c>
      <c r="N221" s="516" cm="1">
        <f t="array" ref="N221">SUMPRODUCT(--(ISNUMBER(SEARCH($A221,'Diags Raw Data'!$A$6:$A$4003))),--('Diags Raw Data'!$Q$6:$Q$4003&lt;&gt;"N/A"),'Diags Raw Data'!$T$6:$T$4003)+SUMPRODUCT(--(ISNUMBER(SEARCH($A221,'Diags Raw Data'!$A$6:$A$4003))),--('Diags Raw Data'!$Q$6:$Q$4003&lt;&gt;"N/A"),'Diags Raw Data'!$U$6:$U$4003)</f>
        <v>0</v>
      </c>
      <c r="O221" s="517">
        <f t="shared" si="37"/>
        <v>0</v>
      </c>
      <c r="P221" s="518">
        <f>SUMIF('Diags Raw Data'!$A$6:$A$4003,"*"&amp;$A221&amp;"*",'Diags Raw Data'!$Z$6:$Z$4003)</f>
        <v>0</v>
      </c>
      <c r="Q221" s="519">
        <f>SUM(SUMIF('Diags Raw Data'!$A$6:$A$4003,"*"&amp;$A221&amp;"*",'Diags Raw Data'!$AA$6:$AA$4003),SUMIF('Diags Raw Data'!$A$6:$A$4003,"*"&amp;$A221&amp;"*",'Diags Raw Data'!$AB$6:$AB$4003))</f>
        <v>0</v>
      </c>
      <c r="R221" s="520">
        <f t="shared" si="38"/>
        <v>0</v>
      </c>
      <c r="S221" s="520">
        <f t="shared" si="39"/>
        <v>0</v>
      </c>
      <c r="T221" s="521">
        <f t="shared" si="40"/>
        <v>0</v>
      </c>
      <c r="U221" s="456" t="str">
        <f>VLOOKUP(A221,'Diags Raw Data'!$A$6:$AH$4003,33,FALSE)</f>
        <v>WK6</v>
      </c>
      <c r="V221" s="182"/>
    </row>
    <row r="222" spans="1:22" ht="15.75" thickBot="1" x14ac:dyDescent="0.3">
      <c r="A222" s="576">
        <v>12.457000000000001</v>
      </c>
      <c r="B222" s="458" t="str">
        <f>VLOOKUP(A222,'Feature Raw Data'!$A$3:$B$3922,2,FALSE)</f>
        <v>Decrompress BLTs via SDMA</v>
      </c>
      <c r="C222" s="459" t="str">
        <f>VLOOKUP(A222,'Feature Raw Data'!$A$3:$C$3922,3,FALSE)</f>
        <v>P2</v>
      </c>
      <c r="D222" s="460"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9">
        <f>SUMIF('Diags Raw Data'!$A$6:$A$4003,"*"&amp;$A222&amp;"*",'Diags Raw Data'!$K$6:$K$4003)</f>
        <v>0</v>
      </c>
      <c r="J222" s="461">
        <f>SUMIF('Diags Raw Data'!$A$6:$A$4003,"*"&amp;$A222&amp;"*",'Diags Raw Data'!$L$6:$L$4003)</f>
        <v>0</v>
      </c>
      <c r="K222" s="513" t="e" cm="1">
        <f t="array" ref="K222">IF(D222="",0, SUMPRODUCT(--(ISNUMBER(SEARCH($A222,'Diags Raw Data'!$A$6:$A$4003))),'Diags Raw Data'!$L$6:$L$4003,'Diags Raw Data'!$N$6:$N$4003)/J222)</f>
        <v>#DIV/0!</v>
      </c>
      <c r="L222" s="514" t="e" cm="1">
        <f t="array" ref="L222">IF(D222="",0, SUMPRODUCT(--(ISNUMBER(SEARCH($A222,'Diags Raw Data'!$A$6:$A$4003))),'Diags Raw Data'!$L$6:$L$4003,'Diags Raw Data'!$P$6:$P$4003)/J222)</f>
        <v>#DIV/0!</v>
      </c>
      <c r="M222" s="515" cm="1">
        <f t="array" ref="M222">SUMPRODUCT(--(ISNUMBER(SEARCH($A222,'Diags Raw Data'!$A$6:$A$4003))),--('Diags Raw Data'!$Q$6:$Q$4003&lt;&gt;"N/A"),'Diags Raw Data'!$R$6:$R$4003)</f>
        <v>0</v>
      </c>
      <c r="N222" s="516" cm="1">
        <f t="array" ref="N222">SUMPRODUCT(--(ISNUMBER(SEARCH($A222,'Diags Raw Data'!$A$6:$A$4003))),--('Diags Raw Data'!$Q$6:$Q$4003&lt;&gt;"N/A"),'Diags Raw Data'!$T$6:$T$4003)+SUMPRODUCT(--(ISNUMBER(SEARCH($A222,'Diags Raw Data'!$A$6:$A$4003))),--('Diags Raw Data'!$Q$6:$Q$4003&lt;&gt;"N/A"),'Diags Raw Data'!$U$6:$U$4003)</f>
        <v>0</v>
      </c>
      <c r="O222" s="517">
        <f t="shared" si="37"/>
        <v>0</v>
      </c>
      <c r="P222" s="518">
        <f>SUMIF('Diags Raw Data'!$A$6:$A$4003,"*"&amp;$A222&amp;"*",'Diags Raw Data'!$Z$6:$Z$4003)</f>
        <v>0</v>
      </c>
      <c r="Q222" s="519">
        <f>SUM(SUMIF('Diags Raw Data'!$A$6:$A$4003,"*"&amp;$A222&amp;"*",'Diags Raw Data'!$AA$6:$AA$4003),SUMIF('Diags Raw Data'!$A$6:$A$4003,"*"&amp;$A222&amp;"*",'Diags Raw Data'!$AB$6:$AB$4003))</f>
        <v>0</v>
      </c>
      <c r="R222" s="520">
        <f t="shared" si="38"/>
        <v>0</v>
      </c>
      <c r="S222" s="520">
        <f t="shared" si="39"/>
        <v>0</v>
      </c>
      <c r="T222" s="521">
        <f t="shared" si="40"/>
        <v>0</v>
      </c>
      <c r="U222" s="456" t="str">
        <f>VLOOKUP(A222,'Diags Raw Data'!$A$6:$AH$4003,33,FALSE)</f>
        <v>N/A</v>
      </c>
      <c r="V222" s="182"/>
    </row>
    <row r="223" spans="1:22" ht="30.75" thickBot="1" x14ac:dyDescent="0.3">
      <c r="A223" s="576">
        <v>12.458</v>
      </c>
      <c r="B223" s="458" t="str">
        <f>VLOOKUP(A223,'Feature Raw Data'!$A$3:$B$3922,2,FALSE)</f>
        <v>Descope VRS Compression feature</v>
      </c>
      <c r="C223" s="459" t="str">
        <f>VLOOKUP(A223,'Feature Raw Data'!$A$3:$C$3922,3,FALSE)</f>
        <v>P2</v>
      </c>
      <c r="D223" s="460"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9">
        <f>SUMIF('Diags Raw Data'!$A$6:$A$4003,"*"&amp;$A223&amp;"*",'Diags Raw Data'!$K$6:$K$4003)</f>
        <v>0</v>
      </c>
      <c r="J223" s="461">
        <f>SUMIF('Diags Raw Data'!$A$6:$A$4003,"*"&amp;$A223&amp;"*",'Diags Raw Data'!$L$6:$L$4003)</f>
        <v>0</v>
      </c>
      <c r="K223" s="513" t="e" cm="1">
        <f t="array" ref="K223">IF(D223="",0, SUMPRODUCT(--(ISNUMBER(SEARCH($A223,'Diags Raw Data'!$A$6:$A$4003))),'Diags Raw Data'!$L$6:$L$4003,'Diags Raw Data'!$N$6:$N$4003)/J223)</f>
        <v>#DIV/0!</v>
      </c>
      <c r="L223" s="514" t="e" cm="1">
        <f t="array" ref="L223">IF(D223="",0, SUMPRODUCT(--(ISNUMBER(SEARCH($A223,'Diags Raw Data'!$A$6:$A$4003))),'Diags Raw Data'!$L$6:$L$4003,'Diags Raw Data'!$P$6:$P$4003)/J223)</f>
        <v>#DIV/0!</v>
      </c>
      <c r="M223" s="515" cm="1">
        <f t="array" ref="M223">SUMPRODUCT(--(ISNUMBER(SEARCH($A223,'Diags Raw Data'!$A$6:$A$4003))),--('Diags Raw Data'!$Q$6:$Q$4003&lt;&gt;"N/A"),'Diags Raw Data'!$R$6:$R$4003)</f>
        <v>0</v>
      </c>
      <c r="N223" s="516" cm="1">
        <f t="array" ref="N223">SUMPRODUCT(--(ISNUMBER(SEARCH($A223,'Diags Raw Data'!$A$6:$A$4003))),--('Diags Raw Data'!$Q$6:$Q$4003&lt;&gt;"N/A"),'Diags Raw Data'!$T$6:$T$4003)+SUMPRODUCT(--(ISNUMBER(SEARCH($A223,'Diags Raw Data'!$A$6:$A$4003))),--('Diags Raw Data'!$Q$6:$Q$4003&lt;&gt;"N/A"),'Diags Raw Data'!$U$6:$U$4003)</f>
        <v>0</v>
      </c>
      <c r="O223" s="517">
        <f t="shared" si="37"/>
        <v>0</v>
      </c>
      <c r="P223" s="518">
        <f>SUMIF('Diags Raw Data'!$A$6:$A$4003,"*"&amp;$A223&amp;"*",'Diags Raw Data'!$Z$6:$Z$4003)</f>
        <v>0</v>
      </c>
      <c r="Q223" s="519">
        <f>SUM(SUMIF('Diags Raw Data'!$A$6:$A$4003,"*"&amp;$A223&amp;"*",'Diags Raw Data'!$AA$6:$AA$4003),SUMIF('Diags Raw Data'!$A$6:$A$4003,"*"&amp;$A223&amp;"*",'Diags Raw Data'!$AB$6:$AB$4003))</f>
        <v>0</v>
      </c>
      <c r="R223" s="520">
        <f t="shared" si="38"/>
        <v>0</v>
      </c>
      <c r="S223" s="520">
        <f t="shared" si="39"/>
        <v>0</v>
      </c>
      <c r="T223" s="521">
        <f t="shared" si="40"/>
        <v>0</v>
      </c>
      <c r="U223" s="456" t="str">
        <f>VLOOKUP(A223,'Diags Raw Data'!$A$6:$AH$4003,33,FALSE)</f>
        <v>N/A</v>
      </c>
      <c r="V223" s="585" t="s">
        <v>382</v>
      </c>
    </row>
    <row r="224" spans="1:22" ht="45.75" thickBot="1" x14ac:dyDescent="0.3">
      <c r="A224" s="576">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9">
        <f>SUMIF('Diags Raw Data'!$A$6:$A$4003,"*"&amp;$A224&amp;"*",'Diags Raw Data'!$K$6:$K$4003)</f>
        <v>0</v>
      </c>
      <c r="J224" s="461">
        <f>SUMIF('Diags Raw Data'!$A$6:$A$4003,"*"&amp;$A224&amp;"*",'Diags Raw Data'!$L$6:$L$4003)</f>
        <v>0</v>
      </c>
      <c r="K224" s="513" t="e" cm="1">
        <f t="array" ref="K224">IF(D224="",0, SUMPRODUCT(--(ISNUMBER(SEARCH($A224,'Diags Raw Data'!$A$6:$A$4003))),'Diags Raw Data'!$L$6:$L$4003,'Diags Raw Data'!$N$6:$N$4003)/J224)</f>
        <v>#DIV/0!</v>
      </c>
      <c r="L224" s="514" t="e" cm="1">
        <f t="array" ref="L224">IF(D224="",0, SUMPRODUCT(--(ISNUMBER(SEARCH($A224,'Diags Raw Data'!$A$6:$A$4003))),'Diags Raw Data'!$L$6:$L$4003,'Diags Raw Data'!$P$6:$P$4003)/J224)</f>
        <v>#DIV/0!</v>
      </c>
      <c r="M224" s="515" cm="1">
        <f t="array" ref="M224">SUMPRODUCT(--(ISNUMBER(SEARCH($A224,'Diags Raw Data'!$A$6:$A$4003))),--('Diags Raw Data'!$Q$6:$Q$4003&lt;&gt;"N/A"),'Diags Raw Data'!$R$6:$R$4003)</f>
        <v>0</v>
      </c>
      <c r="N224" s="516" cm="1">
        <f t="array" ref="N224">SUMPRODUCT(--(ISNUMBER(SEARCH($A224,'Diags Raw Data'!$A$6:$A$4003))),--('Diags Raw Data'!$Q$6:$Q$4003&lt;&gt;"N/A"),'Diags Raw Data'!$T$6:$T$4003)+SUMPRODUCT(--(ISNUMBER(SEARCH($A224,'Diags Raw Data'!$A$6:$A$4003))),--('Diags Raw Data'!$Q$6:$Q$4003&lt;&gt;"N/A"),'Diags Raw Data'!$U$6:$U$4003)</f>
        <v>0</v>
      </c>
      <c r="O224" s="517">
        <f t="shared" si="37"/>
        <v>0</v>
      </c>
      <c r="P224" s="518">
        <f>SUMIF('Diags Raw Data'!$A$6:$A$4003,"*"&amp;$A224&amp;"*",'Diags Raw Data'!$Z$6:$Z$4003)</f>
        <v>0</v>
      </c>
      <c r="Q224" s="519">
        <f>SUM(SUMIF('Diags Raw Data'!$A$6:$A$4003,"*"&amp;$A224&amp;"*",'Diags Raw Data'!$AA$6:$AA$4003),SUMIF('Diags Raw Data'!$A$6:$A$4003,"*"&amp;$A224&amp;"*",'Diags Raw Data'!$AB$6:$AB$4003))</f>
        <v>0</v>
      </c>
      <c r="R224" s="520">
        <f t="shared" si="38"/>
        <v>0</v>
      </c>
      <c r="S224" s="520">
        <f t="shared" si="39"/>
        <v>0</v>
      </c>
      <c r="T224" s="521">
        <f t="shared" si="40"/>
        <v>0</v>
      </c>
      <c r="U224" s="456" t="str">
        <f>VLOOKUP(A224,'Diags Raw Data'!$A$6:$AH$4003,33,FALSE)</f>
        <v>N/A</v>
      </c>
      <c r="V224" s="585" t="s">
        <v>464</v>
      </c>
    </row>
    <row r="225" spans="1:22" ht="45.75" thickBot="1" x14ac:dyDescent="0.3">
      <c r="A225" s="576">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Data'!$A$6:$A$4003)),CONCATENATE('Diags Raw Data'!$H$6:$H$4003,", "),""))</f>
        <v xml:space="preserve">placeholder_l.1-8, placeholder_a.1-108, N/A, N/A, N/A, gci1310, N/A, cpi415, N/A, gci1309.0-3, </v>
      </c>
      <c r="E225" s="341" t="str">
        <f>VLOOKUP(A225,'Diags Raw Data'!$A$6:$D$4003,4,FALSE)</f>
        <v>TEX</v>
      </c>
      <c r="F225" s="341" t="str">
        <f>VLOOKUP(A225,'Feature Raw Data'!$A$3:$E$3922,5,FALSE)</f>
        <v>New</v>
      </c>
      <c r="G225" s="341" t="str">
        <f t="shared" si="23"/>
        <v>Yes</v>
      </c>
      <c r="H225" s="341" t="str">
        <f t="shared" si="28"/>
        <v>Yes</v>
      </c>
      <c r="I225" s="459">
        <f>SUMIF('Diags Raw Data'!$A$6:$A$4003,"*"&amp;$A225&amp;"*",'Diags Raw Data'!$K$6:$K$4003)</f>
        <v>0</v>
      </c>
      <c r="J225" s="461">
        <f>SUMIF('Diags Raw Data'!$A$6:$A$4003,"*"&amp;$A225&amp;"*",'Diags Raw Data'!$L$6:$L$4003)</f>
        <v>0</v>
      </c>
      <c r="K225" s="513" t="e" cm="1">
        <f t="array" ref="K225">IF(D225="",0, SUMPRODUCT(--(ISNUMBER(SEARCH($A225,'Diags Raw Data'!$A$6:$A$4003))),'Diags Raw Data'!$L$6:$L$4003,'Diags Raw Data'!$N$6:$N$4003)/J225)</f>
        <v>#DIV/0!</v>
      </c>
      <c r="L225" s="514" t="e" cm="1">
        <f t="array" ref="L225">IF(D225="",0, SUMPRODUCT(--(ISNUMBER(SEARCH($A225,'Diags Raw Data'!$A$6:$A$4003))),'Diags Raw Data'!$L$6:$L$4003,'Diags Raw Data'!$P$6:$P$4003)/J225)</f>
        <v>#DIV/0!</v>
      </c>
      <c r="M225" s="515" cm="1">
        <f t="array" ref="M225">SUMPRODUCT(--(ISNUMBER(SEARCH($A225,'Diags Raw Data'!$A$6:$A$4003))),--('Diags Raw Data'!$Q$6:$Q$4003&lt;&gt;"N/A"),'Diags Raw Data'!$R$6:$R$4003)</f>
        <v>32</v>
      </c>
      <c r="N225" s="516" cm="1">
        <f t="array" ref="N225">SUMPRODUCT(--(ISNUMBER(SEARCH($A225,'Diags Raw Data'!$A$6:$A$4003))),--('Diags Raw Data'!$Q$6:$Q$4003&lt;&gt;"N/A"),'Diags Raw Data'!$T$6:$T$4003)+SUMPRODUCT(--(ISNUMBER(SEARCH($A225,'Diags Raw Data'!$A$6:$A$4003))),--('Diags Raw Data'!$Q$6:$Q$4003&lt;&gt;"N/A"),'Diags Raw Data'!$U$6:$U$4003)</f>
        <v>29</v>
      </c>
      <c r="O225" s="517">
        <f t="shared" si="37"/>
        <v>0.90625</v>
      </c>
      <c r="P225" s="518">
        <f>SUMIF('Diags Raw Data'!$A$6:$A$4003,"*"&amp;$A225&amp;"*",'Diags Raw Data'!$Z$6:$Z$4003)</f>
        <v>0</v>
      </c>
      <c r="Q225" s="519">
        <f>SUM(SUMIF('Diags Raw Data'!$A$6:$A$4003,"*"&amp;$A225&amp;"*",'Diags Raw Data'!$AA$6:$AA$4003),SUMIF('Diags Raw Data'!$A$6:$A$4003,"*"&amp;$A225&amp;"*",'Diags Raw Data'!$AB$6:$AB$4003))</f>
        <v>0</v>
      </c>
      <c r="R225" s="520">
        <f t="shared" si="38"/>
        <v>0</v>
      </c>
      <c r="S225" s="520">
        <f t="shared" si="39"/>
        <v>0</v>
      </c>
      <c r="T225" s="521">
        <f t="shared" si="40"/>
        <v>0</v>
      </c>
      <c r="U225" s="456" t="str">
        <f>VLOOKUP(A225,'Diags Raw Data'!$A$6:$AH$4003,33,FALSE)</f>
        <v>WK7</v>
      </c>
      <c r="V225" s="182"/>
    </row>
    <row r="226" spans="1:22" ht="45.75" thickBot="1" x14ac:dyDescent="0.3">
      <c r="A226" s="576">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Data'!$A$6:$A$4003)),CONCATENATE('Diags Raw Data'!$H$6:$H$4003,", "),""))</f>
        <v xml:space="preserve">placeholder_a.1-108, </v>
      </c>
      <c r="E226" s="341" t="str">
        <f>VLOOKUP(A226,'Diags Raw Data'!$A$6:$D$4003,4,FALSE)</f>
        <v>TEX</v>
      </c>
      <c r="F226" s="341" t="str">
        <f>VLOOKUP(A226,'Feature Raw Data'!$A$3:$E$3922,5,FALSE)</f>
        <v>New</v>
      </c>
      <c r="G226" s="341" t="str">
        <f t="shared" si="23"/>
        <v>Yes</v>
      </c>
      <c r="H226" s="341" t="str">
        <f t="shared" si="28"/>
        <v>Yes</v>
      </c>
      <c r="I226" s="459">
        <f>SUMIF('Diags Raw Data'!$A$6:$A$4003,"*"&amp;$A226&amp;"*",'Diags Raw Data'!$K$6:$K$4003)</f>
        <v>0</v>
      </c>
      <c r="J226" s="461">
        <f>SUMIF('Diags Raw Data'!$A$6:$A$4003,"*"&amp;$A226&amp;"*",'Diags Raw Data'!$L$6:$L$4003)</f>
        <v>0</v>
      </c>
      <c r="K226" s="513" t="e" cm="1">
        <f t="array" ref="K226">IF(D226="",0, SUMPRODUCT(--(ISNUMBER(SEARCH($A226,'Diags Raw Data'!$A$6:$A$4003))),'Diags Raw Data'!$L$6:$L$4003,'Diags Raw Data'!$N$6:$N$4003)/J226)</f>
        <v>#DIV/0!</v>
      </c>
      <c r="L226" s="514" t="e" cm="1">
        <f t="array" ref="L226">IF(D226="",0, SUMPRODUCT(--(ISNUMBER(SEARCH($A226,'Diags Raw Data'!$A$6:$A$4003))),'Diags Raw Data'!$L$6:$L$4003,'Diags Raw Data'!$P$6:$P$4003)/J226)</f>
        <v>#DIV/0!</v>
      </c>
      <c r="M226" s="515" cm="1">
        <f t="array" ref="M226">SUMPRODUCT(--(ISNUMBER(SEARCH($A226,'Diags Raw Data'!$A$6:$A$4003))),--('Diags Raw Data'!$Q$6:$Q$4003&lt;&gt;"N/A"),'Diags Raw Data'!$R$6:$R$4003)</f>
        <v>20</v>
      </c>
      <c r="N226" s="516" cm="1">
        <f t="array" ref="N226">SUMPRODUCT(--(ISNUMBER(SEARCH($A226,'Diags Raw Data'!$A$6:$A$4003))),--('Diags Raw Data'!$Q$6:$Q$4003&lt;&gt;"N/A"),'Diags Raw Data'!$T$6:$T$4003)+SUMPRODUCT(--(ISNUMBER(SEARCH($A226,'Diags Raw Data'!$A$6:$A$4003))),--('Diags Raw Data'!$Q$6:$Q$4003&lt;&gt;"N/A"),'Diags Raw Data'!$U$6:$U$4003)</f>
        <v>20</v>
      </c>
      <c r="O226" s="517">
        <f t="shared" si="37"/>
        <v>1</v>
      </c>
      <c r="P226" s="518">
        <f>SUMIF('Diags Raw Data'!$A$6:$A$4003,"*"&amp;$A226&amp;"*",'Diags Raw Data'!$Z$6:$Z$4003)</f>
        <v>0</v>
      </c>
      <c r="Q226" s="519">
        <f>SUM(SUMIF('Diags Raw Data'!$A$6:$A$4003,"*"&amp;$A226&amp;"*",'Diags Raw Data'!$AA$6:$AA$4003),SUMIF('Diags Raw Data'!$A$6:$A$4003,"*"&amp;$A226&amp;"*",'Diags Raw Data'!$AB$6:$AB$4003))</f>
        <v>0</v>
      </c>
      <c r="R226" s="520">
        <f t="shared" si="38"/>
        <v>0</v>
      </c>
      <c r="S226" s="520">
        <f t="shared" si="39"/>
        <v>0</v>
      </c>
      <c r="T226" s="521">
        <f t="shared" si="40"/>
        <v>0</v>
      </c>
      <c r="U226" s="456" t="str">
        <f>VLOOKUP(A226,'Diags Raw Data'!$A$6:$AH$4003,33,FALSE)</f>
        <v>WK8</v>
      </c>
      <c r="V226" s="182"/>
    </row>
    <row r="227" spans="1:22" ht="60.75" thickBot="1" x14ac:dyDescent="0.3">
      <c r="A227" s="576">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9">
        <f>SUMIF('Diags Raw Data'!$A$6:$A$4003,"*"&amp;$A227&amp;"*",'Diags Raw Data'!$K$6:$K$4003)</f>
        <v>0</v>
      </c>
      <c r="J227" s="461">
        <f>SUMIF('Diags Raw Data'!$A$6:$A$4003,"*"&amp;$A227&amp;"*",'Diags Raw Data'!$L$6:$L$4003)</f>
        <v>0</v>
      </c>
      <c r="K227" s="513" t="e" cm="1">
        <f t="array" ref="K227">IF(D227="",0, SUMPRODUCT(--(ISNUMBER(SEARCH($A227,'Diags Raw Data'!$A$6:$A$4003))),'Diags Raw Data'!$L$6:$L$4003,'Diags Raw Data'!$N$6:$N$4003)/J227)</f>
        <v>#DIV/0!</v>
      </c>
      <c r="L227" s="514" t="e" cm="1">
        <f t="array" ref="L227">IF(D227="",0, SUMPRODUCT(--(ISNUMBER(SEARCH($A227,'Diags Raw Data'!$A$6:$A$4003))),'Diags Raw Data'!$L$6:$L$4003,'Diags Raw Data'!$P$6:$P$4003)/J227)</f>
        <v>#DIV/0!</v>
      </c>
      <c r="M227" s="515" cm="1">
        <f t="array" ref="M227">SUMPRODUCT(--(ISNUMBER(SEARCH($A227,'Diags Raw Data'!$A$6:$A$4003))),--('Diags Raw Data'!$Q$6:$Q$4003&lt;&gt;"N/A"),'Diags Raw Data'!$R$6:$R$4003)</f>
        <v>0</v>
      </c>
      <c r="N227" s="516" cm="1">
        <f t="array" ref="N227">SUMPRODUCT(--(ISNUMBER(SEARCH($A227,'Diags Raw Data'!$A$6:$A$4003))),--('Diags Raw Data'!$Q$6:$Q$4003&lt;&gt;"N/A"),'Diags Raw Data'!$T$6:$T$4003)+SUMPRODUCT(--(ISNUMBER(SEARCH($A227,'Diags Raw Data'!$A$6:$A$4003))),--('Diags Raw Data'!$Q$6:$Q$4003&lt;&gt;"N/A"),'Diags Raw Data'!$U$6:$U$4003)</f>
        <v>0</v>
      </c>
      <c r="O227" s="517">
        <f t="shared" si="37"/>
        <v>0</v>
      </c>
      <c r="P227" s="518">
        <f>SUMIF('Diags Raw Data'!$A$6:$A$4003,"*"&amp;$A227&amp;"*",'Diags Raw Data'!$Z$6:$Z$4003)</f>
        <v>0</v>
      </c>
      <c r="Q227" s="519">
        <f>SUM(SUMIF('Diags Raw Data'!$A$6:$A$4003,"*"&amp;$A227&amp;"*",'Diags Raw Data'!$AA$6:$AA$4003),SUMIF('Diags Raw Data'!$A$6:$A$4003,"*"&amp;$A227&amp;"*",'Diags Raw Data'!$AB$6:$AB$4003))</f>
        <v>0</v>
      </c>
      <c r="R227" s="520">
        <f t="shared" si="38"/>
        <v>0</v>
      </c>
      <c r="S227" s="520">
        <f t="shared" si="39"/>
        <v>0</v>
      </c>
      <c r="T227" s="521">
        <f t="shared" si="40"/>
        <v>0</v>
      </c>
      <c r="U227" s="456" t="str">
        <f>VLOOKUP(A227,'Diags Raw Data'!$A$6:$AH$4003,33,FALSE)</f>
        <v>N/A</v>
      </c>
      <c r="V227" s="585" t="s">
        <v>382</v>
      </c>
    </row>
    <row r="228" spans="1:22" ht="30.75" thickBot="1" x14ac:dyDescent="0.3">
      <c r="A228" s="576">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Data'!$A$6:$A$4003)),CONCATENATE('Diags Raw Data'!$H$6:$H$4003,", "),""))</f>
        <v xml:space="preserve">N/A, </v>
      </c>
      <c r="E228" s="341" t="str">
        <f>VLOOKUP(A228,'Diags Raw Data'!$A$6:$D$4003,4,FALSE)</f>
        <v>CTL</v>
      </c>
      <c r="F228" s="341" t="str">
        <f>VLOOKUP(A228,'Feature Raw Data'!$A$3:$E$3922,5,FALSE)</f>
        <v>New</v>
      </c>
      <c r="G228" s="341" t="str">
        <f t="shared" si="23"/>
        <v>No</v>
      </c>
      <c r="H228" s="341" t="str">
        <f t="shared" si="28"/>
        <v>No</v>
      </c>
      <c r="I228" s="459">
        <f>SUMIF('Diags Raw Data'!$A$6:$A$4003,"*"&amp;$A228&amp;"*",'Diags Raw Data'!$K$6:$K$4003)</f>
        <v>0</v>
      </c>
      <c r="J228" s="461">
        <f>SUMIF('Diags Raw Data'!$A$6:$A$4003,"*"&amp;$A228&amp;"*",'Diags Raw Data'!$L$6:$L$4003)</f>
        <v>0</v>
      </c>
      <c r="K228" s="513" t="e" cm="1">
        <f t="array" ref="K228">IF(D228="",0, SUMPRODUCT(--(ISNUMBER(SEARCH($A228,'Diags Raw Data'!$A$6:$A$4003))),'Diags Raw Data'!$L$6:$L$4003,'Diags Raw Data'!$N$6:$N$4003)/J228)</f>
        <v>#DIV/0!</v>
      </c>
      <c r="L228" s="514" t="e" cm="1">
        <f t="array" ref="L228">IF(D228="",0, SUMPRODUCT(--(ISNUMBER(SEARCH($A228,'Diags Raw Data'!$A$6:$A$4003))),'Diags Raw Data'!$L$6:$L$4003,'Diags Raw Data'!$P$6:$P$4003)/J228)</f>
        <v>#DIV/0!</v>
      </c>
      <c r="M228" s="515" cm="1">
        <f t="array" ref="M228">SUMPRODUCT(--(ISNUMBER(SEARCH($A228,'Diags Raw Data'!$A$6:$A$4003))),--('Diags Raw Data'!$Q$6:$Q$4003&lt;&gt;"N/A"),'Diags Raw Data'!$R$6:$R$4003)</f>
        <v>0</v>
      </c>
      <c r="N228" s="516" cm="1">
        <f t="array" ref="N228">SUMPRODUCT(--(ISNUMBER(SEARCH($A228,'Diags Raw Data'!$A$6:$A$4003))),--('Diags Raw Data'!$Q$6:$Q$4003&lt;&gt;"N/A"),'Diags Raw Data'!$T$6:$T$4003)+SUMPRODUCT(--(ISNUMBER(SEARCH($A228,'Diags Raw Data'!$A$6:$A$4003))),--('Diags Raw Data'!$Q$6:$Q$4003&lt;&gt;"N/A"),'Diags Raw Data'!$U$6:$U$4003)</f>
        <v>0</v>
      </c>
      <c r="O228" s="517">
        <f t="shared" si="37"/>
        <v>0</v>
      </c>
      <c r="P228" s="518">
        <f>SUMIF('Diags Raw Data'!$A$6:$A$4003,"*"&amp;$A228&amp;"*",'Diags Raw Data'!$Z$6:$Z$4003)</f>
        <v>0</v>
      </c>
      <c r="Q228" s="519">
        <f>SUM(SUMIF('Diags Raw Data'!$A$6:$A$4003,"*"&amp;$A228&amp;"*",'Diags Raw Data'!$AA$6:$AA$4003),SUMIF('Diags Raw Data'!$A$6:$A$4003,"*"&amp;$A228&amp;"*",'Diags Raw Data'!$AB$6:$AB$4003))</f>
        <v>0</v>
      </c>
      <c r="R228" s="520">
        <f t="shared" si="38"/>
        <v>0</v>
      </c>
      <c r="S228" s="520">
        <f t="shared" si="39"/>
        <v>0</v>
      </c>
      <c r="T228" s="521">
        <f t="shared" si="40"/>
        <v>0</v>
      </c>
      <c r="U228" s="456" t="str">
        <f>VLOOKUP(A228,'Diags Raw Data'!$A$6:$AH$4003,33,FALSE)</f>
        <v>N/A</v>
      </c>
      <c r="V228" s="182"/>
    </row>
    <row r="229" spans="1:22" ht="30.75" thickBot="1" x14ac:dyDescent="0.3">
      <c r="A229" s="576">
        <v>12.464</v>
      </c>
      <c r="B229" s="458" t="str">
        <f>VLOOKUP(A229,'Feature Raw Data'!$A$3:$B$3922,2,FALSE)</f>
        <v>SP Throttling and the first DIDT droop</v>
      </c>
      <c r="C229" s="459" t="str">
        <f>VLOOKUP(A229,'Feature Raw Data'!$A$3:$C$3922,3,FALSE)</f>
        <v>P2</v>
      </c>
      <c r="D229" s="460"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9">
        <f>SUMIF('Diags Raw Data'!$A$6:$A$4003,"*"&amp;$A229&amp;"*",'Diags Raw Data'!$K$6:$K$4003)</f>
        <v>0</v>
      </c>
      <c r="J229" s="461">
        <f>SUMIF('Diags Raw Data'!$A$6:$A$4003,"*"&amp;$A229&amp;"*",'Diags Raw Data'!$L$6:$L$4003)</f>
        <v>0</v>
      </c>
      <c r="K229" s="513" t="e" cm="1">
        <f t="array" ref="K229">IF(D229="",0, SUMPRODUCT(--(ISNUMBER(SEARCH($A229,'Diags Raw Data'!$A$6:$A$4003))),'Diags Raw Data'!$L$6:$L$4003,'Diags Raw Data'!$N$6:$N$4003)/J229)</f>
        <v>#DIV/0!</v>
      </c>
      <c r="L229" s="514" t="e" cm="1">
        <f t="array" ref="L229">IF(D229="",0, SUMPRODUCT(--(ISNUMBER(SEARCH($A229,'Diags Raw Data'!$A$6:$A$4003))),'Diags Raw Data'!$L$6:$L$4003,'Diags Raw Data'!$P$6:$P$4003)/J229)</f>
        <v>#DIV/0!</v>
      </c>
      <c r="M229" s="515" cm="1">
        <f t="array" ref="M229">SUMPRODUCT(--(ISNUMBER(SEARCH($A229,'Diags Raw Data'!$A$6:$A$4003))),--('Diags Raw Data'!$Q$6:$Q$4003&lt;&gt;"N/A"),'Diags Raw Data'!$R$6:$R$4003)</f>
        <v>0</v>
      </c>
      <c r="N229" s="516" cm="1">
        <f t="array" ref="N229">SUMPRODUCT(--(ISNUMBER(SEARCH($A229,'Diags Raw Data'!$A$6:$A$4003))),--('Diags Raw Data'!$Q$6:$Q$4003&lt;&gt;"N/A"),'Diags Raw Data'!$T$6:$T$4003)+SUMPRODUCT(--(ISNUMBER(SEARCH($A229,'Diags Raw Data'!$A$6:$A$4003))),--('Diags Raw Data'!$Q$6:$Q$4003&lt;&gt;"N/A"),'Diags Raw Data'!$U$6:$U$4003)</f>
        <v>0</v>
      </c>
      <c r="O229" s="517">
        <f t="shared" si="37"/>
        <v>0</v>
      </c>
      <c r="P229" s="518">
        <f>SUMIF('Diags Raw Data'!$A$6:$A$4003,"*"&amp;$A229&amp;"*",'Diags Raw Data'!$Z$6:$Z$4003)</f>
        <v>0</v>
      </c>
      <c r="Q229" s="519">
        <f>SUM(SUMIF('Diags Raw Data'!$A$6:$A$4003,"*"&amp;$A229&amp;"*",'Diags Raw Data'!$AA$6:$AA$4003),SUMIF('Diags Raw Data'!$A$6:$A$4003,"*"&amp;$A229&amp;"*",'Diags Raw Data'!$AB$6:$AB$4003))</f>
        <v>0</v>
      </c>
      <c r="R229" s="520">
        <f t="shared" si="38"/>
        <v>0</v>
      </c>
      <c r="S229" s="520">
        <f t="shared" si="39"/>
        <v>0</v>
      </c>
      <c r="T229" s="521">
        <f t="shared" si="40"/>
        <v>0</v>
      </c>
      <c r="U229" s="456" t="str">
        <f>VLOOKUP(A229,'Diags Raw Data'!$A$6:$AH$4003,33,FALSE)</f>
        <v>N/A</v>
      </c>
      <c r="V229" s="182"/>
    </row>
    <row r="230" spans="1:22" ht="30.75" thickBot="1" x14ac:dyDescent="0.3">
      <c r="A230" s="576">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Data'!$A$6:$A$4003)),CONCATENATE('Diags Raw Data'!$H$6:$H$4003,", "),""))</f>
        <v xml:space="preserve">gci1310, </v>
      </c>
      <c r="E230" s="341" t="str">
        <f>VLOOKUP(A230,'Diags Raw Data'!$A$6:$D$4003,4,FALSE)</f>
        <v>SH</v>
      </c>
      <c r="F230" s="341" t="str">
        <f>VLOOKUP(A230,'Feature Raw Data'!$A$3:$E$3922,5,FALSE)</f>
        <v>New</v>
      </c>
      <c r="G230" s="341" t="str">
        <f t="shared" si="23"/>
        <v>Yes</v>
      </c>
      <c r="H230" s="341" t="str">
        <f t="shared" si="28"/>
        <v>Yes</v>
      </c>
      <c r="I230" s="459">
        <f>SUMIF('Diags Raw Data'!$A$6:$A$4003,"*"&amp;$A230&amp;"*",'Diags Raw Data'!$K$6:$K$4003)</f>
        <v>0</v>
      </c>
      <c r="J230" s="461">
        <f>SUMIF('Diags Raw Data'!$A$6:$A$4003,"*"&amp;$A230&amp;"*",'Diags Raw Data'!$L$6:$L$4003)</f>
        <v>0</v>
      </c>
      <c r="K230" s="513" t="e" cm="1">
        <f t="array" ref="K230">IF(D230="",0, SUMPRODUCT(--(ISNUMBER(SEARCH($A230,'Diags Raw Data'!$A$6:$A$4003))),'Diags Raw Data'!$L$6:$L$4003,'Diags Raw Data'!$N$6:$N$4003)/J230)</f>
        <v>#DIV/0!</v>
      </c>
      <c r="L230" s="514" t="e" cm="1">
        <f t="array" ref="L230">IF(D230="",0, SUMPRODUCT(--(ISNUMBER(SEARCH($A230,'Diags Raw Data'!$A$6:$A$4003))),'Diags Raw Data'!$L$6:$L$4003,'Diags Raw Data'!$P$6:$P$4003)/J230)</f>
        <v>#DIV/0!</v>
      </c>
      <c r="M230" s="515" cm="1">
        <f t="array" ref="M230">SUMPRODUCT(--(ISNUMBER(SEARCH($A230,'Diags Raw Data'!$A$6:$A$4003))),--('Diags Raw Data'!$Q$6:$Q$4003&lt;&gt;"N/A"),'Diags Raw Data'!$R$6:$R$4003)</f>
        <v>1</v>
      </c>
      <c r="N230" s="516" cm="1">
        <f t="array" ref="N230">SUMPRODUCT(--(ISNUMBER(SEARCH($A230,'Diags Raw Data'!$A$6:$A$4003))),--('Diags Raw Data'!$Q$6:$Q$4003&lt;&gt;"N/A"),'Diags Raw Data'!$T$6:$T$4003)+SUMPRODUCT(--(ISNUMBER(SEARCH($A230,'Diags Raw Data'!$A$6:$A$4003))),--('Diags Raw Data'!$Q$6:$Q$4003&lt;&gt;"N/A"),'Diags Raw Data'!$U$6:$U$4003)</f>
        <v>1</v>
      </c>
      <c r="O230" s="517">
        <f t="shared" si="37"/>
        <v>1</v>
      </c>
      <c r="P230" s="518">
        <f>SUMIF('Diags Raw Data'!$A$6:$A$4003,"*"&amp;$A230&amp;"*",'Diags Raw Data'!$Z$6:$Z$4003)</f>
        <v>0</v>
      </c>
      <c r="Q230" s="519">
        <f>SUM(SUMIF('Diags Raw Data'!$A$6:$A$4003,"*"&amp;$A230&amp;"*",'Diags Raw Data'!$AA$6:$AA$4003),SUMIF('Diags Raw Data'!$A$6:$A$4003,"*"&amp;$A230&amp;"*",'Diags Raw Data'!$AB$6:$AB$4003))</f>
        <v>0</v>
      </c>
      <c r="R230" s="520">
        <f t="shared" si="38"/>
        <v>0</v>
      </c>
      <c r="S230" s="520">
        <f t="shared" si="39"/>
        <v>0</v>
      </c>
      <c r="T230" s="521">
        <f t="shared" si="40"/>
        <v>0</v>
      </c>
      <c r="U230" s="456" t="str">
        <f>VLOOKUP(A230,'Diags Raw Data'!$A$6:$AH$4003,33,FALSE)</f>
        <v>WK6</v>
      </c>
      <c r="V230" s="182"/>
    </row>
    <row r="231" spans="1:22" ht="15.75" thickBot="1" x14ac:dyDescent="0.3">
      <c r="A231" s="576">
        <v>12.465999999999999</v>
      </c>
      <c r="B231" s="458" t="str">
        <f>VLOOKUP(A231,'Feature Raw Data'!$A$3:$B$3922,2,FALSE)</f>
        <v>Distributed DIDT controller</v>
      </c>
      <c r="C231" s="459" t="str">
        <f>VLOOKUP(A231,'Feature Raw Data'!$A$3:$C$3922,3,FALSE)</f>
        <v>P2</v>
      </c>
      <c r="D231" s="460" t="str" cm="1">
        <f t="array" ref="D231">_xlfn.TEXTJOIN("",TRUE,IF(ISNUMBER(SEARCH($A231,'Diags Raw Data'!$A$6:$A$4003)),CONCATENATE('Diags Raw Data'!$H$6:$H$4003,", "),""))</f>
        <v xml:space="preserve">N/A, </v>
      </c>
      <c r="E231" s="341" t="str">
        <f>VLOOKUP(A231,'Diags Raw Data'!$A$6:$D$4003,4,FALSE)</f>
        <v>CTL</v>
      </c>
      <c r="F231" s="341" t="str">
        <f>VLOOKUP(A231,'Feature Raw Data'!$A$3:$E$3922,5,FALSE)</f>
        <v>New</v>
      </c>
      <c r="G231" s="341" t="str">
        <f t="shared" si="23"/>
        <v>No</v>
      </c>
      <c r="H231" s="341" t="str">
        <f t="shared" si="28"/>
        <v>No</v>
      </c>
      <c r="I231" s="459">
        <f>SUMIF('Diags Raw Data'!$A$6:$A$4003,"*"&amp;$A231&amp;"*",'Diags Raw Data'!$K$6:$K$4003)</f>
        <v>0</v>
      </c>
      <c r="J231" s="461">
        <f>SUMIF('Diags Raw Data'!$A$6:$A$4003,"*"&amp;$A231&amp;"*",'Diags Raw Data'!$L$6:$L$4003)</f>
        <v>0</v>
      </c>
      <c r="K231" s="513" t="e" cm="1">
        <f t="array" ref="K231">IF(D231="",0, SUMPRODUCT(--(ISNUMBER(SEARCH($A231,'Diags Raw Data'!$A$6:$A$4003))),'Diags Raw Data'!$L$6:$L$4003,'Diags Raw Data'!$N$6:$N$4003)/J231)</f>
        <v>#DIV/0!</v>
      </c>
      <c r="L231" s="514" t="e" cm="1">
        <f t="array" ref="L231">IF(D231="",0, SUMPRODUCT(--(ISNUMBER(SEARCH($A231,'Diags Raw Data'!$A$6:$A$4003))),'Diags Raw Data'!$L$6:$L$4003,'Diags Raw Data'!$P$6:$P$4003)/J231)</f>
        <v>#DIV/0!</v>
      </c>
      <c r="M231" s="515" cm="1">
        <f t="array" ref="M231">SUMPRODUCT(--(ISNUMBER(SEARCH($A231,'Diags Raw Data'!$A$6:$A$4003))),--('Diags Raw Data'!$Q$6:$Q$4003&lt;&gt;"N/A"),'Diags Raw Data'!$R$6:$R$4003)</f>
        <v>1</v>
      </c>
      <c r="N231" s="516" cm="1">
        <f t="array" ref="N231">SUMPRODUCT(--(ISNUMBER(SEARCH($A231,'Diags Raw Data'!$A$6:$A$4003))),--('Diags Raw Data'!$Q$6:$Q$4003&lt;&gt;"N/A"),'Diags Raw Data'!$T$6:$T$4003)+SUMPRODUCT(--(ISNUMBER(SEARCH($A231,'Diags Raw Data'!$A$6:$A$4003))),--('Diags Raw Data'!$Q$6:$Q$4003&lt;&gt;"N/A"),'Diags Raw Data'!$U$6:$U$4003)</f>
        <v>0</v>
      </c>
      <c r="O231" s="517">
        <f t="shared" si="37"/>
        <v>0</v>
      </c>
      <c r="P231" s="518">
        <f>SUMIF('Diags Raw Data'!$A$6:$A$4003,"*"&amp;$A231&amp;"*",'Diags Raw Data'!$Z$6:$Z$4003)</f>
        <v>0</v>
      </c>
      <c r="Q231" s="519">
        <f>SUM(SUMIF('Diags Raw Data'!$A$6:$A$4003,"*"&amp;$A231&amp;"*",'Diags Raw Data'!$AA$6:$AA$4003),SUMIF('Diags Raw Data'!$A$6:$A$4003,"*"&amp;$A231&amp;"*",'Diags Raw Data'!$AB$6:$AB$4003))</f>
        <v>0</v>
      </c>
      <c r="R231" s="520">
        <f t="shared" si="38"/>
        <v>0</v>
      </c>
      <c r="S231" s="520">
        <f t="shared" si="39"/>
        <v>0</v>
      </c>
      <c r="T231" s="521">
        <f t="shared" si="40"/>
        <v>0</v>
      </c>
      <c r="U231" s="456" t="str">
        <f>VLOOKUP(A231,'Diags Raw Data'!$A$6:$AH$4003,33,FALSE)</f>
        <v>WK8</v>
      </c>
      <c r="V231" s="182"/>
    </row>
    <row r="232" spans="1:22" ht="15.75" thickBot="1" x14ac:dyDescent="0.3">
      <c r="A232" s="576">
        <v>12.467000000000001</v>
      </c>
      <c r="B232" s="458" t="str">
        <f>VLOOKUP(A232,'Feature Raw Data'!$A$3:$B$3922,2,FALSE)</f>
        <v>GRBM/H SYNC registers</v>
      </c>
      <c r="C232" s="459" t="str">
        <f>VLOOKUP(A232,'Feature Raw Data'!$A$3:$C$3922,3,FALSE)</f>
        <v>P1</v>
      </c>
      <c r="D232" s="460" t="str" cm="1">
        <f t="array" ref="D232">_xlfn.TEXTJOIN("",TRUE,IF(ISNUMBER(SEARCH($A232,'Diags Raw Data'!$A$6:$A$4003)),CONCATENATE('Diags Raw Data'!$H$6:$H$4003,", "),""))</f>
        <v xml:space="preserve">cpi415, </v>
      </c>
      <c r="E232" s="341" t="str">
        <f>VLOOKUP(A232,'Diags Raw Data'!$A$6:$D$4003,4,FALSE)</f>
        <v>CTL</v>
      </c>
      <c r="F232" s="341" t="str">
        <f>VLOOKUP(A232,'Feature Raw Data'!$A$3:$E$3922,5,FALSE)</f>
        <v>New</v>
      </c>
      <c r="G232" s="341" t="str">
        <f t="shared" si="23"/>
        <v>Yes</v>
      </c>
      <c r="H232" s="341" t="str">
        <f t="shared" si="28"/>
        <v>Yes</v>
      </c>
      <c r="I232" s="459">
        <f>SUMIF('Diags Raw Data'!$A$6:$A$4003,"*"&amp;$A232&amp;"*",'Diags Raw Data'!$K$6:$K$4003)</f>
        <v>0</v>
      </c>
      <c r="J232" s="461">
        <f>SUMIF('Diags Raw Data'!$A$6:$A$4003,"*"&amp;$A232&amp;"*",'Diags Raw Data'!$L$6:$L$4003)</f>
        <v>0</v>
      </c>
      <c r="K232" s="513" t="e" cm="1">
        <f t="array" ref="K232">IF(D232="",0, SUMPRODUCT(--(ISNUMBER(SEARCH($A232,'Diags Raw Data'!$A$6:$A$4003))),'Diags Raw Data'!$L$6:$L$4003,'Diags Raw Data'!$N$6:$N$4003)/J232)</f>
        <v>#DIV/0!</v>
      </c>
      <c r="L232" s="514" t="e" cm="1">
        <f t="array" ref="L232">IF(D232="",0, SUMPRODUCT(--(ISNUMBER(SEARCH($A232,'Diags Raw Data'!$A$6:$A$4003))),'Diags Raw Data'!$L$6:$L$4003,'Diags Raw Data'!$P$6:$P$4003)/J232)</f>
        <v>#DIV/0!</v>
      </c>
      <c r="M232" s="515" cm="1">
        <f t="array" ref="M232">SUMPRODUCT(--(ISNUMBER(SEARCH($A232,'Diags Raw Data'!$A$6:$A$4003))),--('Diags Raw Data'!$Q$6:$Q$4003&lt;&gt;"N/A"),'Diags Raw Data'!$R$6:$R$4003)</f>
        <v>2</v>
      </c>
      <c r="N232" s="516" cm="1">
        <f t="array" ref="N232">SUMPRODUCT(--(ISNUMBER(SEARCH($A232,'Diags Raw Data'!$A$6:$A$4003))),--('Diags Raw Data'!$Q$6:$Q$4003&lt;&gt;"N/A"),'Diags Raw Data'!$T$6:$T$4003)+SUMPRODUCT(--(ISNUMBER(SEARCH($A232,'Diags Raw Data'!$A$6:$A$4003))),--('Diags Raw Data'!$Q$6:$Q$4003&lt;&gt;"N/A"),'Diags Raw Data'!$U$6:$U$4003)</f>
        <v>0</v>
      </c>
      <c r="O232" s="517">
        <f t="shared" si="37"/>
        <v>0</v>
      </c>
      <c r="P232" s="518">
        <f>SUMIF('Diags Raw Data'!$A$6:$A$4003,"*"&amp;$A232&amp;"*",'Diags Raw Data'!$Z$6:$Z$4003)</f>
        <v>0</v>
      </c>
      <c r="Q232" s="519">
        <f>SUM(SUMIF('Diags Raw Data'!$A$6:$A$4003,"*"&amp;$A232&amp;"*",'Diags Raw Data'!$AA$6:$AA$4003),SUMIF('Diags Raw Data'!$A$6:$A$4003,"*"&amp;$A232&amp;"*",'Diags Raw Data'!$AB$6:$AB$4003))</f>
        <v>0</v>
      </c>
      <c r="R232" s="520">
        <f t="shared" si="38"/>
        <v>0</v>
      </c>
      <c r="S232" s="520">
        <f t="shared" si="39"/>
        <v>0</v>
      </c>
      <c r="T232" s="521">
        <f t="shared" si="40"/>
        <v>0</v>
      </c>
      <c r="U232" s="456" t="str">
        <f>VLOOKUP(A232,'Diags Raw Data'!$A$6:$AH$4003,33,FALSE)</f>
        <v>WK3</v>
      </c>
      <c r="V232" s="182"/>
    </row>
    <row r="233" spans="1:22" ht="45.75" thickBot="1" x14ac:dyDescent="0.3">
      <c r="A233" s="576">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Data'!$A$6:$A$4003)),CONCATENATE('Diags Raw Data'!$H$6:$H$4003,", "),""))</f>
        <v xml:space="preserve">N/A, </v>
      </c>
      <c r="E233" s="341" t="str">
        <f>VLOOKUP(A233,'Diags Raw Data'!$A$6:$D$4003,4,FALSE)</f>
        <v>CTL</v>
      </c>
      <c r="F233" s="341" t="str">
        <f>VLOOKUP(A233,'Feature Raw Data'!$A$3:$E$3922,5,FALSE)</f>
        <v>New</v>
      </c>
      <c r="G233" s="341" t="str">
        <f t="shared" si="23"/>
        <v>No</v>
      </c>
      <c r="H233" s="341" t="str">
        <f t="shared" si="28"/>
        <v>No</v>
      </c>
      <c r="I233" s="459">
        <f>SUMIF('Diags Raw Data'!$A$6:$A$4003,"*"&amp;$A233&amp;"*",'Diags Raw Data'!$K$6:$K$4003)</f>
        <v>0</v>
      </c>
      <c r="J233" s="461">
        <f>SUMIF('Diags Raw Data'!$A$6:$A$4003,"*"&amp;$A233&amp;"*",'Diags Raw Data'!$L$6:$L$4003)</f>
        <v>0</v>
      </c>
      <c r="K233" s="513" t="e" cm="1">
        <f t="array" ref="K233">IF(D233="",0, SUMPRODUCT(--(ISNUMBER(SEARCH($A233,'Diags Raw Data'!$A$6:$A$4003))),'Diags Raw Data'!$L$6:$L$4003,'Diags Raw Data'!$N$6:$N$4003)/J233)</f>
        <v>#DIV/0!</v>
      </c>
      <c r="L233" s="514" t="e" cm="1">
        <f t="array" ref="L233">IF(D233="",0, SUMPRODUCT(--(ISNUMBER(SEARCH($A233,'Diags Raw Data'!$A$6:$A$4003))),'Diags Raw Data'!$L$6:$L$4003,'Diags Raw Data'!$P$6:$P$4003)/J233)</f>
        <v>#DIV/0!</v>
      </c>
      <c r="M233" s="515" cm="1">
        <f t="array" ref="M233">SUMPRODUCT(--(ISNUMBER(SEARCH($A233,'Diags Raw Data'!$A$6:$A$4003))),--('Diags Raw Data'!$Q$6:$Q$4003&lt;&gt;"N/A"),'Diags Raw Data'!$R$6:$R$4003)</f>
        <v>0</v>
      </c>
      <c r="N233" s="516" cm="1">
        <f t="array" ref="N233">SUMPRODUCT(--(ISNUMBER(SEARCH($A233,'Diags Raw Data'!$A$6:$A$4003))),--('Diags Raw Data'!$Q$6:$Q$4003&lt;&gt;"N/A"),'Diags Raw Data'!$T$6:$T$4003)+SUMPRODUCT(--(ISNUMBER(SEARCH($A233,'Diags Raw Data'!$A$6:$A$4003))),--('Diags Raw Data'!$Q$6:$Q$4003&lt;&gt;"N/A"),'Diags Raw Data'!$U$6:$U$4003)</f>
        <v>0</v>
      </c>
      <c r="O233" s="517">
        <f t="shared" si="37"/>
        <v>0</v>
      </c>
      <c r="P233" s="518">
        <f>SUMIF('Diags Raw Data'!$A$6:$A$4003,"*"&amp;$A233&amp;"*",'Diags Raw Data'!$Z$6:$Z$4003)</f>
        <v>0</v>
      </c>
      <c r="Q233" s="519">
        <f>SUM(SUMIF('Diags Raw Data'!$A$6:$A$4003,"*"&amp;$A233&amp;"*",'Diags Raw Data'!$AA$6:$AA$4003),SUMIF('Diags Raw Data'!$A$6:$A$4003,"*"&amp;$A233&amp;"*",'Diags Raw Data'!$AB$6:$AB$4003))</f>
        <v>0</v>
      </c>
      <c r="R233" s="520">
        <f t="shared" si="38"/>
        <v>0</v>
      </c>
      <c r="S233" s="520">
        <f t="shared" si="39"/>
        <v>0</v>
      </c>
      <c r="T233" s="521">
        <f t="shared" si="40"/>
        <v>0</v>
      </c>
      <c r="U233" s="456" t="str">
        <f>VLOOKUP(A233,'Diags Raw Data'!$A$6:$AH$4003,33,FALSE)</f>
        <v>N/A</v>
      </c>
      <c r="V233" s="182"/>
    </row>
    <row r="234" spans="1:22" ht="30.75" thickBot="1" x14ac:dyDescent="0.3">
      <c r="A234" s="576">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Data'!$A$6:$A$4003)),CONCATENATE('Diags Raw Data'!$H$6:$H$4003,", "),""))</f>
        <v xml:space="preserve">gci1309.0-3, </v>
      </c>
      <c r="E234" s="341" t="str">
        <f>VLOOKUP(A234,'Diags Raw Data'!$A$6:$D$4003,4,FALSE)</f>
        <v>SH</v>
      </c>
      <c r="F234" s="341" t="str">
        <f>VLOOKUP(A234,'Feature Raw Data'!$A$3:$E$3922,5,FALSE)</f>
        <v>New</v>
      </c>
      <c r="G234" s="341" t="str">
        <f t="shared" si="23"/>
        <v>Yes</v>
      </c>
      <c r="H234" s="341" t="str">
        <f t="shared" si="28"/>
        <v>Yes</v>
      </c>
      <c r="I234" s="459">
        <f>SUMIF('Diags Raw Data'!$A$6:$A$4003,"*"&amp;$A234&amp;"*",'Diags Raw Data'!$K$6:$K$4003)</f>
        <v>0</v>
      </c>
      <c r="J234" s="461">
        <f>SUMIF('Diags Raw Data'!$A$6:$A$4003,"*"&amp;$A234&amp;"*",'Diags Raw Data'!$L$6:$L$4003)</f>
        <v>0</v>
      </c>
      <c r="K234" s="513" t="e" cm="1">
        <f t="array" ref="K234">IF(D234="",0, SUMPRODUCT(--(ISNUMBER(SEARCH($A234,'Diags Raw Data'!$A$6:$A$4003))),'Diags Raw Data'!$L$6:$L$4003,'Diags Raw Data'!$N$6:$N$4003)/J234)</f>
        <v>#DIV/0!</v>
      </c>
      <c r="L234" s="514" t="e" cm="1">
        <f t="array" ref="L234">IF(D234="",0, SUMPRODUCT(--(ISNUMBER(SEARCH($A234,'Diags Raw Data'!$A$6:$A$4003))),'Diags Raw Data'!$L$6:$L$4003,'Diags Raw Data'!$P$6:$P$4003)/J234)</f>
        <v>#DIV/0!</v>
      </c>
      <c r="M234" s="515" cm="1">
        <f t="array" ref="M234">SUMPRODUCT(--(ISNUMBER(SEARCH($A234,'Diags Raw Data'!$A$6:$A$4003))),--('Diags Raw Data'!$Q$6:$Q$4003&lt;&gt;"N/A"),'Diags Raw Data'!$R$6:$R$4003)</f>
        <v>4</v>
      </c>
      <c r="N234" s="516" cm="1">
        <f t="array" ref="N234">SUMPRODUCT(--(ISNUMBER(SEARCH($A234,'Diags Raw Data'!$A$6:$A$4003))),--('Diags Raw Data'!$Q$6:$Q$4003&lt;&gt;"N/A"),'Diags Raw Data'!$T$6:$T$4003)+SUMPRODUCT(--(ISNUMBER(SEARCH($A234,'Diags Raw Data'!$A$6:$A$4003))),--('Diags Raw Data'!$Q$6:$Q$4003&lt;&gt;"N/A"),'Diags Raw Data'!$U$6:$U$4003)</f>
        <v>4</v>
      </c>
      <c r="O234" s="517">
        <f t="shared" si="37"/>
        <v>1</v>
      </c>
      <c r="P234" s="518">
        <f>SUMIF('Diags Raw Data'!$A$6:$A$4003,"*"&amp;$A234&amp;"*",'Diags Raw Data'!$Z$6:$Z$4003)</f>
        <v>0</v>
      </c>
      <c r="Q234" s="519">
        <f>SUM(SUMIF('Diags Raw Data'!$A$6:$A$4003,"*"&amp;$A234&amp;"*",'Diags Raw Data'!$AA$6:$AA$4003),SUMIF('Diags Raw Data'!$A$6:$A$4003,"*"&amp;$A234&amp;"*",'Diags Raw Data'!$AB$6:$AB$4003))</f>
        <v>0</v>
      </c>
      <c r="R234" s="520">
        <f t="shared" si="38"/>
        <v>0</v>
      </c>
      <c r="S234" s="520">
        <f t="shared" si="39"/>
        <v>0</v>
      </c>
      <c r="T234" s="521">
        <f t="shared" si="40"/>
        <v>0</v>
      </c>
      <c r="U234" s="456" t="str">
        <f>VLOOKUP(A234,'Diags Raw Data'!$A$6:$AH$4003,33,FALSE)</f>
        <v>WK7</v>
      </c>
      <c r="V234" s="182"/>
    </row>
    <row r="235" spans="1:22" ht="120.75" thickBot="1" x14ac:dyDescent="0.3">
      <c r="A235" s="576">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Data'!$A$6:$A$4003)),CONCATENATE('Diags Raw Data'!$H$6:$H$4003,", "),""))</f>
        <v xml:space="preserve">gmhub.athub_raw_monolithic_test/CPWD, gfx.sr_stat, , gfx.inst_perf/v_wmma_f32_16x16x.*
gfx.inst_perf/v_wmma_i32_16x16x32_iu4
gci39.1-6, N/A, N/A, N/A, placeholder_b.1, </v>
      </c>
      <c r="E235" s="341" t="str">
        <f>VLOOKUP(A235,'Diags Raw Data'!$A$6:$D$4003,4,FALSE)</f>
        <v>CMM</v>
      </c>
      <c r="F235" s="341" t="str">
        <f>VLOOKUP(A235,'Feature Raw Data'!$A$3:$E$3922,5,FALSE)</f>
        <v>New</v>
      </c>
      <c r="G235" s="341" t="str">
        <f t="shared" si="23"/>
        <v>Yes</v>
      </c>
      <c r="H235" s="341" t="str">
        <f t="shared" si="28"/>
        <v>Yes</v>
      </c>
      <c r="I235" s="459">
        <f>SUMIF('Diags Raw Data'!$A$6:$A$4003,"*"&amp;$A235&amp;"*",'Diags Raw Data'!$K$6:$K$4003)</f>
        <v>0</v>
      </c>
      <c r="J235" s="461">
        <f>SUMIF('Diags Raw Data'!$A$6:$A$4003,"*"&amp;$A235&amp;"*",'Diags Raw Data'!$L$6:$L$4003)</f>
        <v>0</v>
      </c>
      <c r="K235" s="513" t="e" cm="1">
        <f t="array" ref="K235">IF(D235="",0, SUMPRODUCT(--(ISNUMBER(SEARCH($A235,'Diags Raw Data'!$A$6:$A$4003))),'Diags Raw Data'!$L$6:$L$4003,'Diags Raw Data'!$N$6:$N$4003)/J235)</f>
        <v>#DIV/0!</v>
      </c>
      <c r="L235" s="514" t="e" cm="1">
        <f t="array" ref="L235">IF(D235="",0, SUMPRODUCT(--(ISNUMBER(SEARCH($A235,'Diags Raw Data'!$A$6:$A$4003))),'Diags Raw Data'!$L$6:$L$4003,'Diags Raw Data'!$P$6:$P$4003)/J235)</f>
        <v>#DIV/0!</v>
      </c>
      <c r="M235" s="515" cm="1">
        <f t="array" ref="M235">SUMPRODUCT(--(ISNUMBER(SEARCH($A235,'Diags Raw Data'!$A$6:$A$4003))),--('Diags Raw Data'!$Q$6:$Q$4003&lt;&gt;"N/A"),'Diags Raw Data'!$R$6:$R$4003)</f>
        <v>15</v>
      </c>
      <c r="N235" s="516" cm="1">
        <f t="array" ref="N235">SUMPRODUCT(--(ISNUMBER(SEARCH($A235,'Diags Raw Data'!$A$6:$A$4003))),--('Diags Raw Data'!$Q$6:$Q$4003&lt;&gt;"N/A"),'Diags Raw Data'!$T$6:$T$4003)+SUMPRODUCT(--(ISNUMBER(SEARCH($A235,'Diags Raw Data'!$A$6:$A$4003))),--('Diags Raw Data'!$Q$6:$Q$4003&lt;&gt;"N/A"),'Diags Raw Data'!$U$6:$U$4003)</f>
        <v>11</v>
      </c>
      <c r="O235" s="517">
        <f t="shared" si="37"/>
        <v>0.73333333333333328</v>
      </c>
      <c r="P235" s="518">
        <f>SUMIF('Diags Raw Data'!$A$6:$A$4003,"*"&amp;$A235&amp;"*",'Diags Raw Data'!$Z$6:$Z$4003)</f>
        <v>0</v>
      </c>
      <c r="Q235" s="519">
        <f>SUM(SUMIF('Diags Raw Data'!$A$6:$A$4003,"*"&amp;$A235&amp;"*",'Diags Raw Data'!$AA$6:$AA$4003),SUMIF('Diags Raw Data'!$A$6:$A$4003,"*"&amp;$A235&amp;"*",'Diags Raw Data'!$AB$6:$AB$4003))</f>
        <v>0</v>
      </c>
      <c r="R235" s="520">
        <f t="shared" si="38"/>
        <v>0</v>
      </c>
      <c r="S235" s="520">
        <f t="shared" si="39"/>
        <v>0</v>
      </c>
      <c r="T235" s="521">
        <f t="shared" si="40"/>
        <v>0</v>
      </c>
      <c r="U235" s="456" t="str">
        <f>VLOOKUP(A235,'Diags Raw Data'!$A$6:$AH$4003,33,FALSE)</f>
        <v>WK5</v>
      </c>
      <c r="V235" s="182"/>
    </row>
    <row r="236" spans="1:22" ht="45.75" thickBot="1" x14ac:dyDescent="0.3">
      <c r="A236" s="576">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Data'!$A$6:$A$4003)),CONCATENATE('Diags Raw Data'!$H$6:$H$4003,", "),""))</f>
        <v xml:space="preserve">gfx.sr_stat, </v>
      </c>
      <c r="E236" s="341" t="str">
        <f>VLOOKUP(A236,'Diags Raw Data'!$A$6:$D$4003,4,FALSE)</f>
        <v>SIO</v>
      </c>
      <c r="F236" s="341" t="str">
        <f>VLOOKUP(A236,'Feature Raw Data'!$A$3:$E$3922,5,FALSE)</f>
        <v>New</v>
      </c>
      <c r="G236" s="341" t="str">
        <f t="shared" si="23"/>
        <v>Yes</v>
      </c>
      <c r="H236" s="341" t="str">
        <f t="shared" si="28"/>
        <v>Yes</v>
      </c>
      <c r="I236" s="459">
        <f>SUMIF('Diags Raw Data'!$A$6:$A$4003,"*"&amp;$A236&amp;"*",'Diags Raw Data'!$K$6:$K$4003)</f>
        <v>0</v>
      </c>
      <c r="J236" s="461">
        <f>SUMIF('Diags Raw Data'!$A$6:$A$4003,"*"&amp;$A236&amp;"*",'Diags Raw Data'!$L$6:$L$4003)</f>
        <v>0</v>
      </c>
      <c r="K236" s="513" t="e" cm="1">
        <f t="array" ref="K236">IF(D236="",0, SUMPRODUCT(--(ISNUMBER(SEARCH($A236,'Diags Raw Data'!$A$6:$A$4003))),'Diags Raw Data'!$L$6:$L$4003,'Diags Raw Data'!$N$6:$N$4003)/J236)</f>
        <v>#DIV/0!</v>
      </c>
      <c r="L236" s="514" t="e" cm="1">
        <f t="array" ref="L236">IF(D236="",0, SUMPRODUCT(--(ISNUMBER(SEARCH($A236,'Diags Raw Data'!$A$6:$A$4003))),'Diags Raw Data'!$L$6:$L$4003,'Diags Raw Data'!$P$6:$P$4003)/J236)</f>
        <v>#DIV/0!</v>
      </c>
      <c r="M236" s="515" cm="1">
        <f t="array" ref="M236">SUMPRODUCT(--(ISNUMBER(SEARCH($A236,'Diags Raw Data'!$A$6:$A$4003))),--('Diags Raw Data'!$Q$6:$Q$4003&lt;&gt;"N/A"),'Diags Raw Data'!$R$6:$R$4003)</f>
        <v>1</v>
      </c>
      <c r="N236" s="516" cm="1">
        <f t="array" ref="N236">SUMPRODUCT(--(ISNUMBER(SEARCH($A236,'Diags Raw Data'!$A$6:$A$4003))),--('Diags Raw Data'!$Q$6:$Q$4003&lt;&gt;"N/A"),'Diags Raw Data'!$T$6:$T$4003)+SUMPRODUCT(--(ISNUMBER(SEARCH($A236,'Diags Raw Data'!$A$6:$A$4003))),--('Diags Raw Data'!$Q$6:$Q$4003&lt;&gt;"N/A"),'Diags Raw Data'!$U$6:$U$4003)</f>
        <v>0</v>
      </c>
      <c r="O236" s="517">
        <f t="shared" si="37"/>
        <v>0</v>
      </c>
      <c r="P236" s="518">
        <f>SUMIF('Diags Raw Data'!$A$6:$A$4003,"*"&amp;$A236&amp;"*",'Diags Raw Data'!$Z$6:$Z$4003)</f>
        <v>0</v>
      </c>
      <c r="Q236" s="519">
        <f>SUM(SUMIF('Diags Raw Data'!$A$6:$A$4003,"*"&amp;$A236&amp;"*",'Diags Raw Data'!$AA$6:$AA$4003),SUMIF('Diags Raw Data'!$A$6:$A$4003,"*"&amp;$A236&amp;"*",'Diags Raw Data'!$AB$6:$AB$4003))</f>
        <v>0</v>
      </c>
      <c r="R236" s="520">
        <f t="shared" si="38"/>
        <v>0</v>
      </c>
      <c r="S236" s="520">
        <f t="shared" si="39"/>
        <v>0</v>
      </c>
      <c r="T236" s="521">
        <f t="shared" si="40"/>
        <v>0</v>
      </c>
      <c r="U236" s="456" t="str">
        <f>VLOOKUP(A236,'Diags Raw Data'!$A$6:$AH$4003,33,FALSE)</f>
        <v>WK8</v>
      </c>
      <c r="V236" s="182"/>
    </row>
    <row r="237" spans="1:22" ht="30.75" thickBot="1" x14ac:dyDescent="0.3">
      <c r="A237" s="576">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Data'!$A$6:$A$4003)),CONCATENATE('Diags Raw Data'!$H$6:$H$4003,", "),""))</f>
        <v xml:space="preserve">, </v>
      </c>
      <c r="E237" s="341" t="str">
        <f>VLOOKUP(A237,'Diags Raw Data'!$A$6:$D$4003,4,FALSE)</f>
        <v>CMM</v>
      </c>
      <c r="F237" s="341" t="str">
        <f>VLOOKUP(A237,'Feature Raw Data'!$A$3:$E$3922,5,FALSE)</f>
        <v>New</v>
      </c>
      <c r="G237" s="341" t="str">
        <f t="shared" si="23"/>
        <v>Yes</v>
      </c>
      <c r="H237" s="341" t="str">
        <f t="shared" si="28"/>
        <v>Yes</v>
      </c>
      <c r="I237" s="459">
        <f>SUMIF('Diags Raw Data'!$A$6:$A$4003,"*"&amp;$A237&amp;"*",'Diags Raw Data'!$K$6:$K$4003)</f>
        <v>0</v>
      </c>
      <c r="J237" s="461">
        <f>SUMIF('Diags Raw Data'!$A$6:$A$4003,"*"&amp;$A237&amp;"*",'Diags Raw Data'!$L$6:$L$4003)</f>
        <v>0</v>
      </c>
      <c r="K237" s="513" t="e" cm="1">
        <f t="array" ref="K237">IF(D237="",0, SUMPRODUCT(--(ISNUMBER(SEARCH($A237,'Diags Raw Data'!$A$6:$A$4003))),'Diags Raw Data'!$L$6:$L$4003,'Diags Raw Data'!$N$6:$N$4003)/J237)</f>
        <v>#DIV/0!</v>
      </c>
      <c r="L237" s="514" t="e" cm="1">
        <f t="array" ref="L237">IF(D237="",0, SUMPRODUCT(--(ISNUMBER(SEARCH($A237,'Diags Raw Data'!$A$6:$A$4003))),'Diags Raw Data'!$L$6:$L$4003,'Diags Raw Data'!$P$6:$P$4003)/J237)</f>
        <v>#DIV/0!</v>
      </c>
      <c r="M237" s="515" cm="1">
        <f t="array" ref="M237">SUMPRODUCT(--(ISNUMBER(SEARCH($A237,'Diags Raw Data'!$A$6:$A$4003))),--('Diags Raw Data'!$Q$6:$Q$4003&lt;&gt;"N/A"),'Diags Raw Data'!$R$6:$R$4003)</f>
        <v>1</v>
      </c>
      <c r="N237" s="516" cm="1">
        <f t="array" ref="N237">SUMPRODUCT(--(ISNUMBER(SEARCH($A237,'Diags Raw Data'!$A$6:$A$4003))),--('Diags Raw Data'!$Q$6:$Q$4003&lt;&gt;"N/A"),'Diags Raw Data'!$T$6:$T$4003)+SUMPRODUCT(--(ISNUMBER(SEARCH($A237,'Diags Raw Data'!$A$6:$A$4003))),--('Diags Raw Data'!$Q$6:$Q$4003&lt;&gt;"N/A"),'Diags Raw Data'!$U$6:$U$4003)</f>
        <v>0</v>
      </c>
      <c r="O237" s="517">
        <f t="shared" si="37"/>
        <v>0</v>
      </c>
      <c r="P237" s="518">
        <f>SUMIF('Diags Raw Data'!$A$6:$A$4003,"*"&amp;$A237&amp;"*",'Diags Raw Data'!$Z$6:$Z$4003)</f>
        <v>0</v>
      </c>
      <c r="Q237" s="519">
        <f>SUM(SUMIF('Diags Raw Data'!$A$6:$A$4003,"*"&amp;$A237&amp;"*",'Diags Raw Data'!$AA$6:$AA$4003),SUMIF('Diags Raw Data'!$A$6:$A$4003,"*"&amp;$A237&amp;"*",'Diags Raw Data'!$AB$6:$AB$4003))</f>
        <v>0</v>
      </c>
      <c r="R237" s="520">
        <f t="shared" si="38"/>
        <v>0</v>
      </c>
      <c r="S237" s="520">
        <f t="shared" si="39"/>
        <v>0</v>
      </c>
      <c r="T237" s="521">
        <f t="shared" si="40"/>
        <v>0</v>
      </c>
      <c r="U237" s="456" t="str">
        <f>VLOOKUP(A237,'Diags Raw Data'!$A$6:$AH$4003,33,FALSE)</f>
        <v>WK5</v>
      </c>
      <c r="V237" s="182"/>
    </row>
    <row r="238" spans="1:22" ht="75.75" thickBot="1" x14ac:dyDescent="0.3">
      <c r="A238" s="576">
        <v>12.474</v>
      </c>
      <c r="B238" s="458" t="str">
        <f>VLOOKUP(A238,'Feature Raw Data'!$A$3:$B$3922,2,FALSE)</f>
        <v>2x MLOPs performance</v>
      </c>
      <c r="C238" s="459" t="str">
        <f>VLOOKUP(A238,'Feature Raw Data'!$A$3:$C$3922,3,FALSE)</f>
        <v>P2</v>
      </c>
      <c r="D238" s="460" t="str" cm="1">
        <f t="array" ref="D238">_xlfn.TEXTJOIN("",TRUE,IF(ISNUMBER(SEARCH($A238,'Diags Raw Data'!$A$6:$A$4003)),CONCATENATE('Diags Raw Data'!$H$6:$H$4003,", "),""))</f>
        <v xml:space="preserve">gfx.inst_perf/v_wmma_f32_16x16x.*
gfx.inst_perf/v_wmma_i32_16x16x32_iu4
gci39.1-6,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9">
        <f>SUMIF('Diags Raw Data'!$A$6:$A$4003,"*"&amp;$A238&amp;"*",'Diags Raw Data'!$K$6:$K$4003)</f>
        <v>0</v>
      </c>
      <c r="J238" s="461">
        <f>SUMIF('Diags Raw Data'!$A$6:$A$4003,"*"&amp;$A238&amp;"*",'Diags Raw Data'!$L$6:$L$4003)</f>
        <v>0</v>
      </c>
      <c r="K238" s="513" t="e" cm="1">
        <f t="array" ref="K238">IF(D238="",0, SUMPRODUCT(--(ISNUMBER(SEARCH($A238,'Diags Raw Data'!$A$6:$A$4003))),'Diags Raw Data'!$L$6:$L$4003,'Diags Raw Data'!$N$6:$N$4003)/J238)</f>
        <v>#DIV/0!</v>
      </c>
      <c r="L238" s="514" t="e" cm="1">
        <f t="array" ref="L238">IF(D238="",0, SUMPRODUCT(--(ISNUMBER(SEARCH($A238,'Diags Raw Data'!$A$6:$A$4003))),'Diags Raw Data'!$L$6:$L$4003,'Diags Raw Data'!$P$6:$P$4003)/J238)</f>
        <v>#DIV/0!</v>
      </c>
      <c r="M238" s="515" cm="1">
        <f t="array" ref="M238">SUMPRODUCT(--(ISNUMBER(SEARCH($A238,'Diags Raw Data'!$A$6:$A$4003))),--('Diags Raw Data'!$Q$6:$Q$4003&lt;&gt;"N/A"),'Diags Raw Data'!$R$6:$R$4003)</f>
        <v>11</v>
      </c>
      <c r="N238" s="516" cm="1">
        <f t="array" ref="N238">SUMPRODUCT(--(ISNUMBER(SEARCH($A238,'Diags Raw Data'!$A$6:$A$4003))),--('Diags Raw Data'!$Q$6:$Q$4003&lt;&gt;"N/A"),'Diags Raw Data'!$T$6:$T$4003)+SUMPRODUCT(--(ISNUMBER(SEARCH($A238,'Diags Raw Data'!$A$6:$A$4003))),--('Diags Raw Data'!$Q$6:$Q$4003&lt;&gt;"N/A"),'Diags Raw Data'!$U$6:$U$4003)</f>
        <v>11</v>
      </c>
      <c r="O238" s="517">
        <f t="shared" ref="O238:O258" si="43">IF((M238=0),0,N238/M238)</f>
        <v>1</v>
      </c>
      <c r="P238" s="518">
        <f>SUMIF('Diags Raw Data'!$A$6:$A$4003,"*"&amp;$A238&amp;"*",'Diags Raw Data'!$Z$6:$Z$4003)</f>
        <v>0</v>
      </c>
      <c r="Q238" s="519">
        <f>SUM(SUMIF('Diags Raw Data'!$A$6:$A$4003,"*"&amp;$A238&amp;"*",'Diags Raw Data'!$AA$6:$AA$4003),SUMIF('Diags Raw Data'!$A$6:$A$4003,"*"&amp;$A238&amp;"*",'Diags Raw Data'!$AB$6:$AB$4003))</f>
        <v>0</v>
      </c>
      <c r="R238" s="520">
        <f t="shared" ref="R238:R258" si="44">IF((J238=0),0,P238/J238)</f>
        <v>0</v>
      </c>
      <c r="S238" s="520">
        <f t="shared" ref="S238:S258" si="45">IF((P238=0),0,Q238/P238)</f>
        <v>0</v>
      </c>
      <c r="T238" s="521">
        <f t="shared" ref="T238:T258" si="46">R238*S238</f>
        <v>0</v>
      </c>
      <c r="U238" s="456" t="str">
        <f>VLOOKUP(A238,'Diags Raw Data'!$A$6:$AH$4003,33,FALSE)</f>
        <v>WK6</v>
      </c>
      <c r="V238" s="182"/>
    </row>
    <row r="239" spans="1:22" ht="30.75" thickBot="1" x14ac:dyDescent="0.3">
      <c r="A239" s="576">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Data'!$A$6:$A$4003)),CONCATENATE('Diags Raw Data'!$H$6:$H$4003,", "),""))</f>
        <v xml:space="preserve">N/A, </v>
      </c>
      <c r="E239" s="341" t="str">
        <f>VLOOKUP(A239,'Diags Raw Data'!$A$6:$D$4003,4,FALSE)</f>
        <v>CMM</v>
      </c>
      <c r="F239" s="341" t="str">
        <f>VLOOKUP(A239,'Feature Raw Data'!$A$3:$E$3922,5,FALSE)</f>
        <v>New</v>
      </c>
      <c r="G239" s="341" t="str">
        <f t="shared" si="41"/>
        <v>No</v>
      </c>
      <c r="H239" s="341" t="str">
        <f t="shared" si="42"/>
        <v>No</v>
      </c>
      <c r="I239" s="459">
        <f>SUMIF('Diags Raw Data'!$A$6:$A$4003,"*"&amp;$A239&amp;"*",'Diags Raw Data'!$K$6:$K$4003)</f>
        <v>0</v>
      </c>
      <c r="J239" s="461">
        <f>SUMIF('Diags Raw Data'!$A$6:$A$4003,"*"&amp;$A239&amp;"*",'Diags Raw Data'!$L$6:$L$4003)</f>
        <v>0</v>
      </c>
      <c r="K239" s="513" t="e" cm="1">
        <f t="array" ref="K239">IF(D239="",0, SUMPRODUCT(--(ISNUMBER(SEARCH($A239,'Diags Raw Data'!$A$6:$A$4003))),'Diags Raw Data'!$L$6:$L$4003,'Diags Raw Data'!$N$6:$N$4003)/J239)</f>
        <v>#DIV/0!</v>
      </c>
      <c r="L239" s="514" t="e" cm="1">
        <f t="array" ref="L239">IF(D239="",0, SUMPRODUCT(--(ISNUMBER(SEARCH($A239,'Diags Raw Data'!$A$6:$A$4003))),'Diags Raw Data'!$L$6:$L$4003,'Diags Raw Data'!$P$6:$P$4003)/J239)</f>
        <v>#DIV/0!</v>
      </c>
      <c r="M239" s="515" cm="1">
        <f t="array" ref="M239">SUMPRODUCT(--(ISNUMBER(SEARCH($A239,'Diags Raw Data'!$A$6:$A$4003))),--('Diags Raw Data'!$Q$6:$Q$4003&lt;&gt;"N/A"),'Diags Raw Data'!$R$6:$R$4003)</f>
        <v>0</v>
      </c>
      <c r="N239" s="516" cm="1">
        <f t="array" ref="N239">SUMPRODUCT(--(ISNUMBER(SEARCH($A239,'Diags Raw Data'!$A$6:$A$4003))),--('Diags Raw Data'!$Q$6:$Q$4003&lt;&gt;"N/A"),'Diags Raw Data'!$T$6:$T$4003)+SUMPRODUCT(--(ISNUMBER(SEARCH($A239,'Diags Raw Data'!$A$6:$A$4003))),--('Diags Raw Data'!$Q$6:$Q$4003&lt;&gt;"N/A"),'Diags Raw Data'!$U$6:$U$4003)</f>
        <v>0</v>
      </c>
      <c r="O239" s="517">
        <f t="shared" si="43"/>
        <v>0</v>
      </c>
      <c r="P239" s="518">
        <f>SUMIF('Diags Raw Data'!$A$6:$A$4003,"*"&amp;$A239&amp;"*",'Diags Raw Data'!$Z$6:$Z$4003)</f>
        <v>0</v>
      </c>
      <c r="Q239" s="519">
        <f>SUM(SUMIF('Diags Raw Data'!$A$6:$A$4003,"*"&amp;$A239&amp;"*",'Diags Raw Data'!$AA$6:$AA$4003),SUMIF('Diags Raw Data'!$A$6:$A$4003,"*"&amp;$A239&amp;"*",'Diags Raw Data'!$AB$6:$AB$4003))</f>
        <v>0</v>
      </c>
      <c r="R239" s="520">
        <f t="shared" si="44"/>
        <v>0</v>
      </c>
      <c r="S239" s="520">
        <f t="shared" si="45"/>
        <v>0</v>
      </c>
      <c r="T239" s="521">
        <f t="shared" si="46"/>
        <v>0</v>
      </c>
      <c r="U239" s="456" t="str">
        <f>VLOOKUP(A239,'Diags Raw Data'!$A$6:$AH$4003,33,FALSE)</f>
        <v>N/A</v>
      </c>
      <c r="V239" s="182"/>
    </row>
    <row r="240" spans="1:22" ht="30.75" thickBot="1" x14ac:dyDescent="0.3">
      <c r="A240" s="576">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Data'!$A$6:$A$4003)),CONCATENATE('Diags Raw Data'!$H$6:$H$4003,", "),""))</f>
        <v xml:space="preserve">N/A, </v>
      </c>
      <c r="E240" s="341" t="str">
        <f>VLOOKUP(A240,'Diags Raw Data'!$A$6:$D$4003,4,FALSE)</f>
        <v>PP</v>
      </c>
      <c r="F240" s="341" t="str">
        <f>VLOOKUP(A240,'Feature Raw Data'!$A$3:$E$3922,5,FALSE)</f>
        <v>New</v>
      </c>
      <c r="G240" s="341" t="str">
        <f t="shared" si="41"/>
        <v>No</v>
      </c>
      <c r="H240" s="341" t="str">
        <f t="shared" si="42"/>
        <v>No</v>
      </c>
      <c r="I240" s="459">
        <f>SUMIF('Diags Raw Data'!$A$6:$A$4003,"*"&amp;$A240&amp;"*",'Diags Raw Data'!$K$6:$K$4003)</f>
        <v>0</v>
      </c>
      <c r="J240" s="461">
        <f>SUMIF('Diags Raw Data'!$A$6:$A$4003,"*"&amp;$A240&amp;"*",'Diags Raw Data'!$L$6:$L$4003)</f>
        <v>0</v>
      </c>
      <c r="K240" s="513" t="e" cm="1">
        <f t="array" ref="K240">IF(D240="",0, SUMPRODUCT(--(ISNUMBER(SEARCH($A240,'Diags Raw Data'!$A$6:$A$4003))),'Diags Raw Data'!$L$6:$L$4003,'Diags Raw Data'!$N$6:$N$4003)/J240)</f>
        <v>#DIV/0!</v>
      </c>
      <c r="L240" s="514" t="e" cm="1">
        <f t="array" ref="L240">IF(D240="",0, SUMPRODUCT(--(ISNUMBER(SEARCH($A240,'Diags Raw Data'!$A$6:$A$4003))),'Diags Raw Data'!$L$6:$L$4003,'Diags Raw Data'!$P$6:$P$4003)/J240)</f>
        <v>#DIV/0!</v>
      </c>
      <c r="M240" s="515" cm="1">
        <f t="array" ref="M240">SUMPRODUCT(--(ISNUMBER(SEARCH($A240,'Diags Raw Data'!$A$6:$A$4003))),--('Diags Raw Data'!$Q$6:$Q$4003&lt;&gt;"N/A"),'Diags Raw Data'!$R$6:$R$4003)</f>
        <v>0</v>
      </c>
      <c r="N240" s="516" cm="1">
        <f t="array" ref="N240">SUMPRODUCT(--(ISNUMBER(SEARCH($A240,'Diags Raw Data'!$A$6:$A$4003))),--('Diags Raw Data'!$Q$6:$Q$4003&lt;&gt;"N/A"),'Diags Raw Data'!$T$6:$T$4003)+SUMPRODUCT(--(ISNUMBER(SEARCH($A240,'Diags Raw Data'!$A$6:$A$4003))),--('Diags Raw Data'!$Q$6:$Q$4003&lt;&gt;"N/A"),'Diags Raw Data'!$U$6:$U$4003)</f>
        <v>0</v>
      </c>
      <c r="O240" s="517">
        <f t="shared" si="43"/>
        <v>0</v>
      </c>
      <c r="P240" s="518">
        <f>SUMIF('Diags Raw Data'!$A$6:$A$4003,"*"&amp;$A240&amp;"*",'Diags Raw Data'!$Z$6:$Z$4003)</f>
        <v>0</v>
      </c>
      <c r="Q240" s="519">
        <f>SUM(SUMIF('Diags Raw Data'!$A$6:$A$4003,"*"&amp;$A240&amp;"*",'Diags Raw Data'!$AA$6:$AA$4003),SUMIF('Diags Raw Data'!$A$6:$A$4003,"*"&amp;$A240&amp;"*",'Diags Raw Data'!$AB$6:$AB$4003))</f>
        <v>0</v>
      </c>
      <c r="R240" s="520">
        <f t="shared" si="44"/>
        <v>0</v>
      </c>
      <c r="S240" s="520">
        <f t="shared" si="45"/>
        <v>0</v>
      </c>
      <c r="T240" s="521">
        <f t="shared" si="46"/>
        <v>0</v>
      </c>
      <c r="U240" s="456" t="str">
        <f>VLOOKUP(A240,'Diags Raw Data'!$A$6:$AH$4003,33,FALSE)</f>
        <v>N/A</v>
      </c>
      <c r="V240" s="182"/>
    </row>
    <row r="241" spans="1:22" ht="45.75" thickBot="1" x14ac:dyDescent="0.3">
      <c r="A241" s="576">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Data'!$A$6:$A$4003)),CONCATENATE('Diags Raw Data'!$H$6:$H$4003,", "),""))</f>
        <v xml:space="preserve">N/A, </v>
      </c>
      <c r="E241" s="341" t="str">
        <f>VLOOKUP(A241,'Diags Raw Data'!$A$6:$D$4003,4,FALSE)</f>
        <v>CTL</v>
      </c>
      <c r="F241" s="341" t="str">
        <f>VLOOKUP(A241,'Feature Raw Data'!$A$3:$E$3922,5,FALSE)</f>
        <v>New</v>
      </c>
      <c r="G241" s="341" t="str">
        <f t="shared" si="41"/>
        <v>No</v>
      </c>
      <c r="H241" s="341" t="str">
        <f t="shared" si="42"/>
        <v>No</v>
      </c>
      <c r="I241" s="459">
        <f>SUMIF('Diags Raw Data'!$A$6:$A$4003,"*"&amp;$A241&amp;"*",'Diags Raw Data'!$K$6:$K$4003)</f>
        <v>0</v>
      </c>
      <c r="J241" s="461">
        <f>SUMIF('Diags Raw Data'!$A$6:$A$4003,"*"&amp;$A241&amp;"*",'Diags Raw Data'!$L$6:$L$4003)</f>
        <v>0</v>
      </c>
      <c r="K241" s="513" t="e" cm="1">
        <f t="array" ref="K241">IF(D241="",0, SUMPRODUCT(--(ISNUMBER(SEARCH($A241,'Diags Raw Data'!$A$6:$A$4003))),'Diags Raw Data'!$L$6:$L$4003,'Diags Raw Data'!$N$6:$N$4003)/J241)</f>
        <v>#DIV/0!</v>
      </c>
      <c r="L241" s="514" t="e" cm="1">
        <f t="array" ref="L241">IF(D241="",0, SUMPRODUCT(--(ISNUMBER(SEARCH($A241,'Diags Raw Data'!$A$6:$A$4003))),'Diags Raw Data'!$L$6:$L$4003,'Diags Raw Data'!$P$6:$P$4003)/J241)</f>
        <v>#DIV/0!</v>
      </c>
      <c r="M241" s="515" cm="1">
        <f t="array" ref="M241">SUMPRODUCT(--(ISNUMBER(SEARCH($A241,'Diags Raw Data'!$A$6:$A$4003))),--('Diags Raw Data'!$Q$6:$Q$4003&lt;&gt;"N/A"),'Diags Raw Data'!$R$6:$R$4003)</f>
        <v>0</v>
      </c>
      <c r="N241" s="516" cm="1">
        <f t="array" ref="N241">SUMPRODUCT(--(ISNUMBER(SEARCH($A241,'Diags Raw Data'!$A$6:$A$4003))),--('Diags Raw Data'!$Q$6:$Q$4003&lt;&gt;"N/A"),'Diags Raw Data'!$T$6:$T$4003)+SUMPRODUCT(--(ISNUMBER(SEARCH($A241,'Diags Raw Data'!$A$6:$A$4003))),--('Diags Raw Data'!$Q$6:$Q$4003&lt;&gt;"N/A"),'Diags Raw Data'!$U$6:$U$4003)</f>
        <v>0</v>
      </c>
      <c r="O241" s="517">
        <f t="shared" si="43"/>
        <v>0</v>
      </c>
      <c r="P241" s="518">
        <f>SUMIF('Diags Raw Data'!$A$6:$A$4003,"*"&amp;$A241&amp;"*",'Diags Raw Data'!$Z$6:$Z$4003)</f>
        <v>0</v>
      </c>
      <c r="Q241" s="519">
        <f>SUM(SUMIF('Diags Raw Data'!$A$6:$A$4003,"*"&amp;$A241&amp;"*",'Diags Raw Data'!$AA$6:$AA$4003),SUMIF('Diags Raw Data'!$A$6:$A$4003,"*"&amp;$A241&amp;"*",'Diags Raw Data'!$AB$6:$AB$4003))</f>
        <v>0</v>
      </c>
      <c r="R241" s="520">
        <f t="shared" si="44"/>
        <v>0</v>
      </c>
      <c r="S241" s="520">
        <f t="shared" si="45"/>
        <v>0</v>
      </c>
      <c r="T241" s="521">
        <f t="shared" si="46"/>
        <v>0</v>
      </c>
      <c r="U241" s="456" t="str">
        <f>VLOOKUP(A241,'Diags Raw Data'!$A$6:$AH$4003,33,FALSE)</f>
        <v>N/A</v>
      </c>
      <c r="V241" s="182"/>
    </row>
    <row r="242" spans="1:22" ht="75.75" thickBot="1" x14ac:dyDescent="0.3">
      <c r="A242" s="576">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Data'!$A$6:$A$4003)),CONCATENATE('Diags Raw Data'!$H$6:$H$4003,", "),""))</f>
        <v xml:space="preserve">placeholder_b.1, </v>
      </c>
      <c r="E242" s="341" t="str">
        <f>VLOOKUP(A242,'Diags Raw Data'!$A$6:$D$4003,4,FALSE)</f>
        <v>CMM</v>
      </c>
      <c r="F242" s="341" t="str">
        <f>VLOOKUP(A242,'Feature Raw Data'!$A$3:$E$3922,5,FALSE)</f>
        <v>New</v>
      </c>
      <c r="G242" s="341" t="str">
        <f t="shared" si="41"/>
        <v>Yes</v>
      </c>
      <c r="H242" s="341" t="str">
        <f t="shared" si="42"/>
        <v>Yes</v>
      </c>
      <c r="I242" s="459">
        <f>SUMIF('Diags Raw Data'!$A$6:$A$4003,"*"&amp;$A242&amp;"*",'Diags Raw Data'!$K$6:$K$4003)</f>
        <v>0</v>
      </c>
      <c r="J242" s="461">
        <f>SUMIF('Diags Raw Data'!$A$6:$A$4003,"*"&amp;$A242&amp;"*",'Diags Raw Data'!$L$6:$L$4003)</f>
        <v>0</v>
      </c>
      <c r="K242" s="513" t="e" cm="1">
        <f t="array" ref="K242">IF(D242="",0, SUMPRODUCT(--(ISNUMBER(SEARCH($A242,'Diags Raw Data'!$A$6:$A$4003))),'Diags Raw Data'!$L$6:$L$4003,'Diags Raw Data'!$N$6:$N$4003)/J242)</f>
        <v>#DIV/0!</v>
      </c>
      <c r="L242" s="514" t="e" cm="1">
        <f t="array" ref="L242">IF(D242="",0, SUMPRODUCT(--(ISNUMBER(SEARCH($A242,'Diags Raw Data'!$A$6:$A$4003))),'Diags Raw Data'!$L$6:$L$4003,'Diags Raw Data'!$P$6:$P$4003)/J242)</f>
        <v>#DIV/0!</v>
      </c>
      <c r="M242" s="515" cm="1">
        <f t="array" ref="M242">SUMPRODUCT(--(ISNUMBER(SEARCH($A242,'Diags Raw Data'!$A$6:$A$4003))),--('Diags Raw Data'!$Q$6:$Q$4003&lt;&gt;"N/A"),'Diags Raw Data'!$R$6:$R$4003)</f>
        <v>1</v>
      </c>
      <c r="N242" s="516" cm="1">
        <f t="array" ref="N242">SUMPRODUCT(--(ISNUMBER(SEARCH($A242,'Diags Raw Data'!$A$6:$A$4003))),--('Diags Raw Data'!$Q$6:$Q$4003&lt;&gt;"N/A"),'Diags Raw Data'!$T$6:$T$4003)+SUMPRODUCT(--(ISNUMBER(SEARCH($A242,'Diags Raw Data'!$A$6:$A$4003))),--('Diags Raw Data'!$Q$6:$Q$4003&lt;&gt;"N/A"),'Diags Raw Data'!$U$6:$U$4003)</f>
        <v>0</v>
      </c>
      <c r="O242" s="517">
        <f t="shared" si="43"/>
        <v>0</v>
      </c>
      <c r="P242" s="518">
        <f>SUMIF('Diags Raw Data'!$A$6:$A$4003,"*"&amp;$A242&amp;"*",'Diags Raw Data'!$Z$6:$Z$4003)</f>
        <v>0</v>
      </c>
      <c r="Q242" s="519">
        <f>SUM(SUMIF('Diags Raw Data'!$A$6:$A$4003,"*"&amp;$A242&amp;"*",'Diags Raw Data'!$AA$6:$AA$4003),SUMIF('Diags Raw Data'!$A$6:$A$4003,"*"&amp;$A242&amp;"*",'Diags Raw Data'!$AB$6:$AB$4003))</f>
        <v>0</v>
      </c>
      <c r="R242" s="520">
        <f t="shared" si="44"/>
        <v>0</v>
      </c>
      <c r="S242" s="520">
        <f t="shared" si="45"/>
        <v>0</v>
      </c>
      <c r="T242" s="521">
        <f t="shared" si="46"/>
        <v>0</v>
      </c>
      <c r="U242" s="456" t="str">
        <f>VLOOKUP(A242,'Diags Raw Data'!$A$6:$AH$4003,33,FALSE)</f>
        <v>WK8</v>
      </c>
      <c r="V242" s="182"/>
    </row>
    <row r="243" spans="1:22" ht="45.75" thickBot="1" x14ac:dyDescent="0.3">
      <c r="A243" s="576">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Data'!$A$6:$A$4003)),CONCATENATE('Diags Raw Data'!$H$6:$H$4003,", "),""))</f>
        <v xml:space="preserve">N/A, N/A, txi83, N/A, gfx.stress3d.gfxoff/food_store, N/A, STD1.6    , N/A, </v>
      </c>
      <c r="E243" s="341" t="str">
        <f>VLOOKUP(A243,'Diags Raw Data'!$A$6:$D$4003,4,FALSE)</f>
        <v>CTL</v>
      </c>
      <c r="F243" s="341" t="str">
        <f>VLOOKUP(A243,'Feature Raw Data'!$A$3:$E$3922,5,FALSE)</f>
        <v>New</v>
      </c>
      <c r="G243" s="341" t="str">
        <f t="shared" si="41"/>
        <v>Yes</v>
      </c>
      <c r="H243" s="341" t="str">
        <f t="shared" si="42"/>
        <v>Yes</v>
      </c>
      <c r="I243" s="459">
        <f>SUMIF('Diags Raw Data'!$A$6:$A$4003,"*"&amp;$A243&amp;"*",'Diags Raw Data'!$K$6:$K$4003)</f>
        <v>0</v>
      </c>
      <c r="J243" s="461">
        <f>SUMIF('Diags Raw Data'!$A$6:$A$4003,"*"&amp;$A243&amp;"*",'Diags Raw Data'!$L$6:$L$4003)</f>
        <v>0</v>
      </c>
      <c r="K243" s="513" t="e" cm="1">
        <f t="array" ref="K243">IF(D243="",0, SUMPRODUCT(--(ISNUMBER(SEARCH($A243,'Diags Raw Data'!$A$6:$A$4003))),'Diags Raw Data'!$L$6:$L$4003,'Diags Raw Data'!$N$6:$N$4003)/J243)</f>
        <v>#DIV/0!</v>
      </c>
      <c r="L243" s="514" t="e" cm="1">
        <f t="array" ref="L243">IF(D243="",0, SUMPRODUCT(--(ISNUMBER(SEARCH($A243,'Diags Raw Data'!$A$6:$A$4003))),'Diags Raw Data'!$L$6:$L$4003,'Diags Raw Data'!$P$6:$P$4003)/J243)</f>
        <v>#DIV/0!</v>
      </c>
      <c r="M243" s="515" cm="1">
        <f t="array" ref="M243">SUMPRODUCT(--(ISNUMBER(SEARCH($A243,'Diags Raw Data'!$A$6:$A$4003))),--('Diags Raw Data'!$Q$6:$Q$4003&lt;&gt;"N/A"),'Diags Raw Data'!$R$6:$R$4003)</f>
        <v>2</v>
      </c>
      <c r="N243" s="516" cm="1">
        <f t="array" ref="N243">SUMPRODUCT(--(ISNUMBER(SEARCH($A243,'Diags Raw Data'!$A$6:$A$4003))),--('Diags Raw Data'!$Q$6:$Q$4003&lt;&gt;"N/A"),'Diags Raw Data'!$T$6:$T$4003)+SUMPRODUCT(--(ISNUMBER(SEARCH($A243,'Diags Raw Data'!$A$6:$A$4003))),--('Diags Raw Data'!$Q$6:$Q$4003&lt;&gt;"N/A"),'Diags Raw Data'!$U$6:$U$4003)</f>
        <v>0</v>
      </c>
      <c r="O243" s="517">
        <f t="shared" si="43"/>
        <v>0</v>
      </c>
      <c r="P243" s="518">
        <f>SUMIF('Diags Raw Data'!$A$6:$A$4003,"*"&amp;$A243&amp;"*",'Diags Raw Data'!$Z$6:$Z$4003)</f>
        <v>0</v>
      </c>
      <c r="Q243" s="519">
        <f>SUM(SUMIF('Diags Raw Data'!$A$6:$A$4003,"*"&amp;$A243&amp;"*",'Diags Raw Data'!$AA$6:$AA$4003),SUMIF('Diags Raw Data'!$A$6:$A$4003,"*"&amp;$A243&amp;"*",'Diags Raw Data'!$AB$6:$AB$4003))</f>
        <v>0</v>
      </c>
      <c r="R243" s="520">
        <f t="shared" si="44"/>
        <v>0</v>
      </c>
      <c r="S243" s="520">
        <f t="shared" si="45"/>
        <v>0</v>
      </c>
      <c r="T243" s="521">
        <f t="shared" si="46"/>
        <v>0</v>
      </c>
      <c r="U243" s="456" t="str">
        <f>VLOOKUP(A243,'Diags Raw Data'!$A$6:$AH$4003,33,FALSE)</f>
        <v>N/A</v>
      </c>
      <c r="V243" s="182"/>
    </row>
    <row r="244" spans="1:22" ht="45.75" thickBot="1" x14ac:dyDescent="0.3">
      <c r="A244" s="576">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Data'!$A$6:$A$4003)),CONCATENATE('Diags Raw Data'!$H$6:$H$4003,", "),""))</f>
        <v xml:space="preserve">N/A, </v>
      </c>
      <c r="E244" s="341" t="str">
        <f>VLOOKUP(A244,'Diags Raw Data'!$A$6:$D$4003,4,FALSE)</f>
        <v>CTL</v>
      </c>
      <c r="F244" s="341" t="str">
        <f>VLOOKUP(A244,'Feature Raw Data'!$A$3:$E$3922,5,FALSE)</f>
        <v>New</v>
      </c>
      <c r="G244" s="341" t="str">
        <f t="shared" si="41"/>
        <v>No</v>
      </c>
      <c r="H244" s="341" t="str">
        <f t="shared" si="42"/>
        <v>No</v>
      </c>
      <c r="I244" s="459">
        <f>SUMIF('Diags Raw Data'!$A$6:$A$4003,"*"&amp;$A244&amp;"*",'Diags Raw Data'!$K$6:$K$4003)</f>
        <v>0</v>
      </c>
      <c r="J244" s="461">
        <f>SUMIF('Diags Raw Data'!$A$6:$A$4003,"*"&amp;$A244&amp;"*",'Diags Raw Data'!$L$6:$L$4003)</f>
        <v>0</v>
      </c>
      <c r="K244" s="513" t="e" cm="1">
        <f t="array" ref="K244">IF(D244="",0, SUMPRODUCT(--(ISNUMBER(SEARCH($A244,'Diags Raw Data'!$A$6:$A$4003))),'Diags Raw Data'!$L$6:$L$4003,'Diags Raw Data'!$N$6:$N$4003)/J244)</f>
        <v>#DIV/0!</v>
      </c>
      <c r="L244" s="514" t="e" cm="1">
        <f t="array" ref="L244">IF(D244="",0, SUMPRODUCT(--(ISNUMBER(SEARCH($A244,'Diags Raw Data'!$A$6:$A$4003))),'Diags Raw Data'!$L$6:$L$4003,'Diags Raw Data'!$P$6:$P$4003)/J244)</f>
        <v>#DIV/0!</v>
      </c>
      <c r="M244" s="515" cm="1">
        <f t="array" ref="M244">SUMPRODUCT(--(ISNUMBER(SEARCH($A244,'Diags Raw Data'!$A$6:$A$4003))),--('Diags Raw Data'!$Q$6:$Q$4003&lt;&gt;"N/A"),'Diags Raw Data'!$R$6:$R$4003)</f>
        <v>0</v>
      </c>
      <c r="N244" s="516" cm="1">
        <f t="array" ref="N244">SUMPRODUCT(--(ISNUMBER(SEARCH($A244,'Diags Raw Data'!$A$6:$A$4003))),--('Diags Raw Data'!$Q$6:$Q$4003&lt;&gt;"N/A"),'Diags Raw Data'!$T$6:$T$4003)+SUMPRODUCT(--(ISNUMBER(SEARCH($A244,'Diags Raw Data'!$A$6:$A$4003))),--('Diags Raw Data'!$Q$6:$Q$4003&lt;&gt;"N/A"),'Diags Raw Data'!$U$6:$U$4003)</f>
        <v>0</v>
      </c>
      <c r="O244" s="517">
        <f t="shared" si="43"/>
        <v>0</v>
      </c>
      <c r="P244" s="518">
        <f>SUMIF('Diags Raw Data'!$A$6:$A$4003,"*"&amp;$A244&amp;"*",'Diags Raw Data'!$Z$6:$Z$4003)</f>
        <v>0</v>
      </c>
      <c r="Q244" s="519">
        <f>SUM(SUMIF('Diags Raw Data'!$A$6:$A$4003,"*"&amp;$A244&amp;"*",'Diags Raw Data'!$AA$6:$AA$4003),SUMIF('Diags Raw Data'!$A$6:$A$4003,"*"&amp;$A244&amp;"*",'Diags Raw Data'!$AB$6:$AB$4003))</f>
        <v>0</v>
      </c>
      <c r="R244" s="520">
        <f t="shared" si="44"/>
        <v>0</v>
      </c>
      <c r="S244" s="520">
        <f t="shared" si="45"/>
        <v>0</v>
      </c>
      <c r="T244" s="521">
        <f t="shared" si="46"/>
        <v>0</v>
      </c>
      <c r="U244" s="456" t="str">
        <f>VLOOKUP(A244,'Diags Raw Data'!$A$6:$AH$4003,33,FALSE)</f>
        <v>N/A</v>
      </c>
      <c r="V244" s="182"/>
    </row>
    <row r="245" spans="1:22" ht="60.75" thickBot="1" x14ac:dyDescent="0.3">
      <c r="A245" s="576">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Data'!$A$6:$A$4003)),CONCATENATE('Diags Raw Data'!$H$6:$H$4003,", "),""))</f>
        <v xml:space="preserve">txi83, </v>
      </c>
      <c r="E245" s="341" t="str">
        <f>VLOOKUP(A245,'Diags Raw Data'!$A$6:$D$4003,4,FALSE)</f>
        <v>CMM</v>
      </c>
      <c r="F245" s="341" t="str">
        <f>VLOOKUP(A245,'Feature Raw Data'!$A$3:$E$3922,5,FALSE)</f>
        <v>New</v>
      </c>
      <c r="G245" s="341" t="str">
        <f t="shared" si="41"/>
        <v>Yes</v>
      </c>
      <c r="H245" s="341" t="str">
        <f t="shared" si="42"/>
        <v>Yes</v>
      </c>
      <c r="I245" s="459">
        <f>SUMIF('Diags Raw Data'!$A$6:$A$4003,"*"&amp;$A245&amp;"*",'Diags Raw Data'!$K$6:$K$4003)</f>
        <v>0</v>
      </c>
      <c r="J245" s="461">
        <f>SUMIF('Diags Raw Data'!$A$6:$A$4003,"*"&amp;$A245&amp;"*",'Diags Raw Data'!$L$6:$L$4003)</f>
        <v>0</v>
      </c>
      <c r="K245" s="513" t="e" cm="1">
        <f t="array" ref="K245">IF(D245="",0, SUMPRODUCT(--(ISNUMBER(SEARCH($A245,'Diags Raw Data'!$A$6:$A$4003))),'Diags Raw Data'!$L$6:$L$4003,'Diags Raw Data'!$N$6:$N$4003)/J245)</f>
        <v>#DIV/0!</v>
      </c>
      <c r="L245" s="514" t="e" cm="1">
        <f t="array" ref="L245">IF(D245="",0, SUMPRODUCT(--(ISNUMBER(SEARCH($A245,'Diags Raw Data'!$A$6:$A$4003))),'Diags Raw Data'!$L$6:$L$4003,'Diags Raw Data'!$P$6:$P$4003)/J245)</f>
        <v>#DIV/0!</v>
      </c>
      <c r="M245" s="515" cm="1">
        <f t="array" ref="M245">SUMPRODUCT(--(ISNUMBER(SEARCH($A245,'Diags Raw Data'!$A$6:$A$4003))),--('Diags Raw Data'!$Q$6:$Q$4003&lt;&gt;"N/A"),'Diags Raw Data'!$R$6:$R$4003)</f>
        <v>1</v>
      </c>
      <c r="N245" s="516" cm="1">
        <f t="array" ref="N245">SUMPRODUCT(--(ISNUMBER(SEARCH($A245,'Diags Raw Data'!$A$6:$A$4003))),--('Diags Raw Data'!$Q$6:$Q$4003&lt;&gt;"N/A"),'Diags Raw Data'!$T$6:$T$4003)+SUMPRODUCT(--(ISNUMBER(SEARCH($A245,'Diags Raw Data'!$A$6:$A$4003))),--('Diags Raw Data'!$Q$6:$Q$4003&lt;&gt;"N/A"),'Diags Raw Data'!$U$6:$U$4003)</f>
        <v>0</v>
      </c>
      <c r="O245" s="517">
        <f t="shared" si="43"/>
        <v>0</v>
      </c>
      <c r="P245" s="518">
        <f>SUMIF('Diags Raw Data'!$A$6:$A$4003,"*"&amp;$A245&amp;"*",'Diags Raw Data'!$Z$6:$Z$4003)</f>
        <v>0</v>
      </c>
      <c r="Q245" s="519">
        <f>SUM(SUMIF('Diags Raw Data'!$A$6:$A$4003,"*"&amp;$A245&amp;"*",'Diags Raw Data'!$AA$6:$AA$4003),SUMIF('Diags Raw Data'!$A$6:$A$4003,"*"&amp;$A245&amp;"*",'Diags Raw Data'!$AB$6:$AB$4003))</f>
        <v>0</v>
      </c>
      <c r="R245" s="520">
        <f t="shared" si="44"/>
        <v>0</v>
      </c>
      <c r="S245" s="520">
        <f t="shared" si="45"/>
        <v>0</v>
      </c>
      <c r="T245" s="521">
        <f t="shared" si="46"/>
        <v>0</v>
      </c>
      <c r="U245" s="456" t="str">
        <f>VLOOKUP(A245,'Diags Raw Data'!$A$6:$AH$4003,33,FALSE)</f>
        <v>WK7</v>
      </c>
      <c r="V245" s="182"/>
    </row>
    <row r="246" spans="1:22" ht="30.75" thickBot="1" x14ac:dyDescent="0.3">
      <c r="A246" s="576">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Data'!$A$6:$A$4003)),CONCATENATE('Diags Raw Data'!$H$6:$H$4003,", "),""))</f>
        <v xml:space="preserve">N/A, </v>
      </c>
      <c r="E246" s="341" t="str">
        <f>VLOOKUP(A246,'Diags Raw Data'!$A$6:$D$4003,4,FALSE)</f>
        <v>CTL</v>
      </c>
      <c r="F246" s="341" t="str">
        <f>VLOOKUP(A246,'Feature Raw Data'!$A$3:$E$3922,5,FALSE)</f>
        <v>New</v>
      </c>
      <c r="G246" s="341" t="str">
        <f t="shared" si="41"/>
        <v>No</v>
      </c>
      <c r="H246" s="341" t="str">
        <f t="shared" si="42"/>
        <v>No</v>
      </c>
      <c r="I246" s="459">
        <f>SUMIF('Diags Raw Data'!$A$6:$A$4003,"*"&amp;$A246&amp;"*",'Diags Raw Data'!$K$6:$K$4003)</f>
        <v>0</v>
      </c>
      <c r="J246" s="461">
        <f>SUMIF('Diags Raw Data'!$A$6:$A$4003,"*"&amp;$A246&amp;"*",'Diags Raw Data'!$L$6:$L$4003)</f>
        <v>0</v>
      </c>
      <c r="K246" s="513" t="e" cm="1">
        <f t="array" ref="K246">IF(D246="",0, SUMPRODUCT(--(ISNUMBER(SEARCH($A246,'Diags Raw Data'!$A$6:$A$4003))),'Diags Raw Data'!$L$6:$L$4003,'Diags Raw Data'!$N$6:$N$4003)/J246)</f>
        <v>#DIV/0!</v>
      </c>
      <c r="L246" s="514" t="e" cm="1">
        <f t="array" ref="L246">IF(D246="",0, SUMPRODUCT(--(ISNUMBER(SEARCH($A246,'Diags Raw Data'!$A$6:$A$4003))),'Diags Raw Data'!$L$6:$L$4003,'Diags Raw Data'!$P$6:$P$4003)/J246)</f>
        <v>#DIV/0!</v>
      </c>
      <c r="M246" s="515" cm="1">
        <f t="array" ref="M246">SUMPRODUCT(--(ISNUMBER(SEARCH($A246,'Diags Raw Data'!$A$6:$A$4003))),--('Diags Raw Data'!$Q$6:$Q$4003&lt;&gt;"N/A"),'Diags Raw Data'!$R$6:$R$4003)</f>
        <v>0</v>
      </c>
      <c r="N246" s="516" cm="1">
        <f t="array" ref="N246">SUMPRODUCT(--(ISNUMBER(SEARCH($A246,'Diags Raw Data'!$A$6:$A$4003))),--('Diags Raw Data'!$Q$6:$Q$4003&lt;&gt;"N/A"),'Diags Raw Data'!$T$6:$T$4003)+SUMPRODUCT(--(ISNUMBER(SEARCH($A246,'Diags Raw Data'!$A$6:$A$4003))),--('Diags Raw Data'!$Q$6:$Q$4003&lt;&gt;"N/A"),'Diags Raw Data'!$U$6:$U$4003)</f>
        <v>0</v>
      </c>
      <c r="O246" s="517">
        <f t="shared" si="43"/>
        <v>0</v>
      </c>
      <c r="P246" s="518">
        <f>SUMIF('Diags Raw Data'!$A$6:$A$4003,"*"&amp;$A246&amp;"*",'Diags Raw Data'!$Z$6:$Z$4003)</f>
        <v>0</v>
      </c>
      <c r="Q246" s="519">
        <f>SUM(SUMIF('Diags Raw Data'!$A$6:$A$4003,"*"&amp;$A246&amp;"*",'Diags Raw Data'!$AA$6:$AA$4003),SUMIF('Diags Raw Data'!$A$6:$A$4003,"*"&amp;$A246&amp;"*",'Diags Raw Data'!$AB$6:$AB$4003))</f>
        <v>0</v>
      </c>
      <c r="R246" s="520">
        <f t="shared" si="44"/>
        <v>0</v>
      </c>
      <c r="S246" s="520">
        <f t="shared" si="45"/>
        <v>0</v>
      </c>
      <c r="T246" s="521">
        <f t="shared" si="46"/>
        <v>0</v>
      </c>
      <c r="U246" s="456" t="str">
        <f>VLOOKUP(A246,'Diags Raw Data'!$A$6:$AH$4003,33,FALSE)</f>
        <v>N/A</v>
      </c>
      <c r="V246" s="182"/>
    </row>
    <row r="247" spans="1:22" ht="30.75" thickBot="1" x14ac:dyDescent="0.3">
      <c r="A247" s="576">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Data'!$A$6:$A$4003)),CONCATENATE('Diags Raw Data'!$H$6:$H$4003,", "),""))</f>
        <v xml:space="preserve">gfx.stress3d.gfxoff/food_store, </v>
      </c>
      <c r="E247" s="341" t="str">
        <f>VLOOKUP(A247,'Diags Raw Data'!$A$6:$D$4003,4,FALSE)</f>
        <v>CTL</v>
      </c>
      <c r="F247" s="341" t="str">
        <f>VLOOKUP(A247,'Feature Raw Data'!$A$3:$E$3922,5,FALSE)</f>
        <v>New</v>
      </c>
      <c r="G247" s="341" t="str">
        <f t="shared" si="41"/>
        <v>Yes</v>
      </c>
      <c r="H247" s="341" t="str">
        <f t="shared" si="42"/>
        <v>Yes</v>
      </c>
      <c r="I247" s="459">
        <f>SUMIF('Diags Raw Data'!$A$6:$A$4003,"*"&amp;$A247&amp;"*",'Diags Raw Data'!$K$6:$K$4003)</f>
        <v>0</v>
      </c>
      <c r="J247" s="461">
        <f>SUMIF('Diags Raw Data'!$A$6:$A$4003,"*"&amp;$A247&amp;"*",'Diags Raw Data'!$L$6:$L$4003)</f>
        <v>0</v>
      </c>
      <c r="K247" s="513" t="e" cm="1">
        <f t="array" ref="K247">IF(D247="",0, SUMPRODUCT(--(ISNUMBER(SEARCH($A247,'Diags Raw Data'!$A$6:$A$4003))),'Diags Raw Data'!$L$6:$L$4003,'Diags Raw Data'!$N$6:$N$4003)/J247)</f>
        <v>#DIV/0!</v>
      </c>
      <c r="L247" s="514" t="e" cm="1">
        <f t="array" ref="L247">IF(D247="",0, SUMPRODUCT(--(ISNUMBER(SEARCH($A247,'Diags Raw Data'!$A$6:$A$4003))),'Diags Raw Data'!$L$6:$L$4003,'Diags Raw Data'!$P$6:$P$4003)/J247)</f>
        <v>#DIV/0!</v>
      </c>
      <c r="M247" s="515" cm="1">
        <f t="array" ref="M247">SUMPRODUCT(--(ISNUMBER(SEARCH($A247,'Diags Raw Data'!$A$6:$A$4003))),--('Diags Raw Data'!$Q$6:$Q$4003&lt;&gt;"N/A"),'Diags Raw Data'!$R$6:$R$4003)</f>
        <v>0</v>
      </c>
      <c r="N247" s="516" cm="1">
        <f t="array" ref="N247">SUMPRODUCT(--(ISNUMBER(SEARCH($A247,'Diags Raw Data'!$A$6:$A$4003))),--('Diags Raw Data'!$Q$6:$Q$4003&lt;&gt;"N/A"),'Diags Raw Data'!$T$6:$T$4003)+SUMPRODUCT(--(ISNUMBER(SEARCH($A247,'Diags Raw Data'!$A$6:$A$4003))),--('Diags Raw Data'!$Q$6:$Q$4003&lt;&gt;"N/A"),'Diags Raw Data'!$U$6:$U$4003)</f>
        <v>0</v>
      </c>
      <c r="O247" s="517">
        <f t="shared" si="43"/>
        <v>0</v>
      </c>
      <c r="P247" s="518">
        <f>SUMIF('Diags Raw Data'!$A$6:$A$4003,"*"&amp;$A247&amp;"*",'Diags Raw Data'!$Z$6:$Z$4003)</f>
        <v>0</v>
      </c>
      <c r="Q247" s="519">
        <f>SUM(SUMIF('Diags Raw Data'!$A$6:$A$4003,"*"&amp;$A247&amp;"*",'Diags Raw Data'!$AA$6:$AA$4003),SUMIF('Diags Raw Data'!$A$6:$A$4003,"*"&amp;$A247&amp;"*",'Diags Raw Data'!$AB$6:$AB$4003))</f>
        <v>0</v>
      </c>
      <c r="R247" s="520">
        <f t="shared" si="44"/>
        <v>0</v>
      </c>
      <c r="S247" s="520">
        <f t="shared" si="45"/>
        <v>0</v>
      </c>
      <c r="T247" s="521">
        <f t="shared" si="46"/>
        <v>0</v>
      </c>
      <c r="U247" s="456" t="str">
        <f>VLOOKUP(A247,'Diags Raw Data'!$A$6:$AH$4003,33,FALSE)</f>
        <v>N/A</v>
      </c>
      <c r="V247" s="182"/>
    </row>
    <row r="248" spans="1:22" ht="30.75" thickBot="1" x14ac:dyDescent="0.3">
      <c r="A248" s="576">
        <v>12.487</v>
      </c>
      <c r="B248" s="458" t="str">
        <f>VLOOKUP(A248,'Feature Raw Data'!$A$3:$B$3922,2,FALSE)</f>
        <v>Increase DB Z cache size for performance</v>
      </c>
      <c r="C248" s="459" t="str">
        <f>VLOOKUP(A248,'Feature Raw Data'!$A$3:$C$3922,3,FALSE)</f>
        <v>P3</v>
      </c>
      <c r="D248" s="460" t="str" cm="1">
        <f t="array" ref="D248">_xlfn.TEXTJOIN("",TRUE,IF(ISNUMBER(SEARCH($A248,'Diags Raw Data'!$A$6:$A$4003)),CONCATENATE('Diags Raw Data'!$H$6:$H$4003,", "),""))</f>
        <v xml:space="preserve">N/A, </v>
      </c>
      <c r="E248" s="341" t="str">
        <f>VLOOKUP(A248,'Diags Raw Data'!$A$6:$D$4003,4,FALSE)</f>
        <v>PP</v>
      </c>
      <c r="F248" s="341" t="str">
        <f>VLOOKUP(A248,'Feature Raw Data'!$A$3:$E$3922,5,FALSE)</f>
        <v>New</v>
      </c>
      <c r="G248" s="341" t="str">
        <f t="shared" si="41"/>
        <v>No</v>
      </c>
      <c r="H248" s="341" t="str">
        <f t="shared" si="42"/>
        <v>No</v>
      </c>
      <c r="I248" s="459">
        <f>SUMIF('Diags Raw Data'!$A$6:$A$4003,"*"&amp;$A248&amp;"*",'Diags Raw Data'!$K$6:$K$4003)</f>
        <v>0</v>
      </c>
      <c r="J248" s="461">
        <f>SUMIF('Diags Raw Data'!$A$6:$A$4003,"*"&amp;$A248&amp;"*",'Diags Raw Data'!$L$6:$L$4003)</f>
        <v>0</v>
      </c>
      <c r="K248" s="513" t="e" cm="1">
        <f t="array" ref="K248">IF(D248="",0, SUMPRODUCT(--(ISNUMBER(SEARCH($A248,'Diags Raw Data'!$A$6:$A$4003))),'Diags Raw Data'!$L$6:$L$4003,'Diags Raw Data'!$N$6:$N$4003)/J248)</f>
        <v>#DIV/0!</v>
      </c>
      <c r="L248" s="514" t="e" cm="1">
        <f t="array" ref="L248">IF(D248="",0, SUMPRODUCT(--(ISNUMBER(SEARCH($A248,'Diags Raw Data'!$A$6:$A$4003))),'Diags Raw Data'!$L$6:$L$4003,'Diags Raw Data'!$P$6:$P$4003)/J248)</f>
        <v>#DIV/0!</v>
      </c>
      <c r="M248" s="515" cm="1">
        <f t="array" ref="M248">SUMPRODUCT(--(ISNUMBER(SEARCH($A248,'Diags Raw Data'!$A$6:$A$4003))),--('Diags Raw Data'!$Q$6:$Q$4003&lt;&gt;"N/A"),'Diags Raw Data'!$R$6:$R$4003)</f>
        <v>0</v>
      </c>
      <c r="N248" s="516" cm="1">
        <f t="array" ref="N248">SUMPRODUCT(--(ISNUMBER(SEARCH($A248,'Diags Raw Data'!$A$6:$A$4003))),--('Diags Raw Data'!$Q$6:$Q$4003&lt;&gt;"N/A"),'Diags Raw Data'!$T$6:$T$4003)+SUMPRODUCT(--(ISNUMBER(SEARCH($A248,'Diags Raw Data'!$A$6:$A$4003))),--('Diags Raw Data'!$Q$6:$Q$4003&lt;&gt;"N/A"),'Diags Raw Data'!$U$6:$U$4003)</f>
        <v>0</v>
      </c>
      <c r="O248" s="517">
        <f t="shared" si="43"/>
        <v>0</v>
      </c>
      <c r="P248" s="518">
        <f>SUMIF('Diags Raw Data'!$A$6:$A$4003,"*"&amp;$A248&amp;"*",'Diags Raw Data'!$Z$6:$Z$4003)</f>
        <v>0</v>
      </c>
      <c r="Q248" s="519">
        <f>SUM(SUMIF('Diags Raw Data'!$A$6:$A$4003,"*"&amp;$A248&amp;"*",'Diags Raw Data'!$AA$6:$AA$4003),SUMIF('Diags Raw Data'!$A$6:$A$4003,"*"&amp;$A248&amp;"*",'Diags Raw Data'!$AB$6:$AB$4003))</f>
        <v>0</v>
      </c>
      <c r="R248" s="520">
        <f t="shared" si="44"/>
        <v>0</v>
      </c>
      <c r="S248" s="520">
        <f t="shared" si="45"/>
        <v>0</v>
      </c>
      <c r="T248" s="521">
        <f t="shared" si="46"/>
        <v>0</v>
      </c>
      <c r="U248" s="456" t="str">
        <f>VLOOKUP(A248,'Diags Raw Data'!$A$6:$AH$4003,33,FALSE)</f>
        <v>N/A</v>
      </c>
      <c r="V248" s="182"/>
    </row>
    <row r="249" spans="1:22" ht="60.75" thickBot="1" x14ac:dyDescent="0.3">
      <c r="A249" s="576">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Data'!$A$6:$A$4003)),CONCATENATE('Diags Raw Data'!$H$6:$H$4003,", "),""))</f>
        <v xml:space="preserve">STD1.6    , </v>
      </c>
      <c r="E249" s="341" t="str">
        <f>VLOOKUP(A249,'Diags Raw Data'!$A$6:$D$4003,4,FALSE)</f>
        <v>PP</v>
      </c>
      <c r="F249" s="341" t="str">
        <f>VLOOKUP(A249,'Feature Raw Data'!$A$3:$E$3922,5,FALSE)</f>
        <v>New</v>
      </c>
      <c r="G249" s="341" t="str">
        <f t="shared" si="41"/>
        <v>Yes</v>
      </c>
      <c r="H249" s="341" t="str">
        <f t="shared" si="42"/>
        <v>Yes</v>
      </c>
      <c r="I249" s="459">
        <f>SUMIF('Diags Raw Data'!$A$6:$A$4003,"*"&amp;$A249&amp;"*",'Diags Raw Data'!$K$6:$K$4003)</f>
        <v>0</v>
      </c>
      <c r="J249" s="461">
        <f>SUMIF('Diags Raw Data'!$A$6:$A$4003,"*"&amp;$A249&amp;"*",'Diags Raw Data'!$L$6:$L$4003)</f>
        <v>0</v>
      </c>
      <c r="K249" s="513" t="e" cm="1">
        <f t="array" ref="K249">IF(D249="",0, SUMPRODUCT(--(ISNUMBER(SEARCH($A249,'Diags Raw Data'!$A$6:$A$4003))),'Diags Raw Data'!$L$6:$L$4003,'Diags Raw Data'!$N$6:$N$4003)/J249)</f>
        <v>#DIV/0!</v>
      </c>
      <c r="L249" s="514" t="e" cm="1">
        <f t="array" ref="L249">IF(D249="",0, SUMPRODUCT(--(ISNUMBER(SEARCH($A249,'Diags Raw Data'!$A$6:$A$4003))),'Diags Raw Data'!$L$6:$L$4003,'Diags Raw Data'!$P$6:$P$4003)/J249)</f>
        <v>#DIV/0!</v>
      </c>
      <c r="M249" s="515" cm="1">
        <f t="array" ref="M249">SUMPRODUCT(--(ISNUMBER(SEARCH($A249,'Diags Raw Data'!$A$6:$A$4003))),--('Diags Raw Data'!$Q$6:$Q$4003&lt;&gt;"N/A"),'Diags Raw Data'!$R$6:$R$4003)</f>
        <v>1</v>
      </c>
      <c r="N249" s="516" cm="1">
        <f t="array" ref="N249">SUMPRODUCT(--(ISNUMBER(SEARCH($A249,'Diags Raw Data'!$A$6:$A$4003))),--('Diags Raw Data'!$Q$6:$Q$4003&lt;&gt;"N/A"),'Diags Raw Data'!$T$6:$T$4003)+SUMPRODUCT(--(ISNUMBER(SEARCH($A249,'Diags Raw Data'!$A$6:$A$4003))),--('Diags Raw Data'!$Q$6:$Q$4003&lt;&gt;"N/A"),'Diags Raw Data'!$U$6:$U$4003)</f>
        <v>0</v>
      </c>
      <c r="O249" s="517">
        <f t="shared" si="43"/>
        <v>0</v>
      </c>
      <c r="P249" s="518">
        <f>SUMIF('Diags Raw Data'!$A$6:$A$4003,"*"&amp;$A249&amp;"*",'Diags Raw Data'!$Z$6:$Z$4003)</f>
        <v>0</v>
      </c>
      <c r="Q249" s="519">
        <f>SUM(SUMIF('Diags Raw Data'!$A$6:$A$4003,"*"&amp;$A249&amp;"*",'Diags Raw Data'!$AA$6:$AA$4003),SUMIF('Diags Raw Data'!$A$6:$A$4003,"*"&amp;$A249&amp;"*",'Diags Raw Data'!$AB$6:$AB$4003))</f>
        <v>0</v>
      </c>
      <c r="R249" s="520">
        <f t="shared" si="44"/>
        <v>0</v>
      </c>
      <c r="S249" s="520">
        <f t="shared" si="45"/>
        <v>0</v>
      </c>
      <c r="T249" s="521">
        <f t="shared" si="46"/>
        <v>0</v>
      </c>
      <c r="U249" s="456" t="str">
        <f>VLOOKUP(A249,'Diags Raw Data'!$A$6:$AH$4003,33,FALSE)</f>
        <v>WK8</v>
      </c>
      <c r="V249" s="182"/>
    </row>
    <row r="250" spans="1:22" ht="30.75" thickBot="1" x14ac:dyDescent="0.3">
      <c r="A250" s="576">
        <v>12.489000000000001</v>
      </c>
      <c r="B250" s="458" t="str">
        <f>VLOOKUP(A250,'Feature Raw Data'!$A$3:$B$3922,2,FALSE)</f>
        <v>Deprioritize NOT_EOP=1 mode</v>
      </c>
      <c r="C250" s="459" t="str">
        <f>VLOOKUP(A250,'Feature Raw Data'!$A$3:$C$3922,3,FALSE)</f>
        <v>P3</v>
      </c>
      <c r="D250" s="460" t="str" cm="1">
        <f t="array" ref="D250">_xlfn.TEXTJOIN("",TRUE,IF(ISNUMBER(SEARCH($A250,'Diags Raw Data'!$A$6:$A$4003)),CONCATENATE('Diags Raw Data'!$H$6:$H$4003,", "),""))</f>
        <v xml:space="preserve">N/A, </v>
      </c>
      <c r="E250" s="341" t="str">
        <f>VLOOKUP(A250,'Diags Raw Data'!$A$6:$D$4003,4,FALSE)</f>
        <v>GEO</v>
      </c>
      <c r="F250" s="341" t="str">
        <f>VLOOKUP(A250,'Feature Raw Data'!$A$3:$E$3922,5,FALSE)</f>
        <v>New</v>
      </c>
      <c r="G250" s="341" t="str">
        <f t="shared" si="41"/>
        <v>No</v>
      </c>
      <c r="H250" s="341" t="str">
        <f t="shared" si="42"/>
        <v>No</v>
      </c>
      <c r="I250" s="459">
        <f>SUMIF('Diags Raw Data'!$A$6:$A$4003,"*"&amp;$A250&amp;"*",'Diags Raw Data'!$K$6:$K$4003)</f>
        <v>0</v>
      </c>
      <c r="J250" s="461">
        <f>SUMIF('Diags Raw Data'!$A$6:$A$4003,"*"&amp;$A250&amp;"*",'Diags Raw Data'!$L$6:$L$4003)</f>
        <v>0</v>
      </c>
      <c r="K250" s="513" t="e" cm="1">
        <f t="array" ref="K250">IF(D250="",0, SUMPRODUCT(--(ISNUMBER(SEARCH($A250,'Diags Raw Data'!$A$6:$A$4003))),'Diags Raw Data'!$L$6:$L$4003,'Diags Raw Data'!$N$6:$N$4003)/J250)</f>
        <v>#DIV/0!</v>
      </c>
      <c r="L250" s="514" t="e" cm="1">
        <f t="array" ref="L250">IF(D250="",0, SUMPRODUCT(--(ISNUMBER(SEARCH($A250,'Diags Raw Data'!$A$6:$A$4003))),'Diags Raw Data'!$L$6:$L$4003,'Diags Raw Data'!$P$6:$P$4003)/J250)</f>
        <v>#DIV/0!</v>
      </c>
      <c r="M250" s="515" cm="1">
        <f t="array" ref="M250">SUMPRODUCT(--(ISNUMBER(SEARCH($A250,'Diags Raw Data'!$A$6:$A$4003))),--('Diags Raw Data'!$Q$6:$Q$4003&lt;&gt;"N/A"),'Diags Raw Data'!$R$6:$R$4003)</f>
        <v>0</v>
      </c>
      <c r="N250" s="516" cm="1">
        <f t="array" ref="N250">SUMPRODUCT(--(ISNUMBER(SEARCH($A250,'Diags Raw Data'!$A$6:$A$4003))),--('Diags Raw Data'!$Q$6:$Q$4003&lt;&gt;"N/A"),'Diags Raw Data'!$T$6:$T$4003)+SUMPRODUCT(--(ISNUMBER(SEARCH($A250,'Diags Raw Data'!$A$6:$A$4003))),--('Diags Raw Data'!$Q$6:$Q$4003&lt;&gt;"N/A"),'Diags Raw Data'!$U$6:$U$4003)</f>
        <v>0</v>
      </c>
      <c r="O250" s="517">
        <f t="shared" si="43"/>
        <v>0</v>
      </c>
      <c r="P250" s="518">
        <f>SUMIF('Diags Raw Data'!$A$6:$A$4003,"*"&amp;$A250&amp;"*",'Diags Raw Data'!$Z$6:$Z$4003)</f>
        <v>0</v>
      </c>
      <c r="Q250" s="519">
        <f>SUM(SUMIF('Diags Raw Data'!$A$6:$A$4003,"*"&amp;$A250&amp;"*",'Diags Raw Data'!$AA$6:$AA$4003),SUMIF('Diags Raw Data'!$A$6:$A$4003,"*"&amp;$A250&amp;"*",'Diags Raw Data'!$AB$6:$AB$4003))</f>
        <v>0</v>
      </c>
      <c r="R250" s="520">
        <f t="shared" si="44"/>
        <v>0</v>
      </c>
      <c r="S250" s="520">
        <f t="shared" si="45"/>
        <v>0</v>
      </c>
      <c r="T250" s="521">
        <f t="shared" si="46"/>
        <v>0</v>
      </c>
      <c r="U250" s="456" t="str">
        <f>VLOOKUP(A250,'Diags Raw Data'!$A$6:$AH$4003,33,FALSE)</f>
        <v>N/A</v>
      </c>
      <c r="V250" s="182"/>
    </row>
    <row r="251" spans="1:22" ht="30.75" thickBot="1" x14ac:dyDescent="0.3">
      <c r="A251" s="576">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Data'!$A$6:$A$4003)),CONCATENATE('Diags Raw Data'!$H$6:$H$4003,", "),""))</f>
        <v xml:space="preserve">N/A, N/A, N/A, N/A, N/A, N/A, placeholder_c.1, </v>
      </c>
      <c r="E251" s="341" t="str">
        <f>VLOOKUP(A251,'Diags Raw Data'!$A$6:$D$4003,4,FALSE)</f>
        <v>PD</v>
      </c>
      <c r="F251" s="341" t="str">
        <f>VLOOKUP(A251,'Feature Raw Data'!$A$3:$E$3922,5,FALSE)</f>
        <v>New</v>
      </c>
      <c r="G251" s="341" t="str">
        <f t="shared" si="41"/>
        <v>Yes</v>
      </c>
      <c r="H251" s="341" t="str">
        <f t="shared" si="42"/>
        <v>Yes</v>
      </c>
      <c r="I251" s="459">
        <f>SUMIF('Diags Raw Data'!$A$6:$A$4003,"*"&amp;$A251&amp;"*",'Diags Raw Data'!$K$6:$K$4003)</f>
        <v>0</v>
      </c>
      <c r="J251" s="461">
        <f>SUMIF('Diags Raw Data'!$A$6:$A$4003,"*"&amp;$A251&amp;"*",'Diags Raw Data'!$L$6:$L$4003)</f>
        <v>0</v>
      </c>
      <c r="K251" s="513" t="e" cm="1">
        <f t="array" ref="K251">IF(D251="",0, SUMPRODUCT(--(ISNUMBER(SEARCH($A251,'Diags Raw Data'!$A$6:$A$4003))),'Diags Raw Data'!$L$6:$L$4003,'Diags Raw Data'!$N$6:$N$4003)/J251)</f>
        <v>#DIV/0!</v>
      </c>
      <c r="L251" s="514" t="e" cm="1">
        <f t="array" ref="L251">IF(D251="",0, SUMPRODUCT(--(ISNUMBER(SEARCH($A251,'Diags Raw Data'!$A$6:$A$4003))),'Diags Raw Data'!$L$6:$L$4003,'Diags Raw Data'!$P$6:$P$4003)/J251)</f>
        <v>#DIV/0!</v>
      </c>
      <c r="M251" s="515" cm="1">
        <f t="array" ref="M251">SUMPRODUCT(--(ISNUMBER(SEARCH($A251,'Diags Raw Data'!$A$6:$A$4003))),--('Diags Raw Data'!$Q$6:$Q$4003&lt;&gt;"N/A"),'Diags Raw Data'!$R$6:$R$4003)</f>
        <v>1</v>
      </c>
      <c r="N251" s="516" cm="1">
        <f t="array" ref="N251">SUMPRODUCT(--(ISNUMBER(SEARCH($A251,'Diags Raw Data'!$A$6:$A$4003))),--('Diags Raw Data'!$Q$6:$Q$4003&lt;&gt;"N/A"),'Diags Raw Data'!$T$6:$T$4003)+SUMPRODUCT(--(ISNUMBER(SEARCH($A251,'Diags Raw Data'!$A$6:$A$4003))),--('Diags Raw Data'!$Q$6:$Q$4003&lt;&gt;"N/A"),'Diags Raw Data'!$U$6:$U$4003)</f>
        <v>0</v>
      </c>
      <c r="O251" s="517">
        <f t="shared" si="43"/>
        <v>0</v>
      </c>
      <c r="P251" s="518">
        <f>SUMIF('Diags Raw Data'!$A$6:$A$4003,"*"&amp;$A251&amp;"*",'Diags Raw Data'!$Z$6:$Z$4003)</f>
        <v>0</v>
      </c>
      <c r="Q251" s="519">
        <f>SUM(SUMIF('Diags Raw Data'!$A$6:$A$4003,"*"&amp;$A251&amp;"*",'Diags Raw Data'!$AA$6:$AA$4003),SUMIF('Diags Raw Data'!$A$6:$A$4003,"*"&amp;$A251&amp;"*",'Diags Raw Data'!$AB$6:$AB$4003))</f>
        <v>0</v>
      </c>
      <c r="R251" s="520">
        <f t="shared" si="44"/>
        <v>0</v>
      </c>
      <c r="S251" s="520">
        <f t="shared" si="45"/>
        <v>0</v>
      </c>
      <c r="T251" s="521">
        <f t="shared" si="46"/>
        <v>0</v>
      </c>
      <c r="U251" s="456" t="str">
        <f>VLOOKUP(A251,'Diags Raw Data'!$A$6:$AH$4003,33,FALSE)</f>
        <v>N/A</v>
      </c>
      <c r="V251" s="182"/>
    </row>
    <row r="252" spans="1:22" ht="75.75" thickBot="1" x14ac:dyDescent="0.3">
      <c r="A252" s="576">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Data'!$A$6:$A$4003)),CONCATENATE('Diags Raw Data'!$H$6:$H$4003,", "),""))</f>
        <v xml:space="preserve">N/A, </v>
      </c>
      <c r="E252" s="341" t="str">
        <f>VLOOKUP(A252,'Diags Raw Data'!$A$6:$D$4003,4,FALSE)</f>
        <v>CTL</v>
      </c>
      <c r="F252" s="341" t="str">
        <f>VLOOKUP(A252,'Feature Raw Data'!$A$3:$E$3922,5,FALSE)</f>
        <v>New</v>
      </c>
      <c r="G252" s="341" t="str">
        <f t="shared" si="41"/>
        <v>No</v>
      </c>
      <c r="H252" s="341" t="str">
        <f t="shared" si="42"/>
        <v>No</v>
      </c>
      <c r="I252" s="459">
        <f>SUMIF('Diags Raw Data'!$A$6:$A$4003,"*"&amp;$A252&amp;"*",'Diags Raw Data'!$K$6:$K$4003)</f>
        <v>0</v>
      </c>
      <c r="J252" s="461">
        <f>SUMIF('Diags Raw Data'!$A$6:$A$4003,"*"&amp;$A252&amp;"*",'Diags Raw Data'!$L$6:$L$4003)</f>
        <v>0</v>
      </c>
      <c r="K252" s="513" t="e" cm="1">
        <f t="array" ref="K252">IF(D252="",0, SUMPRODUCT(--(ISNUMBER(SEARCH($A252,'Diags Raw Data'!$A$6:$A$4003))),'Diags Raw Data'!$L$6:$L$4003,'Diags Raw Data'!$N$6:$N$4003)/J252)</f>
        <v>#DIV/0!</v>
      </c>
      <c r="L252" s="514" t="e" cm="1">
        <f t="array" ref="L252">IF(D252="",0, SUMPRODUCT(--(ISNUMBER(SEARCH($A252,'Diags Raw Data'!$A$6:$A$4003))),'Diags Raw Data'!$L$6:$L$4003,'Diags Raw Data'!$P$6:$P$4003)/J252)</f>
        <v>#DIV/0!</v>
      </c>
      <c r="M252" s="515" cm="1">
        <f t="array" ref="M252">SUMPRODUCT(--(ISNUMBER(SEARCH($A252,'Diags Raw Data'!$A$6:$A$4003))),--('Diags Raw Data'!$Q$6:$Q$4003&lt;&gt;"N/A"),'Diags Raw Data'!$R$6:$R$4003)</f>
        <v>0</v>
      </c>
      <c r="N252" s="516" cm="1">
        <f t="array" ref="N252">SUMPRODUCT(--(ISNUMBER(SEARCH($A252,'Diags Raw Data'!$A$6:$A$4003))),--('Diags Raw Data'!$Q$6:$Q$4003&lt;&gt;"N/A"),'Diags Raw Data'!$T$6:$T$4003)+SUMPRODUCT(--(ISNUMBER(SEARCH($A252,'Diags Raw Data'!$A$6:$A$4003))),--('Diags Raw Data'!$Q$6:$Q$4003&lt;&gt;"N/A"),'Diags Raw Data'!$U$6:$U$4003)</f>
        <v>0</v>
      </c>
      <c r="O252" s="517">
        <f t="shared" si="43"/>
        <v>0</v>
      </c>
      <c r="P252" s="518">
        <f>SUMIF('Diags Raw Data'!$A$6:$A$4003,"*"&amp;$A252&amp;"*",'Diags Raw Data'!$Z$6:$Z$4003)</f>
        <v>0</v>
      </c>
      <c r="Q252" s="519">
        <f>SUM(SUMIF('Diags Raw Data'!$A$6:$A$4003,"*"&amp;$A252&amp;"*",'Diags Raw Data'!$AA$6:$AA$4003),SUMIF('Diags Raw Data'!$A$6:$A$4003,"*"&amp;$A252&amp;"*",'Diags Raw Data'!$AB$6:$AB$4003))</f>
        <v>0</v>
      </c>
      <c r="R252" s="520">
        <f t="shared" si="44"/>
        <v>0</v>
      </c>
      <c r="S252" s="520">
        <f t="shared" si="45"/>
        <v>0</v>
      </c>
      <c r="T252" s="521">
        <f t="shared" si="46"/>
        <v>0</v>
      </c>
      <c r="U252" s="456" t="str">
        <f>VLOOKUP(A252,'Diags Raw Data'!$A$6:$AH$4003,33,FALSE)</f>
        <v>N/A</v>
      </c>
      <c r="V252" s="182"/>
    </row>
    <row r="253" spans="1:22" ht="45.75" thickBot="1" x14ac:dyDescent="0.3">
      <c r="A253" s="576">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Data'!$A$6:$A$4003)),CONCATENATE('Diags Raw Data'!$H$6:$H$4003,", "),""))</f>
        <v xml:space="preserve">N/A, </v>
      </c>
      <c r="E253" s="341" t="str">
        <f>VLOOKUP(A253,'Diags Raw Data'!$A$6:$D$4003,4,FALSE)</f>
        <v>CTL</v>
      </c>
      <c r="F253" s="341" t="str">
        <f>VLOOKUP(A253,'Feature Raw Data'!$A$3:$E$3922,5,FALSE)</f>
        <v>New</v>
      </c>
      <c r="G253" s="341" t="str">
        <f t="shared" si="41"/>
        <v>No</v>
      </c>
      <c r="H253" s="341" t="str">
        <f t="shared" si="42"/>
        <v>No</v>
      </c>
      <c r="I253" s="459">
        <f>SUMIF('Diags Raw Data'!$A$6:$A$4003,"*"&amp;$A253&amp;"*",'Diags Raw Data'!$K$6:$K$4003)</f>
        <v>0</v>
      </c>
      <c r="J253" s="461">
        <f>SUMIF('Diags Raw Data'!$A$6:$A$4003,"*"&amp;$A253&amp;"*",'Diags Raw Data'!$L$6:$L$4003)</f>
        <v>0</v>
      </c>
      <c r="K253" s="513" t="e" cm="1">
        <f t="array" ref="K253">IF(D253="",0, SUMPRODUCT(--(ISNUMBER(SEARCH($A253,'Diags Raw Data'!$A$6:$A$4003))),'Diags Raw Data'!$L$6:$L$4003,'Diags Raw Data'!$N$6:$N$4003)/J253)</f>
        <v>#DIV/0!</v>
      </c>
      <c r="L253" s="514" t="e" cm="1">
        <f t="array" ref="L253">IF(D253="",0, SUMPRODUCT(--(ISNUMBER(SEARCH($A253,'Diags Raw Data'!$A$6:$A$4003))),'Diags Raw Data'!$L$6:$L$4003,'Diags Raw Data'!$P$6:$P$4003)/J253)</f>
        <v>#DIV/0!</v>
      </c>
      <c r="M253" s="515" cm="1">
        <f t="array" ref="M253">SUMPRODUCT(--(ISNUMBER(SEARCH($A253,'Diags Raw Data'!$A$6:$A$4003))),--('Diags Raw Data'!$Q$6:$Q$4003&lt;&gt;"N/A"),'Diags Raw Data'!$R$6:$R$4003)</f>
        <v>0</v>
      </c>
      <c r="N253" s="516" cm="1">
        <f t="array" ref="N253">SUMPRODUCT(--(ISNUMBER(SEARCH($A253,'Diags Raw Data'!$A$6:$A$4003))),--('Diags Raw Data'!$Q$6:$Q$4003&lt;&gt;"N/A"),'Diags Raw Data'!$T$6:$T$4003)+SUMPRODUCT(--(ISNUMBER(SEARCH($A253,'Diags Raw Data'!$A$6:$A$4003))),--('Diags Raw Data'!$Q$6:$Q$4003&lt;&gt;"N/A"),'Diags Raw Data'!$U$6:$U$4003)</f>
        <v>0</v>
      </c>
      <c r="O253" s="517">
        <f t="shared" si="43"/>
        <v>0</v>
      </c>
      <c r="P253" s="518">
        <f>SUMIF('Diags Raw Data'!$A$6:$A$4003,"*"&amp;$A253&amp;"*",'Diags Raw Data'!$Z$6:$Z$4003)</f>
        <v>0</v>
      </c>
      <c r="Q253" s="519">
        <f>SUM(SUMIF('Diags Raw Data'!$A$6:$A$4003,"*"&amp;$A253&amp;"*",'Diags Raw Data'!$AA$6:$AA$4003),SUMIF('Diags Raw Data'!$A$6:$A$4003,"*"&amp;$A253&amp;"*",'Diags Raw Data'!$AB$6:$AB$4003))</f>
        <v>0</v>
      </c>
      <c r="R253" s="520">
        <f t="shared" si="44"/>
        <v>0</v>
      </c>
      <c r="S253" s="520">
        <f t="shared" si="45"/>
        <v>0</v>
      </c>
      <c r="T253" s="521">
        <f t="shared" si="46"/>
        <v>0</v>
      </c>
      <c r="U253" s="456" t="str">
        <f>VLOOKUP(A253,'Diags Raw Data'!$A$6:$AH$4003,33,FALSE)</f>
        <v>N/A</v>
      </c>
      <c r="V253" s="182"/>
    </row>
    <row r="254" spans="1:22" ht="30.75" thickBot="1" x14ac:dyDescent="0.3">
      <c r="A254" s="576">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Data'!$A$6:$A$4003)),CONCATENATE('Diags Raw Data'!$H$6:$H$4003,", "),""))</f>
        <v xml:space="preserve">N/A, </v>
      </c>
      <c r="E254" s="341" t="str">
        <f>VLOOKUP(A254,'Diags Raw Data'!$A$6:$D$4003,4,FALSE)</f>
        <v>CTL</v>
      </c>
      <c r="F254" s="341" t="str">
        <f>VLOOKUP(A254,'Feature Raw Data'!$A$3:$E$3922,5,FALSE)</f>
        <v>New</v>
      </c>
      <c r="G254" s="341" t="str">
        <f t="shared" si="41"/>
        <v>No</v>
      </c>
      <c r="H254" s="341" t="str">
        <f t="shared" si="42"/>
        <v>No</v>
      </c>
      <c r="I254" s="459">
        <f>SUMIF('Diags Raw Data'!$A$6:$A$4003,"*"&amp;$A254&amp;"*",'Diags Raw Data'!$K$6:$K$4003)</f>
        <v>0</v>
      </c>
      <c r="J254" s="461">
        <f>SUMIF('Diags Raw Data'!$A$6:$A$4003,"*"&amp;$A254&amp;"*",'Diags Raw Data'!$L$6:$L$4003)</f>
        <v>0</v>
      </c>
      <c r="K254" s="513" t="e" cm="1">
        <f t="array" ref="K254">IF(D254="",0, SUMPRODUCT(--(ISNUMBER(SEARCH($A254,'Diags Raw Data'!$A$6:$A$4003))),'Diags Raw Data'!$L$6:$L$4003,'Diags Raw Data'!$N$6:$N$4003)/J254)</f>
        <v>#DIV/0!</v>
      </c>
      <c r="L254" s="514" t="e" cm="1">
        <f t="array" ref="L254">IF(D254="",0, SUMPRODUCT(--(ISNUMBER(SEARCH($A254,'Diags Raw Data'!$A$6:$A$4003))),'Diags Raw Data'!$L$6:$L$4003,'Diags Raw Data'!$P$6:$P$4003)/J254)</f>
        <v>#DIV/0!</v>
      </c>
      <c r="M254" s="515" cm="1">
        <f t="array" ref="M254">SUMPRODUCT(--(ISNUMBER(SEARCH($A254,'Diags Raw Data'!$A$6:$A$4003))),--('Diags Raw Data'!$Q$6:$Q$4003&lt;&gt;"N/A"),'Diags Raw Data'!$R$6:$R$4003)</f>
        <v>0</v>
      </c>
      <c r="N254" s="516" cm="1">
        <f t="array" ref="N254">SUMPRODUCT(--(ISNUMBER(SEARCH($A254,'Diags Raw Data'!$A$6:$A$4003))),--('Diags Raw Data'!$Q$6:$Q$4003&lt;&gt;"N/A"),'Diags Raw Data'!$T$6:$T$4003)+SUMPRODUCT(--(ISNUMBER(SEARCH($A254,'Diags Raw Data'!$A$6:$A$4003))),--('Diags Raw Data'!$Q$6:$Q$4003&lt;&gt;"N/A"),'Diags Raw Data'!$U$6:$U$4003)</f>
        <v>0</v>
      </c>
      <c r="O254" s="517">
        <f t="shared" si="43"/>
        <v>0</v>
      </c>
      <c r="P254" s="518">
        <f>SUMIF('Diags Raw Data'!$A$6:$A$4003,"*"&amp;$A254&amp;"*",'Diags Raw Data'!$Z$6:$Z$4003)</f>
        <v>0</v>
      </c>
      <c r="Q254" s="519">
        <f>SUM(SUMIF('Diags Raw Data'!$A$6:$A$4003,"*"&amp;$A254&amp;"*",'Diags Raw Data'!$AA$6:$AA$4003),SUMIF('Diags Raw Data'!$A$6:$A$4003,"*"&amp;$A254&amp;"*",'Diags Raw Data'!$AB$6:$AB$4003))</f>
        <v>0</v>
      </c>
      <c r="R254" s="520">
        <f t="shared" si="44"/>
        <v>0</v>
      </c>
      <c r="S254" s="520">
        <f t="shared" si="45"/>
        <v>0</v>
      </c>
      <c r="T254" s="521">
        <f t="shared" si="46"/>
        <v>0</v>
      </c>
      <c r="U254" s="456" t="str">
        <f>VLOOKUP(A254,'Diags Raw Data'!$A$6:$AH$4003,33,FALSE)</f>
        <v>N/A</v>
      </c>
      <c r="V254" s="182"/>
    </row>
    <row r="255" spans="1:22" ht="60.75" thickBot="1" x14ac:dyDescent="0.3">
      <c r="A255" s="576">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Data'!$A$6:$A$4003)),CONCATENATE('Diags Raw Data'!$H$6:$H$4003,", "),""))</f>
        <v xml:space="preserve">N/A, </v>
      </c>
      <c r="E255" s="341" t="str">
        <f>VLOOKUP(A255,'Diags Raw Data'!$A$6:$D$4003,4,FALSE)</f>
        <v>CMM</v>
      </c>
      <c r="F255" s="341" t="str">
        <f>VLOOKUP(A255,'Feature Raw Data'!$A$3:$E$3922,5,FALSE)</f>
        <v>New</v>
      </c>
      <c r="G255" s="341" t="str">
        <f t="shared" si="41"/>
        <v>No</v>
      </c>
      <c r="H255" s="341" t="str">
        <f t="shared" si="42"/>
        <v>No</v>
      </c>
      <c r="I255" s="459">
        <f>SUMIF('Diags Raw Data'!$A$6:$A$4003,"*"&amp;$A255&amp;"*",'Diags Raw Data'!$K$6:$K$4003)</f>
        <v>0</v>
      </c>
      <c r="J255" s="461">
        <f>SUMIF('Diags Raw Data'!$A$6:$A$4003,"*"&amp;$A255&amp;"*",'Diags Raw Data'!$L$6:$L$4003)</f>
        <v>0</v>
      </c>
      <c r="K255" s="513" t="e" cm="1">
        <f t="array" ref="K255">IF(D255="",0, SUMPRODUCT(--(ISNUMBER(SEARCH($A255,'Diags Raw Data'!$A$6:$A$4003))),'Diags Raw Data'!$L$6:$L$4003,'Diags Raw Data'!$N$6:$N$4003)/J255)</f>
        <v>#DIV/0!</v>
      </c>
      <c r="L255" s="514" t="e" cm="1">
        <f t="array" ref="L255">IF(D255="",0, SUMPRODUCT(--(ISNUMBER(SEARCH($A255,'Diags Raw Data'!$A$6:$A$4003))),'Diags Raw Data'!$L$6:$L$4003,'Diags Raw Data'!$P$6:$P$4003)/J255)</f>
        <v>#DIV/0!</v>
      </c>
      <c r="M255" s="515" cm="1">
        <f t="array" ref="M255">SUMPRODUCT(--(ISNUMBER(SEARCH($A255,'Diags Raw Data'!$A$6:$A$4003))),--('Diags Raw Data'!$Q$6:$Q$4003&lt;&gt;"N/A"),'Diags Raw Data'!$R$6:$R$4003)</f>
        <v>0</v>
      </c>
      <c r="N255" s="516" cm="1">
        <f t="array" ref="N255">SUMPRODUCT(--(ISNUMBER(SEARCH($A255,'Diags Raw Data'!$A$6:$A$4003))),--('Diags Raw Data'!$Q$6:$Q$4003&lt;&gt;"N/A"),'Diags Raw Data'!$T$6:$T$4003)+SUMPRODUCT(--(ISNUMBER(SEARCH($A255,'Diags Raw Data'!$A$6:$A$4003))),--('Diags Raw Data'!$Q$6:$Q$4003&lt;&gt;"N/A"),'Diags Raw Data'!$U$6:$U$4003)</f>
        <v>0</v>
      </c>
      <c r="O255" s="517">
        <f t="shared" si="43"/>
        <v>0</v>
      </c>
      <c r="P255" s="518">
        <f>SUMIF('Diags Raw Data'!$A$6:$A$4003,"*"&amp;$A255&amp;"*",'Diags Raw Data'!$Z$6:$Z$4003)</f>
        <v>0</v>
      </c>
      <c r="Q255" s="519">
        <f>SUM(SUMIF('Diags Raw Data'!$A$6:$A$4003,"*"&amp;$A255&amp;"*",'Diags Raw Data'!$AA$6:$AA$4003),SUMIF('Diags Raw Data'!$A$6:$A$4003,"*"&amp;$A255&amp;"*",'Diags Raw Data'!$AB$6:$AB$4003))</f>
        <v>0</v>
      </c>
      <c r="R255" s="520">
        <f t="shared" si="44"/>
        <v>0</v>
      </c>
      <c r="S255" s="520">
        <f t="shared" si="45"/>
        <v>0</v>
      </c>
      <c r="T255" s="521">
        <f t="shared" si="46"/>
        <v>0</v>
      </c>
      <c r="U255" s="456" t="str">
        <f>VLOOKUP(A255,'Diags Raw Data'!$A$6:$AH$4003,33,FALSE)</f>
        <v>N/A</v>
      </c>
      <c r="V255" s="182"/>
    </row>
    <row r="256" spans="1:22" ht="30.75" thickBot="1" x14ac:dyDescent="0.3">
      <c r="A256" s="576">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Data'!$A$6:$A$4003)),CONCATENATE('Diags Raw Data'!$H$6:$H$4003,", "),""))</f>
        <v xml:space="preserve">N/A, </v>
      </c>
      <c r="E256" s="341" t="str">
        <f>VLOOKUP(A256,'Diags Raw Data'!$A$6:$D$4003,4,FALSE)</f>
        <v>PP</v>
      </c>
      <c r="F256" s="341" t="str">
        <f>VLOOKUP(A256,'Feature Raw Data'!$A$3:$E$3922,5,FALSE)</f>
        <v>New</v>
      </c>
      <c r="G256" s="341" t="str">
        <f t="shared" si="41"/>
        <v>No</v>
      </c>
      <c r="H256" s="341" t="str">
        <f t="shared" si="42"/>
        <v>No</v>
      </c>
      <c r="I256" s="459">
        <f>SUMIF('Diags Raw Data'!$A$6:$A$4003,"*"&amp;$A256&amp;"*",'Diags Raw Data'!$K$6:$K$4003)</f>
        <v>0</v>
      </c>
      <c r="J256" s="461">
        <f>SUMIF('Diags Raw Data'!$A$6:$A$4003,"*"&amp;$A256&amp;"*",'Diags Raw Data'!$L$6:$L$4003)</f>
        <v>0</v>
      </c>
      <c r="K256" s="513" t="e" cm="1">
        <f t="array" ref="K256">IF(D256="",0, SUMPRODUCT(--(ISNUMBER(SEARCH($A256,'Diags Raw Data'!$A$6:$A$4003))),'Diags Raw Data'!$L$6:$L$4003,'Diags Raw Data'!$N$6:$N$4003)/J256)</f>
        <v>#DIV/0!</v>
      </c>
      <c r="L256" s="514" t="e" cm="1">
        <f t="array" ref="L256">IF(D256="",0, SUMPRODUCT(--(ISNUMBER(SEARCH($A256,'Diags Raw Data'!$A$6:$A$4003))),'Diags Raw Data'!$L$6:$L$4003,'Diags Raw Data'!$P$6:$P$4003)/J256)</f>
        <v>#DIV/0!</v>
      </c>
      <c r="M256" s="515" cm="1">
        <f t="array" ref="M256">SUMPRODUCT(--(ISNUMBER(SEARCH($A256,'Diags Raw Data'!$A$6:$A$4003))),--('Diags Raw Data'!$Q$6:$Q$4003&lt;&gt;"N/A"),'Diags Raw Data'!$R$6:$R$4003)</f>
        <v>0</v>
      </c>
      <c r="N256" s="516" cm="1">
        <f t="array" ref="N256">SUMPRODUCT(--(ISNUMBER(SEARCH($A256,'Diags Raw Data'!$A$6:$A$4003))),--('Diags Raw Data'!$Q$6:$Q$4003&lt;&gt;"N/A"),'Diags Raw Data'!$T$6:$T$4003)+SUMPRODUCT(--(ISNUMBER(SEARCH($A256,'Diags Raw Data'!$A$6:$A$4003))),--('Diags Raw Data'!$Q$6:$Q$4003&lt;&gt;"N/A"),'Diags Raw Data'!$U$6:$U$4003)</f>
        <v>0</v>
      </c>
      <c r="O256" s="517">
        <f t="shared" si="43"/>
        <v>0</v>
      </c>
      <c r="P256" s="518">
        <f>SUMIF('Diags Raw Data'!$A$6:$A$4003,"*"&amp;$A256&amp;"*",'Diags Raw Data'!$Z$6:$Z$4003)</f>
        <v>0</v>
      </c>
      <c r="Q256" s="519">
        <f>SUM(SUMIF('Diags Raw Data'!$A$6:$A$4003,"*"&amp;$A256&amp;"*",'Diags Raw Data'!$AA$6:$AA$4003),SUMIF('Diags Raw Data'!$A$6:$A$4003,"*"&amp;$A256&amp;"*",'Diags Raw Data'!$AB$6:$AB$4003))</f>
        <v>0</v>
      </c>
      <c r="R256" s="520">
        <f t="shared" si="44"/>
        <v>0</v>
      </c>
      <c r="S256" s="520">
        <f t="shared" si="45"/>
        <v>0</v>
      </c>
      <c r="T256" s="521">
        <f t="shared" si="46"/>
        <v>0</v>
      </c>
      <c r="U256" s="456" t="str">
        <f>VLOOKUP(A256,'Diags Raw Data'!$A$6:$AH$4003,33,FALSE)</f>
        <v>N/A</v>
      </c>
      <c r="V256" s="182"/>
    </row>
    <row r="257" spans="1:22" ht="45.75" thickBot="1" x14ac:dyDescent="0.3">
      <c r="A257" s="576">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Data'!$A$6:$A$4003)),CONCATENATE('Diags Raw Data'!$H$6:$H$4003,", "),""))</f>
        <v xml:space="preserve">placeholder_c.1, </v>
      </c>
      <c r="E257" s="341" t="str">
        <f>VLOOKUP(A257,'Diags Raw Data'!$A$6:$D$4003,4,FALSE)</f>
        <v>CMM</v>
      </c>
      <c r="F257" s="341" t="str">
        <f>VLOOKUP(A257,'Feature Raw Data'!$A$3:$E$3922,5,FALSE)</f>
        <v>New</v>
      </c>
      <c r="G257" s="341" t="str">
        <f t="shared" si="41"/>
        <v>Yes</v>
      </c>
      <c r="H257" s="341" t="str">
        <f t="shared" si="42"/>
        <v>Yes</v>
      </c>
      <c r="I257" s="459">
        <f>SUMIF('Diags Raw Data'!$A$6:$A$4003,"*"&amp;$A257&amp;"*",'Diags Raw Data'!$K$6:$K$4003)</f>
        <v>0</v>
      </c>
      <c r="J257" s="461">
        <f>SUMIF('Diags Raw Data'!$A$6:$A$4003,"*"&amp;$A257&amp;"*",'Diags Raw Data'!$L$6:$L$4003)</f>
        <v>0</v>
      </c>
      <c r="K257" s="513" t="e" cm="1">
        <f t="array" ref="K257">IF(D257="",0, SUMPRODUCT(--(ISNUMBER(SEARCH($A257,'Diags Raw Data'!$A$6:$A$4003))),'Diags Raw Data'!$L$6:$L$4003,'Diags Raw Data'!$N$6:$N$4003)/J257)</f>
        <v>#DIV/0!</v>
      </c>
      <c r="L257" s="514" t="e" cm="1">
        <f t="array" ref="L257">IF(D257="",0, SUMPRODUCT(--(ISNUMBER(SEARCH($A257,'Diags Raw Data'!$A$6:$A$4003))),'Diags Raw Data'!$L$6:$L$4003,'Diags Raw Data'!$P$6:$P$4003)/J257)</f>
        <v>#DIV/0!</v>
      </c>
      <c r="M257" s="515" cm="1">
        <f t="array" ref="M257">SUMPRODUCT(--(ISNUMBER(SEARCH($A257,'Diags Raw Data'!$A$6:$A$4003))),--('Diags Raw Data'!$Q$6:$Q$4003&lt;&gt;"N/A"),'Diags Raw Data'!$R$6:$R$4003)</f>
        <v>1</v>
      </c>
      <c r="N257" s="516" cm="1">
        <f t="array" ref="N257">SUMPRODUCT(--(ISNUMBER(SEARCH($A257,'Diags Raw Data'!$A$6:$A$4003))),--('Diags Raw Data'!$Q$6:$Q$4003&lt;&gt;"N/A"),'Diags Raw Data'!$T$6:$T$4003)+SUMPRODUCT(--(ISNUMBER(SEARCH($A257,'Diags Raw Data'!$A$6:$A$4003))),--('Diags Raw Data'!$Q$6:$Q$4003&lt;&gt;"N/A"),'Diags Raw Data'!$U$6:$U$4003)</f>
        <v>0</v>
      </c>
      <c r="O257" s="517">
        <f t="shared" si="43"/>
        <v>0</v>
      </c>
      <c r="P257" s="518">
        <f>SUMIF('Diags Raw Data'!$A$6:$A$4003,"*"&amp;$A257&amp;"*",'Diags Raw Data'!$Z$6:$Z$4003)</f>
        <v>0</v>
      </c>
      <c r="Q257" s="519">
        <f>SUM(SUMIF('Diags Raw Data'!$A$6:$A$4003,"*"&amp;$A257&amp;"*",'Diags Raw Data'!$AA$6:$AA$4003),SUMIF('Diags Raw Data'!$A$6:$A$4003,"*"&amp;$A257&amp;"*",'Diags Raw Data'!$AB$6:$AB$4003))</f>
        <v>0</v>
      </c>
      <c r="R257" s="520">
        <f t="shared" si="44"/>
        <v>0</v>
      </c>
      <c r="S257" s="520">
        <f t="shared" si="45"/>
        <v>0</v>
      </c>
      <c r="T257" s="521">
        <f t="shared" si="46"/>
        <v>0</v>
      </c>
      <c r="U257" s="456" t="str">
        <f>VLOOKUP(A257,'Diags Raw Data'!$A$6:$AH$4003,33,FALSE)</f>
        <v>WK8</v>
      </c>
      <c r="V257" s="182"/>
    </row>
    <row r="258" spans="1:22" x14ac:dyDescent="0.25">
      <c r="A258" s="576">
        <v>12.5</v>
      </c>
      <c r="B258" s="458" t="str">
        <f>VLOOKUP(A258,'Feature Raw Data'!$A$3:$B$3922,2,FALSE)</f>
        <v>2ch_cant_saturate_pcie_rdBW</v>
      </c>
      <c r="C258" s="459" t="str">
        <f>VLOOKUP(A258,'Feature Raw Data'!$A$3:$C$3922,3,FALSE)</f>
        <v>P2</v>
      </c>
      <c r="D258" s="460" t="str" cm="1">
        <f t="array" ref="D258">_xlfn.TEXTJOIN("",TRUE,IF(ISNUMBER(SEARCH($A258,'Diags Raw Data'!$A$6:$A$4003)),CONCATENATE('Diags Raw Data'!$H$6:$H$4003,", "),""))</f>
        <v xml:space="preserve">N/A, </v>
      </c>
      <c r="E258" s="341" t="str">
        <f>VLOOKUP(A258,'Diags Raw Data'!$A$6:$D$4003,4,FALSE)</f>
        <v>CMM</v>
      </c>
      <c r="F258" s="341" t="str">
        <f>VLOOKUP(A258,'Feature Raw Data'!$A$3:$E$3922,5,FALSE)</f>
        <v>New</v>
      </c>
      <c r="G258" s="341" t="str">
        <f t="shared" si="41"/>
        <v>No</v>
      </c>
      <c r="H258" s="341" t="str">
        <f t="shared" si="42"/>
        <v>No</v>
      </c>
      <c r="I258" s="459">
        <f>SUMIF('Diags Raw Data'!$A$6:$A$4003,"*"&amp;$A258&amp;"*",'Diags Raw Data'!$K$6:$K$4003)</f>
        <v>0</v>
      </c>
      <c r="J258" s="461">
        <f>SUMIF('Diags Raw Data'!$A$6:$A$4003,"*"&amp;$A258&amp;"*",'Diags Raw Data'!$L$6:$L$4003)</f>
        <v>0</v>
      </c>
      <c r="K258" s="513" t="e" cm="1">
        <f t="array" ref="K258">IF(D258="",0, SUMPRODUCT(--(ISNUMBER(SEARCH($A258,'Diags Raw Data'!$A$6:$A$4003))),'Diags Raw Data'!$L$6:$L$4003,'Diags Raw Data'!$N$6:$N$4003)/J258)</f>
        <v>#DIV/0!</v>
      </c>
      <c r="L258" s="514" t="e" cm="1">
        <f t="array" ref="L258">IF(D258="",0, SUMPRODUCT(--(ISNUMBER(SEARCH($A258,'Diags Raw Data'!$A$6:$A$4003))),'Diags Raw Data'!$L$6:$L$4003,'Diags Raw Data'!$P$6:$P$4003)/J258)</f>
        <v>#DIV/0!</v>
      </c>
      <c r="M258" s="515" cm="1">
        <f t="array" ref="M258">SUMPRODUCT(--(ISNUMBER(SEARCH($A258,'Diags Raw Data'!$A$6:$A$4003))),--('Diags Raw Data'!$Q$6:$Q$4003&lt;&gt;"N/A"),'Diags Raw Data'!$R$6:$R$4003)</f>
        <v>0</v>
      </c>
      <c r="N258" s="516" cm="1">
        <f t="array" ref="N258">SUMPRODUCT(--(ISNUMBER(SEARCH($A258,'Diags Raw Data'!$A$6:$A$4003))),--('Diags Raw Data'!$Q$6:$Q$4003&lt;&gt;"N/A"),'Diags Raw Data'!$T$6:$T$4003)+SUMPRODUCT(--(ISNUMBER(SEARCH($A258,'Diags Raw Data'!$A$6:$A$4003))),--('Diags Raw Data'!$Q$6:$Q$4003&lt;&gt;"N/A"),'Diags Raw Data'!$U$6:$U$4003)</f>
        <v>0</v>
      </c>
      <c r="O258" s="517">
        <f t="shared" si="43"/>
        <v>0</v>
      </c>
      <c r="P258" s="518">
        <f>SUMIF('Diags Raw Data'!$A$6:$A$4003,"*"&amp;$A258&amp;"*",'Diags Raw Data'!$Z$6:$Z$4003)</f>
        <v>0</v>
      </c>
      <c r="Q258" s="519">
        <f>SUM(SUMIF('Diags Raw Data'!$A$6:$A$4003,"*"&amp;$A258&amp;"*",'Diags Raw Data'!$AA$6:$AA$4003),SUMIF('Diags Raw Data'!$A$6:$A$4003,"*"&amp;$A258&amp;"*",'Diags Raw Data'!$AB$6:$AB$4003))</f>
        <v>0</v>
      </c>
      <c r="R258" s="520">
        <f t="shared" si="44"/>
        <v>0</v>
      </c>
      <c r="S258" s="520">
        <f t="shared" si="45"/>
        <v>0</v>
      </c>
      <c r="T258" s="521">
        <f t="shared" si="46"/>
        <v>0</v>
      </c>
      <c r="U258" s="456" t="str">
        <f>VLOOKUP(A258,'Diags Raw Data'!$A$6:$AH$4003,33,FALSE)</f>
        <v>N/A</v>
      </c>
      <c r="V258" s="182"/>
    </row>
    <row r="259" spans="1:22" x14ac:dyDescent="0.25">
      <c r="A259" s="576"/>
      <c r="B259" s="458"/>
      <c r="C259" s="459"/>
      <c r="D259" s="460"/>
      <c r="E259" s="341"/>
      <c r="F259" s="341"/>
      <c r="G259" s="341"/>
      <c r="H259" s="341"/>
      <c r="I259" s="459"/>
      <c r="J259" s="461"/>
      <c r="K259" s="513"/>
      <c r="L259" s="514"/>
      <c r="M259" s="515"/>
      <c r="N259" s="516"/>
      <c r="O259" s="517"/>
      <c r="P259" s="518"/>
      <c r="Q259" s="519"/>
      <c r="R259" s="520"/>
      <c r="S259" s="520"/>
      <c r="T259" s="521"/>
      <c r="U259" s="462"/>
      <c r="V259" s="182"/>
    </row>
    <row r="260" spans="1:22" x14ac:dyDescent="0.25">
      <c r="A260" s="576"/>
      <c r="B260" s="458"/>
      <c r="C260" s="459"/>
      <c r="D260" s="460"/>
      <c r="E260" s="341"/>
      <c r="F260" s="341"/>
      <c r="G260" s="341"/>
      <c r="H260" s="341"/>
      <c r="I260" s="459"/>
      <c r="J260" s="461"/>
      <c r="K260" s="513"/>
      <c r="L260" s="514"/>
      <c r="M260" s="515"/>
      <c r="N260" s="516"/>
      <c r="O260" s="517"/>
      <c r="P260" s="518"/>
      <c r="Q260" s="519"/>
      <c r="R260" s="520"/>
      <c r="S260" s="520"/>
      <c r="T260" s="521"/>
      <c r="U260" s="462"/>
      <c r="V260" s="182"/>
    </row>
    <row r="261" spans="1:22" x14ac:dyDescent="0.25">
      <c r="A261" s="576"/>
      <c r="B261" s="458"/>
      <c r="C261" s="459"/>
      <c r="D261" s="460"/>
      <c r="E261" s="341"/>
      <c r="F261" s="341"/>
      <c r="G261" s="341"/>
      <c r="H261" s="341"/>
      <c r="I261" s="459"/>
      <c r="J261" s="461"/>
      <c r="K261" s="513"/>
      <c r="L261" s="514"/>
      <c r="M261" s="515"/>
      <c r="N261" s="516"/>
      <c r="O261" s="517"/>
      <c r="P261" s="518"/>
      <c r="Q261" s="519"/>
      <c r="R261" s="520"/>
      <c r="S261" s="520"/>
      <c r="T261" s="521"/>
      <c r="U261" s="462"/>
      <c r="V261" s="182"/>
    </row>
    <row r="262" spans="1:22" x14ac:dyDescent="0.25">
      <c r="A262" s="576"/>
      <c r="B262" s="458"/>
      <c r="C262" s="459"/>
      <c r="D262" s="460"/>
      <c r="E262" s="341"/>
      <c r="F262" s="341"/>
      <c r="G262" s="341"/>
      <c r="H262" s="341"/>
      <c r="I262" s="459"/>
      <c r="J262" s="461"/>
      <c r="K262" s="513"/>
      <c r="L262" s="514"/>
      <c r="M262" s="515"/>
      <c r="N262" s="516"/>
      <c r="O262" s="517"/>
      <c r="P262" s="518"/>
      <c r="Q262" s="519"/>
      <c r="R262" s="520"/>
      <c r="S262" s="520"/>
      <c r="T262" s="521"/>
      <c r="U262" s="462"/>
      <c r="V262" s="182"/>
    </row>
    <row r="263" spans="1:22" x14ac:dyDescent="0.25">
      <c r="A263" s="576"/>
      <c r="B263" s="458"/>
      <c r="C263" s="459"/>
      <c r="D263" s="460"/>
      <c r="E263" s="341"/>
      <c r="F263" s="341"/>
      <c r="G263" s="341"/>
      <c r="H263" s="341"/>
      <c r="I263" s="459"/>
      <c r="J263" s="461"/>
      <c r="K263" s="513"/>
      <c r="L263" s="514"/>
      <c r="M263" s="515"/>
      <c r="N263" s="516"/>
      <c r="O263" s="517"/>
      <c r="P263" s="518"/>
      <c r="Q263" s="519"/>
      <c r="R263" s="520"/>
      <c r="S263" s="520"/>
      <c r="T263" s="521"/>
      <c r="U263" s="462"/>
      <c r="V263" s="182"/>
    </row>
    <row r="264" spans="1:22" x14ac:dyDescent="0.25">
      <c r="A264" s="576"/>
      <c r="B264" s="458"/>
      <c r="C264" s="459"/>
      <c r="D264" s="460"/>
      <c r="E264" s="341"/>
      <c r="F264" s="341"/>
      <c r="G264" s="341"/>
      <c r="H264" s="341"/>
      <c r="I264" s="459"/>
      <c r="J264" s="461"/>
      <c r="K264" s="513"/>
      <c r="L264" s="514"/>
      <c r="M264" s="515"/>
      <c r="N264" s="516"/>
      <c r="O264" s="517"/>
      <c r="P264" s="518"/>
      <c r="Q264" s="519"/>
      <c r="R264" s="520"/>
      <c r="S264" s="520"/>
      <c r="T264" s="521"/>
      <c r="U264" s="462"/>
      <c r="V264" s="182"/>
    </row>
    <row r="265" spans="1:22" x14ac:dyDescent="0.25">
      <c r="A265" s="576"/>
      <c r="B265" s="458"/>
      <c r="C265" s="459"/>
      <c r="D265" s="460"/>
      <c r="E265" s="341"/>
      <c r="F265" s="341"/>
      <c r="G265" s="341"/>
      <c r="H265" s="341"/>
      <c r="I265" s="459"/>
      <c r="J265" s="461"/>
      <c r="K265" s="513"/>
      <c r="L265" s="514"/>
      <c r="M265" s="515"/>
      <c r="N265" s="516"/>
      <c r="O265" s="517"/>
      <c r="P265" s="518"/>
      <c r="Q265" s="519"/>
      <c r="R265" s="520"/>
      <c r="S265" s="520"/>
      <c r="T265" s="521"/>
      <c r="U265" s="462"/>
      <c r="V265" s="182"/>
    </row>
    <row r="266" spans="1:22" x14ac:dyDescent="0.25">
      <c r="A266" s="576"/>
      <c r="B266" s="458"/>
      <c r="C266" s="459"/>
      <c r="D266" s="460"/>
      <c r="E266" s="341"/>
      <c r="F266" s="341"/>
      <c r="G266" s="341"/>
      <c r="H266" s="341"/>
      <c r="I266" s="459"/>
      <c r="J266" s="461"/>
      <c r="K266" s="513"/>
      <c r="L266" s="514"/>
      <c r="M266" s="515"/>
      <c r="N266" s="516"/>
      <c r="O266" s="517"/>
      <c r="P266" s="518"/>
      <c r="Q266" s="519"/>
      <c r="R266" s="520"/>
      <c r="S266" s="520"/>
      <c r="T266" s="521"/>
      <c r="U266" s="462"/>
      <c r="V266" s="182"/>
    </row>
    <row r="267" spans="1:22" x14ac:dyDescent="0.25">
      <c r="A267" s="576"/>
      <c r="B267" s="458"/>
      <c r="C267" s="459"/>
      <c r="D267" s="460"/>
      <c r="E267" s="341"/>
      <c r="F267" s="341"/>
      <c r="G267" s="341"/>
      <c r="H267" s="341"/>
      <c r="I267" s="459"/>
      <c r="J267" s="461"/>
      <c r="K267" s="513"/>
      <c r="L267" s="514"/>
      <c r="M267" s="515"/>
      <c r="N267" s="516"/>
      <c r="O267" s="517"/>
      <c r="P267" s="518"/>
      <c r="Q267" s="519"/>
      <c r="R267" s="520"/>
      <c r="S267" s="520"/>
      <c r="T267" s="521"/>
      <c r="U267" s="462"/>
      <c r="V267" s="182"/>
    </row>
    <row r="268" spans="1:22" x14ac:dyDescent="0.25">
      <c r="A268" s="576"/>
      <c r="B268" s="458"/>
      <c r="C268" s="459"/>
      <c r="D268" s="460"/>
      <c r="E268" s="341"/>
      <c r="F268" s="341"/>
      <c r="G268" s="341"/>
      <c r="H268" s="341"/>
      <c r="I268" s="459"/>
      <c r="J268" s="461"/>
      <c r="K268" s="513"/>
      <c r="L268" s="514"/>
      <c r="M268" s="515"/>
      <c r="N268" s="516"/>
      <c r="O268" s="517"/>
      <c r="P268" s="518"/>
      <c r="Q268" s="519"/>
      <c r="R268" s="520"/>
      <c r="S268" s="520"/>
      <c r="T268" s="521"/>
      <c r="U268" s="462"/>
      <c r="V268" s="182"/>
    </row>
    <row r="269" spans="1:22" x14ac:dyDescent="0.25">
      <c r="A269" s="576"/>
      <c r="B269" s="458"/>
      <c r="C269" s="459"/>
      <c r="D269" s="460"/>
      <c r="E269" s="341"/>
      <c r="F269" s="341"/>
      <c r="G269" s="341"/>
      <c r="H269" s="341"/>
      <c r="I269" s="459"/>
      <c r="J269" s="461"/>
      <c r="K269" s="513"/>
      <c r="L269" s="514"/>
      <c r="M269" s="515"/>
      <c r="N269" s="516"/>
      <c r="O269" s="517"/>
      <c r="P269" s="518"/>
      <c r="Q269" s="519"/>
      <c r="R269" s="520"/>
      <c r="S269" s="520"/>
      <c r="T269" s="521"/>
      <c r="U269" s="462"/>
      <c r="V269" s="182"/>
    </row>
    <row r="270" spans="1:22" x14ac:dyDescent="0.25">
      <c r="A270" s="457"/>
      <c r="B270" s="458"/>
      <c r="C270" s="459"/>
      <c r="D270" s="460"/>
      <c r="E270" s="341"/>
      <c r="F270" s="341"/>
      <c r="G270" s="341"/>
      <c r="H270" s="341"/>
      <c r="I270" s="459"/>
      <c r="J270" s="461"/>
      <c r="K270" s="513"/>
      <c r="L270" s="514"/>
      <c r="M270" s="515"/>
      <c r="N270" s="516"/>
      <c r="O270" s="517"/>
      <c r="P270" s="518"/>
      <c r="Q270" s="519"/>
      <c r="R270" s="520"/>
      <c r="S270" s="520"/>
      <c r="T270" s="521"/>
      <c r="U270" s="462"/>
      <c r="V270" s="182"/>
    </row>
    <row r="271" spans="1:22" x14ac:dyDescent="0.25">
      <c r="A271" s="457"/>
      <c r="B271" s="458"/>
      <c r="C271" s="459"/>
      <c r="D271" s="460"/>
      <c r="E271" s="341"/>
      <c r="F271" s="341"/>
      <c r="G271" s="341"/>
      <c r="H271" s="341"/>
      <c r="I271" s="459"/>
      <c r="J271" s="461"/>
      <c r="K271" s="513"/>
      <c r="L271" s="514"/>
      <c r="M271" s="515"/>
      <c r="N271" s="516"/>
      <c r="O271" s="517"/>
      <c r="P271" s="518"/>
      <c r="Q271" s="519"/>
      <c r="R271" s="520"/>
      <c r="S271" s="520"/>
      <c r="T271" s="521"/>
      <c r="U271" s="462"/>
      <c r="V271" s="182"/>
    </row>
    <row r="272" spans="1:22" x14ac:dyDescent="0.25">
      <c r="A272" s="386"/>
      <c r="B272" s="421"/>
      <c r="C272" s="340"/>
      <c r="D272" s="82"/>
      <c r="E272" s="181"/>
      <c r="F272" s="181"/>
      <c r="G272" s="181"/>
      <c r="H272" s="181"/>
      <c r="I272" s="340"/>
      <c r="J272" s="195"/>
      <c r="K272" s="522"/>
      <c r="L272" s="523"/>
      <c r="M272" s="524"/>
      <c r="N272" s="525"/>
      <c r="O272" s="526"/>
      <c r="P272" s="527"/>
      <c r="Q272" s="528"/>
      <c r="R272" s="529"/>
      <c r="S272" s="529"/>
      <c r="T272" s="530"/>
      <c r="U272" s="387"/>
      <c r="V272" s="182"/>
    </row>
    <row r="273" spans="1:22" x14ac:dyDescent="0.25">
      <c r="A273" s="386"/>
      <c r="B273" s="421"/>
      <c r="C273" s="340"/>
      <c r="D273" s="82"/>
      <c r="E273" s="181"/>
      <c r="F273" s="181"/>
      <c r="G273" s="181"/>
      <c r="H273" s="181"/>
      <c r="I273" s="340"/>
      <c r="J273" s="195"/>
      <c r="K273" s="522"/>
      <c r="L273" s="523"/>
      <c r="M273" s="524"/>
      <c r="N273" s="525"/>
      <c r="O273" s="526"/>
      <c r="P273" s="527"/>
      <c r="Q273" s="528"/>
      <c r="R273" s="529"/>
      <c r="S273" s="529"/>
      <c r="T273" s="530"/>
      <c r="U273" s="387"/>
      <c r="V273" s="182"/>
    </row>
    <row r="274" spans="1:22" ht="15.75" thickBot="1" x14ac:dyDescent="0.3">
      <c r="A274" s="394"/>
      <c r="B274" s="422"/>
      <c r="C274" s="395"/>
      <c r="D274" s="396"/>
      <c r="E274" s="397"/>
      <c r="F274" s="397"/>
      <c r="G274" s="397"/>
      <c r="H274" s="397"/>
      <c r="I274" s="395"/>
      <c r="J274" s="398"/>
      <c r="K274" s="531"/>
      <c r="L274" s="532"/>
      <c r="M274" s="533"/>
      <c r="N274" s="534"/>
      <c r="O274" s="535"/>
      <c r="P274" s="536"/>
      <c r="Q274" s="537"/>
      <c r="R274" s="538"/>
      <c r="S274" s="538"/>
      <c r="T274" s="539"/>
      <c r="U274" s="399"/>
      <c r="V274" s="182"/>
    </row>
    <row r="275" spans="1:22" x14ac:dyDescent="0.25">
      <c r="A275" s="651" t="s">
        <v>857</v>
      </c>
      <c r="B275" s="715"/>
      <c r="C275" s="715"/>
      <c r="D275" s="715"/>
      <c r="E275" s="715"/>
      <c r="F275" s="715"/>
      <c r="G275" s="715"/>
      <c r="H275" s="715"/>
      <c r="I275" s="715"/>
      <c r="J275" s="715"/>
      <c r="K275" s="715"/>
      <c r="L275" s="715"/>
      <c r="M275" s="715"/>
      <c r="N275" s="715"/>
      <c r="O275" s="715"/>
      <c r="P275" s="715"/>
      <c r="Q275" s="715"/>
      <c r="R275" s="715"/>
      <c r="S275" s="715"/>
      <c r="T275" s="715"/>
      <c r="U275" s="716"/>
      <c r="V275" s="182"/>
    </row>
    <row r="276" spans="1:22" ht="15.75" thickBot="1" x14ac:dyDescent="0.3">
      <c r="A276" s="717"/>
      <c r="B276" s="718"/>
      <c r="C276" s="718"/>
      <c r="D276" s="718"/>
      <c r="E276" s="718"/>
      <c r="F276" s="718"/>
      <c r="G276" s="718"/>
      <c r="H276" s="718"/>
      <c r="I276" s="718"/>
      <c r="J276" s="718"/>
      <c r="K276" s="718"/>
      <c r="L276" s="718"/>
      <c r="M276" s="718"/>
      <c r="N276" s="718"/>
      <c r="O276" s="718"/>
      <c r="P276" s="718"/>
      <c r="Q276" s="718"/>
      <c r="R276" s="718"/>
      <c r="S276" s="718"/>
      <c r="T276" s="718"/>
      <c r="U276" s="719"/>
      <c r="V276" s="182"/>
    </row>
    <row r="277" spans="1:22" s="189" customFormat="1" ht="18.75" x14ac:dyDescent="0.25">
      <c r="A277" s="709" t="s">
        <v>302</v>
      </c>
      <c r="B277" s="710"/>
      <c r="C277" s="710"/>
      <c r="D277" s="710"/>
      <c r="E277" s="710"/>
      <c r="F277" s="711"/>
      <c r="G277" s="408">
        <f>COUNTIF(G7:G274,"Yes")</f>
        <v>152</v>
      </c>
      <c r="H277" s="408">
        <f>COUNTIF(H7:H274,"Yes")</f>
        <v>152</v>
      </c>
      <c r="I277" s="740">
        <f>'Diags Raw Data'!K393</f>
        <v>253</v>
      </c>
      <c r="J277" s="742">
        <f>'Diags Raw Data'!L393</f>
        <v>718</v>
      </c>
      <c r="K277" s="728">
        <f>'Diags Raw Data'!N393</f>
        <v>1</v>
      </c>
      <c r="L277" s="730">
        <f>'Diags Raw Data'!P393</f>
        <v>0.96620553359683803</v>
      </c>
      <c r="M277" s="732">
        <f>'Diags Raw Data'!R393</f>
        <v>535</v>
      </c>
      <c r="N277" s="724">
        <f>SUM('Diags Raw Data'!T393+'Diags Raw Data'!U393)</f>
        <v>438</v>
      </c>
      <c r="O277" s="720">
        <f>IF((M277=0),0,N277/M277)</f>
        <v>0.81869158878504678</v>
      </c>
      <c r="P277" s="722">
        <f>'Diags Raw Data'!Z393</f>
        <v>240</v>
      </c>
      <c r="Q277" s="738">
        <f>SUM('Diags Raw Data'!AA393+'Diags Raw Data'!AB393)</f>
        <v>238</v>
      </c>
      <c r="R277" s="734">
        <f>IF((J277=0),0,P277/J277)</f>
        <v>0.33426183844011143</v>
      </c>
      <c r="S277" s="734">
        <f>IF((P277=0),0,Q277/P277)</f>
        <v>0.9916666666666667</v>
      </c>
      <c r="T277" s="734">
        <f>R277*S277</f>
        <v>0.33147632311977715</v>
      </c>
      <c r="U277" s="736"/>
      <c r="V277" s="188"/>
    </row>
    <row r="278" spans="1:22" ht="19.5" thickBot="1" x14ac:dyDescent="0.3">
      <c r="A278" s="712"/>
      <c r="B278" s="713"/>
      <c r="C278" s="713"/>
      <c r="D278" s="713"/>
      <c r="E278" s="713"/>
      <c r="F278" s="714"/>
      <c r="G278" s="409">
        <f>COUNTIF(G7:G274,"Yes")/COUNTA(A7:A274)</f>
        <v>0.60317460317460314</v>
      </c>
      <c r="H278" s="409">
        <f>(COUNTIF(H7:H274,"Yes")/G277)</f>
        <v>1</v>
      </c>
      <c r="I278" s="741"/>
      <c r="J278" s="743"/>
      <c r="K278" s="729"/>
      <c r="L278" s="731"/>
      <c r="M278" s="733"/>
      <c r="N278" s="725"/>
      <c r="O278" s="721"/>
      <c r="P278" s="723"/>
      <c r="Q278" s="739"/>
      <c r="R278" s="735"/>
      <c r="S278" s="735"/>
      <c r="T278" s="735"/>
      <c r="U278" s="737"/>
      <c r="V278" s="182"/>
    </row>
    <row r="279" spans="1:22" x14ac:dyDescent="0.25">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858</v>
      </c>
      <c r="C1" s="36" t="s">
        <v>859</v>
      </c>
      <c r="D1" s="36" t="s">
        <v>860</v>
      </c>
      <c r="E1" s="36" t="s">
        <v>861</v>
      </c>
      <c r="F1" s="36" t="s">
        <v>862</v>
      </c>
      <c r="G1" s="37" t="s">
        <v>863</v>
      </c>
      <c r="H1" s="12"/>
      <c r="I1" s="12"/>
      <c r="J1" s="12"/>
      <c r="K1" s="12"/>
      <c r="L1" s="13"/>
      <c r="M1" s="1"/>
      <c r="N1" s="11"/>
      <c r="X1" s="11"/>
      <c r="AB1" s="756" t="s">
        <v>864</v>
      </c>
      <c r="AM1" s="756" t="s">
        <v>865</v>
      </c>
    </row>
    <row r="2" spans="1:40" s="14" customFormat="1" ht="12" x14ac:dyDescent="0.2">
      <c r="A2" s="35" t="s">
        <v>866</v>
      </c>
      <c r="B2" s="15">
        <v>42994</v>
      </c>
      <c r="C2" s="15">
        <v>43190</v>
      </c>
      <c r="D2" s="16" t="e">
        <f>#REF!</f>
        <v>#REF!</v>
      </c>
      <c r="E2" s="16" t="e">
        <f>#REF!</f>
        <v>#REF!</v>
      </c>
      <c r="F2" s="16">
        <f>(C2-B2)/7</f>
        <v>28</v>
      </c>
      <c r="G2" s="17" t="e">
        <f>E2/F2</f>
        <v>#REF!</v>
      </c>
      <c r="H2" s="18"/>
      <c r="I2" s="18"/>
      <c r="J2" s="18"/>
      <c r="K2" s="18"/>
      <c r="L2" s="19"/>
      <c r="M2" s="20"/>
      <c r="N2" s="21"/>
      <c r="X2" s="21"/>
      <c r="AB2" s="757"/>
      <c r="AM2" s="75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8" t="s">
        <v>867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9"/>
      <c r="B5" s="47" t="s">
        <v>868</v>
      </c>
      <c r="C5" s="47" t="s">
        <v>869</v>
      </c>
      <c r="D5" s="47" t="s">
        <v>870</v>
      </c>
      <c r="E5" s="47" t="s">
        <v>871</v>
      </c>
      <c r="F5" s="47" t="s">
        <v>872</v>
      </c>
      <c r="G5" s="47" t="s">
        <v>873</v>
      </c>
      <c r="H5" s="47" t="s">
        <v>874</v>
      </c>
      <c r="I5" s="47" t="s">
        <v>875</v>
      </c>
      <c r="J5" s="47" t="s">
        <v>876</v>
      </c>
      <c r="K5" s="47" t="s">
        <v>877</v>
      </c>
      <c r="L5" s="47" t="s">
        <v>878</v>
      </c>
      <c r="M5" s="47" t="s">
        <v>879</v>
      </c>
      <c r="N5" s="47" t="s">
        <v>880</v>
      </c>
      <c r="O5" s="47" t="s">
        <v>881</v>
      </c>
      <c r="P5" s="47" t="s">
        <v>882</v>
      </c>
      <c r="Q5" s="47" t="s">
        <v>883</v>
      </c>
      <c r="R5" s="47" t="s">
        <v>884</v>
      </c>
      <c r="S5" s="47" t="s">
        <v>885</v>
      </c>
      <c r="T5" s="47" t="s">
        <v>886</v>
      </c>
      <c r="U5" s="47" t="s">
        <v>887</v>
      </c>
      <c r="V5" s="47" t="s">
        <v>888</v>
      </c>
      <c r="W5" s="47" t="s">
        <v>889</v>
      </c>
      <c r="X5" s="47" t="s">
        <v>890</v>
      </c>
      <c r="Y5" s="47" t="s">
        <v>891</v>
      </c>
      <c r="Z5" s="47" t="s">
        <v>892</v>
      </c>
      <c r="AA5" s="47" t="s">
        <v>893</v>
      </c>
      <c r="AB5" s="47" t="s">
        <v>894</v>
      </c>
      <c r="AC5" s="47" t="s">
        <v>895</v>
      </c>
      <c r="AD5" s="47" t="s">
        <v>896</v>
      </c>
      <c r="AE5" s="47" t="s">
        <v>897</v>
      </c>
      <c r="AF5" s="47" t="s">
        <v>898</v>
      </c>
      <c r="AG5" s="47" t="s">
        <v>899</v>
      </c>
      <c r="AH5" s="47" t="s">
        <v>900</v>
      </c>
      <c r="AI5" s="47" t="s">
        <v>901</v>
      </c>
      <c r="AJ5" s="47" t="s">
        <v>902</v>
      </c>
      <c r="AK5" s="47" t="s">
        <v>903</v>
      </c>
      <c r="AL5" s="66" t="s">
        <v>904</v>
      </c>
      <c r="AM5" s="65" t="s">
        <v>905</v>
      </c>
      <c r="AN5" s="50"/>
    </row>
    <row r="6" spans="1:40" ht="12" x14ac:dyDescent="0.2">
      <c r="A6" s="48" t="s">
        <v>906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907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8" t="s">
        <v>908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60"/>
      <c r="B10" s="32" t="s">
        <v>868</v>
      </c>
      <c r="C10" s="32" t="s">
        <v>869</v>
      </c>
      <c r="D10" s="32" t="s">
        <v>870</v>
      </c>
      <c r="E10" s="32" t="s">
        <v>871</v>
      </c>
      <c r="F10" s="32" t="s">
        <v>872</v>
      </c>
      <c r="G10" s="32" t="s">
        <v>873</v>
      </c>
      <c r="H10" s="32" t="s">
        <v>874</v>
      </c>
      <c r="I10" s="32" t="s">
        <v>875</v>
      </c>
      <c r="J10" s="32" t="s">
        <v>876</v>
      </c>
      <c r="K10" s="32" t="s">
        <v>877</v>
      </c>
      <c r="L10" s="32" t="s">
        <v>878</v>
      </c>
      <c r="M10" s="32" t="s">
        <v>879</v>
      </c>
      <c r="N10" s="32" t="s">
        <v>880</v>
      </c>
      <c r="O10" s="32" t="s">
        <v>881</v>
      </c>
      <c r="P10" s="32" t="s">
        <v>882</v>
      </c>
      <c r="Q10" s="32" t="s">
        <v>883</v>
      </c>
      <c r="R10" s="32" t="s">
        <v>884</v>
      </c>
      <c r="S10" s="32" t="s">
        <v>885</v>
      </c>
      <c r="T10" s="32" t="s">
        <v>886</v>
      </c>
      <c r="U10" s="32" t="s">
        <v>887</v>
      </c>
      <c r="V10" s="32" t="s">
        <v>888</v>
      </c>
      <c r="W10" s="32" t="s">
        <v>889</v>
      </c>
      <c r="X10" s="32" t="s">
        <v>890</v>
      </c>
      <c r="Y10" s="32" t="s">
        <v>891</v>
      </c>
      <c r="Z10" s="32" t="s">
        <v>892</v>
      </c>
      <c r="AA10" s="32" t="s">
        <v>893</v>
      </c>
      <c r="AB10" s="32" t="s">
        <v>894</v>
      </c>
      <c r="AC10" s="32" t="s">
        <v>895</v>
      </c>
      <c r="AD10" s="32" t="s">
        <v>896</v>
      </c>
      <c r="AE10" s="32" t="s">
        <v>897</v>
      </c>
      <c r="AF10" s="32" t="s">
        <v>898</v>
      </c>
      <c r="AG10" s="32" t="s">
        <v>899</v>
      </c>
      <c r="AH10" s="32" t="s">
        <v>900</v>
      </c>
      <c r="AI10" s="32" t="s">
        <v>901</v>
      </c>
      <c r="AJ10" s="64" t="s">
        <v>902</v>
      </c>
      <c r="AK10" s="63" t="s">
        <v>903</v>
      </c>
      <c r="AL10" s="47" t="s">
        <v>904</v>
      </c>
      <c r="AM10" s="72" t="s">
        <v>905</v>
      </c>
      <c r="AN10" s="68"/>
    </row>
    <row r="11" spans="1:40" x14ac:dyDescent="0.25">
      <c r="A11" s="42" t="s">
        <v>906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907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909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910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911</v>
      </c>
      <c r="B1" s="157" t="s">
        <v>912</v>
      </c>
      <c r="C1" s="158" t="s">
        <v>913</v>
      </c>
      <c r="D1" s="158" t="s">
        <v>914</v>
      </c>
      <c r="E1" s="158" t="s">
        <v>915</v>
      </c>
      <c r="F1" s="158" t="s">
        <v>916</v>
      </c>
      <c r="G1" s="158" t="s">
        <v>917</v>
      </c>
      <c r="H1" s="158" t="s">
        <v>918</v>
      </c>
      <c r="I1" s="158" t="s">
        <v>919</v>
      </c>
      <c r="J1" s="158" t="s">
        <v>920</v>
      </c>
      <c r="K1" s="158" t="s">
        <v>921</v>
      </c>
      <c r="L1" s="158" t="s">
        <v>922</v>
      </c>
      <c r="M1" s="158" t="s">
        <v>923</v>
      </c>
      <c r="N1" s="158" t="s">
        <v>924</v>
      </c>
      <c r="O1" s="158" t="s">
        <v>925</v>
      </c>
      <c r="P1" s="158" t="s">
        <v>926</v>
      </c>
      <c r="Q1" s="158" t="s">
        <v>927</v>
      </c>
      <c r="R1" s="158" t="s">
        <v>928</v>
      </c>
      <c r="S1" s="158" t="s">
        <v>929</v>
      </c>
      <c r="T1" s="158" t="s">
        <v>930</v>
      </c>
      <c r="U1" s="158" t="s">
        <v>931</v>
      </c>
      <c r="V1" s="158" t="s">
        <v>932</v>
      </c>
      <c r="W1" s="158" t="s">
        <v>933</v>
      </c>
      <c r="X1" s="158" t="s">
        <v>934</v>
      </c>
      <c r="Y1" s="158" t="s">
        <v>935</v>
      </c>
      <c r="Z1" s="158" t="s">
        <v>936</v>
      </c>
      <c r="AA1" s="158" t="s">
        <v>937</v>
      </c>
      <c r="AB1" s="158" t="s">
        <v>938</v>
      </c>
      <c r="AC1" s="158" t="s">
        <v>939</v>
      </c>
      <c r="AD1" s="158" t="s">
        <v>940</v>
      </c>
      <c r="AE1" s="158" t="s">
        <v>941</v>
      </c>
      <c r="AF1" s="158" t="s">
        <v>942</v>
      </c>
      <c r="AG1" s="158" t="s">
        <v>943</v>
      </c>
      <c r="AH1" s="158" t="s">
        <v>944</v>
      </c>
      <c r="AI1" s="158" t="s">
        <v>945</v>
      </c>
      <c r="AJ1" s="158" t="s">
        <v>946</v>
      </c>
      <c r="AK1" s="158" t="s">
        <v>947</v>
      </c>
      <c r="AL1" s="158" t="s">
        <v>948</v>
      </c>
      <c r="AM1" s="158" t="s">
        <v>949</v>
      </c>
      <c r="AN1" s="158" t="s">
        <v>950</v>
      </c>
      <c r="AO1" s="158" t="s">
        <v>951</v>
      </c>
      <c r="AP1" s="158" t="s">
        <v>952</v>
      </c>
      <c r="AQ1" s="158" t="s">
        <v>953</v>
      </c>
      <c r="AR1" s="158" t="s">
        <v>954</v>
      </c>
      <c r="AS1" s="158" t="s">
        <v>955</v>
      </c>
      <c r="AT1" s="158" t="s">
        <v>956</v>
      </c>
      <c r="AU1" s="158" t="s">
        <v>957</v>
      </c>
      <c r="AV1" s="158" t="s">
        <v>958</v>
      </c>
      <c r="AW1" s="158" t="s">
        <v>959</v>
      </c>
      <c r="AX1" s="158" t="s">
        <v>960</v>
      </c>
      <c r="AY1" s="158" t="s">
        <v>961</v>
      </c>
      <c r="AZ1" s="158" t="s">
        <v>962</v>
      </c>
      <c r="BA1" s="158" t="s">
        <v>963</v>
      </c>
      <c r="BB1" s="159" t="s">
        <v>964</v>
      </c>
    </row>
    <row r="2" spans="1:54" s="135" customFormat="1" x14ac:dyDescent="0.2">
      <c r="A2" s="151" t="s">
        <v>907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910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908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907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909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965</v>
      </c>
      <c r="B3" s="129" t="s">
        <v>966</v>
      </c>
      <c r="C3" s="129"/>
      <c r="D3" s="220"/>
      <c r="E3" s="129"/>
    </row>
    <row r="4" spans="1:5" x14ac:dyDescent="0.25">
      <c r="A4" s="79" t="s">
        <v>47</v>
      </c>
      <c r="B4">
        <v>0</v>
      </c>
    </row>
    <row r="5" spans="1:5" x14ac:dyDescent="0.25">
      <c r="A5" s="79" t="s">
        <v>967</v>
      </c>
      <c r="B5">
        <v>85</v>
      </c>
      <c r="D5" s="130">
        <f>GETPIVOTDATA("#Tests",$A$3,"ETA","wk-1")/GETPIVOTDATA("#Tests",$A$3)</f>
        <v>0.17</v>
      </c>
      <c r="E5" s="131">
        <f>D5</f>
        <v>0.17</v>
      </c>
    </row>
    <row r="6" spans="1:5" x14ac:dyDescent="0.25">
      <c r="A6" s="79" t="s">
        <v>968</v>
      </c>
      <c r="B6">
        <v>48</v>
      </c>
      <c r="D6" s="130">
        <f>GETPIVOTDATA("#Tests",$A$3,"ETA","wk-2")/GETPIVOTDATA("#Tests",$A$3)</f>
        <v>9.6000000000000002E-2</v>
      </c>
      <c r="E6" s="131">
        <f t="shared" ref="E6:E12" si="0">E5+D6</f>
        <v>0.26600000000000001</v>
      </c>
    </row>
    <row r="7" spans="1:5" x14ac:dyDescent="0.25">
      <c r="A7" s="79" t="s">
        <v>969</v>
      </c>
      <c r="B7">
        <v>96</v>
      </c>
      <c r="D7" s="130">
        <f>GETPIVOTDATA("#Tests",$A$3,"ETA","wk-3")/GETPIVOTDATA("#Tests",$A$3)</f>
        <v>0.192</v>
      </c>
      <c r="E7" s="131">
        <f t="shared" si="0"/>
        <v>0.45800000000000002</v>
      </c>
    </row>
    <row r="8" spans="1:5" x14ac:dyDescent="0.25">
      <c r="A8" s="79" t="s">
        <v>970</v>
      </c>
      <c r="B8">
        <v>79</v>
      </c>
      <c r="D8" s="130">
        <f>GETPIVOTDATA("#Tests",$A$3,"ETA","wk-4")/GETPIVOTDATA("#Tests",$A$3)</f>
        <v>0.158</v>
      </c>
      <c r="E8" s="131">
        <f t="shared" si="0"/>
        <v>0.61599999999999999</v>
      </c>
    </row>
    <row r="9" spans="1:5" x14ac:dyDescent="0.25">
      <c r="A9" s="79" t="s">
        <v>971</v>
      </c>
      <c r="B9">
        <v>82</v>
      </c>
      <c r="D9" s="130">
        <f>GETPIVOTDATA("#Tests",$A$3,"ETA","wk-5")/GETPIVOTDATA("#Tests",$A$3)</f>
        <v>0.16400000000000001</v>
      </c>
      <c r="E9" s="131">
        <f t="shared" si="0"/>
        <v>0.78</v>
      </c>
    </row>
    <row r="10" spans="1:5" x14ac:dyDescent="0.25">
      <c r="A10" s="79" t="s">
        <v>972</v>
      </c>
      <c r="B10">
        <v>60</v>
      </c>
      <c r="D10" s="130">
        <f>GETPIVOTDATA("#Tests",$A$3,"ETA","wk-6")/GETPIVOTDATA("#Tests",$A$3)</f>
        <v>0.12</v>
      </c>
      <c r="E10" s="131">
        <f t="shared" si="0"/>
        <v>0.9</v>
      </c>
    </row>
    <row r="11" spans="1:5" x14ac:dyDescent="0.25">
      <c r="A11" s="79" t="s">
        <v>973</v>
      </c>
      <c r="B11">
        <v>30</v>
      </c>
      <c r="D11" s="130">
        <f>GETPIVOTDATA("#Tests",$A$3,"ETA","wk-7")/GETPIVOTDATA("#Tests",$A$3)</f>
        <v>0.06</v>
      </c>
      <c r="E11" s="131">
        <f t="shared" si="0"/>
        <v>0.96</v>
      </c>
    </row>
    <row r="12" spans="1:5" x14ac:dyDescent="0.25">
      <c r="A12" s="79" t="s">
        <v>974</v>
      </c>
      <c r="B12">
        <v>20</v>
      </c>
      <c r="D12" s="130">
        <f>GETPIVOTDATA("#Tests",$A$3,"ETA","wk-8")/GETPIVOTDATA("#Tests",$A$3)</f>
        <v>0.04</v>
      </c>
      <c r="E12" s="131">
        <f t="shared" si="0"/>
        <v>1</v>
      </c>
    </row>
    <row r="13" spans="1:5" x14ac:dyDescent="0.25">
      <c r="A13" s="79" t="s">
        <v>567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schemas.openxmlformats.org/package/2006/metadata/core-properties"/>
    <ds:schemaRef ds:uri="ec5a97c5-2653-49c6-b3a5-07f7dd96f613"/>
    <ds:schemaRef ds:uri="6d5e1dd9-3d6d-4d57-aaa4-c6398f910d60"/>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2024-04-08T12:37:53Z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