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15_2024\"/>
    </mc:Choice>
  </mc:AlternateContent>
  <xr:revisionPtr revIDLastSave="0" documentId="13_ncr:1_{834CA675-F62A-4D5F-ABB6-11DCC34754CF}" xr6:coauthVersionLast="47" xr6:coauthVersionMax="47" xr10:uidLastSave="{00000000-0000-0000-0000-000000000000}"/>
  <bookViews>
    <workbookView xWindow="-289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4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9" i="53" l="1"/>
  <c r="AG6" i="53"/>
  <c r="AG9" i="53"/>
  <c r="Z9" i="53"/>
  <c r="AE9" i="53" s="1"/>
  <c r="X9" i="53"/>
  <c r="AG8" i="53"/>
  <c r="Z8" i="53"/>
  <c r="AE8" i="53" s="1"/>
  <c r="X8" i="53"/>
  <c r="P8" i="53"/>
  <c r="I5" i="52"/>
  <c r="I6" i="52"/>
  <c r="I7" i="52"/>
  <c r="I8" i="52"/>
  <c r="I9" i="52"/>
  <c r="I10" i="52"/>
  <c r="I11" i="52"/>
  <c r="I12" i="52"/>
  <c r="I13" i="52"/>
  <c r="B7" i="55"/>
  <c r="B4" i="59"/>
  <c r="F4" i="59" s="1"/>
  <c r="T2" i="53"/>
  <c r="R15" i="53"/>
  <c r="M2" i="55"/>
  <c r="O15" i="53"/>
  <c r="K2" i="53"/>
  <c r="P6" i="53"/>
  <c r="P15" i="53" s="1"/>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s="1"/>
  <c r="S11" i="59"/>
  <c r="R11" i="59"/>
  <c r="Q11" i="59"/>
  <c r="P11" i="59"/>
  <c r="K11" i="59"/>
  <c r="J11" i="59"/>
  <c r="I11" i="59"/>
  <c r="C11" i="59"/>
  <c r="N11" i="59" s="1"/>
  <c r="H11" i="59"/>
  <c r="E11" i="59"/>
  <c r="B11" i="59"/>
  <c r="V11" i="59" s="1"/>
  <c r="F11" i="59"/>
  <c r="S10" i="59"/>
  <c r="R10" i="59"/>
  <c r="Q10" i="59"/>
  <c r="P10" i="59"/>
  <c r="K10" i="59"/>
  <c r="J10" i="59"/>
  <c r="I10" i="59"/>
  <c r="H10" i="59"/>
  <c r="E10" i="59"/>
  <c r="C10" i="59"/>
  <c r="B10" i="59"/>
  <c r="S9" i="59"/>
  <c r="R9" i="59"/>
  <c r="Q9" i="59"/>
  <c r="P9" i="59"/>
  <c r="K9" i="59"/>
  <c r="J9" i="59"/>
  <c r="I9" i="59"/>
  <c r="H9" i="59"/>
  <c r="E9" i="59"/>
  <c r="C9" i="59"/>
  <c r="L9" i="59" s="1"/>
  <c r="B9" i="59"/>
  <c r="V9" i="59" s="1"/>
  <c r="S8" i="59"/>
  <c r="R8" i="59"/>
  <c r="Q8" i="59"/>
  <c r="P8" i="59"/>
  <c r="K8" i="59"/>
  <c r="J8" i="59"/>
  <c r="I8" i="59"/>
  <c r="C8" i="59"/>
  <c r="N8" i="59" s="1"/>
  <c r="H8" i="59"/>
  <c r="B8" i="59"/>
  <c r="F8" i="59" s="1"/>
  <c r="S7" i="59"/>
  <c r="R7" i="59"/>
  <c r="Q7" i="59"/>
  <c r="P7" i="59"/>
  <c r="K7" i="59"/>
  <c r="J7" i="59"/>
  <c r="I7" i="59"/>
  <c r="H7" i="59"/>
  <c r="E7" i="59"/>
  <c r="C7" i="59"/>
  <c r="B7" i="59"/>
  <c r="V7" i="59" s="1"/>
  <c r="S6" i="59"/>
  <c r="R6" i="59"/>
  <c r="Q6" i="59"/>
  <c r="P6" i="59"/>
  <c r="K6" i="59"/>
  <c r="J6" i="59"/>
  <c r="I6" i="59"/>
  <c r="H6" i="59"/>
  <c r="E6" i="59"/>
  <c r="E14" i="59" s="1"/>
  <c r="C6" i="59"/>
  <c r="B6" i="59"/>
  <c r="V6" i="59" s="1"/>
  <c r="S5" i="59"/>
  <c r="R5" i="59"/>
  <c r="Q5" i="59"/>
  <c r="P5" i="59"/>
  <c r="K5" i="59"/>
  <c r="J5" i="59"/>
  <c r="I5" i="59"/>
  <c r="H5" i="59"/>
  <c r="E5" i="59"/>
  <c r="C5" i="59"/>
  <c r="B5" i="59"/>
  <c r="S4" i="59"/>
  <c r="R4" i="59"/>
  <c r="Q4" i="59"/>
  <c r="P4" i="59"/>
  <c r="K4" i="59"/>
  <c r="J4" i="59"/>
  <c r="I4" i="59"/>
  <c r="H4" i="59"/>
  <c r="E4" i="59"/>
  <c r="C4" i="59"/>
  <c r="L4" i="59" s="1"/>
  <c r="AG7" i="53"/>
  <c r="I38" i="59"/>
  <c r="P38" i="59"/>
  <c r="Q8" i="55"/>
  <c r="Q7" i="55"/>
  <c r="J8" i="55"/>
  <c r="J7" i="55"/>
  <c r="E8" i="55"/>
  <c r="E7" i="55"/>
  <c r="D8" i="55" a="1"/>
  <c r="D8" i="55" s="1"/>
  <c r="B8" i="55"/>
  <c r="T15" i="53"/>
  <c r="N2" i="55" s="1"/>
  <c r="K15" i="53"/>
  <c r="C7" i="55"/>
  <c r="G6" i="53" s="1"/>
  <c r="F8" i="55"/>
  <c r="I3" i="52"/>
  <c r="C8" i="55"/>
  <c r="G9" i="53" s="1"/>
  <c r="I4" i="52"/>
  <c r="K21" i="59"/>
  <c r="I22" i="59"/>
  <c r="C21" i="59"/>
  <c r="C41" i="59"/>
  <c r="L41" i="59"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J28" i="59" s="1"/>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W15" i="53"/>
  <c r="V15" i="53"/>
  <c r="U15" i="53"/>
  <c r="L15" i="53"/>
  <c r="J14" i="55" s="1"/>
  <c r="M8" i="55" a="1"/>
  <c r="M8" i="55" s="1"/>
  <c r="M7" i="55" a="1"/>
  <c r="M7" i="55" s="1"/>
  <c r="P27" i="59"/>
  <c r="H32" i="59"/>
  <c r="C33" i="59"/>
  <c r="C34" i="59"/>
  <c r="C35" i="59"/>
  <c r="L35" i="59" s="1"/>
  <c r="C36" i="59"/>
  <c r="C37" i="59"/>
  <c r="C38" i="59"/>
  <c r="N38" i="59" s="1"/>
  <c r="C39" i="59"/>
  <c r="N39" i="59" s="1"/>
  <c r="C40" i="59"/>
  <c r="N40" i="59" s="1"/>
  <c r="C32" i="59"/>
  <c r="L32" i="59" s="1"/>
  <c r="C19" i="59"/>
  <c r="N19" i="59" s="1"/>
  <c r="C20" i="59"/>
  <c r="C22" i="59"/>
  <c r="C23" i="59"/>
  <c r="L23" i="59" s="1"/>
  <c r="C24" i="59"/>
  <c r="C25" i="59"/>
  <c r="C26" i="59"/>
  <c r="C27" i="59"/>
  <c r="B32" i="59"/>
  <c r="B18" i="59"/>
  <c r="F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28" i="59" s="1"/>
  <c r="H18" i="59"/>
  <c r="E19" i="59"/>
  <c r="E20" i="59"/>
  <c r="E28" i="59" s="1"/>
  <c r="E21" i="59"/>
  <c r="E22" i="59"/>
  <c r="E23" i="59"/>
  <c r="E24" i="59"/>
  <c r="E25" i="59"/>
  <c r="E26" i="59"/>
  <c r="E27" i="59"/>
  <c r="E18" i="59"/>
  <c r="B19" i="59"/>
  <c r="V19" i="59" s="1"/>
  <c r="B22" i="59"/>
  <c r="B20" i="59"/>
  <c r="B21" i="59"/>
  <c r="V21" i="59" s="1"/>
  <c r="B23" i="59"/>
  <c r="V23" i="59" s="1"/>
  <c r="B24" i="59"/>
  <c r="F24" i="59" s="1"/>
  <c r="B25" i="59"/>
  <c r="T25" i="59" s="1"/>
  <c r="B26" i="59"/>
  <c r="F26" i="59" s="1"/>
  <c r="B27" i="59"/>
  <c r="T27" i="59" s="1"/>
  <c r="E33" i="59"/>
  <c r="F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42" i="59" s="1"/>
  <c r="I35" i="59"/>
  <c r="I36" i="59"/>
  <c r="I37" i="59"/>
  <c r="I39" i="59"/>
  <c r="I40" i="59"/>
  <c r="I41" i="59"/>
  <c r="I32" i="59"/>
  <c r="H33" i="59"/>
  <c r="H34" i="59"/>
  <c r="H35" i="59"/>
  <c r="H36" i="59"/>
  <c r="H37" i="59"/>
  <c r="H38" i="59"/>
  <c r="H39" i="59"/>
  <c r="H40" i="59"/>
  <c r="H41" i="59"/>
  <c r="E32" i="59"/>
  <c r="B34" i="59"/>
  <c r="F34" i="59" s="1"/>
  <c r="B35" i="59"/>
  <c r="B36" i="59"/>
  <c r="V36" i="59" s="1"/>
  <c r="B37" i="59"/>
  <c r="V37" i="59" s="1"/>
  <c r="B38" i="59"/>
  <c r="V38" i="59" s="1"/>
  <c r="B39" i="59"/>
  <c r="T39" i="59" s="1"/>
  <c r="B40" i="59"/>
  <c r="V40" i="59" s="1"/>
  <c r="B41" i="59"/>
  <c r="V41" i="59" s="1"/>
  <c r="X6" i="53"/>
  <c r="P7" i="53"/>
  <c r="X7" i="53"/>
  <c r="G41" i="59"/>
  <c r="M41" i="59" s="1"/>
  <c r="Z7" i="53"/>
  <c r="P8" i="55" s="1"/>
  <c r="AE7" i="53"/>
  <c r="Z6" i="53"/>
  <c r="AE6" i="53"/>
  <c r="C7" i="26"/>
  <c r="D7" i="26" s="1"/>
  <c r="C6"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c r="D2" i="26"/>
  <c r="E2" i="26"/>
  <c r="AH14" i="26"/>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22" i="59"/>
  <c r="U22" i="59" s="1"/>
  <c r="O41" i="59"/>
  <c r="U41" i="59" s="1"/>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F7" i="55"/>
  <c r="M14" i="55"/>
  <c r="N41" i="59"/>
  <c r="N8" i="55" a="1"/>
  <c r="N8" i="55" s="1"/>
  <c r="T22" i="59"/>
  <c r="N24" i="59"/>
  <c r="F25" i="59"/>
  <c r="F13" i="59"/>
  <c r="F40" i="59"/>
  <c r="N10" i="59"/>
  <c r="N25" i="59"/>
  <c r="O25" i="59"/>
  <c r="U25" i="59" s="1"/>
  <c r="V4" i="59"/>
  <c r="F6" i="59"/>
  <c r="F9" i="59"/>
  <c r="G32" i="59"/>
  <c r="M32" i="59" s="1"/>
  <c r="F36" i="59"/>
  <c r="O23" i="59"/>
  <c r="U23" i="59" s="1"/>
  <c r="N5" i="59"/>
  <c r="V8" i="59"/>
  <c r="G25" i="59"/>
  <c r="M25" i="59" s="1"/>
  <c r="F20" i="59"/>
  <c r="V33" i="59"/>
  <c r="G37" i="59"/>
  <c r="M37" i="59" s="1"/>
  <c r="G27" i="59"/>
  <c r="M27" i="59" s="1"/>
  <c r="N37" i="59"/>
  <c r="G26" i="59"/>
  <c r="M26" i="59" s="1"/>
  <c r="L26" i="59"/>
  <c r="G7" i="55"/>
  <c r="H7" i="55"/>
  <c r="N7" i="59"/>
  <c r="N13" i="59"/>
  <c r="N18" i="59"/>
  <c r="R14" i="59"/>
  <c r="V10" i="59"/>
  <c r="V13" i="59"/>
  <c r="O4" i="59"/>
  <c r="U4" i="59" s="1"/>
  <c r="T4" i="59"/>
  <c r="N6" i="59"/>
  <c r="N12" i="59"/>
  <c r="V5" i="59"/>
  <c r="O27" i="59"/>
  <c r="U27" i="59" s="1"/>
  <c r="G21" i="59"/>
  <c r="M21" i="59" s="1"/>
  <c r="G20" i="59"/>
  <c r="M20" i="59" s="1"/>
  <c r="O13" i="59"/>
  <c r="U13" i="59" s="1"/>
  <c r="G9" i="59"/>
  <c r="M9" i="59" s="1"/>
  <c r="N27" i="59"/>
  <c r="G7" i="59"/>
  <c r="M7" i="59"/>
  <c r="N20" i="59"/>
  <c r="N26" i="59"/>
  <c r="N22" i="59"/>
  <c r="F10" i="59"/>
  <c r="O8" i="59"/>
  <c r="U8" i="59" s="1"/>
  <c r="O26" i="59"/>
  <c r="O6" i="59"/>
  <c r="L7" i="59"/>
  <c r="G18" i="59"/>
  <c r="T8" i="59"/>
  <c r="G38" i="59"/>
  <c r="M38" i="59" s="1"/>
  <c r="G33" i="59"/>
  <c r="M33" i="59" s="1"/>
  <c r="S2" i="53"/>
  <c r="S15" i="53"/>
  <c r="G5" i="59"/>
  <c r="M5" i="59" s="1"/>
  <c r="G22" i="59"/>
  <c r="M22" i="59" s="1"/>
  <c r="O40" i="59"/>
  <c r="L27" i="59"/>
  <c r="Z2" i="53"/>
  <c r="P7" i="55"/>
  <c r="S7" i="55" s="1"/>
  <c r="G19" i="59"/>
  <c r="M19" i="59" s="1"/>
  <c r="O9" i="59"/>
  <c r="U9" i="59" s="1"/>
  <c r="O37" i="59"/>
  <c r="O39" i="59"/>
  <c r="U39" i="59" s="1"/>
  <c r="O38" i="59"/>
  <c r="U38" i="59" s="1"/>
  <c r="O32" i="59"/>
  <c r="U32" i="59" s="1"/>
  <c r="G24" i="59"/>
  <c r="M24" i="59" s="1"/>
  <c r="O36" i="59"/>
  <c r="O20" i="59"/>
  <c r="U20" i="59" s="1"/>
  <c r="O21" i="59"/>
  <c r="U21" i="59" s="1"/>
  <c r="Z15" i="53"/>
  <c r="O18" i="59"/>
  <c r="U18" i="59" s="1"/>
  <c r="G35" i="59"/>
  <c r="O35" i="59"/>
  <c r="U35" i="59" s="1"/>
  <c r="O12" i="59"/>
  <c r="O5" i="59"/>
  <c r="U5" i="59" s="1"/>
  <c r="G4" i="59"/>
  <c r="O24" i="59"/>
  <c r="U24" i="59" s="1"/>
  <c r="G8" i="59"/>
  <c r="M8" i="59" s="1"/>
  <c r="G6" i="59"/>
  <c r="G34" i="59"/>
  <c r="M34" i="59" s="1"/>
  <c r="O19" i="59"/>
  <c r="U19" i="59" s="1"/>
  <c r="O11" i="59"/>
  <c r="U11" i="59" s="1"/>
  <c r="G11" i="59"/>
  <c r="O34" i="59"/>
  <c r="U34" i="59" s="1"/>
  <c r="O7" i="59"/>
  <c r="U7" i="59" s="1"/>
  <c r="G12" i="59"/>
  <c r="M12" i="59" s="1"/>
  <c r="G23" i="59"/>
  <c r="M23" i="59" s="1"/>
  <c r="O33" i="59"/>
  <c r="O10" i="59"/>
  <c r="U10" i="59" s="1"/>
  <c r="G36" i="59"/>
  <c r="M36" i="59" s="1"/>
  <c r="G39" i="59"/>
  <c r="M39" i="59" s="1"/>
  <c r="F39" i="59"/>
  <c r="V39" i="59"/>
  <c r="T13" i="59"/>
  <c r="I14" i="26"/>
  <c r="K14" i="26"/>
  <c r="Z14" i="26"/>
  <c r="L14" i="26"/>
  <c r="AL12" i="26"/>
  <c r="O12" i="26"/>
  <c r="D12" i="26"/>
  <c r="AF14" i="26"/>
  <c r="G40" i="59"/>
  <c r="M40" i="59" s="1"/>
  <c r="G10" i="59"/>
  <c r="V22" i="59"/>
  <c r="F22" i="59"/>
  <c r="L36" i="59"/>
  <c r="N36" i="59"/>
  <c r="G13" i="59"/>
  <c r="M13" i="59" s="1"/>
  <c r="V18" i="59"/>
  <c r="V32" i="59"/>
  <c r="F32" i="59"/>
  <c r="N34" i="59"/>
  <c r="N21" i="59"/>
  <c r="N33" i="59"/>
  <c r="F37" i="59"/>
  <c r="V20" i="59"/>
  <c r="V34" i="59"/>
  <c r="Q14" i="55"/>
  <c r="Q2" i="55"/>
  <c r="N15" i="53"/>
  <c r="K14" i="55" s="1"/>
  <c r="I2" i="55"/>
  <c r="I14" i="55"/>
  <c r="N2" i="53"/>
  <c r="F12" i="59"/>
  <c r="N7" i="55" a="1"/>
  <c r="N7" i="55" s="1"/>
  <c r="F5" i="59"/>
  <c r="G7" i="53"/>
  <c r="L25" i="59"/>
  <c r="L37" i="59"/>
  <c r="L20" i="59"/>
  <c r="L21" i="59"/>
  <c r="T10" i="59"/>
  <c r="L5" i="59"/>
  <c r="U33" i="59"/>
  <c r="T33" i="59"/>
  <c r="X2" i="53"/>
  <c r="X15" i="53"/>
  <c r="T24" i="59"/>
  <c r="M18" i="59"/>
  <c r="L18" i="59"/>
  <c r="L12" i="59"/>
  <c r="T5" i="59"/>
  <c r="T20" i="59"/>
  <c r="L33" i="59"/>
  <c r="T7" i="59"/>
  <c r="U36" i="59"/>
  <c r="T38" i="59"/>
  <c r="U12" i="59"/>
  <c r="T12" i="59"/>
  <c r="M6" i="59"/>
  <c r="L6" i="59"/>
  <c r="M35" i="59"/>
  <c r="L22" i="59"/>
  <c r="P2" i="55"/>
  <c r="AE2" i="53"/>
  <c r="AE15" i="53"/>
  <c r="P14" i="55"/>
  <c r="S14" i="55" s="1"/>
  <c r="U40" i="59"/>
  <c r="T40" i="59"/>
  <c r="T6" i="59"/>
  <c r="K2" i="55"/>
  <c r="K7" i="55" a="1"/>
  <c r="K7" i="55" s="1"/>
  <c r="T34" i="59"/>
  <c r="L24" i="59"/>
  <c r="U37" i="59"/>
  <c r="T37" i="59"/>
  <c r="L10" i="59"/>
  <c r="M10" i="59"/>
  <c r="M11" i="59"/>
  <c r="L11" i="59"/>
  <c r="T9" i="59"/>
  <c r="U26" i="59"/>
  <c r="L13" i="59"/>
  <c r="L38" i="59"/>
  <c r="L34" i="59"/>
  <c r="T35" i="59"/>
  <c r="T32" i="59"/>
  <c r="S2" i="55"/>
  <c r="D6" i="57"/>
  <c r="D12" i="57"/>
  <c r="D8" i="57"/>
  <c r="D7" i="57"/>
  <c r="D5" i="57"/>
  <c r="D11" i="57"/>
  <c r="D9" i="57"/>
  <c r="D10" i="57"/>
  <c r="I28" i="59" l="1"/>
  <c r="D14" i="59"/>
  <c r="L19" i="59"/>
  <c r="F38" i="59"/>
  <c r="T36" i="59"/>
  <c r="V26" i="59"/>
  <c r="T26" i="59"/>
  <c r="E42" i="59"/>
  <c r="C28" i="59"/>
  <c r="P42" i="59"/>
  <c r="N9" i="59"/>
  <c r="Q42" i="59"/>
  <c r="P28" i="59"/>
  <c r="K42" i="59"/>
  <c r="F19" i="59"/>
  <c r="G28" i="59"/>
  <c r="M28" i="59" s="1"/>
  <c r="H42" i="59"/>
  <c r="Q14" i="59"/>
  <c r="O14" i="59"/>
  <c r="U14" i="59" s="1"/>
  <c r="D28" i="59"/>
  <c r="L39" i="59"/>
  <c r="G14" i="59"/>
  <c r="M14" i="59" s="1"/>
  <c r="M4" i="59"/>
  <c r="F23" i="59"/>
  <c r="J14" i="59"/>
  <c r="D42" i="59"/>
  <c r="S14" i="59"/>
  <c r="H14" i="59"/>
  <c r="K14" i="59"/>
  <c r="B42" i="59"/>
  <c r="T42" i="59" s="1"/>
  <c r="P14" i="59"/>
  <c r="U6" i="59"/>
  <c r="T23" i="59"/>
  <c r="S28" i="59"/>
  <c r="S42" i="59"/>
  <c r="R28" i="59"/>
  <c r="R42" i="59"/>
  <c r="K28" i="59"/>
  <c r="I14" i="59"/>
  <c r="Q28" i="59"/>
  <c r="J42" i="59"/>
  <c r="D13" i="57"/>
  <c r="E5" i="57"/>
  <c r="E6" i="57" s="1"/>
  <c r="E7" i="57" s="1"/>
  <c r="E8" i="57" s="1"/>
  <c r="E9" i="57" s="1"/>
  <c r="E10" i="57" s="1"/>
  <c r="E11" i="57" s="1"/>
  <c r="E12" i="57" s="1"/>
  <c r="H8" i="55"/>
  <c r="G8" i="55"/>
  <c r="K8" i="55" a="1"/>
  <c r="K8" i="55" s="1"/>
  <c r="L8" i="55" a="1"/>
  <c r="L8" i="55" s="1"/>
  <c r="L2" i="55"/>
  <c r="L7" i="55" a="1"/>
  <c r="L7" i="55" s="1"/>
  <c r="F28" i="59" a="1"/>
  <c r="F28" i="59" s="1"/>
  <c r="L14" i="55"/>
  <c r="F42" i="59" a="1"/>
  <c r="F42" i="59" s="1"/>
  <c r="F14" i="59" a="1"/>
  <c r="F14" i="59" s="1"/>
  <c r="G15" i="55"/>
  <c r="O7" i="55"/>
  <c r="D6" i="26"/>
  <c r="E7" i="26"/>
  <c r="O8" i="55"/>
  <c r="R14" i="55"/>
  <c r="R2" i="55"/>
  <c r="N28" i="59"/>
  <c r="L28" i="59"/>
  <c r="R8" i="55"/>
  <c r="S8" i="55"/>
  <c r="B28" i="59"/>
  <c r="V24" i="59"/>
  <c r="G8" i="53"/>
  <c r="F7" i="59"/>
  <c r="F27" i="59"/>
  <c r="F35" i="59"/>
  <c r="T19" i="59"/>
  <c r="N14" i="55"/>
  <c r="L40" i="59"/>
  <c r="G2" i="55"/>
  <c r="F41" i="59"/>
  <c r="T41" i="59"/>
  <c r="V35" i="59"/>
  <c r="R7" i="55"/>
  <c r="T7" i="55" s="1"/>
  <c r="T18" i="59"/>
  <c r="F21" i="59"/>
  <c r="N23" i="59"/>
  <c r="B14" i="59"/>
  <c r="N35" i="59"/>
  <c r="J2" i="55"/>
  <c r="O42" i="59"/>
  <c r="U42" i="59" s="1"/>
  <c r="O28" i="59"/>
  <c r="U28" i="59" s="1"/>
  <c r="G42" i="59"/>
  <c r="M42" i="59" s="1"/>
  <c r="C14" i="59"/>
  <c r="C42" i="59"/>
  <c r="P2" i="53"/>
  <c r="V27" i="59"/>
  <c r="T11" i="59"/>
  <c r="V25" i="59"/>
  <c r="N32" i="59"/>
  <c r="N4" i="59"/>
  <c r="L8" i="59"/>
  <c r="T21" i="59"/>
  <c r="V42" i="59" l="1"/>
  <c r="T14" i="59"/>
  <c r="V14" i="59"/>
  <c r="T28" i="59"/>
  <c r="V28" i="59"/>
  <c r="T8" i="55"/>
  <c r="T14" i="55"/>
  <c r="T2" i="55"/>
  <c r="G14" i="55"/>
  <c r="G3" i="55"/>
  <c r="E6" i="26"/>
  <c r="F7" i="26"/>
  <c r="H14" i="55"/>
  <c r="H2" i="55"/>
  <c r="L42" i="59"/>
  <c r="N42" i="59"/>
  <c r="N14" i="59"/>
  <c r="L14" i="59"/>
  <c r="O2" i="55"/>
  <c r="O14" i="55"/>
  <c r="F6" i="26" l="1"/>
  <c r="G7" i="26"/>
  <c r="H3" i="55"/>
  <c r="H15" i="55"/>
  <c r="G6" i="26" l="1"/>
  <c r="H7" i="26"/>
  <c r="I7" i="26" l="1"/>
  <c r="H6" i="26"/>
  <c r="J7" i="26" l="1"/>
  <c r="I6" i="26"/>
  <c r="J6" i="26" l="1"/>
  <c r="K7" i="26"/>
  <c r="L7" i="26" l="1"/>
  <c r="K6" i="26"/>
  <c r="L6" i="26" l="1"/>
  <c r="M7" i="26"/>
  <c r="M6" i="26" l="1"/>
  <c r="N7" i="26"/>
  <c r="N6" i="26" l="1"/>
  <c r="O7" i="26"/>
  <c r="P7" i="26" l="1"/>
  <c r="O6" i="26"/>
  <c r="Q7" i="26" l="1"/>
  <c r="P6" i="26"/>
  <c r="R7" i="26" l="1"/>
  <c r="Q6" i="26"/>
  <c r="R6" i="26" l="1"/>
  <c r="S7" i="26"/>
  <c r="S6" i="26" l="1"/>
  <c r="T7" i="26"/>
  <c r="T6" i="26" l="1"/>
  <c r="U7" i="26"/>
  <c r="V7" i="26" l="1"/>
  <c r="U6" i="26"/>
  <c r="W7" i="26" l="1"/>
  <c r="V6" i="26"/>
  <c r="X7" i="26" l="1"/>
  <c r="W6" i="26"/>
  <c r="X6" i="26" l="1"/>
  <c r="Y7" i="26"/>
  <c r="Y6" i="26" l="1"/>
  <c r="Z7" i="26"/>
  <c r="AA7" i="26" l="1"/>
  <c r="Z6" i="26"/>
  <c r="AA6" i="26" l="1"/>
  <c r="AB7" i="26"/>
  <c r="AB6" i="26" l="1"/>
  <c r="AC7" i="26"/>
  <c r="AD7" i="26" l="1"/>
  <c r="AC6" i="26"/>
  <c r="AD6" i="26" l="1"/>
  <c r="AE7" i="26"/>
  <c r="AE6" i="26" l="1"/>
  <c r="AF7" i="26"/>
  <c r="AG7" i="26" l="1"/>
  <c r="AF6" i="26"/>
  <c r="AH7" i="26" l="1"/>
  <c r="AG6" i="26"/>
  <c r="AH6" i="26" l="1"/>
  <c r="AI7"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<sst xmlns="http://schemas.openxmlformats.org/spreadsheetml/2006/main" count="1065" uniqueCount="475">
  <si>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</si>
  <si>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</si>
  <si>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</si>
  <si>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</si>
  <si>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</si>
  <si>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</si>
  <si>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</si>
  <si>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</si>
  <si>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</si>
  <si>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</si>
  <si>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</si>
  <si>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</si>
  <si>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</si>
  <si>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</si>
  <si>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</si>
  <si>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</si>
  <si>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</si>
  <si>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</si>
  <si>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</si>
  <si>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</si>
  <si>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</si>
  <si>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</si>
  <si>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</si>
  <si>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</si>
  <si>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</si>
  <si>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</si>
  <si>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</si>
  <si>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</si>
  <si>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</si>
  <si>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</si>
  <si>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</si>
  <si>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</si>
  <si>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</si>
  <si>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</si>
  <si>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</si>
  <si>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</si>
  <si>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</si>
  <si>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</si>
  <si>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</si>
  <si>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</si>
  <si>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</si>
  <si>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</si>
  <si>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</si>
  <si>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</si>
  <si>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</si>
  <si>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</si>
  <si>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</si>
  <si>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</si>
  <si>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</si>
  <si>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</si>
  <si>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</si>
  <si>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</si>
  <si>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</si>
  <si>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</si>
  <si>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</si>
  <si>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</si>
  <si>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</si>
  <si>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</si>
  <si>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</si>
  <si>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</si>
  <si>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</si>
  <si>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</si>
  <si>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</si>
  <si>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</si>
  <si>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</si>
  <si>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</si>
  <si>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</si>
  <si>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</si>
  <si>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</si>
  <si>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</si>
  <si>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</si>
  <si>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</si>
  <si>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</si>
  <si>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</si>
  <si>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</si>
  <si>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</si>
  <si>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</si>
  <si>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</si>
  <si>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</si>
  <si>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</si>
  <si>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</si>
  <si>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</si>
  <si>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</si>
  <si>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</si>
  <si>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</si>
  <si>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</si>
  <si>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</si>
  <si>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</si>
  <si>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</si>
  <si>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</si>
  <si>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</si>
  <si>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</si>
  <si>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</si>
  <si>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</si>
  <si>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</si>
  <si>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</si>
  <si>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</si>
  <si>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</si>
  <si>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</si>
  <si>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</si>
  <si>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</si>
  <si>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</si>
  <si>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</si>
  <si>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</si>
  <si>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</si>
  <si>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</si>
  <si>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</si>
  <si>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</si>
  <si>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</si>
  <si>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</si>
  <si>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</si>
  <si>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</si>
  <si>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</si>
  <si>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</si>
  <si>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</si>
  <si>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</si>
  <si>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</si>
  <si>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</si>
  <si>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</si>
  <si>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</si>
  <si>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</si>
  <si>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</si>
  <si>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</si>
  <si>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</si>
  <si>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</si>
  <si>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</si>
  <si>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</si>
  <si>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</si>
  <si>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</si>
  <si>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</si>
  <si>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</si>
  <si>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</si>
  <si>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</si>
  <si>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</si>
  <si>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</si>
  <si>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</si>
  <si>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</si>
  <si>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</si>
  <si>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</si>
  <si>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</si>
  <si>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</si>
  <si>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</si>
  <si>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</si>
  <si>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</si>
  <si>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</si>
  <si>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</si>
  <si>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</si>
  <si>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</si>
  <si>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</si>
  <si>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</si>
  <si>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</si>
  <si>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</si>
  <si>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</si>
  <si>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</si>
  <si>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</si>
  <si>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</si>
  <si>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</si>
  <si>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</si>
  <si>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</si>
  <si>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</si>
  <si>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</si>
  <si>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</si>
  <si>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</si>
  <si>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</si>
  <si>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</si>
  <si>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</si>
  <si>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</si>
  <si>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</si>
  <si>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</si>
  <si>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</si>
  <si>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</si>
  <si>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</si>
  <si>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</si>
  <si>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</si>
  <si>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</si>
  <si>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</si>
  <si>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</si>
  <si>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</si>
  <si>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</si>
  <si>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</si>
  <si>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</si>
  <si>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</si>
  <si>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</si>
  <si>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</si>
  <si>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</si>
  <si>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</si>
  <si>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</si>
  <si>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</si>
  <si>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</si>
  <si>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</si>
  <si>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</si>
  <si>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</si>
  <si>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</si>
  <si>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</si>
  <si>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</si>
  <si>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</si>
  <si>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</si>
  <si>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</si>
  <si>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</si>
  <si>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</si>
  <si>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</si>
  <si>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</si>
  <si>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</si>
  <si>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</si>
  <si>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</si>
  <si>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</si>
  <si>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</si>
  <si>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</si>
  <si>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</si>
  <si>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</si>
  <si>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</si>
  <si>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</si>
  <si>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</si>
  <si>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</si>
  <si>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</si>
  <si>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</si>
  <si>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</si>
  <si>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</si>
  <si>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</si>
  <si>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</si>
  <si>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</si>
  <si>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</si>
  <si>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</si>
  <si>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</si>
  <si>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</si>
  <si>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</si>
  <si>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</si>
  <si>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</si>
  <si>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</si>
  <si>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</si>
  <si>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</si>
  <si>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</si>
  <si>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</si>
  <si>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</si>
  <si>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</si>
  <si>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</si>
  <si>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</si>
  <si>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</si>
  <si>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</si>
  <si>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</si>
  <si>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</si>
  <si>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</si>
  <si>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</si>
  <si>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</si>
  <si>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</si>
  <si>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</si>
  <si>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</si>
  <si>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</si>
  <si>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</si>
  <si>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</si>
  <si>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</si>
  <si>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</si>
  <si>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</si>
  <si>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</si>
  <si>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</si>
  <si>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</si>
  <si>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</si>
  <si>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</si>
  <si>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</si>
  <si>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</si>
  <si>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</si>
  <si>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</si>
  <si>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</si>
  <si>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</si>
  <si>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</si>
  <si>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</si>
  <si>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</si>
  <si>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</si>
  <si>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</si>
  <si>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</si>
  <si>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</si>
  <si>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</si>
  <si>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</si>
  <si>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</si>
  <si>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</si>
  <si>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</si>
  <si>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</si>
  <si>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</si>
  <si>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</si>
  <si>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</si>
  <si>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</si>
  <si>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</si>
  <si>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</si>
  <si>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</si>
  <si>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</si>
  <si>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</si>
  <si>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</si>
  <si>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</si>
  <si>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</si>
  <si>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</si>
  <si>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</si>
  <si>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</si>
  <si>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</si>
  <si>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</si>
  <si>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</si>
  <si>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</si>
  <si>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</si>
  <si>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</si>
  <si>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</si>
  <si>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</si>
  <si>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</si>
  <si>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</si>
  <si>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</si>
  <si>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</si>
  <si>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</si>
  <si>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</si>
  <si>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</si>
  <si>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</si>
  <si>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</si>
  <si>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Check RAS</t>
  </si>
  <si>
    <t>Charlie Song</t>
  </si>
  <si>
    <t>check ras</t>
  </si>
  <si>
    <t>ras6.2</t>
  </si>
  <si>
    <t>EX-FEAT-002</t>
  </si>
  <si>
    <t>Disable Fatal Error Event</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</si>
  <si>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</si>
  <si>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</si>
  <si>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</si>
  <si>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</si>
  <si>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</si>
  <si>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</si>
  <si>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</si>
  <si>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</si>
  <si>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</si>
  <si>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</si>
  <si>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</si>
  <si>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</si>
  <si>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</si>
  <si>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</si>
  <si>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</si>
  <si>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</si>
  <si>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</si>
  <si>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</si>
  <si>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</si>
  <si>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</si>
  <si>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</si>
  <si>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</si>
  <si>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</si>
  <si>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</si>
  <si>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</si>
  <si>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</si>
  <si>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</si>
  <si>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</si>
  <si>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</si>
  <si>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</si>
  <si>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</si>
  <si>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</si>
  <si>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</si>
  <si>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</si>
  <si>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</si>
  <si>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</si>
  <si>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</si>
  <si>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</si>
  <si>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</si>
  <si>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</si>
  <si>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</si>
  <si>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</si>
  <si>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</si>
  <si>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</si>
  <si>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</si>
  <si>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</si>
  <si>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</si>
  <si>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</si>
  <si>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</si>
  <si>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</si>
  <si>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</si>
  <si>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</si>
  <si>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</si>
  <si>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</si>
  <si>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</si>
  <si>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</si>
  <si>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</si>
  <si>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</si>
  <si>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</si>
  <si>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</si>
  <si>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</si>
  <si>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</si>
  <si>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</si>
  <si>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</si>
  <si>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</si>
  <si>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</si>
  <si>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</si>
  <si>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</si>
  <si>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</si>
  <si>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</si>
  <si>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</si>
  <si>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</si>
  <si>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</si>
  <si>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</si>
  <si>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</si>
  <si>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</si>
  <si>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</si>
  <si>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</si>
  <si>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</si>
  <si>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</si>
  <si>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</si>
  <si>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</si>
  <si>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</si>
  <si>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</si>
  <si>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</si>
  <si>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</si>
  <si>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</si>
  <si>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</si>
  <si>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</si>
  <si>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</si>
  <si>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</si>
  <si>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</si>
  <si>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</si>
  <si>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</si>
  <si>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</si>
  <si>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</si>
  <si>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</si>
  <si>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</si>
  <si>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</si>
  <si>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</si>
  <si>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</si>
  <si>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</si>
  <si>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</si>
  <si>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</si>
  <si>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</si>
  <si>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</si>
  <si>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</si>
  <si>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</si>
  <si>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</si>
  <si>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</si>
  <si>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</si>
  <si>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</si>
  <si>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</si>
  <si>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</si>
  <si>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</si>
  <si>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</si>
  <si>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</si>
  <si>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</si>
  <si>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</si>
  <si>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</si>
  <si>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</si>
  <si>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</si>
  <si>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</si>
  <si>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</si>
  <si>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</si>
  <si>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</si>
  <si>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</si>
  <si>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</si>
  <si>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</si>
  <si>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</si>
  <si>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</si>
  <si>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</si>
  <si>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</si>
  <si>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</si>
  <si>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</si>
  <si>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</si>
  <si>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</si>
  <si>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</si>
  <si>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</si>
  <si>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</si>
  <si>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</si>
  <si>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</si>
  <si>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</si>
  <si>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</si>
  <si>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</si>
  <si>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</si>
  <si>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</si>
  <si>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</si>
  <si>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</si>
  <si>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</si>
  <si>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</si>
  <si>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</si>
  <si>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</si>
  <si>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</si>
  <si>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</si>
  <si>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</si>
  <si>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</si>
  <si>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</si>
  <si>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</si>
  <si>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SOC_RAS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</si>
</sst>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6"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97" t="s">
        <v>54</v>
      </c>
      <c r="C1" s="598"/>
      <c r="D1" s="598"/>
      <c r="E1" s="167" t="s">
        <v>55</v>
      </c>
      <c r="F1" s="167" t="s">
        <v>56</v>
      </c>
      <c r="G1" s="110" t="s">
        <v>57</v>
      </c>
    </row>
    <row r="2" spans="1:7" x14ac:dyDescent="0.25">
      <c r="A2" s="116" t="s">
        <v>58</v>
      </c>
      <c r="B2" s="599" t="s">
        <v>59</v>
      </c>
      <c r="C2" s="600"/>
      <c r="D2" s="600"/>
      <c r="E2" s="291" t="s">
        <v>60</v>
      </c>
      <c r="F2" s="291" t="s">
        <v>61</v>
      </c>
      <c r="G2" s="323" t="s">
        <v>62</v>
      </c>
    </row>
    <row r="3" spans="1:7" s="81" customFormat="1" x14ac:dyDescent="0.25">
      <c r="A3" s="199" t="s">
        <v>63</v>
      </c>
      <c r="B3" s="606" t="s">
        <v>64</v>
      </c>
      <c r="C3" s="607"/>
      <c r="D3" s="608"/>
      <c r="E3" s="80" t="s">
        <v>60</v>
      </c>
      <c r="F3" s="80" t="s">
        <v>61</v>
      </c>
      <c r="G3" s="324" t="s">
        <v>62</v>
      </c>
    </row>
    <row r="4" spans="1:7" x14ac:dyDescent="0.25">
      <c r="A4" s="199" t="s">
        <v>65</v>
      </c>
      <c r="B4" s="603" t="s">
        <v>66</v>
      </c>
      <c r="C4" s="604"/>
      <c r="D4" s="605"/>
      <c r="E4" s="80" t="s">
        <v>67</v>
      </c>
      <c r="F4" s="80" t="s">
        <v>61</v>
      </c>
      <c r="G4" s="324" t="s">
        <v>62</v>
      </c>
    </row>
    <row r="5" spans="1:7" x14ac:dyDescent="0.25">
      <c r="A5" s="117" t="s">
        <v>68</v>
      </c>
      <c r="B5" s="603" t="s">
        <v>69</v>
      </c>
      <c r="C5" s="604"/>
      <c r="D5" s="605"/>
      <c r="E5" s="80" t="s">
        <v>67</v>
      </c>
      <c r="F5" s="80" t="s">
        <v>61</v>
      </c>
      <c r="G5" s="324" t="s">
        <v>62</v>
      </c>
    </row>
    <row r="6" spans="1:7" x14ac:dyDescent="0.25">
      <c r="A6" s="117" t="s">
        <v>70</v>
      </c>
      <c r="B6" s="603" t="s">
        <v>71</v>
      </c>
      <c r="C6" s="604"/>
      <c r="D6" s="605"/>
      <c r="E6" s="80" t="s">
        <v>72</v>
      </c>
      <c r="F6" s="80" t="s">
        <v>61</v>
      </c>
      <c r="G6" s="85"/>
    </row>
    <row r="7" spans="1:7" ht="15.75" thickBot="1" x14ac:dyDescent="0.3">
      <c r="A7" s="118" t="s">
        <v>73</v>
      </c>
      <c r="B7" s="601" t="s">
        <v>74</v>
      </c>
      <c r="C7" s="602"/>
      <c r="D7" s="602"/>
      <c r="E7" s="86" t="s">
        <v>72</v>
      </c>
      <c r="F7" s="86"/>
      <c r="G7" s="87"/>
    </row>
    <row r="8" spans="1:7" s="84" customFormat="1" ht="15.75" thickBot="1" x14ac:dyDescent="0.3">
      <c r="A8" s="115" t="s">
        <v>53</v>
      </c>
      <c r="B8" s="424" t="s">
        <v>1</v>
      </c>
      <c r="C8" s="167" t="s">
        <v>75</v>
      </c>
      <c r="D8" s="167" t="s">
        <v>54</v>
      </c>
      <c r="E8" s="167" t="s">
        <v>55</v>
      </c>
      <c r="F8" s="167" t="s">
        <v>56</v>
      </c>
      <c r="G8" s="110" t="s">
        <v>57</v>
      </c>
    </row>
    <row r="9" spans="1:7" ht="105" x14ac:dyDescent="0.25">
      <c r="A9" s="583" t="s">
        <v>58</v>
      </c>
      <c r="B9" s="586" t="s">
        <v>76</v>
      </c>
      <c r="C9" s="330" t="s">
        <v>77</v>
      </c>
      <c r="D9" s="94" t="s">
        <v>78</v>
      </c>
      <c r="E9" s="94" t="s">
        <v>60</v>
      </c>
      <c r="F9" s="94" t="s">
        <v>79</v>
      </c>
      <c r="G9" s="425" t="s">
        <v>80</v>
      </c>
    </row>
    <row r="10" spans="1:7" ht="75" x14ac:dyDescent="0.25">
      <c r="A10" s="584"/>
      <c r="B10" s="587"/>
      <c r="C10" s="326" t="s">
        <v>81</v>
      </c>
      <c r="D10" s="82" t="s">
        <v>82</v>
      </c>
      <c r="E10" s="82" t="s">
        <v>60</v>
      </c>
      <c r="F10" s="82" t="s">
        <v>79</v>
      </c>
      <c r="G10" s="318" t="s">
        <v>83</v>
      </c>
    </row>
    <row r="11" spans="1:7" ht="45" x14ac:dyDescent="0.25">
      <c r="A11" s="584"/>
      <c r="B11" s="587"/>
      <c r="C11" s="326" t="s">
        <v>84</v>
      </c>
      <c r="D11" s="82" t="s">
        <v>85</v>
      </c>
      <c r="E11" s="82" t="s">
        <v>86</v>
      </c>
      <c r="F11" s="82" t="s">
        <v>79</v>
      </c>
      <c r="G11" s="95" t="s">
        <v>87</v>
      </c>
    </row>
    <row r="12" spans="1:7" ht="120" x14ac:dyDescent="0.25">
      <c r="A12" s="584"/>
      <c r="B12" s="587"/>
      <c r="C12" s="326" t="s">
        <v>88</v>
      </c>
      <c r="D12" s="347" t="s">
        <v>89</v>
      </c>
      <c r="E12" s="82" t="s">
        <v>86</v>
      </c>
      <c r="F12" s="82" t="s">
        <v>79</v>
      </c>
      <c r="G12" s="318" t="s">
        <v>90</v>
      </c>
    </row>
    <row r="13" spans="1:7" ht="30" x14ac:dyDescent="0.25">
      <c r="A13" s="584"/>
      <c r="B13" s="587"/>
      <c r="C13" s="326" t="s">
        <v>91</v>
      </c>
      <c r="D13" s="82" t="s">
        <v>92</v>
      </c>
      <c r="E13" s="82" t="s">
        <v>86</v>
      </c>
      <c r="F13" s="82" t="s">
        <v>79</v>
      </c>
      <c r="G13" s="95" t="s">
        <v>93</v>
      </c>
    </row>
    <row r="14" spans="1:7" ht="30" x14ac:dyDescent="0.25">
      <c r="A14" s="584"/>
      <c r="B14" s="587"/>
      <c r="C14" s="326" t="s">
        <v>94</v>
      </c>
      <c r="D14" s="82" t="s">
        <v>95</v>
      </c>
      <c r="E14" s="82" t="s">
        <v>86</v>
      </c>
      <c r="F14" s="82" t="s">
        <v>79</v>
      </c>
      <c r="G14" s="95" t="s">
        <v>93</v>
      </c>
    </row>
    <row r="15" spans="1:7" ht="30" x14ac:dyDescent="0.25">
      <c r="A15" s="584"/>
      <c r="B15" s="587"/>
      <c r="C15" s="121" t="s">
        <v>96</v>
      </c>
      <c r="D15" s="82" t="s">
        <v>97</v>
      </c>
      <c r="E15" s="82" t="s">
        <v>60</v>
      </c>
      <c r="F15" s="82" t="s">
        <v>79</v>
      </c>
      <c r="G15" s="95" t="s">
        <v>98</v>
      </c>
    </row>
    <row r="16" spans="1:7" ht="60" x14ac:dyDescent="0.25">
      <c r="A16" s="584"/>
      <c r="B16" s="587"/>
      <c r="C16" s="326" t="s">
        <v>99</v>
      </c>
      <c r="D16" s="347" t="s">
        <v>100</v>
      </c>
      <c r="E16" s="82" t="s">
        <v>86</v>
      </c>
      <c r="F16" s="82" t="s">
        <v>79</v>
      </c>
      <c r="G16" s="318" t="s">
        <v>101</v>
      </c>
    </row>
    <row r="17" spans="1:7" ht="30" x14ac:dyDescent="0.25">
      <c r="A17" s="584"/>
      <c r="B17" s="587"/>
      <c r="C17" s="326" t="s">
        <v>102</v>
      </c>
      <c r="D17" s="82" t="s">
        <v>103</v>
      </c>
      <c r="E17" s="82" t="s">
        <v>86</v>
      </c>
      <c r="F17" s="82" t="s">
        <v>79</v>
      </c>
      <c r="G17" s="95" t="s">
        <v>104</v>
      </c>
    </row>
    <row r="18" spans="1:7" ht="45" x14ac:dyDescent="0.25">
      <c r="A18" s="584"/>
      <c r="B18" s="587"/>
      <c r="C18" s="326" t="s">
        <v>105</v>
      </c>
      <c r="D18" s="82" t="s">
        <v>106</v>
      </c>
      <c r="E18" s="82" t="s">
        <v>86</v>
      </c>
      <c r="F18" s="82" t="s">
        <v>79</v>
      </c>
      <c r="G18" s="95" t="s">
        <v>107</v>
      </c>
    </row>
    <row r="19" spans="1:7" x14ac:dyDescent="0.25">
      <c r="A19" s="584"/>
      <c r="B19" s="587"/>
      <c r="C19" s="326" t="s">
        <v>108</v>
      </c>
      <c r="D19" s="82" t="s">
        <v>109</v>
      </c>
      <c r="E19" s="82" t="s">
        <v>86</v>
      </c>
      <c r="F19" s="82" t="s">
        <v>79</v>
      </c>
      <c r="G19" s="95" t="s">
        <v>110</v>
      </c>
    </row>
    <row r="20" spans="1:7" ht="105.75" thickBot="1" x14ac:dyDescent="0.3">
      <c r="A20" s="584"/>
      <c r="B20" s="588"/>
      <c r="C20" s="426" t="s">
        <v>1</v>
      </c>
      <c r="D20" s="551" t="s">
        <v>111</v>
      </c>
      <c r="E20" s="393" t="s">
        <v>86</v>
      </c>
      <c r="F20" s="393" t="s">
        <v>79</v>
      </c>
      <c r="G20" s="427" t="s">
        <v>112</v>
      </c>
    </row>
    <row r="21" spans="1:7" ht="45" x14ac:dyDescent="0.25">
      <c r="A21" s="584"/>
      <c r="B21" s="620" t="s">
        <v>113</v>
      </c>
      <c r="C21" s="327" t="s">
        <v>114</v>
      </c>
      <c r="D21" s="105" t="s">
        <v>115</v>
      </c>
      <c r="E21" s="105" t="s">
        <v>86</v>
      </c>
      <c r="F21" s="105" t="s">
        <v>116</v>
      </c>
      <c r="G21" s="168" t="s">
        <v>117</v>
      </c>
    </row>
    <row r="22" spans="1:7" ht="30" x14ac:dyDescent="0.25">
      <c r="A22" s="584"/>
      <c r="B22" s="621"/>
      <c r="C22" s="328" t="s">
        <v>118</v>
      </c>
      <c r="D22" s="431" t="s">
        <v>119</v>
      </c>
      <c r="E22" s="431" t="s">
        <v>86</v>
      </c>
      <c r="F22" s="431" t="s">
        <v>116</v>
      </c>
      <c r="G22" s="432" t="s">
        <v>120</v>
      </c>
    </row>
    <row r="23" spans="1:7" ht="15.75" thickBot="1" x14ac:dyDescent="0.3">
      <c r="A23" s="584"/>
      <c r="B23" s="622"/>
      <c r="C23" s="433" t="s">
        <v>121</v>
      </c>
      <c r="D23" s="107" t="s">
        <v>122</v>
      </c>
      <c r="E23" s="107" t="s">
        <v>86</v>
      </c>
      <c r="F23" s="107" t="s">
        <v>116</v>
      </c>
      <c r="G23" s="108" t="s">
        <v>123</v>
      </c>
    </row>
    <row r="24" spans="1:7" ht="30" customHeight="1" x14ac:dyDescent="0.25">
      <c r="A24" s="584"/>
      <c r="B24" s="623" t="s">
        <v>124</v>
      </c>
      <c r="C24" s="428" t="s">
        <v>125</v>
      </c>
      <c r="D24" s="429" t="s">
        <v>126</v>
      </c>
      <c r="E24" s="429" t="s">
        <v>86</v>
      </c>
      <c r="F24" s="429" t="s">
        <v>79</v>
      </c>
      <c r="G24" s="430" t="s">
        <v>127</v>
      </c>
    </row>
    <row r="25" spans="1:7" ht="30" customHeight="1" x14ac:dyDescent="0.25">
      <c r="A25" s="584"/>
      <c r="B25" s="624"/>
      <c r="C25" s="328" t="s">
        <v>128</v>
      </c>
      <c r="D25" s="109" t="s">
        <v>129</v>
      </c>
      <c r="E25" s="109" t="s">
        <v>86</v>
      </c>
      <c r="F25" s="109" t="s">
        <v>130</v>
      </c>
      <c r="G25" s="577" t="s">
        <v>131</v>
      </c>
    </row>
    <row r="26" spans="1:7" ht="30" x14ac:dyDescent="0.25">
      <c r="A26" s="584"/>
      <c r="B26" s="624"/>
      <c r="C26" s="272" t="s">
        <v>132</v>
      </c>
      <c r="D26" s="109" t="s">
        <v>133</v>
      </c>
      <c r="E26" s="109" t="s">
        <v>86</v>
      </c>
      <c r="F26" s="109" t="s">
        <v>130</v>
      </c>
      <c r="G26" s="578"/>
    </row>
    <row r="27" spans="1:7" x14ac:dyDescent="0.25">
      <c r="A27" s="584"/>
      <c r="B27" s="624"/>
      <c r="C27" s="328" t="s">
        <v>30</v>
      </c>
      <c r="D27" s="109" t="s">
        <v>134</v>
      </c>
      <c r="E27" s="109" t="s">
        <v>86</v>
      </c>
      <c r="F27" s="109" t="s">
        <v>130</v>
      </c>
      <c r="G27" s="578"/>
    </row>
    <row r="28" spans="1:7" x14ac:dyDescent="0.25">
      <c r="A28" s="584"/>
      <c r="B28" s="624"/>
      <c r="C28" s="328" t="s">
        <v>135</v>
      </c>
      <c r="D28" s="109" t="s">
        <v>136</v>
      </c>
      <c r="E28" s="109" t="s">
        <v>86</v>
      </c>
      <c r="F28" s="109" t="s">
        <v>130</v>
      </c>
      <c r="G28" s="578"/>
    </row>
    <row r="29" spans="1:7" x14ac:dyDescent="0.25">
      <c r="A29" s="584"/>
      <c r="B29" s="624"/>
      <c r="C29" s="328" t="s">
        <v>36</v>
      </c>
      <c r="D29" s="109" t="s">
        <v>137</v>
      </c>
      <c r="E29" s="109" t="s">
        <v>86</v>
      </c>
      <c r="F29" s="109" t="s">
        <v>130</v>
      </c>
      <c r="G29" s="578"/>
    </row>
    <row r="30" spans="1:7" x14ac:dyDescent="0.25">
      <c r="A30" s="584"/>
      <c r="B30" s="624"/>
      <c r="C30" s="328" t="s">
        <v>138</v>
      </c>
      <c r="D30" s="109" t="s">
        <v>139</v>
      </c>
      <c r="E30" s="109" t="s">
        <v>86</v>
      </c>
      <c r="F30" s="109" t="s">
        <v>130</v>
      </c>
      <c r="G30" s="578"/>
    </row>
    <row r="31" spans="1:7" x14ac:dyDescent="0.25">
      <c r="A31" s="584"/>
      <c r="B31" s="624"/>
      <c r="C31" s="272" t="s">
        <v>140</v>
      </c>
      <c r="D31" s="109" t="s">
        <v>141</v>
      </c>
      <c r="E31" s="109" t="s">
        <v>86</v>
      </c>
      <c r="F31" s="109" t="s">
        <v>130</v>
      </c>
      <c r="G31" s="578"/>
    </row>
    <row r="32" spans="1:7" ht="30.75" thickBot="1" x14ac:dyDescent="0.3">
      <c r="A32" s="584"/>
      <c r="B32" s="625"/>
      <c r="C32" s="329" t="s">
        <v>142</v>
      </c>
      <c r="D32" s="104" t="s">
        <v>143</v>
      </c>
      <c r="E32" s="104" t="s">
        <v>86</v>
      </c>
      <c r="F32" s="104" t="s">
        <v>130</v>
      </c>
      <c r="G32" s="579"/>
    </row>
    <row r="33" spans="1:7" ht="30" x14ac:dyDescent="0.25">
      <c r="A33" s="584"/>
      <c r="B33" s="626" t="s">
        <v>144</v>
      </c>
      <c r="C33" s="307" t="s">
        <v>132</v>
      </c>
      <c r="D33" s="270" t="s">
        <v>145</v>
      </c>
      <c r="E33" s="270" t="s">
        <v>86</v>
      </c>
      <c r="F33" s="270" t="s">
        <v>146</v>
      </c>
      <c r="G33" s="271" t="s">
        <v>147</v>
      </c>
    </row>
    <row r="34" spans="1:7" x14ac:dyDescent="0.25">
      <c r="A34" s="584"/>
      <c r="B34" s="627"/>
      <c r="C34" s="326" t="s">
        <v>30</v>
      </c>
      <c r="D34" s="83" t="s">
        <v>148</v>
      </c>
      <c r="E34" s="83" t="s">
        <v>86</v>
      </c>
      <c r="F34" s="83" t="s">
        <v>146</v>
      </c>
      <c r="G34" s="99"/>
    </row>
    <row r="35" spans="1:7" x14ac:dyDescent="0.25">
      <c r="A35" s="584"/>
      <c r="B35" s="627"/>
      <c r="C35" s="326" t="s">
        <v>135</v>
      </c>
      <c r="D35" s="83" t="s">
        <v>149</v>
      </c>
      <c r="E35" s="83" t="s">
        <v>86</v>
      </c>
      <c r="F35" s="83" t="s">
        <v>146</v>
      </c>
      <c r="G35" s="99" t="s">
        <v>150</v>
      </c>
    </row>
    <row r="36" spans="1:7" x14ac:dyDescent="0.25">
      <c r="A36" s="584"/>
      <c r="B36" s="627"/>
      <c r="C36" s="326" t="s">
        <v>36</v>
      </c>
      <c r="D36" s="83" t="s">
        <v>151</v>
      </c>
      <c r="E36" s="83" t="s">
        <v>86</v>
      </c>
      <c r="F36" s="83" t="s">
        <v>146</v>
      </c>
      <c r="G36" s="113"/>
    </row>
    <row r="37" spans="1:7" x14ac:dyDescent="0.25">
      <c r="A37" s="584"/>
      <c r="B37" s="627"/>
      <c r="C37" s="326" t="s">
        <v>138</v>
      </c>
      <c r="D37" s="83" t="s">
        <v>152</v>
      </c>
      <c r="E37" s="83" t="s">
        <v>86</v>
      </c>
      <c r="F37" s="83" t="s">
        <v>146</v>
      </c>
      <c r="G37" s="99" t="s">
        <v>153</v>
      </c>
    </row>
    <row r="38" spans="1:7" x14ac:dyDescent="0.25">
      <c r="A38" s="584"/>
      <c r="B38" s="627"/>
      <c r="C38" s="273" t="s">
        <v>140</v>
      </c>
      <c r="D38" s="83" t="s">
        <v>154</v>
      </c>
      <c r="E38" s="83" t="s">
        <v>86</v>
      </c>
      <c r="F38" s="83" t="s">
        <v>146</v>
      </c>
      <c r="G38" s="99"/>
    </row>
    <row r="39" spans="1:7" ht="30" x14ac:dyDescent="0.25">
      <c r="A39" s="584"/>
      <c r="B39" s="627"/>
      <c r="C39" s="328" t="s">
        <v>155</v>
      </c>
      <c r="D39" s="83" t="s">
        <v>156</v>
      </c>
      <c r="E39" s="83" t="s">
        <v>86</v>
      </c>
      <c r="F39" s="83" t="s">
        <v>146</v>
      </c>
      <c r="G39" s="99"/>
    </row>
    <row r="40" spans="1:7" ht="30" x14ac:dyDescent="0.25">
      <c r="A40" s="584"/>
      <c r="B40" s="627"/>
      <c r="C40" s="273" t="s">
        <v>157</v>
      </c>
      <c r="D40" s="83" t="s">
        <v>158</v>
      </c>
      <c r="E40" s="83" t="s">
        <v>60</v>
      </c>
      <c r="F40" s="83" t="s">
        <v>146</v>
      </c>
      <c r="G40" s="99" t="s">
        <v>159</v>
      </c>
    </row>
    <row r="41" spans="1:7" ht="45.75" thickBot="1" x14ac:dyDescent="0.3">
      <c r="A41" s="584"/>
      <c r="B41" s="628"/>
      <c r="C41" s="325" t="s">
        <v>160</v>
      </c>
      <c r="D41" s="100" t="s">
        <v>161</v>
      </c>
      <c r="E41" s="100" t="s">
        <v>86</v>
      </c>
      <c r="F41" s="100" t="s">
        <v>146</v>
      </c>
      <c r="G41" s="101" t="s">
        <v>162</v>
      </c>
    </row>
    <row r="42" spans="1:7" ht="135.75" thickBot="1" x14ac:dyDescent="0.3">
      <c r="A42" s="583" t="s">
        <v>63</v>
      </c>
      <c r="B42" s="434" t="s">
        <v>163</v>
      </c>
      <c r="C42" s="330" t="s">
        <v>88</v>
      </c>
      <c r="D42" s="435" t="s">
        <v>164</v>
      </c>
      <c r="E42" s="435" t="s">
        <v>86</v>
      </c>
      <c r="F42" s="435" t="s">
        <v>79</v>
      </c>
      <c r="G42" s="436" t="s">
        <v>165</v>
      </c>
    </row>
    <row r="43" spans="1:7" ht="15" customHeight="1" x14ac:dyDescent="0.25">
      <c r="A43" s="584"/>
      <c r="B43" s="612" t="s">
        <v>166</v>
      </c>
      <c r="C43" s="304" t="s">
        <v>167</v>
      </c>
      <c r="D43" s="292" t="s">
        <v>168</v>
      </c>
      <c r="E43" s="292" t="s">
        <v>67</v>
      </c>
      <c r="F43" s="292" t="s">
        <v>79</v>
      </c>
      <c r="G43" s="275" t="s">
        <v>169</v>
      </c>
    </row>
    <row r="44" spans="1:7" ht="30" x14ac:dyDescent="0.25">
      <c r="A44" s="584"/>
      <c r="B44" s="613"/>
      <c r="C44" s="305" t="s">
        <v>128</v>
      </c>
      <c r="D44" s="293" t="s">
        <v>170</v>
      </c>
      <c r="E44" s="293" t="s">
        <v>67</v>
      </c>
      <c r="F44" s="293" t="s">
        <v>79</v>
      </c>
      <c r="G44" s="276" t="s">
        <v>169</v>
      </c>
    </row>
    <row r="45" spans="1:7" ht="30" x14ac:dyDescent="0.25">
      <c r="A45" s="584"/>
      <c r="B45" s="613"/>
      <c r="C45" s="305" t="s">
        <v>105</v>
      </c>
      <c r="D45" s="293" t="s">
        <v>171</v>
      </c>
      <c r="E45" s="293" t="s">
        <v>67</v>
      </c>
      <c r="F45" s="293" t="s">
        <v>79</v>
      </c>
      <c r="G45" s="276" t="s">
        <v>172</v>
      </c>
    </row>
    <row r="46" spans="1:7" x14ac:dyDescent="0.25">
      <c r="A46" s="584"/>
      <c r="B46" s="613"/>
      <c r="C46" s="305" t="s">
        <v>173</v>
      </c>
      <c r="D46" s="293" t="s">
        <v>174</v>
      </c>
      <c r="E46" s="293" t="s">
        <v>67</v>
      </c>
      <c r="F46" s="293" t="s">
        <v>79</v>
      </c>
      <c r="G46" s="276" t="s">
        <v>169</v>
      </c>
    </row>
    <row r="47" spans="1:7" ht="15.75" thickBot="1" x14ac:dyDescent="0.3">
      <c r="A47" s="584"/>
      <c r="B47" s="614"/>
      <c r="C47" s="306" t="s">
        <v>175</v>
      </c>
      <c r="D47" s="294" t="s">
        <v>176</v>
      </c>
      <c r="E47" s="293" t="s">
        <v>67</v>
      </c>
      <c r="F47" s="294" t="s">
        <v>79</v>
      </c>
      <c r="G47" s="277" t="s">
        <v>169</v>
      </c>
    </row>
    <row r="48" spans="1:7" ht="30" x14ac:dyDescent="0.25">
      <c r="A48" s="584"/>
      <c r="B48" s="615" t="s">
        <v>177</v>
      </c>
      <c r="C48" s="301" t="s">
        <v>132</v>
      </c>
      <c r="D48" s="295" t="s">
        <v>178</v>
      </c>
      <c r="E48" s="295" t="s">
        <v>67</v>
      </c>
      <c r="F48" s="295" t="s">
        <v>130</v>
      </c>
      <c r="G48" s="580" t="s">
        <v>179</v>
      </c>
    </row>
    <row r="49" spans="1:7" ht="30" x14ac:dyDescent="0.25">
      <c r="A49" s="584"/>
      <c r="B49" s="615"/>
      <c r="C49" s="302" t="s">
        <v>30</v>
      </c>
      <c r="D49" s="278" t="s">
        <v>180</v>
      </c>
      <c r="E49" s="278" t="s">
        <v>67</v>
      </c>
      <c r="F49" s="278" t="s">
        <v>130</v>
      </c>
      <c r="G49" s="581"/>
    </row>
    <row r="50" spans="1:7" ht="30" x14ac:dyDescent="0.25">
      <c r="A50" s="584"/>
      <c r="B50" s="615"/>
      <c r="C50" s="302" t="s">
        <v>135</v>
      </c>
      <c r="D50" s="278" t="s">
        <v>181</v>
      </c>
      <c r="E50" s="278" t="s">
        <v>67</v>
      </c>
      <c r="F50" s="278" t="s">
        <v>130</v>
      </c>
      <c r="G50" s="581"/>
    </row>
    <row r="51" spans="1:7" ht="30" x14ac:dyDescent="0.25">
      <c r="A51" s="584"/>
      <c r="B51" s="615"/>
      <c r="C51" s="302" t="s">
        <v>36</v>
      </c>
      <c r="D51" s="278" t="s">
        <v>182</v>
      </c>
      <c r="E51" s="278" t="s">
        <v>67</v>
      </c>
      <c r="F51" s="278" t="s">
        <v>130</v>
      </c>
      <c r="G51" s="581"/>
    </row>
    <row r="52" spans="1:7" ht="30" x14ac:dyDescent="0.25">
      <c r="A52" s="584"/>
      <c r="B52" s="615"/>
      <c r="C52" s="302" t="s">
        <v>138</v>
      </c>
      <c r="D52" s="278" t="s">
        <v>183</v>
      </c>
      <c r="E52" s="278" t="s">
        <v>67</v>
      </c>
      <c r="F52" s="278" t="s">
        <v>130</v>
      </c>
      <c r="G52" s="581"/>
    </row>
    <row r="53" spans="1:7" ht="30" x14ac:dyDescent="0.25">
      <c r="A53" s="584"/>
      <c r="B53" s="615"/>
      <c r="C53" s="302" t="s">
        <v>184</v>
      </c>
      <c r="D53" s="278" t="s">
        <v>185</v>
      </c>
      <c r="E53" s="278" t="s">
        <v>67</v>
      </c>
      <c r="F53" s="278" t="s">
        <v>130</v>
      </c>
      <c r="G53" s="581"/>
    </row>
    <row r="54" spans="1:7" x14ac:dyDescent="0.25">
      <c r="A54" s="584"/>
      <c r="B54" s="615"/>
      <c r="C54" s="302" t="s">
        <v>140</v>
      </c>
      <c r="D54" s="278" t="s">
        <v>186</v>
      </c>
      <c r="E54" s="278" t="s">
        <v>67</v>
      </c>
      <c r="F54" s="278" t="s">
        <v>130</v>
      </c>
      <c r="G54" s="581"/>
    </row>
    <row r="55" spans="1:7" ht="30.75" thickBot="1" x14ac:dyDescent="0.3">
      <c r="A55" s="584"/>
      <c r="B55" s="616"/>
      <c r="C55" s="303" t="s">
        <v>187</v>
      </c>
      <c r="D55" s="296" t="s">
        <v>188</v>
      </c>
      <c r="E55" s="296" t="s">
        <v>67</v>
      </c>
      <c r="F55" s="296" t="s">
        <v>130</v>
      </c>
      <c r="G55" s="582"/>
    </row>
    <row r="56" spans="1:7" ht="30" x14ac:dyDescent="0.25">
      <c r="A56" s="584"/>
      <c r="B56" s="617" t="s">
        <v>144</v>
      </c>
      <c r="C56" s="421" t="s">
        <v>132</v>
      </c>
      <c r="D56" s="422" t="s">
        <v>189</v>
      </c>
      <c r="E56" s="422" t="s">
        <v>67</v>
      </c>
      <c r="F56" s="422" t="s">
        <v>146</v>
      </c>
      <c r="G56" s="423" t="s">
        <v>169</v>
      </c>
    </row>
    <row r="57" spans="1:7" ht="30" x14ac:dyDescent="0.25">
      <c r="A57" s="584"/>
      <c r="B57" s="618"/>
      <c r="C57" s="299" t="s">
        <v>30</v>
      </c>
      <c r="D57" s="297" t="s">
        <v>190</v>
      </c>
      <c r="E57" s="297" t="s">
        <v>67</v>
      </c>
      <c r="F57" s="297" t="s">
        <v>146</v>
      </c>
      <c r="G57" s="274" t="s">
        <v>169</v>
      </c>
    </row>
    <row r="58" spans="1:7" ht="30" x14ac:dyDescent="0.25">
      <c r="A58" s="584"/>
      <c r="B58" s="618"/>
      <c r="C58" s="299" t="s">
        <v>135</v>
      </c>
      <c r="D58" s="297" t="s">
        <v>191</v>
      </c>
      <c r="E58" s="297" t="s">
        <v>67</v>
      </c>
      <c r="F58" s="297" t="s">
        <v>146</v>
      </c>
      <c r="G58" s="274" t="s">
        <v>169</v>
      </c>
    </row>
    <row r="59" spans="1:7" x14ac:dyDescent="0.25">
      <c r="A59" s="584"/>
      <c r="B59" s="618"/>
      <c r="C59" s="299" t="s">
        <v>36</v>
      </c>
      <c r="D59" s="297" t="s">
        <v>192</v>
      </c>
      <c r="E59" s="297" t="s">
        <v>67</v>
      </c>
      <c r="F59" s="297" t="s">
        <v>146</v>
      </c>
      <c r="G59" s="274" t="s">
        <v>169</v>
      </c>
    </row>
    <row r="60" spans="1:7" ht="30" x14ac:dyDescent="0.25">
      <c r="A60" s="584"/>
      <c r="B60" s="618"/>
      <c r="C60" s="299" t="s">
        <v>138</v>
      </c>
      <c r="D60" s="297" t="s">
        <v>193</v>
      </c>
      <c r="E60" s="297" t="s">
        <v>67</v>
      </c>
      <c r="F60" s="297" t="s">
        <v>146</v>
      </c>
      <c r="G60" s="274" t="s">
        <v>169</v>
      </c>
    </row>
    <row r="61" spans="1:7" x14ac:dyDescent="0.25">
      <c r="A61" s="584"/>
      <c r="B61" s="618"/>
      <c r="C61" s="299" t="s">
        <v>184</v>
      </c>
      <c r="D61" s="297" t="s">
        <v>194</v>
      </c>
      <c r="E61" s="297" t="s">
        <v>67</v>
      </c>
      <c r="F61" s="297" t="s">
        <v>146</v>
      </c>
      <c r="G61" s="274" t="s">
        <v>169</v>
      </c>
    </row>
    <row r="62" spans="1:7" x14ac:dyDescent="0.25">
      <c r="A62" s="584"/>
      <c r="B62" s="618"/>
      <c r="C62" s="299" t="s">
        <v>140</v>
      </c>
      <c r="D62" s="297" t="s">
        <v>195</v>
      </c>
      <c r="E62" s="297" t="s">
        <v>67</v>
      </c>
      <c r="F62" s="297" t="s">
        <v>146</v>
      </c>
      <c r="G62" s="274" t="s">
        <v>169</v>
      </c>
    </row>
    <row r="63" spans="1:7" ht="15.75" thickBot="1" x14ac:dyDescent="0.3">
      <c r="A63" s="585"/>
      <c r="B63" s="619"/>
      <c r="C63" s="300" t="s">
        <v>187</v>
      </c>
      <c r="D63" s="298" t="s">
        <v>196</v>
      </c>
      <c r="E63" s="298" t="s">
        <v>67</v>
      </c>
      <c r="F63" s="298" t="s">
        <v>146</v>
      </c>
      <c r="G63" s="279" t="s">
        <v>169</v>
      </c>
    </row>
    <row r="64" spans="1:7" ht="120" x14ac:dyDescent="0.25">
      <c r="A64" s="584" t="s">
        <v>65</v>
      </c>
      <c r="B64" s="609" t="s">
        <v>197</v>
      </c>
      <c r="C64" s="327" t="s">
        <v>77</v>
      </c>
      <c r="D64" s="281" t="s">
        <v>198</v>
      </c>
      <c r="E64" s="281" t="s">
        <v>60</v>
      </c>
      <c r="F64" s="281" t="s">
        <v>79</v>
      </c>
      <c r="G64" s="437" t="s">
        <v>199</v>
      </c>
    </row>
    <row r="65" spans="1:7" ht="60" x14ac:dyDescent="0.25">
      <c r="A65" s="584"/>
      <c r="B65" s="610"/>
      <c r="C65" s="328" t="s">
        <v>81</v>
      </c>
      <c r="D65" s="282" t="s">
        <v>82</v>
      </c>
      <c r="E65" s="282" t="s">
        <v>60</v>
      </c>
      <c r="F65" s="282" t="s">
        <v>79</v>
      </c>
      <c r="G65" s="439" t="s">
        <v>200</v>
      </c>
    </row>
    <row r="66" spans="1:7" ht="30" x14ac:dyDescent="0.25">
      <c r="A66" s="584"/>
      <c r="B66" s="610"/>
      <c r="C66" s="328" t="s">
        <v>96</v>
      </c>
      <c r="D66" s="282" t="s">
        <v>97</v>
      </c>
      <c r="E66" s="282" t="s">
        <v>60</v>
      </c>
      <c r="F66" s="282" t="s">
        <v>79</v>
      </c>
      <c r="G66" s="283" t="s">
        <v>201</v>
      </c>
    </row>
    <row r="67" spans="1:7" ht="30" x14ac:dyDescent="0.25">
      <c r="A67" s="584"/>
      <c r="B67" s="610"/>
      <c r="C67" s="328" t="s">
        <v>202</v>
      </c>
      <c r="D67" s="282" t="s">
        <v>203</v>
      </c>
      <c r="E67" s="282" t="s">
        <v>60</v>
      </c>
      <c r="F67" s="282" t="s">
        <v>79</v>
      </c>
      <c r="G67" s="283" t="s">
        <v>204</v>
      </c>
    </row>
    <row r="68" spans="1:7" x14ac:dyDescent="0.25">
      <c r="A68" s="584"/>
      <c r="B68" s="610"/>
      <c r="C68" s="328" t="s">
        <v>1</v>
      </c>
      <c r="D68" s="282" t="s">
        <v>205</v>
      </c>
      <c r="E68" s="282" t="s">
        <v>60</v>
      </c>
      <c r="F68" s="282" t="s">
        <v>79</v>
      </c>
      <c r="G68" s="283" t="s">
        <v>206</v>
      </c>
    </row>
    <row r="69" spans="1:7" ht="15.75" thickBot="1" x14ac:dyDescent="0.3">
      <c r="A69" s="584"/>
      <c r="B69" s="611"/>
      <c r="C69" s="329" t="s">
        <v>207</v>
      </c>
      <c r="D69" s="284" t="s">
        <v>208</v>
      </c>
      <c r="E69" s="284" t="s">
        <v>60</v>
      </c>
      <c r="F69" s="284" t="s">
        <v>79</v>
      </c>
      <c r="G69" s="285"/>
    </row>
    <row r="70" spans="1:7" ht="150" x14ac:dyDescent="0.25">
      <c r="A70" s="583" t="s">
        <v>68</v>
      </c>
      <c r="B70" s="586" t="s">
        <v>76</v>
      </c>
      <c r="C70" s="339" t="s">
        <v>77</v>
      </c>
      <c r="D70" s="280" t="s">
        <v>209</v>
      </c>
      <c r="E70" s="280" t="s">
        <v>60</v>
      </c>
      <c r="F70" s="280" t="s">
        <v>79</v>
      </c>
      <c r="G70" s="438" t="s">
        <v>210</v>
      </c>
    </row>
    <row r="71" spans="1:7" x14ac:dyDescent="0.25">
      <c r="A71" s="584"/>
      <c r="B71" s="587"/>
      <c r="C71" s="121" t="s">
        <v>81</v>
      </c>
      <c r="D71" s="82" t="s">
        <v>82</v>
      </c>
      <c r="E71" s="82" t="s">
        <v>60</v>
      </c>
      <c r="F71" s="82" t="s">
        <v>79</v>
      </c>
      <c r="G71" s="95" t="s">
        <v>169</v>
      </c>
    </row>
    <row r="72" spans="1:7" ht="30" x14ac:dyDescent="0.25">
      <c r="A72" s="584"/>
      <c r="B72" s="587"/>
      <c r="C72" s="121" t="s">
        <v>96</v>
      </c>
      <c r="D72" s="82" t="s">
        <v>97</v>
      </c>
      <c r="E72" s="82" t="s">
        <v>60</v>
      </c>
      <c r="F72" s="82" t="s">
        <v>79</v>
      </c>
      <c r="G72" s="95" t="s">
        <v>211</v>
      </c>
    </row>
    <row r="73" spans="1:7" x14ac:dyDescent="0.25">
      <c r="A73" s="584"/>
      <c r="B73" s="587"/>
      <c r="C73" s="121" t="s">
        <v>212</v>
      </c>
      <c r="D73" s="82" t="s">
        <v>213</v>
      </c>
      <c r="E73" s="82" t="s">
        <v>86</v>
      </c>
      <c r="F73" s="82" t="s">
        <v>79</v>
      </c>
      <c r="G73" s="95" t="s">
        <v>169</v>
      </c>
    </row>
    <row r="74" spans="1:7" ht="60" customHeight="1" x14ac:dyDescent="0.25">
      <c r="A74" s="584"/>
      <c r="B74" s="587"/>
      <c r="C74" s="121" t="s">
        <v>88</v>
      </c>
      <c r="D74" s="82" t="s">
        <v>214</v>
      </c>
      <c r="E74" s="82" t="s">
        <v>86</v>
      </c>
      <c r="F74" s="82" t="s">
        <v>79</v>
      </c>
      <c r="G74" s="95" t="s">
        <v>169</v>
      </c>
    </row>
    <row r="75" spans="1:7" x14ac:dyDescent="0.25">
      <c r="A75" s="584"/>
      <c r="B75" s="587"/>
      <c r="C75" s="121" t="s">
        <v>1</v>
      </c>
      <c r="D75" s="82" t="s">
        <v>205</v>
      </c>
      <c r="E75" s="82" t="s">
        <v>86</v>
      </c>
      <c r="F75" s="82" t="s">
        <v>79</v>
      </c>
      <c r="G75" s="95" t="s">
        <v>169</v>
      </c>
    </row>
    <row r="76" spans="1:7" ht="90" x14ac:dyDescent="0.25">
      <c r="A76" s="584"/>
      <c r="B76" s="587"/>
      <c r="C76" s="121" t="s">
        <v>215</v>
      </c>
      <c r="D76" s="82" t="s">
        <v>216</v>
      </c>
      <c r="E76" s="82" t="s">
        <v>60</v>
      </c>
      <c r="F76" s="82" t="s">
        <v>79</v>
      </c>
      <c r="G76" s="318" t="s">
        <v>217</v>
      </c>
    </row>
    <row r="77" spans="1:7" ht="90" x14ac:dyDescent="0.25">
      <c r="A77" s="584"/>
      <c r="B77" s="587"/>
      <c r="C77" s="121" t="s">
        <v>218</v>
      </c>
      <c r="D77" s="82" t="s">
        <v>219</v>
      </c>
      <c r="E77" s="82" t="s">
        <v>60</v>
      </c>
      <c r="F77" s="82" t="s">
        <v>79</v>
      </c>
      <c r="G77" s="318" t="s">
        <v>220</v>
      </c>
    </row>
    <row r="78" spans="1:7" ht="30" x14ac:dyDescent="0.25">
      <c r="A78" s="584"/>
      <c r="B78" s="587"/>
      <c r="C78" s="121" t="s">
        <v>105</v>
      </c>
      <c r="D78" s="82" t="s">
        <v>171</v>
      </c>
      <c r="E78" s="82" t="s">
        <v>86</v>
      </c>
      <c r="F78" s="82" t="s">
        <v>79</v>
      </c>
      <c r="G78" s="95" t="s">
        <v>172</v>
      </c>
    </row>
    <row r="79" spans="1:7" ht="30.75" thickBot="1" x14ac:dyDescent="0.3">
      <c r="A79" s="584"/>
      <c r="B79" s="588"/>
      <c r="C79" s="122" t="s">
        <v>221</v>
      </c>
      <c r="D79" s="96" t="s">
        <v>222</v>
      </c>
      <c r="E79" s="96" t="s">
        <v>60</v>
      </c>
      <c r="F79" s="96" t="s">
        <v>79</v>
      </c>
      <c r="G79" s="97" t="s">
        <v>223</v>
      </c>
    </row>
    <row r="80" spans="1:7" ht="30" x14ac:dyDescent="0.25">
      <c r="A80" s="584"/>
      <c r="B80" s="589" t="s">
        <v>113</v>
      </c>
      <c r="C80" s="123" t="s">
        <v>114</v>
      </c>
      <c r="D80" s="105" t="s">
        <v>224</v>
      </c>
      <c r="E80" s="105" t="s">
        <v>60</v>
      </c>
      <c r="F80" s="105" t="s">
        <v>225</v>
      </c>
      <c r="G80" s="106" t="s">
        <v>223</v>
      </c>
    </row>
    <row r="81" spans="1:7" ht="30.75" thickBot="1" x14ac:dyDescent="0.3">
      <c r="A81" s="584"/>
      <c r="B81" s="590"/>
      <c r="C81" s="124" t="s">
        <v>121</v>
      </c>
      <c r="D81" s="107" t="s">
        <v>226</v>
      </c>
      <c r="E81" s="107" t="s">
        <v>60</v>
      </c>
      <c r="F81" s="107" t="s">
        <v>225</v>
      </c>
      <c r="G81" s="108" t="s">
        <v>223</v>
      </c>
    </row>
    <row r="82" spans="1:7" ht="30" x14ac:dyDescent="0.25">
      <c r="A82" s="584"/>
      <c r="B82" s="591" t="s">
        <v>124</v>
      </c>
      <c r="C82" s="125" t="s">
        <v>227</v>
      </c>
      <c r="D82" s="102" t="s">
        <v>228</v>
      </c>
      <c r="E82" s="102" t="s">
        <v>60</v>
      </c>
      <c r="F82" s="102" t="s">
        <v>79</v>
      </c>
      <c r="G82" s="103" t="s">
        <v>223</v>
      </c>
    </row>
    <row r="83" spans="1:7" ht="30" x14ac:dyDescent="0.25">
      <c r="A83" s="584"/>
      <c r="B83" s="592"/>
      <c r="C83" s="127" t="s">
        <v>229</v>
      </c>
      <c r="D83" s="109" t="s">
        <v>230</v>
      </c>
      <c r="E83" s="109" t="s">
        <v>60</v>
      </c>
      <c r="F83" s="109" t="s">
        <v>225</v>
      </c>
      <c r="G83" s="114" t="s">
        <v>223</v>
      </c>
    </row>
    <row r="84" spans="1:7" ht="30.75" thickBot="1" x14ac:dyDescent="0.3">
      <c r="A84" s="584"/>
      <c r="B84" s="593"/>
      <c r="C84" s="128" t="s">
        <v>187</v>
      </c>
      <c r="D84" s="119" t="s">
        <v>231</v>
      </c>
      <c r="E84" s="119" t="s">
        <v>60</v>
      </c>
      <c r="F84" s="119" t="s">
        <v>225</v>
      </c>
      <c r="G84" s="120" t="s">
        <v>223</v>
      </c>
    </row>
    <row r="85" spans="1:7" ht="30" x14ac:dyDescent="0.25">
      <c r="A85" s="584"/>
      <c r="B85" s="594" t="s">
        <v>144</v>
      </c>
      <c r="C85" s="126" t="s">
        <v>232</v>
      </c>
      <c r="D85" s="111" t="s">
        <v>233</v>
      </c>
      <c r="E85" s="111" t="s">
        <v>60</v>
      </c>
      <c r="F85" s="111" t="s">
        <v>225</v>
      </c>
      <c r="G85" s="112" t="s">
        <v>223</v>
      </c>
    </row>
    <row r="86" spans="1:7" ht="30" x14ac:dyDescent="0.25">
      <c r="A86" s="584"/>
      <c r="B86" s="595"/>
      <c r="C86" s="98" t="s">
        <v>229</v>
      </c>
      <c r="D86" s="83" t="s">
        <v>234</v>
      </c>
      <c r="E86" s="83" t="s">
        <v>60</v>
      </c>
      <c r="F86" s="83" t="s">
        <v>225</v>
      </c>
      <c r="G86" s="99" t="s">
        <v>223</v>
      </c>
    </row>
    <row r="87" spans="1:7" ht="30" x14ac:dyDescent="0.25">
      <c r="A87" s="584"/>
      <c r="B87" s="595"/>
      <c r="C87" s="98" t="s">
        <v>184</v>
      </c>
      <c r="D87" s="83" t="s">
        <v>235</v>
      </c>
      <c r="E87" s="83" t="s">
        <v>60</v>
      </c>
      <c r="F87" s="83" t="s">
        <v>225</v>
      </c>
      <c r="G87" s="99" t="s">
        <v>223</v>
      </c>
    </row>
    <row r="88" spans="1:7" ht="30" x14ac:dyDescent="0.25">
      <c r="A88" s="584"/>
      <c r="B88" s="595"/>
      <c r="C88" s="98" t="s">
        <v>140</v>
      </c>
      <c r="D88" s="83" t="s">
        <v>236</v>
      </c>
      <c r="E88" s="83" t="s">
        <v>60</v>
      </c>
      <c r="F88" s="83" t="s">
        <v>225</v>
      </c>
      <c r="G88" s="99" t="s">
        <v>223</v>
      </c>
    </row>
    <row r="89" spans="1:7" ht="45" customHeight="1" x14ac:dyDescent="0.25">
      <c r="A89" s="584"/>
      <c r="B89" s="595"/>
      <c r="C89" s="98" t="s">
        <v>187</v>
      </c>
      <c r="D89" s="83" t="s">
        <v>237</v>
      </c>
      <c r="E89" s="83" t="s">
        <v>60</v>
      </c>
      <c r="F89" s="83" t="s">
        <v>225</v>
      </c>
      <c r="G89" s="99" t="s">
        <v>223</v>
      </c>
    </row>
    <row r="90" spans="1:7" ht="30.75" thickBot="1" x14ac:dyDescent="0.3">
      <c r="A90" s="585"/>
      <c r="B90" s="596"/>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29" t="s">
        <v>240</v>
      </c>
      <c r="B2" s="629"/>
      <c r="C2" s="629"/>
      <c r="D2" s="629"/>
      <c r="E2" s="629"/>
      <c r="F2" s="89"/>
      <c r="G2" s="89"/>
      <c r="H2" s="89"/>
      <c r="I2" s="89"/>
      <c r="J2" s="89"/>
      <c r="K2" s="89"/>
      <c r="L2" s="89"/>
      <c r="M2" s="89"/>
      <c r="N2" s="89"/>
      <c r="O2" s="89"/>
      <c r="P2" s="89"/>
      <c r="Q2" s="89"/>
      <c r="R2" s="89"/>
    </row>
    <row r="3" spans="1:19" ht="45" x14ac:dyDescent="0.25">
      <c r="A3" s="552" t="s">
        <v>241</v>
      </c>
      <c r="B3" s="552" t="s">
        <v>242</v>
      </c>
      <c r="C3" s="552" t="s">
        <v>243</v>
      </c>
      <c r="D3" s="552" t="s">
        <v>244</v>
      </c>
      <c r="E3" s="552" t="s">
        <v>245</v>
      </c>
    </row>
    <row r="4" spans="1:19" x14ac:dyDescent="0.25">
      <c r="A4" s="553" t="s">
        <v>246</v>
      </c>
      <c r="B4" s="553" t="s">
        <v>247</v>
      </c>
      <c r="C4" s="553" t="s">
        <v>248</v>
      </c>
      <c r="D4" s="553" t="s">
        <v>249</v>
      </c>
      <c r="E4" s="553" t="s">
        <v>248</v>
      </c>
    </row>
    <row r="5" spans="1:19" x14ac:dyDescent="0.25">
      <c r="A5" s="553" t="s">
        <v>250</v>
      </c>
      <c r="B5" s="553" t="s">
        <v>251</v>
      </c>
      <c r="C5" s="553" t="s">
        <v>252</v>
      </c>
      <c r="D5" s="553" t="s">
        <v>249</v>
      </c>
      <c r="E5" s="553" t="s">
        <v>248</v>
      </c>
    </row>
    <row r="6" spans="1:19" x14ac:dyDescent="0.25">
      <c r="A6" s="81"/>
    </row>
    <row r="7" spans="1:19" ht="59.25" customHeight="1" x14ac:dyDescent="0.25">
      <c r="A7" s="629" t="s">
        <v>253</v>
      </c>
      <c r="B7" s="630"/>
      <c r="C7" s="630"/>
      <c r="D7" s="630"/>
      <c r="E7" s="630"/>
      <c r="F7" s="630"/>
      <c r="G7" s="630"/>
      <c r="H7" s="630"/>
      <c r="I7" s="630"/>
      <c r="J7" s="630"/>
      <c r="K7" s="630"/>
      <c r="L7" s="630"/>
      <c r="M7" s="89"/>
      <c r="N7" s="89"/>
      <c r="O7" s="89"/>
      <c r="P7" s="89"/>
      <c r="Q7" s="89"/>
      <c r="R7" s="89"/>
      <c r="S7" s="89"/>
    </row>
    <row r="8" spans="1:19" x14ac:dyDescent="0.25">
      <c r="A8" s="554" t="s">
        <v>254</v>
      </c>
      <c r="B8" s="555"/>
      <c r="C8" s="555"/>
      <c r="D8" s="555"/>
      <c r="E8" s="555"/>
      <c r="F8" s="555"/>
      <c r="G8" s="555"/>
      <c r="H8" s="555"/>
      <c r="I8" s="555"/>
      <c r="J8" s="555"/>
      <c r="K8" s="555"/>
      <c r="L8" s="555"/>
      <c r="M8" s="89"/>
      <c r="N8" s="89"/>
      <c r="O8" s="89"/>
      <c r="P8" s="89"/>
      <c r="Q8" s="89"/>
      <c r="R8" s="89"/>
      <c r="S8" s="89"/>
    </row>
    <row r="9" spans="1:19" x14ac:dyDescent="0.25">
      <c r="A9" s="556" t="s">
        <v>77</v>
      </c>
      <c r="B9" s="557" t="s">
        <v>81</v>
      </c>
      <c r="C9" s="557" t="s">
        <v>84</v>
      </c>
      <c r="D9" s="558" t="s">
        <v>88</v>
      </c>
      <c r="E9" s="557" t="s">
        <v>91</v>
      </c>
      <c r="F9" s="557" t="s">
        <v>94</v>
      </c>
      <c r="G9" s="557" t="s">
        <v>96</v>
      </c>
      <c r="H9" s="557" t="s">
        <v>99</v>
      </c>
      <c r="I9" s="557" t="s">
        <v>102</v>
      </c>
      <c r="J9" s="559" t="s">
        <v>105</v>
      </c>
      <c r="K9" s="559" t="s">
        <v>108</v>
      </c>
      <c r="L9" s="560" t="s">
        <v>1</v>
      </c>
    </row>
    <row r="10" spans="1:19" x14ac:dyDescent="0.25">
      <c r="A10" s="561" t="s">
        <v>255</v>
      </c>
      <c r="B10" s="562" t="s">
        <v>256</v>
      </c>
      <c r="C10" s="562"/>
      <c r="D10" s="563" t="s">
        <v>257</v>
      </c>
      <c r="E10" s="564"/>
      <c r="F10" s="562" t="s">
        <v>258</v>
      </c>
      <c r="G10" s="563" t="s">
        <v>259</v>
      </c>
      <c r="H10" s="562" t="s">
        <v>260</v>
      </c>
      <c r="I10" s="562"/>
      <c r="J10" s="563">
        <v>1</v>
      </c>
      <c r="K10" s="563">
        <v>1</v>
      </c>
      <c r="L10" s="563" t="s">
        <v>261</v>
      </c>
    </row>
    <row r="11" spans="1:19" x14ac:dyDescent="0.25">
      <c r="A11" s="561" t="s">
        <v>262</v>
      </c>
      <c r="B11" s="562" t="s">
        <v>263</v>
      </c>
      <c r="C11" s="562"/>
      <c r="D11" s="563" t="s">
        <v>264</v>
      </c>
      <c r="E11" s="564"/>
      <c r="F11" s="562" t="s">
        <v>265</v>
      </c>
      <c r="G11" s="563" t="s">
        <v>259</v>
      </c>
      <c r="H11" s="562" t="s">
        <v>266</v>
      </c>
      <c r="I11" s="562"/>
      <c r="J11" s="563">
        <v>1</v>
      </c>
      <c r="K11" s="563">
        <v>1</v>
      </c>
      <c r="L11" s="563" t="s">
        <v>267</v>
      </c>
    </row>
    <row r="12" spans="1:19" ht="30" x14ac:dyDescent="0.25">
      <c r="A12" s="561" t="s">
        <v>268</v>
      </c>
      <c r="B12" s="561" t="s">
        <v>269</v>
      </c>
      <c r="C12" s="562"/>
      <c r="D12" s="563" t="s">
        <v>247</v>
      </c>
      <c r="E12" s="564"/>
      <c r="F12" s="562" t="s">
        <v>270</v>
      </c>
      <c r="G12" s="563" t="e">
        <v>#N/A</v>
      </c>
      <c r="H12" s="562" t="s">
        <v>249</v>
      </c>
      <c r="I12" s="562"/>
      <c r="J12" s="563">
        <v>1</v>
      </c>
      <c r="K12" s="563">
        <v>1</v>
      </c>
      <c r="L12" s="563" t="s">
        <v>261</v>
      </c>
    </row>
    <row r="13" spans="1:19" x14ac:dyDescent="0.25">
      <c r="A13" s="565" t="s">
        <v>271</v>
      </c>
    </row>
    <row r="14" spans="1:19" x14ac:dyDescent="0.25">
      <c r="A14" s="556" t="s">
        <v>77</v>
      </c>
      <c r="B14" s="557" t="s">
        <v>81</v>
      </c>
      <c r="C14" s="557" t="s">
        <v>84</v>
      </c>
      <c r="D14" s="558" t="s">
        <v>88</v>
      </c>
      <c r="E14" s="557" t="s">
        <v>91</v>
      </c>
      <c r="F14" s="557" t="s">
        <v>94</v>
      </c>
      <c r="G14" s="557" t="s">
        <v>96</v>
      </c>
      <c r="H14" s="557" t="s">
        <v>99</v>
      </c>
      <c r="I14" s="557" t="s">
        <v>102</v>
      </c>
      <c r="J14" s="559" t="s">
        <v>105</v>
      </c>
      <c r="K14" s="559" t="s">
        <v>108</v>
      </c>
      <c r="L14" s="566" t="s">
        <v>1</v>
      </c>
      <c r="M14" s="559" t="s">
        <v>114</v>
      </c>
      <c r="N14" s="559" t="s">
        <v>118</v>
      </c>
      <c r="O14" s="559" t="s">
        <v>121</v>
      </c>
      <c r="P14" s="559" t="s">
        <v>125</v>
      </c>
      <c r="Q14" s="559" t="s">
        <v>128</v>
      </c>
      <c r="R14" s="559" t="s">
        <v>132</v>
      </c>
      <c r="S14" s="559" t="s">
        <v>157</v>
      </c>
    </row>
    <row r="15" spans="1:19" x14ac:dyDescent="0.25">
      <c r="A15" s="561" t="s">
        <v>272</v>
      </c>
      <c r="B15" s="562" t="s">
        <v>273</v>
      </c>
      <c r="C15" s="562"/>
      <c r="D15" s="563" t="s">
        <v>252</v>
      </c>
      <c r="E15" s="562"/>
      <c r="F15" s="562" t="s">
        <v>274</v>
      </c>
      <c r="G15" s="563" t="s">
        <v>259</v>
      </c>
      <c r="H15" s="562" t="s">
        <v>275</v>
      </c>
      <c r="I15" s="562"/>
      <c r="J15" s="563">
        <v>1</v>
      </c>
      <c r="K15" s="563">
        <v>1</v>
      </c>
      <c r="L15" s="563" t="s">
        <v>276</v>
      </c>
      <c r="M15" s="567">
        <v>0</v>
      </c>
      <c r="N15" s="563"/>
      <c r="O15" s="567">
        <v>0</v>
      </c>
      <c r="P15" s="562" t="s">
        <v>48</v>
      </c>
      <c r="Q15" s="563">
        <v>1</v>
      </c>
      <c r="R15" s="563">
        <v>0</v>
      </c>
      <c r="S15" s="562" t="s">
        <v>277</v>
      </c>
    </row>
    <row r="16" spans="1:19" x14ac:dyDescent="0.25">
      <c r="A16" s="561" t="s">
        <v>250</v>
      </c>
      <c r="B16" s="562" t="s">
        <v>278</v>
      </c>
      <c r="C16" s="562"/>
      <c r="D16" s="568" t="s">
        <v>247</v>
      </c>
      <c r="E16" s="562"/>
      <c r="F16" s="562" t="s">
        <v>279</v>
      </c>
      <c r="G16" s="563" t="s">
        <v>280</v>
      </c>
      <c r="H16" s="569" t="s">
        <v>249</v>
      </c>
      <c r="I16" s="562"/>
      <c r="J16" s="563">
        <v>1</v>
      </c>
      <c r="K16" s="563">
        <v>1</v>
      </c>
      <c r="L16" s="563" t="s">
        <v>261</v>
      </c>
      <c r="M16" s="567">
        <v>0</v>
      </c>
      <c r="N16" s="563"/>
      <c r="O16" s="567">
        <v>0</v>
      </c>
      <c r="P16" s="562" t="s">
        <v>48</v>
      </c>
      <c r="Q16" s="563">
        <v>1</v>
      </c>
      <c r="R16" s="563">
        <v>0</v>
      </c>
      <c r="S16" s="562" t="s">
        <v>277</v>
      </c>
    </row>
    <row r="17" spans="1:19" x14ac:dyDescent="0.25">
      <c r="A17" s="561" t="s">
        <v>281</v>
      </c>
      <c r="B17" s="562" t="s">
        <v>282</v>
      </c>
      <c r="C17" s="562"/>
      <c r="D17" s="563" t="s">
        <v>252</v>
      </c>
      <c r="E17" s="562"/>
      <c r="F17" s="562" t="s">
        <v>283</v>
      </c>
      <c r="G17" s="563" t="s">
        <v>284</v>
      </c>
      <c r="H17" s="562" t="s">
        <v>285</v>
      </c>
      <c r="I17" s="562"/>
      <c r="J17" s="563">
        <v>1</v>
      </c>
      <c r="K17" s="563">
        <v>1</v>
      </c>
      <c r="L17" s="563" t="s">
        <v>276</v>
      </c>
      <c r="M17" s="567">
        <v>0</v>
      </c>
      <c r="N17" s="563"/>
      <c r="O17" s="567">
        <v>0</v>
      </c>
      <c r="P17" s="562" t="s">
        <v>48</v>
      </c>
      <c r="Q17" s="563">
        <v>1</v>
      </c>
      <c r="R17" s="563">
        <v>0</v>
      </c>
      <c r="S17" s="56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70" t="s">
        <v>0</v>
      </c>
      <c r="B1" s="571" t="s">
        <v>287</v>
      </c>
      <c r="C1" s="571" t="s">
        <v>288</v>
      </c>
    </row>
    <row r="2" spans="1:3" x14ac:dyDescent="0.25">
      <c r="A2" s="572">
        <v>43807</v>
      </c>
      <c r="B2" s="573" t="s">
        <v>289</v>
      </c>
      <c r="C2" s="573" t="s">
        <v>11</v>
      </c>
    </row>
    <row r="3" spans="1:3" ht="30" x14ac:dyDescent="0.25">
      <c r="A3" s="572">
        <v>43937</v>
      </c>
      <c r="B3" s="80" t="s">
        <v>290</v>
      </c>
      <c r="C3" s="573" t="s">
        <v>11</v>
      </c>
    </row>
    <row r="4" spans="1:3" x14ac:dyDescent="0.25">
      <c r="A4" s="572">
        <v>43941</v>
      </c>
      <c r="B4" s="573" t="s">
        <v>291</v>
      </c>
      <c r="C4" s="573" t="s">
        <v>11</v>
      </c>
    </row>
    <row r="5" spans="1:3" x14ac:dyDescent="0.25">
      <c r="A5" s="572">
        <v>43942</v>
      </c>
      <c r="B5" s="573" t="s">
        <v>292</v>
      </c>
      <c r="C5" s="573" t="s">
        <v>11</v>
      </c>
    </row>
    <row r="6" spans="1:3" x14ac:dyDescent="0.25">
      <c r="A6" s="572">
        <v>43963</v>
      </c>
      <c r="B6" s="573" t="s">
        <v>293</v>
      </c>
      <c r="C6" s="573" t="s">
        <v>11</v>
      </c>
    </row>
    <row r="7" spans="1:3" x14ac:dyDescent="0.25">
      <c r="A7" s="572">
        <v>43990</v>
      </c>
      <c r="B7" s="573" t="s">
        <v>294</v>
      </c>
      <c r="C7" s="573" t="s">
        <v>11</v>
      </c>
    </row>
    <row r="8" spans="1:3" ht="30" x14ac:dyDescent="0.25">
      <c r="A8" s="572">
        <v>44104</v>
      </c>
      <c r="B8" s="80" t="s">
        <v>295</v>
      </c>
      <c r="C8" s="573" t="s">
        <v>296</v>
      </c>
    </row>
    <row r="9" spans="1:3" ht="150" x14ac:dyDescent="0.25">
      <c r="A9" s="572">
        <v>44128</v>
      </c>
      <c r="B9" s="80" t="s">
        <v>297</v>
      </c>
      <c r="C9" s="573" t="s">
        <v>296</v>
      </c>
    </row>
    <row r="10" spans="1:3" x14ac:dyDescent="0.25">
      <c r="A10" s="572">
        <v>44361</v>
      </c>
      <c r="B10" s="573" t="s">
        <v>298</v>
      </c>
      <c r="C10" s="573" t="s">
        <v>299</v>
      </c>
    </row>
    <row r="11" spans="1:3" x14ac:dyDescent="0.25">
      <c r="A11" s="572">
        <v>44813</v>
      </c>
      <c r="B11" s="573" t="s">
        <v>300</v>
      </c>
      <c r="C11" s="57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pane xSplit="2" ySplit="5" topLeftCell="C6" activePane="bottomRight" state="frozen"/>
      <selection pane="topRight" activeCell="C1" sqref="C1"/>
      <selection pane="bottomLeft" activeCell="A4" sqref="A4"/>
      <selection pane="bottomRight" activeCell="E25" sqref="E25"/>
    </sheetView>
  </sheetViews>
  <sheetFormatPr defaultColWidth="9.140625" defaultRowHeight="15" x14ac:dyDescent="0.2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x14ac:dyDescent="0.3">
      <c r="A1" s="637" t="s">
        <v>301</v>
      </c>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8"/>
      <c r="AB1" s="638"/>
      <c r="AC1" s="638"/>
      <c r="AD1" s="638"/>
      <c r="AE1" s="638"/>
      <c r="AF1" s="638"/>
      <c r="AG1" s="638"/>
      <c r="AH1" s="639"/>
    </row>
    <row r="2" spans="1:34" ht="19.5" thickBot="1" x14ac:dyDescent="0.3">
      <c r="A2" s="640" t="s">
        <v>302</v>
      </c>
      <c r="B2" s="641"/>
      <c r="C2" s="641"/>
      <c r="D2" s="641"/>
      <c r="E2" s="641"/>
      <c r="F2" s="641"/>
      <c r="G2" s="641"/>
      <c r="H2" s="641"/>
      <c r="I2" s="641"/>
      <c r="J2" s="642"/>
      <c r="K2" s="398">
        <f>SUM(K6:K12)</f>
        <v>4</v>
      </c>
      <c r="L2" s="398">
        <f>SUM(L6:L12)</f>
        <v>4</v>
      </c>
      <c r="M2" s="399"/>
      <c r="N2" s="474">
        <f>SUMPRODUCT(K6:K12,N6:N12)/K15</f>
        <v>1</v>
      </c>
      <c r="O2" s="475">
        <f>SUM(O6:O12)</f>
        <v>4</v>
      </c>
      <c r="P2" s="476">
        <f>SUMPRODUCT(K6:K12,P6:P12)/K15</f>
        <v>1</v>
      </c>
      <c r="Q2" s="400"/>
      <c r="R2" s="401">
        <f t="shared" ref="R2:W2" si="0">SUM(R6:R12)</f>
        <v>4</v>
      </c>
      <c r="S2" s="477">
        <f t="shared" si="0"/>
        <v>0</v>
      </c>
      <c r="T2" s="477">
        <f t="shared" si="0"/>
        <v>4</v>
      </c>
      <c r="U2" s="477">
        <f t="shared" si="0"/>
        <v>0</v>
      </c>
      <c r="V2" s="477">
        <f t="shared" si="0"/>
        <v>0</v>
      </c>
      <c r="W2" s="477">
        <f t="shared" si="0"/>
        <v>0</v>
      </c>
      <c r="X2" s="478">
        <f>IF((S15=0),0,((T15+U15)/S15*100%))</f>
        <v>0</v>
      </c>
      <c r="Y2" s="402"/>
      <c r="Z2" s="494">
        <f>SUM(Z6:Z12)</f>
        <v>4</v>
      </c>
      <c r="AA2" s="495">
        <f>SUM(AA6:AA12)</f>
        <v>4</v>
      </c>
      <c r="AB2" s="495">
        <f>SUM(AB6:AB12)</f>
        <v>0</v>
      </c>
      <c r="AC2" s="495">
        <f>SUM(AC6:AC12)</f>
        <v>0</v>
      </c>
      <c r="AD2" s="495">
        <f>SUM(AD6:AD12)</f>
        <v>0</v>
      </c>
      <c r="AE2" s="481">
        <f>IF((Z15=0),0,((AA15+AB15)/Z15*100%))</f>
        <v>1</v>
      </c>
      <c r="AF2" s="403"/>
      <c r="AG2" s="403"/>
      <c r="AH2" s="404"/>
    </row>
    <row r="3" spans="1:34" ht="19.5" customHeight="1" thickBot="1" x14ac:dyDescent="0.3">
      <c r="A3" s="637" t="s">
        <v>303</v>
      </c>
      <c r="B3" s="638"/>
      <c r="C3" s="638"/>
      <c r="D3" s="638"/>
      <c r="E3" s="638"/>
      <c r="F3" s="638"/>
      <c r="G3" s="638"/>
      <c r="H3" s="638"/>
      <c r="I3" s="638"/>
      <c r="J3" s="638"/>
      <c r="K3" s="638"/>
      <c r="L3" s="638"/>
      <c r="M3" s="638"/>
      <c r="N3" s="638"/>
      <c r="O3" s="638"/>
      <c r="P3" s="638"/>
      <c r="Q3" s="638"/>
      <c r="R3" s="638"/>
      <c r="S3" s="638"/>
      <c r="T3" s="638"/>
      <c r="U3" s="638"/>
      <c r="V3" s="638"/>
      <c r="W3" s="638"/>
      <c r="X3" s="638"/>
      <c r="Y3" s="638"/>
      <c r="Z3" s="638"/>
      <c r="AA3" s="638"/>
      <c r="AB3" s="638"/>
      <c r="AC3" s="638"/>
      <c r="AD3" s="638"/>
      <c r="AE3" s="638"/>
      <c r="AF3" s="638"/>
      <c r="AG3" s="638"/>
      <c r="AH3" s="639"/>
    </row>
    <row r="4" spans="1:34" ht="31.5" customHeight="1" thickBot="1" x14ac:dyDescent="0.3">
      <c r="A4" s="643" t="s">
        <v>76</v>
      </c>
      <c r="B4" s="644"/>
      <c r="C4" s="644"/>
      <c r="D4" s="644"/>
      <c r="E4" s="644"/>
      <c r="F4" s="644"/>
      <c r="G4" s="644"/>
      <c r="H4" s="644"/>
      <c r="I4" s="644"/>
      <c r="J4" s="644"/>
      <c r="K4" s="644"/>
      <c r="L4" s="644"/>
      <c r="M4" s="645"/>
      <c r="N4" s="646" t="s">
        <v>304</v>
      </c>
      <c r="O4" s="647"/>
      <c r="P4" s="648"/>
      <c r="Q4" s="653" t="s">
        <v>305</v>
      </c>
      <c r="R4" s="654"/>
      <c r="S4" s="654"/>
      <c r="T4" s="654"/>
      <c r="U4" s="654"/>
      <c r="V4" s="654"/>
      <c r="W4" s="654"/>
      <c r="X4" s="654"/>
      <c r="Y4" s="655"/>
      <c r="Z4" s="649" t="s">
        <v>306</v>
      </c>
      <c r="AA4" s="650"/>
      <c r="AB4" s="650"/>
      <c r="AC4" s="650"/>
      <c r="AD4" s="650"/>
      <c r="AE4" s="651"/>
      <c r="AF4" s="651"/>
      <c r="AG4" s="651"/>
      <c r="AH4" s="652"/>
    </row>
    <row r="5" spans="1:34" s="171" customFormat="1" ht="15.75" thickBot="1" x14ac:dyDescent="0.3">
      <c r="A5" s="348" t="s">
        <v>77</v>
      </c>
      <c r="B5" s="349" t="s">
        <v>81</v>
      </c>
      <c r="C5" s="349" t="s">
        <v>84</v>
      </c>
      <c r="D5" s="350" t="s">
        <v>88</v>
      </c>
      <c r="E5" s="349" t="s">
        <v>91</v>
      </c>
      <c r="F5" s="349" t="s">
        <v>94</v>
      </c>
      <c r="G5" s="349" t="s">
        <v>96</v>
      </c>
      <c r="H5" s="349" t="s">
        <v>99</v>
      </c>
      <c r="I5" s="349" t="s">
        <v>307</v>
      </c>
      <c r="J5" s="349" t="s">
        <v>102</v>
      </c>
      <c r="K5" s="351" t="s">
        <v>105</v>
      </c>
      <c r="L5" s="351" t="s">
        <v>108</v>
      </c>
      <c r="M5" s="550" t="s">
        <v>1</v>
      </c>
      <c r="N5" s="360" t="s">
        <v>114</v>
      </c>
      <c r="O5" s="353" t="s">
        <v>118</v>
      </c>
      <c r="P5" s="361" t="s">
        <v>121</v>
      </c>
      <c r="Q5" s="359" t="s">
        <v>125</v>
      </c>
      <c r="R5" s="354" t="s">
        <v>128</v>
      </c>
      <c r="S5" s="354" t="s">
        <v>132</v>
      </c>
      <c r="T5" s="355" t="s">
        <v>30</v>
      </c>
      <c r="U5" s="355" t="s">
        <v>135</v>
      </c>
      <c r="V5" s="355" t="s">
        <v>36</v>
      </c>
      <c r="W5" s="355" t="s">
        <v>138</v>
      </c>
      <c r="X5" s="355" t="s">
        <v>140</v>
      </c>
      <c r="Y5" s="356" t="s">
        <v>142</v>
      </c>
      <c r="Z5" s="357" t="s">
        <v>132</v>
      </c>
      <c r="AA5" s="355" t="s">
        <v>30</v>
      </c>
      <c r="AB5" s="355" t="s">
        <v>135</v>
      </c>
      <c r="AC5" s="355" t="s">
        <v>36</v>
      </c>
      <c r="AD5" s="355" t="s">
        <v>138</v>
      </c>
      <c r="AE5" s="355" t="s">
        <v>140</v>
      </c>
      <c r="AF5" s="349" t="s">
        <v>155</v>
      </c>
      <c r="AG5" s="349" t="s">
        <v>157</v>
      </c>
      <c r="AH5" s="352" t="s">
        <v>160</v>
      </c>
    </row>
    <row r="6" spans="1:34" ht="15.75" thickBot="1" x14ac:dyDescent="0.3">
      <c r="A6" s="440" t="s">
        <v>308</v>
      </c>
      <c r="B6" s="441" t="s">
        <v>309</v>
      </c>
      <c r="C6" s="441" t="s">
        <v>310</v>
      </c>
      <c r="D6" s="358" t="s">
        <v>474</v>
      </c>
      <c r="E6" s="441"/>
      <c r="F6" s="441" t="s">
        <v>311</v>
      </c>
      <c r="G6" s="238" t="str">
        <f>VLOOKUP(A6,'Feature Summary'!$A$7:$C$3907,3,FALSE)</f>
        <v>P1</v>
      </c>
      <c r="H6" s="442" t="s">
        <v>312</v>
      </c>
      <c r="I6" s="443" t="s">
        <v>41</v>
      </c>
      <c r="J6" s="441"/>
      <c r="K6" s="358">
        <v>1</v>
      </c>
      <c r="L6" s="358">
        <v>1</v>
      </c>
      <c r="M6" s="417" t="s">
        <v>33</v>
      </c>
      <c r="N6" s="463">
        <v>1</v>
      </c>
      <c r="O6" s="464">
        <v>1</v>
      </c>
      <c r="P6" s="465">
        <f>IF((O6=0),0,(O6/L6))</f>
        <v>1</v>
      </c>
      <c r="Q6" s="443" t="s">
        <v>48</v>
      </c>
      <c r="R6" s="358">
        <v>1</v>
      </c>
      <c r="S6" s="496"/>
      <c r="T6" s="483">
        <v>1</v>
      </c>
      <c r="U6" s="483"/>
      <c r="V6" s="483"/>
      <c r="W6" s="483"/>
      <c r="X6" s="497">
        <f t="shared" ref="X6" si="1">IF((S6=0),0,((T6+U6)/S6*100%))</f>
        <v>0</v>
      </c>
      <c r="Y6" s="444"/>
      <c r="Z6" s="482">
        <f>SUM(AA6:AD6)</f>
        <v>1</v>
      </c>
      <c r="AA6" s="483">
        <v>1</v>
      </c>
      <c r="AB6" s="483"/>
      <c r="AC6" s="483"/>
      <c r="AD6" s="483"/>
      <c r="AE6" s="484">
        <f>IF((Z6=0),0,((AA6+AB6)/Z6*100%))</f>
        <v>1</v>
      </c>
      <c r="AF6" s="441"/>
      <c r="AG6" s="445" t="str">
        <f>VLOOKUP(A6,'Feature Summary'!$A$7:$U$3907,21,FALSE)</f>
        <v>AB+5WK</v>
      </c>
      <c r="AH6" s="446"/>
    </row>
    <row r="7" spans="1:34" ht="15.75" thickBot="1" x14ac:dyDescent="0.3">
      <c r="A7" s="319" t="s">
        <v>313</v>
      </c>
      <c r="B7" s="320" t="s">
        <v>314</v>
      </c>
      <c r="C7" s="320" t="s">
        <v>310</v>
      </c>
      <c r="D7" s="358" t="s">
        <v>474</v>
      </c>
      <c r="E7" s="320"/>
      <c r="F7" s="320" t="s">
        <v>315</v>
      </c>
      <c r="G7" s="239" t="str">
        <f>VLOOKUP(A7,'Feature Summary'!$A$7:$C$3907,3,FALSE)</f>
        <v>P2</v>
      </c>
      <c r="H7" s="414" t="s">
        <v>316</v>
      </c>
      <c r="I7" s="447" t="s">
        <v>41</v>
      </c>
      <c r="J7" s="320"/>
      <c r="K7" s="321">
        <v>1</v>
      </c>
      <c r="L7" s="321">
        <v>1</v>
      </c>
      <c r="M7" s="418" t="s">
        <v>33</v>
      </c>
      <c r="N7" s="466">
        <v>1</v>
      </c>
      <c r="O7" s="467">
        <v>1</v>
      </c>
      <c r="P7" s="468">
        <f>IF((O7=0),0,(O7/L7))</f>
        <v>1</v>
      </c>
      <c r="Q7" s="447" t="s">
        <v>48</v>
      </c>
      <c r="R7" s="321">
        <v>1</v>
      </c>
      <c r="S7" s="498"/>
      <c r="T7" s="486">
        <v>1</v>
      </c>
      <c r="U7" s="486"/>
      <c r="V7" s="486"/>
      <c r="W7" s="486"/>
      <c r="X7" s="499">
        <f>IF((S7=0),0,((T7+U7)/S7*100%))</f>
        <v>0</v>
      </c>
      <c r="Y7" s="448"/>
      <c r="Z7" s="485">
        <f t="shared" ref="Z7" si="2">SUM(AA7:AD7)</f>
        <v>1</v>
      </c>
      <c r="AA7" s="486">
        <v>1</v>
      </c>
      <c r="AB7" s="486"/>
      <c r="AC7" s="486"/>
      <c r="AD7" s="486"/>
      <c r="AE7" s="487">
        <f>IF((Z7=0),0,((AA7+AB7)/Z7*100%))</f>
        <v>1</v>
      </c>
      <c r="AF7" s="320"/>
      <c r="AG7" s="449" t="str">
        <f>VLOOKUP(A7,'Feature Summary'!$A$7:$U$3907,21,FALSE)</f>
        <v>AB+9WK</v>
      </c>
      <c r="AH7" s="322"/>
    </row>
    <row r="8" spans="1:34" ht="15.75" thickBot="1" x14ac:dyDescent="0.3">
      <c r="A8" s="440" t="s">
        <v>308</v>
      </c>
      <c r="B8" s="441" t="s">
        <v>309</v>
      </c>
      <c r="C8" s="441" t="s">
        <v>310</v>
      </c>
      <c r="D8" s="358" t="s">
        <v>474</v>
      </c>
      <c r="E8" s="441"/>
      <c r="F8" s="441" t="s">
        <v>311</v>
      </c>
      <c r="G8" s="238" t="str">
        <f>VLOOKUP(A8,'Feature Summary'!$A$7:$C$3907,3,FALSE)</f>
        <v>P1</v>
      </c>
      <c r="H8" s="442" t="s">
        <v>317</v>
      </c>
      <c r="I8" s="443" t="s">
        <v>35</v>
      </c>
      <c r="J8" s="441"/>
      <c r="K8" s="358">
        <v>1</v>
      </c>
      <c r="L8" s="358">
        <v>1</v>
      </c>
      <c r="M8" s="417" t="s">
        <v>33</v>
      </c>
      <c r="N8" s="463">
        <v>1</v>
      </c>
      <c r="O8" s="464">
        <v>1</v>
      </c>
      <c r="P8" s="465">
        <f>IF((O8=0),0,(O8/L8))</f>
        <v>1</v>
      </c>
      <c r="Q8" s="443" t="s">
        <v>48</v>
      </c>
      <c r="R8" s="358">
        <v>1</v>
      </c>
      <c r="S8" s="496"/>
      <c r="T8" s="483">
        <v>1</v>
      </c>
      <c r="U8" s="483"/>
      <c r="V8" s="483"/>
      <c r="W8" s="483"/>
      <c r="X8" s="497">
        <f t="shared" ref="X8" si="3">IF((S8=0),0,((T8+U8)/S8*100%))</f>
        <v>0</v>
      </c>
      <c r="Y8" s="444"/>
      <c r="Z8" s="482">
        <f>SUM(AA8:AD8)</f>
        <v>1</v>
      </c>
      <c r="AA8" s="483">
        <v>1</v>
      </c>
      <c r="AB8" s="483"/>
      <c r="AC8" s="483"/>
      <c r="AD8" s="483"/>
      <c r="AE8" s="484">
        <f>IF((Z8=0),0,((AA8+AB8)/Z8*100%))</f>
        <v>1</v>
      </c>
      <c r="AF8" s="441"/>
      <c r="AG8" s="445" t="str">
        <f>VLOOKUP(A8,'Feature Summary'!$A$7:$U$3907,21,FALSE)</f>
        <v>AB+5WK</v>
      </c>
      <c r="AH8" s="446"/>
    </row>
    <row r="9" spans="1:34" x14ac:dyDescent="0.25">
      <c r="A9" s="319" t="s">
        <v>313</v>
      </c>
      <c r="B9" s="320" t="s">
        <v>314</v>
      </c>
      <c r="C9" s="320" t="s">
        <v>310</v>
      </c>
      <c r="D9" s="358" t="s">
        <v>474</v>
      </c>
      <c r="E9" s="320"/>
      <c r="F9" s="320" t="s">
        <v>315</v>
      </c>
      <c r="G9" s="239" t="str">
        <f>VLOOKUP(A9,'Feature Summary'!$A$7:$C$3907,3,FALSE)</f>
        <v>P2</v>
      </c>
      <c r="H9" s="414" t="s">
        <v>318</v>
      </c>
      <c r="I9" s="447" t="s">
        <v>35</v>
      </c>
      <c r="J9" s="320"/>
      <c r="K9" s="321">
        <v>1</v>
      </c>
      <c r="L9" s="321">
        <v>1</v>
      </c>
      <c r="M9" s="418" t="s">
        <v>33</v>
      </c>
      <c r="N9" s="466">
        <v>1</v>
      </c>
      <c r="O9" s="467">
        <v>1</v>
      </c>
      <c r="P9" s="468">
        <f>IF((O9=0),0,(O9/L9))</f>
        <v>1</v>
      </c>
      <c r="Q9" s="447" t="s">
        <v>48</v>
      </c>
      <c r="R9" s="321">
        <v>1</v>
      </c>
      <c r="S9" s="498"/>
      <c r="T9" s="486">
        <v>1</v>
      </c>
      <c r="U9" s="486"/>
      <c r="V9" s="486"/>
      <c r="W9" s="486"/>
      <c r="X9" s="499">
        <f>IF((S9=0),0,((T9+U9)/S9*100%))</f>
        <v>0</v>
      </c>
      <c r="Y9" s="448"/>
      <c r="Z9" s="485">
        <f t="shared" ref="Z9" si="4">SUM(AA9:AD9)</f>
        <v>1</v>
      </c>
      <c r="AA9" s="486">
        <v>1</v>
      </c>
      <c r="AB9" s="486"/>
      <c r="AC9" s="486"/>
      <c r="AD9" s="486"/>
      <c r="AE9" s="487">
        <f>IF((Z9=0),0,((AA9+AB9)/Z9*100%))</f>
        <v>1</v>
      </c>
      <c r="AF9" s="320"/>
      <c r="AG9" s="449" t="str">
        <f>VLOOKUP(A9,'Feature Summary'!$A$7:$U$3907,21,FALSE)</f>
        <v>AB+9WK</v>
      </c>
      <c r="AH9" s="322"/>
    </row>
    <row r="10" spans="1:34" x14ac:dyDescent="0.25">
      <c r="A10" s="365"/>
      <c r="B10" s="366"/>
      <c r="C10" s="366"/>
      <c r="D10" s="367"/>
      <c r="E10" s="366"/>
      <c r="F10" s="366"/>
      <c r="G10" s="367"/>
      <c r="H10" s="415"/>
      <c r="I10" s="576"/>
      <c r="J10" s="366"/>
      <c r="K10" s="366"/>
      <c r="L10" s="368"/>
      <c r="M10" s="369"/>
      <c r="N10" s="469"/>
      <c r="O10" s="470"/>
      <c r="P10" s="468"/>
      <c r="Q10" s="375"/>
      <c r="R10" s="376"/>
      <c r="S10" s="500"/>
      <c r="T10" s="501"/>
      <c r="U10" s="501"/>
      <c r="V10" s="501"/>
      <c r="W10" s="501"/>
      <c r="X10" s="502"/>
      <c r="Y10" s="377"/>
      <c r="Z10" s="488"/>
      <c r="AA10" s="489"/>
      <c r="AB10" s="489"/>
      <c r="AC10" s="489"/>
      <c r="AD10" s="489"/>
      <c r="AE10" s="490"/>
      <c r="AF10" s="381"/>
      <c r="AG10" s="381"/>
      <c r="AH10" s="385"/>
    </row>
    <row r="11" spans="1:34" x14ac:dyDescent="0.25">
      <c r="A11" s="365"/>
      <c r="B11" s="366"/>
      <c r="C11" s="366"/>
      <c r="D11" s="367"/>
      <c r="E11" s="366"/>
      <c r="F11" s="366"/>
      <c r="G11" s="367"/>
      <c r="H11" s="415"/>
      <c r="I11" s="576"/>
      <c r="J11" s="366"/>
      <c r="K11" s="366"/>
      <c r="L11" s="368"/>
      <c r="M11" s="369"/>
      <c r="N11" s="469"/>
      <c r="O11" s="470"/>
      <c r="P11" s="468"/>
      <c r="Q11" s="375"/>
      <c r="R11" s="376"/>
      <c r="S11" s="500"/>
      <c r="T11" s="501"/>
      <c r="U11" s="501"/>
      <c r="V11" s="501"/>
      <c r="W11" s="501"/>
      <c r="X11" s="502"/>
      <c r="Y11" s="377"/>
      <c r="Z11" s="488"/>
      <c r="AA11" s="489"/>
      <c r="AB11" s="489"/>
      <c r="AC11" s="489"/>
      <c r="AD11" s="489"/>
      <c r="AE11" s="490"/>
      <c r="AF11" s="381"/>
      <c r="AG11" s="381"/>
      <c r="AH11" s="385"/>
    </row>
    <row r="12" spans="1:34" ht="15.75" thickBot="1" x14ac:dyDescent="0.3">
      <c r="A12" s="370"/>
      <c r="B12" s="371"/>
      <c r="C12" s="371"/>
      <c r="D12" s="372"/>
      <c r="E12" s="371"/>
      <c r="F12" s="371"/>
      <c r="G12" s="372"/>
      <c r="H12" s="416"/>
      <c r="I12" s="576"/>
      <c r="J12" s="371"/>
      <c r="K12" s="371"/>
      <c r="L12" s="373"/>
      <c r="M12" s="374"/>
      <c r="N12" s="471"/>
      <c r="O12" s="472"/>
      <c r="P12" s="473"/>
      <c r="Q12" s="378"/>
      <c r="R12" s="379"/>
      <c r="S12" s="503"/>
      <c r="T12" s="504"/>
      <c r="U12" s="504"/>
      <c r="V12" s="504"/>
      <c r="W12" s="504"/>
      <c r="X12" s="505"/>
      <c r="Y12" s="380"/>
      <c r="Z12" s="491"/>
      <c r="AA12" s="492"/>
      <c r="AB12" s="492"/>
      <c r="AC12" s="492"/>
      <c r="AD12" s="492"/>
      <c r="AE12" s="493"/>
      <c r="AF12" s="382"/>
      <c r="AG12" s="382"/>
      <c r="AH12" s="386"/>
    </row>
    <row r="13" spans="1:34" x14ac:dyDescent="0.25">
      <c r="A13" s="631" t="s">
        <v>319</v>
      </c>
      <c r="B13" s="632"/>
      <c r="C13" s="632"/>
      <c r="D13" s="632"/>
      <c r="E13" s="632"/>
      <c r="F13" s="632"/>
      <c r="G13" s="632"/>
      <c r="H13" s="632"/>
      <c r="I13" s="632"/>
      <c r="J13" s="632"/>
      <c r="K13" s="632"/>
      <c r="L13" s="632"/>
      <c r="M13" s="632"/>
      <c r="N13" s="632"/>
      <c r="O13" s="632"/>
      <c r="P13" s="632"/>
      <c r="Q13" s="632"/>
      <c r="R13" s="632"/>
      <c r="S13" s="632"/>
      <c r="T13" s="632"/>
      <c r="U13" s="632"/>
      <c r="V13" s="632"/>
      <c r="W13" s="632"/>
      <c r="X13" s="632"/>
      <c r="Y13" s="632"/>
      <c r="Z13" s="632"/>
      <c r="AA13" s="632"/>
      <c r="AB13" s="632"/>
      <c r="AC13" s="632"/>
      <c r="AD13" s="632"/>
      <c r="AE13" s="632"/>
      <c r="AF13" s="632"/>
      <c r="AG13" s="632"/>
      <c r="AH13" s="633"/>
    </row>
    <row r="14" spans="1:34" ht="15.75" thickBot="1" x14ac:dyDescent="0.3">
      <c r="A14" s="634"/>
      <c r="B14" s="635"/>
      <c r="C14" s="635"/>
      <c r="D14" s="635"/>
      <c r="E14" s="635"/>
      <c r="F14" s="635"/>
      <c r="G14" s="635"/>
      <c r="H14" s="635"/>
      <c r="I14" s="635"/>
      <c r="J14" s="635"/>
      <c r="K14" s="635"/>
      <c r="L14" s="635"/>
      <c r="M14" s="635"/>
      <c r="N14" s="635"/>
      <c r="O14" s="635"/>
      <c r="P14" s="635"/>
      <c r="Q14" s="635"/>
      <c r="R14" s="635"/>
      <c r="S14" s="635"/>
      <c r="T14" s="635"/>
      <c r="U14" s="635"/>
      <c r="V14" s="635"/>
      <c r="W14" s="635"/>
      <c r="X14" s="635"/>
      <c r="Y14" s="635"/>
      <c r="Z14" s="635"/>
      <c r="AA14" s="635"/>
      <c r="AB14" s="635"/>
      <c r="AC14" s="635"/>
      <c r="AD14" s="635"/>
      <c r="AE14" s="635"/>
      <c r="AF14" s="635"/>
      <c r="AG14" s="635"/>
      <c r="AH14" s="636"/>
    </row>
    <row r="15" spans="1:34" ht="19.5" thickBot="1" x14ac:dyDescent="0.3">
      <c r="A15" s="640" t="s">
        <v>302</v>
      </c>
      <c r="B15" s="641"/>
      <c r="C15" s="641"/>
      <c r="D15" s="641"/>
      <c r="E15" s="641"/>
      <c r="F15" s="641"/>
      <c r="G15" s="641"/>
      <c r="H15" s="641"/>
      <c r="I15" s="641"/>
      <c r="J15" s="642"/>
      <c r="K15" s="398">
        <f>SUM(K6:K12)</f>
        <v>4</v>
      </c>
      <c r="L15" s="398">
        <f>SUM(L6:L12)</f>
        <v>4</v>
      </c>
      <c r="M15" s="399"/>
      <c r="N15" s="474">
        <f>SUMPRODUCT(K6:K12,N6:N12)/K15</f>
        <v>1</v>
      </c>
      <c r="O15" s="475">
        <f>SUM(O6:O12)</f>
        <v>4</v>
      </c>
      <c r="P15" s="476">
        <f>SUMPRODUCT(K6:K12,P6:P12)/K15</f>
        <v>1</v>
      </c>
      <c r="Q15" s="400"/>
      <c r="R15" s="401">
        <f>SUM(R6:R12)</f>
        <v>4</v>
      </c>
      <c r="S15" s="477">
        <f>SUM(S6:S12)</f>
        <v>0</v>
      </c>
      <c r="T15" s="477">
        <f>SUM(T6:T12)</f>
        <v>4</v>
      </c>
      <c r="U15" s="401">
        <f t="shared" ref="U15:W15" si="5">SUM(U6:U12)</f>
        <v>0</v>
      </c>
      <c r="V15" s="401">
        <f t="shared" si="5"/>
        <v>0</v>
      </c>
      <c r="W15" s="401">
        <f t="shared" si="5"/>
        <v>0</v>
      </c>
      <c r="X15" s="478">
        <f>IF((S15=0),0,((T15+U15)/S15*100%))</f>
        <v>0</v>
      </c>
      <c r="Y15" s="402"/>
      <c r="Z15" s="479">
        <f>SUM(Z6:Z12)</f>
        <v>4</v>
      </c>
      <c r="AA15" s="480">
        <f>SUM(AA6:AA12)</f>
        <v>4</v>
      </c>
      <c r="AB15" s="480">
        <f>SUM(AB6:AB12)</f>
        <v>0</v>
      </c>
      <c r="AC15" s="480">
        <f>SUM(AC6:AC12)</f>
        <v>0</v>
      </c>
      <c r="AD15" s="480">
        <f>SUM(AD6:AD12)</f>
        <v>0</v>
      </c>
      <c r="AE15" s="481">
        <f>IF((Z15=0),0,((AA15+AB15)/Z15*100%))</f>
        <v>1</v>
      </c>
      <c r="AF15" s="403"/>
      <c r="AG15" s="403"/>
      <c r="AH15" s="404"/>
    </row>
    <row r="17" spans="12:12" x14ac:dyDescent="0.25">
      <c r="L17" s="170" t="s">
        <v>320</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56" t="s">
        <v>321</v>
      </c>
      <c r="B1" s="657"/>
      <c r="C1" s="657"/>
      <c r="D1" s="657"/>
      <c r="E1" s="657"/>
      <c r="F1" s="657"/>
      <c r="G1" s="657"/>
      <c r="H1" s="657"/>
      <c r="I1" s="657"/>
      <c r="J1" s="657"/>
      <c r="K1" s="657"/>
      <c r="L1" s="657"/>
      <c r="M1" s="657"/>
      <c r="N1" s="657"/>
      <c r="O1" s="657"/>
      <c r="P1" s="657"/>
      <c r="Q1" s="657"/>
      <c r="R1" s="657"/>
      <c r="S1" s="657"/>
      <c r="T1" s="657"/>
      <c r="U1" s="657"/>
      <c r="V1" s="658"/>
    </row>
    <row r="2" spans="1:22" ht="15.75" thickBot="1" x14ac:dyDescent="0.3">
      <c r="A2" s="214" t="s">
        <v>322</v>
      </c>
      <c r="B2" s="659" t="s">
        <v>166</v>
      </c>
      <c r="C2" s="659"/>
      <c r="D2" s="659"/>
      <c r="E2" s="659"/>
      <c r="F2" s="659"/>
      <c r="G2" s="660" t="s">
        <v>177</v>
      </c>
      <c r="H2" s="661"/>
      <c r="I2" s="661"/>
      <c r="J2" s="661"/>
      <c r="K2" s="661"/>
      <c r="L2" s="661"/>
      <c r="M2" s="661"/>
      <c r="N2" s="662"/>
      <c r="O2" s="663" t="s">
        <v>144</v>
      </c>
      <c r="P2" s="664"/>
      <c r="Q2" s="664"/>
      <c r="R2" s="664"/>
      <c r="S2" s="664"/>
      <c r="T2" s="664"/>
      <c r="U2" s="664"/>
      <c r="V2" s="665"/>
    </row>
    <row r="3" spans="1:22" s="247" customFormat="1" ht="15.75" thickBot="1" x14ac:dyDescent="0.3">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x14ac:dyDescent="0.25">
      <c r="A4" s="331" t="s">
        <v>323</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x14ac:dyDescent="0.25">
      <c r="A5" s="331" t="s">
        <v>324</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x14ac:dyDescent="0.25">
      <c r="A6" s="331" t="s">
        <v>325</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x14ac:dyDescent="0.25">
      <c r="A7" s="331" t="s">
        <v>326</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x14ac:dyDescent="0.25">
      <c r="A8" s="331" t="s">
        <v>327</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x14ac:dyDescent="0.25">
      <c r="A9" s="331" t="s">
        <v>328</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x14ac:dyDescent="0.25">
      <c r="A10" s="331" t="s">
        <v>329</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x14ac:dyDescent="0.25">
      <c r="A11" s="331" t="s">
        <v>330</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x14ac:dyDescent="0.25">
      <c r="A12" s="331" t="s">
        <v>331</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x14ac:dyDescent="0.3">
      <c r="A13" s="332" t="s">
        <v>332</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x14ac:dyDescent="0.3">
      <c r="A14" s="269" t="s">
        <v>333</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x14ac:dyDescent="0.3"/>
    <row r="16" spans="1:22" ht="15.75" thickBot="1" x14ac:dyDescent="0.3">
      <c r="A16" s="212" t="s">
        <v>334</v>
      </c>
      <c r="B16" s="659" t="s">
        <v>166</v>
      </c>
      <c r="C16" s="659"/>
      <c r="D16" s="659"/>
      <c r="E16" s="659"/>
      <c r="F16" s="659"/>
      <c r="G16" s="660" t="s">
        <v>177</v>
      </c>
      <c r="H16" s="661"/>
      <c r="I16" s="661"/>
      <c r="J16" s="661"/>
      <c r="K16" s="661"/>
      <c r="L16" s="661"/>
      <c r="M16" s="661"/>
      <c r="N16" s="662"/>
      <c r="O16" s="663" t="s">
        <v>144</v>
      </c>
      <c r="P16" s="664"/>
      <c r="Q16" s="664"/>
      <c r="R16" s="664"/>
      <c r="S16" s="664"/>
      <c r="T16" s="664"/>
      <c r="U16" s="664"/>
      <c r="V16" s="665"/>
    </row>
    <row r="17" spans="1:22" s="247" customFormat="1" ht="15.75" thickBot="1" x14ac:dyDescent="0.3">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x14ac:dyDescent="0.25">
      <c r="A18" s="331" t="s">
        <v>323</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x14ac:dyDescent="0.25">
      <c r="A19" s="331" t="s">
        <v>324</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x14ac:dyDescent="0.25">
      <c r="A20" s="331" t="s">
        <v>325</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x14ac:dyDescent="0.25">
      <c r="A21" s="331" t="s">
        <v>326</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x14ac:dyDescent="0.25">
      <c r="A22" s="331" t="s">
        <v>327</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x14ac:dyDescent="0.25">
      <c r="A23" s="331" t="s">
        <v>328</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x14ac:dyDescent="0.25">
      <c r="A24" s="331" t="s">
        <v>329</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x14ac:dyDescent="0.25">
      <c r="A25" s="331" t="s">
        <v>330</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x14ac:dyDescent="0.25">
      <c r="A26" s="331" t="s">
        <v>331</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x14ac:dyDescent="0.3">
      <c r="A27" s="332" t="s">
        <v>332</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x14ac:dyDescent="0.3">
      <c r="A28" s="252" t="s">
        <v>335</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x14ac:dyDescent="0.3">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x14ac:dyDescent="0.3">
      <c r="A30" s="213" t="s">
        <v>33</v>
      </c>
      <c r="B30" s="659" t="s">
        <v>166</v>
      </c>
      <c r="C30" s="659"/>
      <c r="D30" s="659"/>
      <c r="E30" s="659"/>
      <c r="F30" s="659"/>
      <c r="G30" s="660" t="s">
        <v>177</v>
      </c>
      <c r="H30" s="661"/>
      <c r="I30" s="661"/>
      <c r="J30" s="661"/>
      <c r="K30" s="661"/>
      <c r="L30" s="661"/>
      <c r="M30" s="661"/>
      <c r="N30" s="662"/>
      <c r="O30" s="663" t="s">
        <v>144</v>
      </c>
      <c r="P30" s="664"/>
      <c r="Q30" s="664"/>
      <c r="R30" s="664"/>
      <c r="S30" s="664"/>
      <c r="T30" s="664"/>
      <c r="U30" s="664"/>
      <c r="V30" s="665"/>
    </row>
    <row r="31" spans="1:22" s="247" customFormat="1" ht="15.75" thickBot="1" x14ac:dyDescent="0.3">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x14ac:dyDescent="0.25">
      <c r="A32" s="331" t="s">
        <v>323</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x14ac:dyDescent="0.25">
      <c r="A33" s="331" t="s">
        <v>324</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x14ac:dyDescent="0.25">
      <c r="A34" s="331" t="s">
        <v>325</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x14ac:dyDescent="0.25">
      <c r="A35" s="331" t="s">
        <v>326</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x14ac:dyDescent="0.25">
      <c r="A36" s="331" t="s">
        <v>327</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x14ac:dyDescent="0.25">
      <c r="A37" s="331" t="s">
        <v>328</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x14ac:dyDescent="0.25">
      <c r="A38" s="331" t="s">
        <v>329</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x14ac:dyDescent="0.25">
      <c r="A39" s="331" t="s">
        <v>330</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x14ac:dyDescent="0.25">
      <c r="A40" s="331" t="s">
        <v>331</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x14ac:dyDescent="0.3">
      <c r="A41" s="332" t="s">
        <v>332</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x14ac:dyDescent="0.3">
      <c r="A42" s="268" t="s">
        <v>336</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x14ac:dyDescent="0.25">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x14ac:dyDescent="0.25">
      <c r="F45" s="130"/>
    </row>
    <row r="48" spans="1:22" x14ac:dyDescent="0.25">
      <c r="F48" s="413"/>
    </row>
    <row r="49" spans="6:6" x14ac:dyDescent="0.25">
      <c r="F49" s="412"/>
    </row>
    <row r="50" spans="6:6" x14ac:dyDescent="0.25">
      <c r="F50" s="41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pane ySplit="2" topLeftCell="A3" activePane="bottomLeft" state="frozen"/>
      <selection pane="bottomLeft" activeCell="D28" sqref="D28"/>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71" t="s">
        <v>337</v>
      </c>
      <c r="B1" s="672"/>
      <c r="C1" s="672"/>
      <c r="D1" s="672"/>
      <c r="E1" s="672"/>
      <c r="F1" s="672"/>
      <c r="G1" s="672"/>
      <c r="H1" s="672"/>
      <c r="I1" s="673"/>
    </row>
    <row r="2" spans="1:9" s="79" customFormat="1" ht="15.75" thickBot="1" x14ac:dyDescent="0.3">
      <c r="A2" s="407" t="s">
        <v>77</v>
      </c>
      <c r="B2" s="408" t="s">
        <v>81</v>
      </c>
      <c r="C2" s="409" t="s">
        <v>96</v>
      </c>
      <c r="D2" s="409" t="s">
        <v>202</v>
      </c>
      <c r="E2" s="410" t="s">
        <v>1</v>
      </c>
    </row>
    <row r="3" spans="1:9" ht="15.75" thickBot="1" x14ac:dyDescent="0.3">
      <c r="A3" s="333" t="s">
        <v>308</v>
      </c>
      <c r="B3" s="334" t="s">
        <v>338</v>
      </c>
      <c r="C3" s="546" t="s">
        <v>259</v>
      </c>
      <c r="D3" s="546" t="s">
        <v>34</v>
      </c>
      <c r="E3" s="548" t="s">
        <v>33</v>
      </c>
      <c r="G3" s="286" t="s">
        <v>77</v>
      </c>
      <c r="H3" s="287" t="s">
        <v>339</v>
      </c>
      <c r="I3" s="542">
        <f>COUNTA(A3:A3913)</f>
        <v>2</v>
      </c>
    </row>
    <row r="4" spans="1:9" x14ac:dyDescent="0.25">
      <c r="A4" s="335" t="s">
        <v>313</v>
      </c>
      <c r="B4" s="336" t="s">
        <v>340</v>
      </c>
      <c r="C4" s="547" t="s">
        <v>280</v>
      </c>
      <c r="D4" s="547" t="s">
        <v>34</v>
      </c>
      <c r="E4" s="549" t="s">
        <v>33</v>
      </c>
      <c r="G4" s="583" t="s">
        <v>96</v>
      </c>
      <c r="H4" s="288" t="s">
        <v>341</v>
      </c>
      <c r="I4" s="543">
        <f>COUNTIFS($C3:$C3913,"P1")</f>
        <v>1</v>
      </c>
    </row>
    <row r="5" spans="1:9" x14ac:dyDescent="0.25">
      <c r="A5" s="335"/>
      <c r="B5" s="336"/>
      <c r="C5" s="547"/>
      <c r="D5" s="547"/>
      <c r="E5" s="549"/>
      <c r="G5" s="584"/>
      <c r="H5" s="289" t="s">
        <v>342</v>
      </c>
      <c r="I5" s="544">
        <f>COUNTIFS($C3:$C3913,"P2")</f>
        <v>1</v>
      </c>
    </row>
    <row r="6" spans="1:9" ht="15.75" thickBot="1" x14ac:dyDescent="0.3">
      <c r="A6" s="335"/>
      <c r="B6" s="336"/>
      <c r="C6" s="547"/>
      <c r="D6" s="547"/>
      <c r="E6" s="549"/>
      <c r="G6" s="585"/>
      <c r="H6" s="290" t="s">
        <v>343</v>
      </c>
      <c r="I6" s="545">
        <f>COUNTIFS($C3:$C3913,"P3")</f>
        <v>0</v>
      </c>
    </row>
    <row r="7" spans="1:9" x14ac:dyDescent="0.25">
      <c r="A7" s="335"/>
      <c r="B7" s="336"/>
      <c r="C7" s="547"/>
      <c r="D7" s="547"/>
      <c r="E7" s="549"/>
      <c r="G7" s="666" t="s">
        <v>202</v>
      </c>
      <c r="H7" s="288" t="s">
        <v>344</v>
      </c>
      <c r="I7" s="543">
        <f>COUNTIFS($D3:$D3913,"Diagnostics")</f>
        <v>2</v>
      </c>
    </row>
    <row r="8" spans="1:9" x14ac:dyDescent="0.25">
      <c r="A8" s="335"/>
      <c r="B8" s="336"/>
      <c r="C8" s="547"/>
      <c r="D8" s="547"/>
      <c r="E8" s="549"/>
      <c r="G8" s="667"/>
      <c r="H8" s="289" t="s">
        <v>345</v>
      </c>
      <c r="I8" s="544">
        <f>COUNTIFS($D3:$D3913,"Driver")</f>
        <v>0</v>
      </c>
    </row>
    <row r="9" spans="1:9" x14ac:dyDescent="0.25">
      <c r="A9" s="335"/>
      <c r="B9" s="336"/>
      <c r="C9" s="547"/>
      <c r="D9" s="547"/>
      <c r="E9" s="549"/>
      <c r="G9" s="667"/>
      <c r="H9" s="289" t="s">
        <v>346</v>
      </c>
      <c r="I9" s="544">
        <f>COUNTIFS($D3:$D3913,"IPSE")</f>
        <v>0</v>
      </c>
    </row>
    <row r="10" spans="1:9" ht="15.75" thickBot="1" x14ac:dyDescent="0.3">
      <c r="A10" s="335"/>
      <c r="B10" s="336"/>
      <c r="C10" s="547"/>
      <c r="D10" s="547"/>
      <c r="E10" s="549"/>
      <c r="G10" s="668"/>
      <c r="H10" s="290" t="s">
        <v>347</v>
      </c>
      <c r="I10" s="545">
        <f>COUNTIFS($D3:$D3913,"N/A")</f>
        <v>0</v>
      </c>
    </row>
    <row r="11" spans="1:9" x14ac:dyDescent="0.25">
      <c r="A11" s="335"/>
      <c r="B11" s="336"/>
      <c r="C11" s="547"/>
      <c r="D11" s="547"/>
      <c r="E11" s="549"/>
      <c r="G11" s="666" t="s">
        <v>1</v>
      </c>
      <c r="H11" s="288" t="s">
        <v>348</v>
      </c>
      <c r="I11" s="543">
        <f>COUNTIFS($E3:$E3913,"Legacy")</f>
        <v>2</v>
      </c>
    </row>
    <row r="12" spans="1:9" x14ac:dyDescent="0.25">
      <c r="A12" s="335"/>
      <c r="B12" s="336"/>
      <c r="C12" s="547"/>
      <c r="D12" s="547"/>
      <c r="E12" s="549"/>
      <c r="G12" s="667"/>
      <c r="H12" s="289" t="s">
        <v>349</v>
      </c>
      <c r="I12" s="544">
        <f>COUNTIFS($E3:$E3913,"Delta")</f>
        <v>0</v>
      </c>
    </row>
    <row r="13" spans="1:9" ht="15.75" thickBot="1" x14ac:dyDescent="0.3">
      <c r="A13" s="335"/>
      <c r="B13" s="336"/>
      <c r="C13" s="547"/>
      <c r="D13" s="547"/>
      <c r="E13" s="549"/>
      <c r="G13" s="668"/>
      <c r="H13" s="290" t="s">
        <v>350</v>
      </c>
      <c r="I13" s="545">
        <f>COUNTIFS($E3:$E3913,"New")</f>
        <v>0</v>
      </c>
    </row>
    <row r="14" spans="1:9" ht="15.75" thickBot="1" x14ac:dyDescent="0.3">
      <c r="A14" s="335"/>
      <c r="B14" s="336"/>
      <c r="C14" s="547"/>
      <c r="D14" s="547"/>
      <c r="E14" s="549"/>
      <c r="G14" s="411" t="s">
        <v>207</v>
      </c>
      <c r="H14" s="669"/>
      <c r="I14" s="670"/>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pane xSplit="4" ySplit="6" topLeftCell="T7" activePane="bottomRight" state="frozen"/>
      <selection pane="topRight" activeCell="D1" sqref="D1"/>
      <selection pane="bottomLeft" activeCell="A3" sqref="A3"/>
      <selection pane="bottomRight" activeCell="D22" sqref="D22"/>
    </sheetView>
  </sheetViews>
  <sheetFormatPr defaultColWidth="8.5703125" defaultRowHeight="15" x14ac:dyDescent="0.2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x14ac:dyDescent="0.3">
      <c r="A1" s="631" t="s">
        <v>351</v>
      </c>
      <c r="B1" s="632"/>
      <c r="C1" s="632"/>
      <c r="D1" s="632"/>
      <c r="E1" s="632"/>
      <c r="F1" s="632"/>
      <c r="G1" s="632"/>
      <c r="H1" s="632"/>
      <c r="I1" s="632"/>
      <c r="J1" s="632"/>
      <c r="K1" s="632"/>
      <c r="L1" s="632"/>
      <c r="M1" s="632"/>
      <c r="N1" s="632"/>
      <c r="O1" s="632"/>
      <c r="P1" s="632"/>
      <c r="Q1" s="632"/>
      <c r="R1" s="632"/>
      <c r="S1" s="632"/>
      <c r="T1" s="632"/>
      <c r="U1" s="633"/>
      <c r="V1" s="574"/>
    </row>
    <row r="2" spans="1:23" s="184" customFormat="1" ht="18.75" x14ac:dyDescent="0.25">
      <c r="A2" s="685" t="s">
        <v>302</v>
      </c>
      <c r="B2" s="686"/>
      <c r="C2" s="686"/>
      <c r="D2" s="686"/>
      <c r="E2" s="686"/>
      <c r="F2" s="687"/>
      <c r="G2" s="405">
        <f>COUNTIF(G7:G11,"Yes")</f>
        <v>2</v>
      </c>
      <c r="H2" s="405">
        <f>COUNTIF(H7:H11,"Yes")</f>
        <v>2</v>
      </c>
      <c r="I2" s="716">
        <f>'Diags Raw Data'!K15</f>
        <v>4</v>
      </c>
      <c r="J2" s="724">
        <f>'Diags Raw Data'!L15</f>
        <v>4</v>
      </c>
      <c r="K2" s="726">
        <f>'Diags Raw Data'!N15</f>
        <v>1</v>
      </c>
      <c r="L2" s="728">
        <f>'Diags Raw Data'!P15</f>
        <v>1</v>
      </c>
      <c r="M2" s="730">
        <f>'Diags Raw Data'!R15</f>
        <v>4</v>
      </c>
      <c r="N2" s="700">
        <f>SUM('Diags Raw Data'!T15+'Diags Raw Data'!U15)</f>
        <v>4</v>
      </c>
      <c r="O2" s="720">
        <f>IF((M14=0),0,N14/M14)</f>
        <v>1</v>
      </c>
      <c r="P2" s="722">
        <f>'Diags Raw Data'!Z15</f>
        <v>4</v>
      </c>
      <c r="Q2" s="714">
        <f>SUM('Diags Raw Data'!AA15+'Diags Raw Data'!AB15)</f>
        <v>4</v>
      </c>
      <c r="R2" s="710">
        <f>IF((J14=0),0,P14/J14)</f>
        <v>1</v>
      </c>
      <c r="S2" s="710">
        <f>IF((P14=0),0,Q14/P14)</f>
        <v>1</v>
      </c>
      <c r="T2" s="710">
        <f>R14*S14</f>
        <v>1</v>
      </c>
      <c r="U2" s="712"/>
      <c r="V2" s="702" t="s">
        <v>352</v>
      </c>
      <c r="W2" s="183"/>
    </row>
    <row r="3" spans="1:23" ht="19.5" thickBot="1" x14ac:dyDescent="0.3">
      <c r="A3" s="688"/>
      <c r="B3" s="689"/>
      <c r="C3" s="689"/>
      <c r="D3" s="689"/>
      <c r="E3" s="689"/>
      <c r="F3" s="690"/>
      <c r="G3" s="406">
        <f>COUNTIF(G7:G11,"Yes")/COUNTA(A7:A11)</f>
        <v>1</v>
      </c>
      <c r="H3" s="406">
        <f>(COUNTIF(H7:H11,"Yes")/G14)</f>
        <v>1</v>
      </c>
      <c r="I3" s="717"/>
      <c r="J3" s="725"/>
      <c r="K3" s="727"/>
      <c r="L3" s="729"/>
      <c r="M3" s="731"/>
      <c r="N3" s="701"/>
      <c r="O3" s="721"/>
      <c r="P3" s="723"/>
      <c r="Q3" s="715"/>
      <c r="R3" s="711"/>
      <c r="S3" s="711"/>
      <c r="T3" s="711"/>
      <c r="U3" s="713"/>
      <c r="V3" s="703"/>
      <c r="W3" s="181"/>
    </row>
    <row r="4" spans="1:23" ht="19.5" thickBot="1" x14ac:dyDescent="0.3">
      <c r="A4" s="634" t="s">
        <v>353</v>
      </c>
      <c r="B4" s="635"/>
      <c r="C4" s="635"/>
      <c r="D4" s="635"/>
      <c r="E4" s="635"/>
      <c r="F4" s="635"/>
      <c r="G4" s="635"/>
      <c r="H4" s="635"/>
      <c r="I4" s="635"/>
      <c r="J4" s="635"/>
      <c r="K4" s="635"/>
      <c r="L4" s="635"/>
      <c r="M4" s="635"/>
      <c r="N4" s="635"/>
      <c r="O4" s="635"/>
      <c r="P4" s="635"/>
      <c r="Q4" s="635"/>
      <c r="R4" s="635"/>
      <c r="S4" s="635"/>
      <c r="T4" s="635"/>
      <c r="U4" s="636"/>
      <c r="V4" s="575"/>
    </row>
    <row r="5" spans="1:23" s="177" customFormat="1" ht="31.5" customHeight="1" thickBot="1" x14ac:dyDescent="0.3">
      <c r="A5" s="676" t="s">
        <v>76</v>
      </c>
      <c r="B5" s="677"/>
      <c r="C5" s="677"/>
      <c r="D5" s="677"/>
      <c r="E5" s="677"/>
      <c r="F5" s="677"/>
      <c r="G5" s="677"/>
      <c r="H5" s="677"/>
      <c r="I5" s="677"/>
      <c r="J5" s="678"/>
      <c r="K5" s="674" t="s">
        <v>113</v>
      </c>
      <c r="L5" s="675"/>
      <c r="M5" s="679" t="s">
        <v>124</v>
      </c>
      <c r="N5" s="680"/>
      <c r="O5" s="681"/>
      <c r="P5" s="682" t="s">
        <v>144</v>
      </c>
      <c r="Q5" s="683"/>
      <c r="R5" s="683"/>
      <c r="S5" s="683"/>
      <c r="T5" s="683"/>
      <c r="U5" s="684"/>
      <c r="V5" s="176"/>
    </row>
    <row r="6" spans="1:23" s="179" customFormat="1" ht="15.75" thickBot="1" x14ac:dyDescent="0.3">
      <c r="A6" s="348" t="s">
        <v>77</v>
      </c>
      <c r="B6" s="388" t="s">
        <v>81</v>
      </c>
      <c r="C6" s="388" t="s">
        <v>96</v>
      </c>
      <c r="D6" s="388" t="s">
        <v>212</v>
      </c>
      <c r="E6" s="388" t="s">
        <v>88</v>
      </c>
      <c r="F6" s="388" t="s">
        <v>1</v>
      </c>
      <c r="G6" s="389" t="s">
        <v>215</v>
      </c>
      <c r="H6" s="389" t="s">
        <v>218</v>
      </c>
      <c r="I6" s="390" t="s">
        <v>105</v>
      </c>
      <c r="J6" s="390" t="s">
        <v>221</v>
      </c>
      <c r="K6" s="362" t="s">
        <v>114</v>
      </c>
      <c r="L6" s="363" t="s">
        <v>121</v>
      </c>
      <c r="M6" s="341" t="s">
        <v>227</v>
      </c>
      <c r="N6" s="342" t="s">
        <v>229</v>
      </c>
      <c r="O6" s="340" t="s">
        <v>187</v>
      </c>
      <c r="P6" s="364" t="s">
        <v>232</v>
      </c>
      <c r="Q6" s="343" t="s">
        <v>229</v>
      </c>
      <c r="R6" s="344" t="s">
        <v>184</v>
      </c>
      <c r="S6" s="344" t="s">
        <v>140</v>
      </c>
      <c r="T6" s="345" t="s">
        <v>187</v>
      </c>
      <c r="U6" s="346" t="s">
        <v>157</v>
      </c>
      <c r="V6" s="178"/>
    </row>
    <row r="7" spans="1:23" ht="30" x14ac:dyDescent="0.25">
      <c r="A7" s="450" t="s">
        <v>308</v>
      </c>
      <c r="B7" s="451" t="str">
        <f>VLOOKUP(A7,'Feature Raw Data'!$A$3:$B$3913,2,FALSE)</f>
        <v>Check RAS (It is software function, not a HW feature</v>
      </c>
      <c r="C7" s="452" t="str">
        <f>VLOOKUP(A7,'Feature Raw Data'!$A$3:$C$3913,3,FALSE)</f>
        <v>P1</v>
      </c>
      <c r="D7" s="453" t="s">
        <v>312</v>
      </c>
      <c r="E7" s="454" t="str">
        <f>VLOOKUP(A7,'Diags Raw Data'!$A$6:$D$3625,4,FALSE)</f>
        <v>SOC_RAS</v>
      </c>
      <c r="F7" s="454" t="str">
        <f>VLOOKUP(A7,'Feature Raw Data'!$A$3:$E$3913,5,FALSE)</f>
        <v>Legacy</v>
      </c>
      <c r="G7" s="454" t="str">
        <f t="shared" ref="G7:G8" si="0">IF(D7="","No","Yes")</f>
        <v>Yes</v>
      </c>
      <c r="H7" s="454" t="str">
        <f t="shared" ref="H7:H8" si="1">IF(D7="","No","Yes")</f>
        <v>Yes</v>
      </c>
      <c r="I7" s="452">
        <f>SUMIF('Diags Raw Data'!$A$6:$A$3625,"*"&amp;$A7&amp;"*",'Diags Raw Data'!$K$6:$K$3625)</f>
        <v>2</v>
      </c>
      <c r="J7" s="455">
        <f>SUMIF('Diags Raw Data'!$A$6:$A$3625,"*"&amp;$A7&amp;"*",'Diags Raw Data'!$L$6:$L$3625)</f>
        <v>2</v>
      </c>
      <c r="K7" s="506" cm="1">
        <f t="array" ref="K7">IF(D7="",0, SUMPRODUCT(--(ISNUMBER(SEARCH($A7,'Diags Raw Data'!$A$6:$A$3625))),'Diags Raw Data'!$L$6:$L$3625,'Diags Raw Data'!$N$6:$N$3625)/J7)</f>
        <v>1</v>
      </c>
      <c r="L7" s="507" cm="1">
        <f t="array" ref="L7">IF(D7="",0, SUMPRODUCT(--(ISNUMBER(SEARCH($A7,'Diags Raw Data'!$A$6:$A$3625))),'Diags Raw Data'!$L$6:$L$3625,'Diags Raw Data'!$P$6:$P$3625)/J7)</f>
        <v>1</v>
      </c>
      <c r="M7" s="508" cm="1">
        <f t="array" ref="M7">SUMPRODUCT(--(ISNUMBER(SEARCH($A7,'Diags Raw Data'!$A$6:$A$3625))),--('Diags Raw Data'!$Q$6:$Q$3625&lt;&gt;"N/A"),'Diags Raw Data'!$R$6:$R$3625)</f>
        <v>2</v>
      </c>
      <c r="N7" s="509" cm="1">
        <f t="array" ref="N7">SUMPRODUCT(--(ISNUMBER(SEARCH($A7,'Diags Raw Data'!$A$6:$A$3625))),--('Diags Raw Data'!$Q$6:$Q$3625&lt;&gt;"N/A"),'Diags Raw Data'!$T$6:$T$3625)+SUMPRODUCT(--(ISNUMBER(SEARCH($A7,'Diags Raw Data'!$A$6:$A$3625))),--('Diags Raw Data'!$Q$6:$Q$3625&lt;&gt;"N/A"),'Diags Raw Data'!$U$6:$U$3625)</f>
        <v>2</v>
      </c>
      <c r="O7" s="510">
        <f>IF((M7=0),0,N7/M7)</f>
        <v>1</v>
      </c>
      <c r="P7" s="511">
        <f>SUMIF('Diags Raw Data'!$A$6:$A$3625,"*"&amp;$A7&amp;"*",'Diags Raw Data'!$Z$6:$Z$3625)</f>
        <v>2</v>
      </c>
      <c r="Q7" s="512">
        <f>SUM(SUMIF('Diags Raw Data'!$A$6:$A$3625,"*"&amp;$A7&amp;"*",'Diags Raw Data'!$AA$6:$AA$3625),SUMIF('Diags Raw Data'!$A$6:$A$3625,"*"&amp;$A7&amp;"*",'Diags Raw Data'!$AB$6:$AB$3625))</f>
        <v>2</v>
      </c>
      <c r="R7" s="513">
        <f>IF((J7=0),0,P7/J7)</f>
        <v>1</v>
      </c>
      <c r="S7" s="513">
        <f>IF((P7=0),0,Q7/P7)</f>
        <v>1</v>
      </c>
      <c r="T7" s="514">
        <f>R7*S7</f>
        <v>1</v>
      </c>
      <c r="U7" s="456" t="s">
        <v>354</v>
      </c>
      <c r="V7" s="181"/>
    </row>
    <row r="8" spans="1:23" ht="45" x14ac:dyDescent="0.25">
      <c r="A8" s="457" t="s">
        <v>313</v>
      </c>
      <c r="B8" s="458" t="str">
        <f>VLOOKUP(A8,'Feature Raw Data'!$A$3:$B$3913,2,FALSE)</f>
        <v>Disable Fatal Error Event ( It is software function, not HW feature)</v>
      </c>
      <c r="C8" s="459" t="str">
        <f>VLOOKUP(A8,'Feature Raw Data'!$A$3:$C$3913,3,FALSE)</f>
        <v>P2</v>
      </c>
      <c r="D8" s="460" t="str" cm="1">
        <f t="array" ref="D8">_xlfn.TEXTJOIN("",TRUE,IF(ISNUMBER(SEARCH($A8,'Diags Raw Data'!$A$6:$A$3625)),CONCATENATE('Diags Raw Data'!$H$6:$H$3625,", "),""))</f>
        <v xml:space="preserve">ras6.5, soc.ras/disable_fatal_error_event, </v>
      </c>
      <c r="E8" s="338" t="str">
        <f>VLOOKUP(A8,'Diags Raw Data'!$A$6:$D$3625,4,FALSE)</f>
        <v>SOC_RAS</v>
      </c>
      <c r="F8" s="338" t="str">
        <f>VLOOKUP(A8,'Feature Raw Data'!$A$3:$E$3913,5,FALSE)</f>
        <v>Legacy</v>
      </c>
      <c r="G8" s="338" t="str">
        <f t="shared" si="0"/>
        <v>Yes</v>
      </c>
      <c r="H8" s="338" t="str">
        <f t="shared" si="1"/>
        <v>Yes</v>
      </c>
      <c r="I8" s="459">
        <f>SUMIF('Diags Raw Data'!$A$6:$A$3625,"*"&amp;$A8&amp;"*",'Diags Raw Data'!$K$6:$K$3625)</f>
        <v>2</v>
      </c>
      <c r="J8" s="461">
        <f>SUMIF('Diags Raw Data'!$A$6:$A$3625,"*"&amp;$A8&amp;"*",'Diags Raw Data'!$L$6:$L$3625)</f>
        <v>2</v>
      </c>
      <c r="K8" s="515" cm="1">
        <f t="array" ref="K8">IF(D8="",0, SUMPRODUCT(--(ISNUMBER(SEARCH($A8,'Diags Raw Data'!$A$6:$A$3625))),'Diags Raw Data'!$L$6:$L$3625,'Diags Raw Data'!$N$6:$N$3625)/J8)</f>
        <v>1</v>
      </c>
      <c r="L8" s="516" cm="1">
        <f t="array" ref="L8">IF(D8="",0, SUMPRODUCT(--(ISNUMBER(SEARCH($A8,'Diags Raw Data'!$A$6:$A$3625))),'Diags Raw Data'!$L$6:$L$3625,'Diags Raw Data'!$P$6:$P$3625)/J8)</f>
        <v>1</v>
      </c>
      <c r="M8" s="517" cm="1">
        <f t="array" ref="M8">SUMPRODUCT(--(ISNUMBER(SEARCH($A8,'Diags Raw Data'!$A$6:$A$3625))),--('Diags Raw Data'!$Q$6:$Q$3625&lt;&gt;"N/A"),'Diags Raw Data'!$R$6:$R$3625)</f>
        <v>2</v>
      </c>
      <c r="N8" s="518" cm="1">
        <f t="array" ref="N8">SUMPRODUCT(--(ISNUMBER(SEARCH($A8,'Diags Raw Data'!$A$6:$A$3625))),--('Diags Raw Data'!$Q$6:$Q$3625&lt;&gt;"N/A"),'Diags Raw Data'!$T$6:$T$3625)+SUMPRODUCT(--(ISNUMBER(SEARCH($A8,'Diags Raw Data'!$A$6:$A$3625))),--('Diags Raw Data'!$Q$6:$Q$3625&lt;&gt;"N/A"),'Diags Raw Data'!$U$6:$U$3625)</f>
        <v>2</v>
      </c>
      <c r="O8" s="519">
        <f t="shared" ref="O8" si="2">IF((M8=0),0,N8/M8)</f>
        <v>1</v>
      </c>
      <c r="P8" s="520">
        <f>SUMIF('Diags Raw Data'!$A$6:$A$3625,"*"&amp;$A8&amp;"*",'Diags Raw Data'!$Z$6:$Z$3625)</f>
        <v>2</v>
      </c>
      <c r="Q8" s="521">
        <f>SUM(SUMIF('Diags Raw Data'!$A$6:$A$3625,"*"&amp;$A8&amp;"*",'Diags Raw Data'!$AA$6:$AA$3625),SUMIF('Diags Raw Data'!$A$6:$A$3625,"*"&amp;$A8&amp;"*",'Diags Raw Data'!$AB$6:$AB$3625))</f>
        <v>2</v>
      </c>
      <c r="R8" s="522">
        <f t="shared" ref="R8" si="3">IF((J8=0),0,P8/J8)</f>
        <v>1</v>
      </c>
      <c r="S8" s="522">
        <f t="shared" ref="S8" si="4">IF((P8=0),0,Q8/P8)</f>
        <v>1</v>
      </c>
      <c r="T8" s="523">
        <f t="shared" ref="T8" si="5">R8*S8</f>
        <v>1</v>
      </c>
      <c r="U8" s="462" t="s">
        <v>355</v>
      </c>
      <c r="V8" s="181"/>
    </row>
    <row r="9" spans="1:23" x14ac:dyDescent="0.25">
      <c r="A9" s="383"/>
      <c r="B9" s="419"/>
      <c r="C9" s="337"/>
      <c r="D9" s="82"/>
      <c r="E9" s="180"/>
      <c r="F9" s="180"/>
      <c r="G9" s="180"/>
      <c r="H9" s="180"/>
      <c r="I9" s="337"/>
      <c r="J9" s="190"/>
      <c r="K9" s="524"/>
      <c r="L9" s="525"/>
      <c r="M9" s="526"/>
      <c r="N9" s="527"/>
      <c r="O9" s="528"/>
      <c r="P9" s="529"/>
      <c r="Q9" s="530"/>
      <c r="R9" s="531"/>
      <c r="S9" s="531"/>
      <c r="T9" s="532"/>
      <c r="U9" s="384"/>
      <c r="V9" s="181"/>
    </row>
    <row r="10" spans="1:23" x14ac:dyDescent="0.25">
      <c r="A10" s="383"/>
      <c r="B10" s="419"/>
      <c r="C10" s="337"/>
      <c r="D10" s="82"/>
      <c r="E10" s="180"/>
      <c r="F10" s="180"/>
      <c r="G10" s="180"/>
      <c r="H10" s="180"/>
      <c r="I10" s="337"/>
      <c r="J10" s="190"/>
      <c r="K10" s="524"/>
      <c r="L10" s="525"/>
      <c r="M10" s="526"/>
      <c r="N10" s="527"/>
      <c r="O10" s="528"/>
      <c r="P10" s="529"/>
      <c r="Q10" s="530"/>
      <c r="R10" s="531"/>
      <c r="S10" s="531"/>
      <c r="T10" s="532"/>
      <c r="U10" s="384"/>
      <c r="V10" s="181"/>
    </row>
    <row r="11" spans="1:23" ht="15.75" thickBot="1" x14ac:dyDescent="0.3">
      <c r="A11" s="391"/>
      <c r="B11" s="420"/>
      <c r="C11" s="392"/>
      <c r="D11" s="393"/>
      <c r="E11" s="394"/>
      <c r="F11" s="394"/>
      <c r="G11" s="394"/>
      <c r="H11" s="394"/>
      <c r="I11" s="392"/>
      <c r="J11" s="395"/>
      <c r="K11" s="533"/>
      <c r="L11" s="534"/>
      <c r="M11" s="535"/>
      <c r="N11" s="536"/>
      <c r="O11" s="537"/>
      <c r="P11" s="538"/>
      <c r="Q11" s="539"/>
      <c r="R11" s="540"/>
      <c r="S11" s="540"/>
      <c r="T11" s="541"/>
      <c r="U11" s="396"/>
      <c r="V11" s="181"/>
    </row>
    <row r="12" spans="1:23" x14ac:dyDescent="0.25">
      <c r="A12" s="631" t="s">
        <v>356</v>
      </c>
      <c r="B12" s="691"/>
      <c r="C12" s="691"/>
      <c r="D12" s="691"/>
      <c r="E12" s="691"/>
      <c r="F12" s="691"/>
      <c r="G12" s="691"/>
      <c r="H12" s="691"/>
      <c r="I12" s="691"/>
      <c r="J12" s="691"/>
      <c r="K12" s="691"/>
      <c r="L12" s="691"/>
      <c r="M12" s="691"/>
      <c r="N12" s="691"/>
      <c r="O12" s="691"/>
      <c r="P12" s="691"/>
      <c r="Q12" s="691"/>
      <c r="R12" s="691"/>
      <c r="S12" s="691"/>
      <c r="T12" s="691"/>
      <c r="U12" s="692"/>
      <c r="V12" s="181"/>
    </row>
    <row r="13" spans="1:23" ht="15.75" thickBot="1" x14ac:dyDescent="0.3">
      <c r="A13" s="693"/>
      <c r="B13" s="694"/>
      <c r="C13" s="694"/>
      <c r="D13" s="694"/>
      <c r="E13" s="694"/>
      <c r="F13" s="694"/>
      <c r="G13" s="694"/>
      <c r="H13" s="694"/>
      <c r="I13" s="694"/>
      <c r="J13" s="694"/>
      <c r="K13" s="694"/>
      <c r="L13" s="694"/>
      <c r="M13" s="694"/>
      <c r="N13" s="694"/>
      <c r="O13" s="694"/>
      <c r="P13" s="694"/>
      <c r="Q13" s="694"/>
      <c r="R13" s="694"/>
      <c r="S13" s="694"/>
      <c r="T13" s="694"/>
      <c r="U13" s="695"/>
      <c r="V13" s="181"/>
    </row>
    <row r="14" spans="1:23" s="184" customFormat="1" ht="18.75" x14ac:dyDescent="0.25">
      <c r="A14" s="685" t="s">
        <v>302</v>
      </c>
      <c r="B14" s="686"/>
      <c r="C14" s="686"/>
      <c r="D14" s="686"/>
      <c r="E14" s="686"/>
      <c r="F14" s="687"/>
      <c r="G14" s="405">
        <f>COUNTIF(G7:G11,"Yes")</f>
        <v>2</v>
      </c>
      <c r="H14" s="405">
        <f>COUNTIF(H7:H11,"Yes")</f>
        <v>2</v>
      </c>
      <c r="I14" s="716">
        <f>'Diags Raw Data'!K15</f>
        <v>4</v>
      </c>
      <c r="J14" s="718">
        <f>'Diags Raw Data'!L15</f>
        <v>4</v>
      </c>
      <c r="K14" s="704">
        <f>'Diags Raw Data'!N15</f>
        <v>1</v>
      </c>
      <c r="L14" s="706">
        <f>'Diags Raw Data'!P15</f>
        <v>1</v>
      </c>
      <c r="M14" s="708">
        <f>'Diags Raw Data'!R15</f>
        <v>4</v>
      </c>
      <c r="N14" s="700">
        <f>SUM('Diags Raw Data'!T15+'Diags Raw Data'!U15)</f>
        <v>4</v>
      </c>
      <c r="O14" s="696">
        <f>IF((M14=0),0,N14/M14)</f>
        <v>1</v>
      </c>
      <c r="P14" s="698">
        <f>'Diags Raw Data'!Z15</f>
        <v>4</v>
      </c>
      <c r="Q14" s="714">
        <f>SUM('Diags Raw Data'!AA15+'Diags Raw Data'!AB15)</f>
        <v>4</v>
      </c>
      <c r="R14" s="710">
        <f>IF((J14=0),0,P14/J14)</f>
        <v>1</v>
      </c>
      <c r="S14" s="710">
        <f>IF((P14=0),0,Q14/P14)</f>
        <v>1</v>
      </c>
      <c r="T14" s="710">
        <f>R14*S14</f>
        <v>1</v>
      </c>
      <c r="U14" s="712"/>
      <c r="V14" s="183"/>
    </row>
    <row r="15" spans="1:23" ht="19.5" thickBot="1" x14ac:dyDescent="0.3">
      <c r="A15" s="688"/>
      <c r="B15" s="689"/>
      <c r="C15" s="689"/>
      <c r="D15" s="689"/>
      <c r="E15" s="689"/>
      <c r="F15" s="690"/>
      <c r="G15" s="406">
        <f>COUNTIF(G7:G11,"Yes")/COUNTA(A7:A11)</f>
        <v>1</v>
      </c>
      <c r="H15" s="406">
        <f>(COUNTIF(H7:H11,"Yes")/G14)</f>
        <v>1</v>
      </c>
      <c r="I15" s="717"/>
      <c r="J15" s="719"/>
      <c r="K15" s="705"/>
      <c r="L15" s="707"/>
      <c r="M15" s="709"/>
      <c r="N15" s="701"/>
      <c r="O15" s="697"/>
      <c r="P15" s="699"/>
      <c r="Q15" s="715"/>
      <c r="R15" s="711"/>
      <c r="S15" s="711"/>
      <c r="T15" s="711"/>
      <c r="U15" s="713"/>
      <c r="V15" s="181"/>
    </row>
    <row r="16" spans="1:23" x14ac:dyDescent="0.25">
      <c r="A16" s="185"/>
      <c r="B16" s="186"/>
      <c r="C16" s="186"/>
      <c r="D16" s="185"/>
      <c r="E16" s="186"/>
      <c r="F16" s="186"/>
      <c r="G16" s="387"/>
      <c r="H16" s="186"/>
      <c r="I16" s="397"/>
      <c r="J16" s="397"/>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K5:L5"/>
    <mergeCell ref="A5:J5"/>
    <mergeCell ref="M5:O5"/>
    <mergeCell ref="P5:U5"/>
    <mergeCell ref="A14:F15"/>
    <mergeCell ref="A12:U13"/>
    <mergeCell ref="O14:O15"/>
    <mergeCell ref="P14:P15"/>
    <mergeCell ref="N14:N15"/>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357</v>
      </c>
      <c r="C1" s="36" t="s">
        <v>358</v>
      </c>
      <c r="D1" s="36" t="s">
        <v>359</v>
      </c>
      <c r="E1" s="36" t="s">
        <v>360</v>
      </c>
      <c r="F1" s="36" t="s">
        <v>361</v>
      </c>
      <c r="G1" s="37" t="s">
        <v>362</v>
      </c>
      <c r="H1" s="12"/>
      <c r="I1" s="12"/>
      <c r="J1" s="12"/>
      <c r="K1" s="12"/>
      <c r="L1" s="13"/>
      <c r="M1" s="1"/>
      <c r="N1" s="11"/>
      <c r="X1" s="11"/>
      <c r="AB1" s="732" t="s">
        <v>363</v>
      </c>
      <c r="AM1" s="732" t="s">
        <v>364</v>
      </c>
    </row>
    <row r="2" spans="1:40" s="14" customFormat="1" ht="12" x14ac:dyDescent="0.2">
      <c r="A2" s="35" t="s">
        <v>365</v>
      </c>
      <c r="B2" s="15">
        <v>42994</v>
      </c>
      <c r="C2" s="15">
        <v>43190</v>
      </c>
      <c r="D2" s="16" t="e">
        <f>#REF!</f>
        <v>#REF!</v>
      </c>
      <c r="E2" s="16" t="e">
        <f>#REF!</f>
        <v>#REF!</v>
      </c>
      <c r="F2" s="16">
        <f>(C2-B2)/7</f>
        <v>28</v>
      </c>
      <c r="G2" s="17" t="e">
        <f>E2/F2</f>
        <v>#REF!</v>
      </c>
      <c r="H2" s="18"/>
      <c r="I2" s="18"/>
      <c r="J2" s="18"/>
      <c r="K2" s="18"/>
      <c r="L2" s="19"/>
      <c r="M2" s="20"/>
      <c r="N2" s="21"/>
      <c r="X2" s="21"/>
      <c r="AB2" s="733"/>
      <c r="AM2" s="733"/>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4" t="s">
        <v>366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35"/>
      <c r="B5" s="47" t="s">
        <v>367</v>
      </c>
      <c r="C5" s="47" t="s">
        <v>368</v>
      </c>
      <c r="D5" s="47" t="s">
        <v>369</v>
      </c>
      <c r="E5" s="47" t="s">
        <v>370</v>
      </c>
      <c r="F5" s="47" t="s">
        <v>371</v>
      </c>
      <c r="G5" s="47" t="s">
        <v>372</v>
      </c>
      <c r="H5" s="47" t="s">
        <v>373</v>
      </c>
      <c r="I5" s="47" t="s">
        <v>374</v>
      </c>
      <c r="J5" s="47" t="s">
        <v>375</v>
      </c>
      <c r="K5" s="47" t="s">
        <v>376</v>
      </c>
      <c r="L5" s="47" t="s">
        <v>377</v>
      </c>
      <c r="M5" s="47" t="s">
        <v>378</v>
      </c>
      <c r="N5" s="47" t="s">
        <v>379</v>
      </c>
      <c r="O5" s="47" t="s">
        <v>380</v>
      </c>
      <c r="P5" s="47" t="s">
        <v>381</v>
      </c>
      <c r="Q5" s="47" t="s">
        <v>382</v>
      </c>
      <c r="R5" s="47" t="s">
        <v>383</v>
      </c>
      <c r="S5" s="47" t="s">
        <v>384</v>
      </c>
      <c r="T5" s="47" t="s">
        <v>385</v>
      </c>
      <c r="U5" s="47" t="s">
        <v>386</v>
      </c>
      <c r="V5" s="47" t="s">
        <v>387</v>
      </c>
      <c r="W5" s="47" t="s">
        <v>388</v>
      </c>
      <c r="X5" s="47" t="s">
        <v>389</v>
      </c>
      <c r="Y5" s="47" t="s">
        <v>390</v>
      </c>
      <c r="Z5" s="47" t="s">
        <v>391</v>
      </c>
      <c r="AA5" s="47" t="s">
        <v>392</v>
      </c>
      <c r="AB5" s="47" t="s">
        <v>393</v>
      </c>
      <c r="AC5" s="47" t="s">
        <v>394</v>
      </c>
      <c r="AD5" s="47" t="s">
        <v>395</v>
      </c>
      <c r="AE5" s="47" t="s">
        <v>396</v>
      </c>
      <c r="AF5" s="47" t="s">
        <v>397</v>
      </c>
      <c r="AG5" s="47" t="s">
        <v>398</v>
      </c>
      <c r="AH5" s="47" t="s">
        <v>399</v>
      </c>
      <c r="AI5" s="47" t="s">
        <v>400</v>
      </c>
      <c r="AJ5" s="47" t="s">
        <v>401</v>
      </c>
      <c r="AK5" s="47" t="s">
        <v>402</v>
      </c>
      <c r="AL5" s="66" t="s">
        <v>403</v>
      </c>
      <c r="AM5" s="65" t="s">
        <v>404</v>
      </c>
      <c r="AN5" s="50"/>
    </row>
    <row r="6" spans="1:40" ht="12" x14ac:dyDescent="0.2">
      <c r="A6" s="48" t="s">
        <v>405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406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4" t="s">
        <v>407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36"/>
      <c r="B10" s="32" t="s">
        <v>367</v>
      </c>
      <c r="C10" s="32" t="s">
        <v>368</v>
      </c>
      <c r="D10" s="32" t="s">
        <v>369</v>
      </c>
      <c r="E10" s="32" t="s">
        <v>370</v>
      </c>
      <c r="F10" s="32" t="s">
        <v>371</v>
      </c>
      <c r="G10" s="32" t="s">
        <v>372</v>
      </c>
      <c r="H10" s="32" t="s">
        <v>373</v>
      </c>
      <c r="I10" s="32" t="s">
        <v>374</v>
      </c>
      <c r="J10" s="32" t="s">
        <v>375</v>
      </c>
      <c r="K10" s="32" t="s">
        <v>376</v>
      </c>
      <c r="L10" s="32" t="s">
        <v>377</v>
      </c>
      <c r="M10" s="32" t="s">
        <v>378</v>
      </c>
      <c r="N10" s="32" t="s">
        <v>379</v>
      </c>
      <c r="O10" s="32" t="s">
        <v>380</v>
      </c>
      <c r="P10" s="32" t="s">
        <v>381</v>
      </c>
      <c r="Q10" s="32" t="s">
        <v>382</v>
      </c>
      <c r="R10" s="32" t="s">
        <v>383</v>
      </c>
      <c r="S10" s="32" t="s">
        <v>384</v>
      </c>
      <c r="T10" s="32" t="s">
        <v>385</v>
      </c>
      <c r="U10" s="32" t="s">
        <v>386</v>
      </c>
      <c r="V10" s="32" t="s">
        <v>387</v>
      </c>
      <c r="W10" s="32" t="s">
        <v>388</v>
      </c>
      <c r="X10" s="32" t="s">
        <v>389</v>
      </c>
      <c r="Y10" s="32" t="s">
        <v>390</v>
      </c>
      <c r="Z10" s="32" t="s">
        <v>391</v>
      </c>
      <c r="AA10" s="32" t="s">
        <v>392</v>
      </c>
      <c r="AB10" s="32" t="s">
        <v>393</v>
      </c>
      <c r="AC10" s="32" t="s">
        <v>394</v>
      </c>
      <c r="AD10" s="32" t="s">
        <v>395</v>
      </c>
      <c r="AE10" s="32" t="s">
        <v>396</v>
      </c>
      <c r="AF10" s="32" t="s">
        <v>397</v>
      </c>
      <c r="AG10" s="32" t="s">
        <v>398</v>
      </c>
      <c r="AH10" s="32" t="s">
        <v>399</v>
      </c>
      <c r="AI10" s="32" t="s">
        <v>400</v>
      </c>
      <c r="AJ10" s="64" t="s">
        <v>401</v>
      </c>
      <c r="AK10" s="63" t="s">
        <v>402</v>
      </c>
      <c r="AL10" s="47" t="s">
        <v>403</v>
      </c>
      <c r="AM10" s="72" t="s">
        <v>404</v>
      </c>
      <c r="AN10" s="68"/>
    </row>
    <row r="11" spans="1:40" x14ac:dyDescent="0.25">
      <c r="A11" s="42" t="s">
        <v>405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406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408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409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410</v>
      </c>
      <c r="B1" s="157" t="s">
        <v>411</v>
      </c>
      <c r="C1" s="158" t="s">
        <v>412</v>
      </c>
      <c r="D1" s="158" t="s">
        <v>413</v>
      </c>
      <c r="E1" s="158" t="s">
        <v>414</v>
      </c>
      <c r="F1" s="158" t="s">
        <v>415</v>
      </c>
      <c r="G1" s="158" t="s">
        <v>416</v>
      </c>
      <c r="H1" s="158" t="s">
        <v>417</v>
      </c>
      <c r="I1" s="158" t="s">
        <v>418</v>
      </c>
      <c r="J1" s="158" t="s">
        <v>419</v>
      </c>
      <c r="K1" s="158" t="s">
        <v>420</v>
      </c>
      <c r="L1" s="158" t="s">
        <v>421</v>
      </c>
      <c r="M1" s="158" t="s">
        <v>422</v>
      </c>
      <c r="N1" s="158" t="s">
        <v>423</v>
      </c>
      <c r="O1" s="158" t="s">
        <v>424</v>
      </c>
      <c r="P1" s="158" t="s">
        <v>425</v>
      </c>
      <c r="Q1" s="158" t="s">
        <v>426</v>
      </c>
      <c r="R1" s="158" t="s">
        <v>427</v>
      </c>
      <c r="S1" s="158" t="s">
        <v>428</v>
      </c>
      <c r="T1" s="158" t="s">
        <v>429</v>
      </c>
      <c r="U1" s="158" t="s">
        <v>430</v>
      </c>
      <c r="V1" s="158" t="s">
        <v>431</v>
      </c>
      <c r="W1" s="158" t="s">
        <v>432</v>
      </c>
      <c r="X1" s="158" t="s">
        <v>433</v>
      </c>
      <c r="Y1" s="158" t="s">
        <v>434</v>
      </c>
      <c r="Z1" s="158" t="s">
        <v>435</v>
      </c>
      <c r="AA1" s="158" t="s">
        <v>436</v>
      </c>
      <c r="AB1" s="158" t="s">
        <v>437</v>
      </c>
      <c r="AC1" s="158" t="s">
        <v>438</v>
      </c>
      <c r="AD1" s="158" t="s">
        <v>439</v>
      </c>
      <c r="AE1" s="158" t="s">
        <v>440</v>
      </c>
      <c r="AF1" s="158" t="s">
        <v>441</v>
      </c>
      <c r="AG1" s="158" t="s">
        <v>442</v>
      </c>
      <c r="AH1" s="158" t="s">
        <v>443</v>
      </c>
      <c r="AI1" s="158" t="s">
        <v>444</v>
      </c>
      <c r="AJ1" s="158" t="s">
        <v>445</v>
      </c>
      <c r="AK1" s="158" t="s">
        <v>446</v>
      </c>
      <c r="AL1" s="158" t="s">
        <v>447</v>
      </c>
      <c r="AM1" s="158" t="s">
        <v>448</v>
      </c>
      <c r="AN1" s="158" t="s">
        <v>449</v>
      </c>
      <c r="AO1" s="158" t="s">
        <v>450</v>
      </c>
      <c r="AP1" s="158" t="s">
        <v>451</v>
      </c>
      <c r="AQ1" s="158" t="s">
        <v>452</v>
      </c>
      <c r="AR1" s="158" t="s">
        <v>453</v>
      </c>
      <c r="AS1" s="158" t="s">
        <v>454</v>
      </c>
      <c r="AT1" s="158" t="s">
        <v>455</v>
      </c>
      <c r="AU1" s="158" t="s">
        <v>456</v>
      </c>
      <c r="AV1" s="158" t="s">
        <v>457</v>
      </c>
      <c r="AW1" s="158" t="s">
        <v>458</v>
      </c>
      <c r="AX1" s="158" t="s">
        <v>459</v>
      </c>
      <c r="AY1" s="158" t="s">
        <v>460</v>
      </c>
      <c r="AZ1" s="158" t="s">
        <v>461</v>
      </c>
      <c r="BA1" s="158" t="s">
        <v>462</v>
      </c>
      <c r="BB1" s="159" t="s">
        <v>463</v>
      </c>
    </row>
    <row r="2" spans="1:54" s="135" customFormat="1" x14ac:dyDescent="0.2">
      <c r="A2" s="151" t="s">
        <v>406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409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407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406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408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464</v>
      </c>
      <c r="B3" s="129" t="s">
        <v>465</v>
      </c>
      <c r="C3" s="129"/>
      <c r="D3" s="215"/>
      <c r="E3" s="129"/>
    </row>
    <row r="4" spans="1:5" x14ac:dyDescent="0.25">
      <c r="A4" s="79" t="s">
        <v>47</v>
      </c>
      <c r="B4">
        <v>0</v>
      </c>
    </row>
    <row r="5" spans="1:5" x14ac:dyDescent="0.25">
      <c r="A5" s="79" t="s">
        <v>466</v>
      </c>
      <c r="B5">
        <v>85</v>
      </c>
      <c r="D5" s="130">
        <f>GETPIVOTDATA("#Tests",$A$3,"ETA","wk-1")/GETPIVOTDATA("#Tests",$A$3)</f>
        <v>0.17</v>
      </c>
      <c r="E5" s="131">
        <f>D5</f>
        <v>0.17</v>
      </c>
    </row>
    <row r="6" spans="1:5" x14ac:dyDescent="0.25">
      <c r="A6" s="79" t="s">
        <v>467</v>
      </c>
      <c r="B6">
        <v>48</v>
      </c>
      <c r="D6" s="130">
        <f>GETPIVOTDATA("#Tests",$A$3,"ETA","wk-2")/GETPIVOTDATA("#Tests",$A$3)</f>
        <v>9.6000000000000002E-2</v>
      </c>
      <c r="E6" s="131">
        <f t="shared" ref="E6:E12" si="0">E5+D6</f>
        <v>0.26600000000000001</v>
      </c>
    </row>
    <row r="7" spans="1:5" x14ac:dyDescent="0.25">
      <c r="A7" s="79" t="s">
        <v>468</v>
      </c>
      <c r="B7">
        <v>96</v>
      </c>
      <c r="D7" s="130">
        <f>GETPIVOTDATA("#Tests",$A$3,"ETA","wk-3")/GETPIVOTDATA("#Tests",$A$3)</f>
        <v>0.192</v>
      </c>
      <c r="E7" s="131">
        <f t="shared" si="0"/>
        <v>0.45800000000000002</v>
      </c>
    </row>
    <row r="8" spans="1:5" x14ac:dyDescent="0.25">
      <c r="A8" s="79" t="s">
        <v>469</v>
      </c>
      <c r="B8">
        <v>79</v>
      </c>
      <c r="D8" s="130">
        <f>GETPIVOTDATA("#Tests",$A$3,"ETA","wk-4")/GETPIVOTDATA("#Tests",$A$3)</f>
        <v>0.158</v>
      </c>
      <c r="E8" s="131">
        <f t="shared" si="0"/>
        <v>0.61599999999999999</v>
      </c>
    </row>
    <row r="9" spans="1:5" x14ac:dyDescent="0.25">
      <c r="A9" s="79" t="s">
        <v>470</v>
      </c>
      <c r="B9">
        <v>82</v>
      </c>
      <c r="D9" s="130">
        <f>GETPIVOTDATA("#Tests",$A$3,"ETA","wk-5")/GETPIVOTDATA("#Tests",$A$3)</f>
        <v>0.16400000000000001</v>
      </c>
      <c r="E9" s="131">
        <f t="shared" si="0"/>
        <v>0.78</v>
      </c>
    </row>
    <row r="10" spans="1:5" x14ac:dyDescent="0.25">
      <c r="A10" s="79" t="s">
        <v>471</v>
      </c>
      <c r="B10">
        <v>60</v>
      </c>
      <c r="D10" s="130">
        <f>GETPIVOTDATA("#Tests",$A$3,"ETA","wk-6")/GETPIVOTDATA("#Tests",$A$3)</f>
        <v>0.12</v>
      </c>
      <c r="E10" s="131">
        <f t="shared" si="0"/>
        <v>0.9</v>
      </c>
    </row>
    <row r="11" spans="1:5" x14ac:dyDescent="0.25">
      <c r="A11" s="79" t="s">
        <v>472</v>
      </c>
      <c r="B11">
        <v>30</v>
      </c>
      <c r="D11" s="130">
        <f>GETPIVOTDATA("#Tests",$A$3,"ETA","wk-7")/GETPIVOTDATA("#Tests",$A$3)</f>
        <v>0.06</v>
      </c>
      <c r="E11" s="131">
        <f t="shared" si="0"/>
        <v>0.96</v>
      </c>
    </row>
    <row r="12" spans="1:5" x14ac:dyDescent="0.25">
      <c r="A12" s="79" t="s">
        <v>473</v>
      </c>
      <c r="B12">
        <v>20</v>
      </c>
      <c r="D12" s="130">
        <f>GETPIVOTDATA("#Tests",$A$3,"ETA","wk-8")/GETPIVOTDATA("#Tests",$A$3)</f>
        <v>0.04</v>
      </c>
      <c r="E12" s="131">
        <f t="shared" si="0"/>
        <v>1</v>
      </c>
    </row>
    <row r="13" spans="1:5" x14ac:dyDescent="0.25">
      <c r="A13" s="79" t="s">
        <v>333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2024-03-17T19:32:08Z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