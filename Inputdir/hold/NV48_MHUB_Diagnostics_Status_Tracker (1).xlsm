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5.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904E0987-9987-4318-85C0-7E0D2CC6C260}" xr6:coauthVersionLast="47" xr6:coauthVersionMax="47" xr10:uidLastSave="{00000000-0000-0000-0000-000000000000}"/>
  <bookViews>
    <workbookView xWindow="-120" yWindow="-120" windowWidth="38640" windowHeight="21240" tabRatio="462" firstSheet="5" activeTab="5" xr2:uid="{00000000-000D-0000-FFFF-FFFF00000000}"/>
  </bookViews>
  <sheets>
    <sheet name="Log" sheetId="47" state="hidden" r:id="rId1"/>
    <sheet name="List Options" sheetId="31" state="hidden" r:id="rId2"/>
    <sheet name="Usage" sheetId="56" r:id="rId3"/>
    <sheet name="Cross-IP trackingHowTo" sheetId="64" r:id="rId4"/>
    <sheet name="Revision History" sheetId="58" r:id="rId5"/>
    <sheet name="Diags Raw Data" sheetId="53" r:id="rId6"/>
    <sheet name="Feature Raw Data" sheetId="52" r:id="rId7"/>
    <sheet name="Sub-IP Block Summary" sheetId="59" r:id="rId8"/>
    <sheet name="Progress (WIP)" sheetId="26" state="hidden" r:id="rId9"/>
    <sheet name="Feature Summary" sheetId="55" r:id="rId10"/>
    <sheet name="Progress" sheetId="51" r:id="rId11"/>
    <sheet name="Coverage Plan" sheetId="57" state="hidden" r:id="rId12"/>
  </sheets>
  <definedNames>
    <definedName name="_xlnm._FilterDatabase" localSheetId="5" hidden="1">'Diags Raw Data'!$A$5:$AH$387</definedName>
    <definedName name="_xlnm._FilterDatabase" localSheetId="6" hidden="1">'Feature Raw Data'!$A$2:$E$305</definedName>
    <definedName name="_xlnm._FilterDatabase" localSheetId="9" hidden="1">'Feature Summary'!$A$6:$U$213</definedName>
    <definedName name="_Toc71666059" localSheetId="5">'Diags Raw Data'!$AH$96</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G262" i="53" l="1"/>
  <c r="AG263" i="53"/>
  <c r="AG264" i="53"/>
  <c r="AG369" i="53"/>
  <c r="AG368" i="53"/>
  <c r="AG367" i="53"/>
  <c r="AG366" i="53"/>
  <c r="AG365" i="53"/>
  <c r="AG364" i="53"/>
  <c r="AG363" i="53"/>
  <c r="AG362" i="53"/>
  <c r="AG361" i="53"/>
  <c r="AG359" i="53"/>
  <c r="AG358" i="53"/>
  <c r="AG357" i="53"/>
  <c r="AG356" i="53"/>
  <c r="AG355" i="53"/>
  <c r="AG354" i="53"/>
  <c r="AG351" i="53"/>
  <c r="AG350" i="53"/>
  <c r="AG349" i="53"/>
  <c r="AG348" i="53"/>
  <c r="AG347" i="53"/>
  <c r="AG346" i="53"/>
  <c r="AG345" i="53"/>
  <c r="AG344" i="53"/>
  <c r="AG343" i="53"/>
  <c r="AG342" i="53"/>
  <c r="AG341" i="53"/>
  <c r="AG340" i="53"/>
  <c r="AG339" i="53"/>
  <c r="AG338" i="53"/>
  <c r="Z369" i="53"/>
  <c r="AE369" i="53" s="1"/>
  <c r="S15" i="53"/>
  <c r="S98" i="53"/>
  <c r="T384" i="53"/>
  <c r="AG385" i="53"/>
  <c r="Z385" i="53"/>
  <c r="AE385" i="53" s="1"/>
  <c r="S385" i="53"/>
  <c r="X385" i="53" s="1"/>
  <c r="P385" i="53"/>
  <c r="S158" i="53"/>
  <c r="S156" i="53"/>
  <c r="S157" i="53"/>
  <c r="S155" i="53"/>
  <c r="U384" i="53"/>
  <c r="S174" i="53"/>
  <c r="S175" i="53"/>
  <c r="S176" i="53"/>
  <c r="S177" i="53"/>
  <c r="S206" i="53"/>
  <c r="S207" i="53"/>
  <c r="S208" i="53"/>
  <c r="S209" i="53"/>
  <c r="S210" i="53"/>
  <c r="S211" i="53"/>
  <c r="S215" i="53"/>
  <c r="S216" i="53"/>
  <c r="S217" i="53"/>
  <c r="S218" i="53"/>
  <c r="S219" i="53"/>
  <c r="S221" i="53"/>
  <c r="S260" i="53"/>
  <c r="S261" i="53"/>
  <c r="S262" i="53"/>
  <c r="S263" i="53"/>
  <c r="S264" i="53"/>
  <c r="S270" i="53"/>
  <c r="S271" i="53"/>
  <c r="S272" i="53"/>
  <c r="S297" i="53"/>
  <c r="S298" i="53"/>
  <c r="S313" i="53"/>
  <c r="S314" i="53"/>
  <c r="S315" i="53"/>
  <c r="S316" i="53"/>
  <c r="S318" i="53"/>
  <c r="S319" i="53"/>
  <c r="S320" i="53"/>
  <c r="S321" i="53"/>
  <c r="S325" i="53"/>
  <c r="S332" i="53"/>
  <c r="S337" i="53"/>
  <c r="S341" i="53"/>
  <c r="S342" i="53"/>
  <c r="S349" i="53"/>
  <c r="S365" i="53"/>
  <c r="X365" i="53" s="1"/>
  <c r="S366" i="53"/>
  <c r="X366" i="53" s="1"/>
  <c r="S268" i="53"/>
  <c r="S265" i="53"/>
  <c r="S259" i="53"/>
  <c r="S257" i="53"/>
  <c r="S258" i="53"/>
  <c r="S347" i="53"/>
  <c r="S183" i="53"/>
  <c r="S220" i="53"/>
  <c r="X220" i="53" s="1"/>
  <c r="S222" i="53"/>
  <c r="S223" i="53"/>
  <c r="S224" i="53"/>
  <c r="S225" i="53"/>
  <c r="S226" i="53"/>
  <c r="S227" i="53"/>
  <c r="X227" i="53" s="1"/>
  <c r="S228" i="53"/>
  <c r="X228" i="53" s="1"/>
  <c r="S229" i="53"/>
  <c r="X229" i="53" s="1"/>
  <c r="S350" i="53"/>
  <c r="S361" i="53"/>
  <c r="X361" i="53" s="1"/>
  <c r="S362" i="53"/>
  <c r="X362" i="53" s="1"/>
  <c r="S367" i="53"/>
  <c r="X367" i="53" s="1"/>
  <c r="S368" i="53"/>
  <c r="X368" i="53" s="1"/>
  <c r="R384" i="53"/>
  <c r="M211" i="55" s="1"/>
  <c r="K384" i="53"/>
  <c r="N387" i="53" s="1"/>
  <c r="P239" i="53"/>
  <c r="AG237" i="53"/>
  <c r="Z237" i="53"/>
  <c r="AE237" i="53" s="1"/>
  <c r="S237" i="53"/>
  <c r="X237" i="53" s="1"/>
  <c r="P237" i="53"/>
  <c r="C132" i="55"/>
  <c r="G232" i="53" s="1"/>
  <c r="AG236" i="53"/>
  <c r="Z236" i="53"/>
  <c r="AE236" i="53" s="1"/>
  <c r="S236" i="53"/>
  <c r="X236" i="53" s="1"/>
  <c r="P236" i="53"/>
  <c r="AG235" i="53"/>
  <c r="Z235" i="53"/>
  <c r="AE235" i="53" s="1"/>
  <c r="S235" i="53"/>
  <c r="X235" i="53" s="1"/>
  <c r="P235" i="53"/>
  <c r="AG234" i="53"/>
  <c r="Z234" i="53"/>
  <c r="AE234" i="53" s="1"/>
  <c r="S234" i="53"/>
  <c r="X234" i="53" s="1"/>
  <c r="P234" i="53"/>
  <c r="AG233" i="53"/>
  <c r="Z233" i="53"/>
  <c r="AE233" i="53" s="1"/>
  <c r="S233" i="53"/>
  <c r="X233" i="53" s="1"/>
  <c r="P233" i="53"/>
  <c r="AG232" i="53"/>
  <c r="Z232" i="53"/>
  <c r="AE232" i="53" s="1"/>
  <c r="S232" i="53"/>
  <c r="X232" i="53" s="1"/>
  <c r="P232" i="53"/>
  <c r="AG228" i="53"/>
  <c r="Z228" i="53"/>
  <c r="AE228" i="53" s="1"/>
  <c r="P228" i="53"/>
  <c r="G228" i="53"/>
  <c r="AG227" i="53"/>
  <c r="Z227" i="53"/>
  <c r="AE227" i="53" s="1"/>
  <c r="P227" i="53"/>
  <c r="G227" i="53"/>
  <c r="AG231" i="53"/>
  <c r="Z231" i="53"/>
  <c r="AE231" i="53" s="1"/>
  <c r="S231" i="53"/>
  <c r="X231" i="53" s="1"/>
  <c r="P231" i="53"/>
  <c r="G231" i="53"/>
  <c r="AG230" i="53"/>
  <c r="Z230" i="53"/>
  <c r="AE230" i="53" s="1"/>
  <c r="S230" i="53"/>
  <c r="X230" i="53" s="1"/>
  <c r="P230" i="53"/>
  <c r="G230" i="53"/>
  <c r="AG229" i="53"/>
  <c r="Z229" i="53"/>
  <c r="AE229" i="53" s="1"/>
  <c r="P229" i="53"/>
  <c r="G229" i="53"/>
  <c r="P350" i="53"/>
  <c r="P351" i="53"/>
  <c r="P352" i="53"/>
  <c r="P353" i="53"/>
  <c r="P349" i="53"/>
  <c r="S369" i="53"/>
  <c r="X369" i="53" s="1"/>
  <c r="S364" i="53"/>
  <c r="X364" i="53" s="1"/>
  <c r="P369" i="53"/>
  <c r="B84" i="55"/>
  <c r="E194" i="55"/>
  <c r="B199" i="55"/>
  <c r="S338" i="53"/>
  <c r="S70" i="53"/>
  <c r="S71" i="53"/>
  <c r="P158" i="53"/>
  <c r="P157" i="53"/>
  <c r="P156" i="53"/>
  <c r="AG325" i="53"/>
  <c r="AG324" i="53"/>
  <c r="AG337" i="53"/>
  <c r="AG353" i="53"/>
  <c r="S144" i="53"/>
  <c r="Z368" i="53"/>
  <c r="AE368" i="53" s="1"/>
  <c r="Z366" i="53"/>
  <c r="AE366" i="53" s="1"/>
  <c r="Z365" i="53"/>
  <c r="P186" i="55"/>
  <c r="Z364" i="53"/>
  <c r="AE364" i="53" s="1"/>
  <c r="Z363" i="53"/>
  <c r="AE363" i="53" s="1"/>
  <c r="Z362" i="53"/>
  <c r="AE362" i="53" s="1"/>
  <c r="Z361" i="53"/>
  <c r="AE361" i="53" s="1"/>
  <c r="S363" i="53"/>
  <c r="X363" i="53" s="1"/>
  <c r="P324" i="53"/>
  <c r="S26" i="53"/>
  <c r="S197" i="53"/>
  <c r="AG16" i="53"/>
  <c r="Z16" i="53"/>
  <c r="AE16" i="53" s="1"/>
  <c r="S16" i="53"/>
  <c r="X16" i="53" s="1"/>
  <c r="P16" i="53"/>
  <c r="G16" i="53"/>
  <c r="AG14" i="53"/>
  <c r="Z14" i="53"/>
  <c r="AE14" i="53" s="1"/>
  <c r="S14" i="53"/>
  <c r="X14" i="53" s="1"/>
  <c r="P14" i="53"/>
  <c r="G14" i="53"/>
  <c r="S17" i="53"/>
  <c r="X17" i="53" s="1"/>
  <c r="X15" i="53"/>
  <c r="AG170" i="53"/>
  <c r="Z170" i="53"/>
  <c r="AE170" i="53" s="1"/>
  <c r="S170" i="53"/>
  <c r="X170" i="53" s="1"/>
  <c r="P170" i="53"/>
  <c r="AG239" i="53"/>
  <c r="Z239" i="53"/>
  <c r="AE239" i="53" s="1"/>
  <c r="S239" i="53"/>
  <c r="X239" i="53" s="1"/>
  <c r="AG220" i="53"/>
  <c r="Z220" i="53"/>
  <c r="AE220" i="53" s="1"/>
  <c r="P220" i="53"/>
  <c r="G220" i="53"/>
  <c r="L2" i="53"/>
  <c r="D193" i="55" a="1"/>
  <c r="D193" i="55" s="1"/>
  <c r="D7" i="55" a="1"/>
  <c r="D7" i="55" s="1"/>
  <c r="D8" i="55" a="1"/>
  <c r="D8" i="55" s="1"/>
  <c r="D9" i="55" a="1"/>
  <c r="D9" i="55" s="1"/>
  <c r="D10" i="55" a="1"/>
  <c r="D10" i="55" s="1"/>
  <c r="D13" i="55" a="1"/>
  <c r="D13" i="55" s="1"/>
  <c r="D14" i="55" a="1"/>
  <c r="D14" i="55" s="1"/>
  <c r="D15" i="55" a="1"/>
  <c r="D15" i="55" s="1"/>
  <c r="D16" i="55" a="1"/>
  <c r="D16" i="55" s="1"/>
  <c r="D17" i="55" a="1"/>
  <c r="D17" i="55" s="1"/>
  <c r="L17" i="55" s="1" a="1"/>
  <c r="D18" i="55" a="1"/>
  <c r="D18" i="55" s="1"/>
  <c r="D19" i="55" a="1"/>
  <c r="D19" i="55" s="1"/>
  <c r="L19" i="55" s="1" a="1"/>
  <c r="L19" i="55" s="1"/>
  <c r="D20" i="55" a="1"/>
  <c r="D20" i="55" s="1"/>
  <c r="D21" i="55" a="1"/>
  <c r="D21" i="55" s="1"/>
  <c r="L21" i="55" s="1" a="1"/>
  <c r="L21" i="55" s="1"/>
  <c r="D24" i="55" a="1"/>
  <c r="D24" i="55" s="1"/>
  <c r="D25" i="55" a="1"/>
  <c r="D25" i="55" s="1"/>
  <c r="D27" i="55" a="1"/>
  <c r="D27" i="55" s="1"/>
  <c r="D29" i="55" a="1"/>
  <c r="D29" i="55" s="1"/>
  <c r="D30" i="55" a="1"/>
  <c r="D30" i="55" s="1"/>
  <c r="D31" i="55" a="1"/>
  <c r="D31" i="55" s="1"/>
  <c r="D32" i="55" a="1"/>
  <c r="D32" i="55" s="1"/>
  <c r="D36" i="55" a="1"/>
  <c r="D36" i="55" s="1"/>
  <c r="D37" i="55" a="1"/>
  <c r="D37" i="55" s="1"/>
  <c r="D38" i="55" a="1"/>
  <c r="D38" i="55" s="1"/>
  <c r="D39" i="55" a="1"/>
  <c r="D39" i="55" s="1"/>
  <c r="D40" i="55" a="1"/>
  <c r="D40" i="55" s="1"/>
  <c r="D41" i="55" a="1"/>
  <c r="D41" i="55" s="1"/>
  <c r="D44" i="55" a="1"/>
  <c r="D44" i="55" s="1"/>
  <c r="D45" i="55" a="1"/>
  <c r="D45" i="55" s="1"/>
  <c r="D46" i="55" a="1"/>
  <c r="D46" i="55" s="1"/>
  <c r="D47" i="55" a="1"/>
  <c r="D47" i="55" s="1"/>
  <c r="D48" i="55" a="1"/>
  <c r="D48" i="55" s="1"/>
  <c r="D49" i="55" a="1"/>
  <c r="D49" i="55" s="1"/>
  <c r="D50" i="55" a="1"/>
  <c r="D50" i="55" s="1"/>
  <c r="D51" i="55" a="1"/>
  <c r="D51" i="55" s="1"/>
  <c r="D52" i="55" a="1"/>
  <c r="D52" i="55" s="1"/>
  <c r="D53" i="55" a="1"/>
  <c r="D53" i="55" s="1"/>
  <c r="D54" i="55" a="1"/>
  <c r="D54" i="55" s="1"/>
  <c r="D55" i="55" a="1"/>
  <c r="D55" i="55" s="1"/>
  <c r="D56" i="55" a="1"/>
  <c r="D56" i="55" s="1"/>
  <c r="D57" i="55" a="1"/>
  <c r="D57" i="55" s="1"/>
  <c r="D58" i="55" a="1"/>
  <c r="D58" i="55" s="1"/>
  <c r="D59" i="55" a="1"/>
  <c r="D59" i="55" s="1"/>
  <c r="D60" i="55" a="1"/>
  <c r="D60" i="55" s="1"/>
  <c r="H60" i="55" s="1"/>
  <c r="D61" i="55" a="1"/>
  <c r="D61" i="55" s="1"/>
  <c r="D62" i="55" a="1"/>
  <c r="D62" i="55" s="1"/>
  <c r="D66" i="55" a="1"/>
  <c r="D66" i="55" s="1"/>
  <c r="D67" i="55" a="1"/>
  <c r="D67" i="55" s="1"/>
  <c r="D71" i="55" a="1"/>
  <c r="D71" i="55" s="1"/>
  <c r="D72" i="55" a="1"/>
  <c r="D72" i="55" s="1"/>
  <c r="D73" i="55" a="1"/>
  <c r="D73" i="55" s="1"/>
  <c r="D76" i="55" a="1"/>
  <c r="D76" i="55" s="1"/>
  <c r="D77" i="55" a="1"/>
  <c r="D77" i="55" s="1"/>
  <c r="D78" i="55" a="1"/>
  <c r="D78" i="55" s="1"/>
  <c r="D80" i="55" a="1"/>
  <c r="D80" i="55" s="1"/>
  <c r="D81" i="55" a="1"/>
  <c r="D81" i="55" s="1"/>
  <c r="G81" i="55" s="1"/>
  <c r="D82" i="55" a="1"/>
  <c r="D82" i="55" s="1"/>
  <c r="D83" i="55" a="1"/>
  <c r="D83" i="55" s="1"/>
  <c r="D84" i="55" a="1"/>
  <c r="D84" i="55" s="1"/>
  <c r="G84" i="55" s="1"/>
  <c r="D86" i="55" a="1"/>
  <c r="D86" i="55" s="1"/>
  <c r="L86" i="55" s="1" a="1"/>
  <c r="D87" i="55" a="1"/>
  <c r="D87" i="55" s="1"/>
  <c r="L87" i="55" s="1" a="1"/>
  <c r="D88" i="55" a="1"/>
  <c r="D88" i="55" s="1"/>
  <c r="L88" i="55" s="1" a="1"/>
  <c r="L88" i="55" s="1"/>
  <c r="D90" i="55" a="1"/>
  <c r="D90" i="55" s="1"/>
  <c r="D93" i="55" a="1"/>
  <c r="D93" i="55" s="1"/>
  <c r="H93" i="55" s="1"/>
  <c r="D96" i="55" a="1"/>
  <c r="D96" i="55" s="1"/>
  <c r="H96" i="55" s="1"/>
  <c r="D97" i="55" a="1"/>
  <c r="D97" i="55" s="1"/>
  <c r="D98" i="55" a="1"/>
  <c r="D98" i="55" s="1"/>
  <c r="D99" i="55" a="1"/>
  <c r="D99" i="55" s="1"/>
  <c r="D102" i="55" a="1"/>
  <c r="D102" i="55" s="1"/>
  <c r="D103" i="55" a="1"/>
  <c r="D103" i="55" s="1"/>
  <c r="D104" i="55" a="1"/>
  <c r="D104" i="55" s="1"/>
  <c r="D105" i="55" a="1"/>
  <c r="D105" i="55" s="1"/>
  <c r="D107" i="55" a="1"/>
  <c r="D107" i="55" s="1"/>
  <c r="G107" i="55" s="1"/>
  <c r="D108" i="55" a="1"/>
  <c r="D108" i="55" s="1"/>
  <c r="D109" i="55" a="1"/>
  <c r="D109" i="55" s="1"/>
  <c r="D110" i="55" a="1"/>
  <c r="D110" i="55" s="1"/>
  <c r="G110" i="55" s="1"/>
  <c r="D111" i="55" a="1"/>
  <c r="D111" i="55" s="1"/>
  <c r="D112" i="55" a="1"/>
  <c r="D112" i="55" s="1"/>
  <c r="D114" i="55" a="1"/>
  <c r="D114" i="55" s="1"/>
  <c r="D115" i="55" a="1"/>
  <c r="D115" i="55" s="1"/>
  <c r="D116" i="55" a="1"/>
  <c r="D116" i="55" s="1"/>
  <c r="D117" i="55" a="1"/>
  <c r="D117" i="55" s="1"/>
  <c r="G117" i="55" s="1"/>
  <c r="D118" i="55" a="1"/>
  <c r="D118" i="55" s="1"/>
  <c r="D119" i="55" a="1"/>
  <c r="D119" i="55" s="1"/>
  <c r="D120" i="55" a="1"/>
  <c r="D120" i="55" s="1"/>
  <c r="D121" i="55" a="1"/>
  <c r="D121" i="55" s="1"/>
  <c r="D122" i="55" a="1"/>
  <c r="D122" i="55" s="1"/>
  <c r="D123" i="55" a="1"/>
  <c r="D123" i="55" s="1"/>
  <c r="D124" i="55" a="1"/>
  <c r="D124" i="55" s="1"/>
  <c r="D126" i="55" a="1"/>
  <c r="D126" i="55" s="1"/>
  <c r="D128" i="55" a="1"/>
  <c r="D128" i="55" s="1"/>
  <c r="D130" i="55" a="1"/>
  <c r="D130" i="55" s="1"/>
  <c r="D131" i="55" a="1"/>
  <c r="D131" i="55" s="1"/>
  <c r="D132" i="55" a="1"/>
  <c r="D132" i="55" s="1"/>
  <c r="D133" i="55" a="1"/>
  <c r="D133" i="55" s="1"/>
  <c r="D134" i="55" a="1"/>
  <c r="D134" i="55" s="1"/>
  <c r="D136" i="55" a="1"/>
  <c r="D136" i="55" s="1"/>
  <c r="G136" i="55" s="1"/>
  <c r="D137" i="55" a="1"/>
  <c r="D137" i="55" s="1"/>
  <c r="D138" i="55" a="1"/>
  <c r="D138" i="55" s="1"/>
  <c r="D140" i="55" a="1"/>
  <c r="D140" i="55" s="1"/>
  <c r="D159" i="55" a="1"/>
  <c r="D159" i="55" s="1"/>
  <c r="D160" i="55" a="1"/>
  <c r="D160" i="55" s="1"/>
  <c r="G160" i="55" s="1"/>
  <c r="D161" i="55" a="1"/>
  <c r="D161" i="55" s="1"/>
  <c r="D162" i="55" a="1"/>
  <c r="D162" i="55" s="1"/>
  <c r="D165" i="55" a="1"/>
  <c r="D165" i="55" s="1"/>
  <c r="H165" i="55" s="1"/>
  <c r="D167" i="55" a="1"/>
  <c r="D167" i="55" s="1"/>
  <c r="D168" i="55" a="1"/>
  <c r="D168" i="55" s="1"/>
  <c r="D169" i="55" a="1"/>
  <c r="D169" i="55" s="1"/>
  <c r="D170" i="55" a="1"/>
  <c r="D170" i="55" s="1"/>
  <c r="D171" i="55" a="1"/>
  <c r="D171" i="55" s="1"/>
  <c r="D174" i="55" a="1"/>
  <c r="D174" i="55" s="1"/>
  <c r="D175" i="55" a="1"/>
  <c r="D175" i="55" s="1"/>
  <c r="G175" i="55" s="1"/>
  <c r="D176" i="55" a="1"/>
  <c r="D176" i="55" s="1"/>
  <c r="D177" i="55" a="1"/>
  <c r="D177" i="55" s="1"/>
  <c r="D179" i="55" a="1"/>
  <c r="D179" i="55" s="1"/>
  <c r="G179" i="55" s="1"/>
  <c r="D181" i="55" a="1"/>
  <c r="D181" i="55" s="1"/>
  <c r="L181" i="55" s="1" a="1"/>
  <c r="L181" i="55" s="1"/>
  <c r="D182" i="55" a="1"/>
  <c r="D182" i="55" s="1"/>
  <c r="D183" i="55" a="1"/>
  <c r="D183" i="55" s="1"/>
  <c r="D184" i="55" a="1"/>
  <c r="D184" i="55" s="1"/>
  <c r="D185" i="55" a="1"/>
  <c r="D185" i="55" s="1"/>
  <c r="D186" i="55" a="1"/>
  <c r="D186" i="55" s="1"/>
  <c r="L384" i="53"/>
  <c r="J211" i="55" s="1"/>
  <c r="J186" i="55"/>
  <c r="D187" i="55" a="1"/>
  <c r="D187" i="55" s="1"/>
  <c r="H187" i="55" s="1"/>
  <c r="D188" i="55" a="1"/>
  <c r="D188" i="55" s="1"/>
  <c r="H188" i="55" s="1"/>
  <c r="D189" i="55" a="1"/>
  <c r="D189" i="55" s="1"/>
  <c r="D190" i="55" a="1"/>
  <c r="D190" i="55" s="1"/>
  <c r="D191" i="55" a="1"/>
  <c r="D191" i="55" s="1"/>
  <c r="G191" i="55" s="1"/>
  <c r="D192" i="55" a="1"/>
  <c r="D192" i="55" s="1"/>
  <c r="D194" i="55" a="1"/>
  <c r="D194" i="55" s="1"/>
  <c r="D196" i="55" a="1"/>
  <c r="D196" i="55" s="1"/>
  <c r="D197" i="55" a="1"/>
  <c r="D197" i="55" s="1"/>
  <c r="D198" i="55" a="1"/>
  <c r="D198" i="55" s="1"/>
  <c r="D199" i="55" a="1"/>
  <c r="D199" i="55" s="1"/>
  <c r="D200" i="55" a="1"/>
  <c r="D200" i="55" s="1"/>
  <c r="D201" i="55" a="1"/>
  <c r="D201" i="55" s="1"/>
  <c r="H201" i="55" s="1"/>
  <c r="I3" i="52"/>
  <c r="I7" i="52"/>
  <c r="I8" i="52"/>
  <c r="D180" i="55" a="1"/>
  <c r="D180" i="55" s="1"/>
  <c r="J13" i="55"/>
  <c r="R13" i="55" s="1"/>
  <c r="P13" i="55"/>
  <c r="S13" i="55" s="1"/>
  <c r="Q13" i="55"/>
  <c r="I13" i="55"/>
  <c r="F13" i="55"/>
  <c r="E13" i="55"/>
  <c r="C13" i="55"/>
  <c r="B13" i="55"/>
  <c r="G89" i="55"/>
  <c r="B188" i="55"/>
  <c r="Z351" i="53"/>
  <c r="P171" i="55" s="1"/>
  <c r="X351" i="53"/>
  <c r="S352" i="53"/>
  <c r="X352" i="53" s="1"/>
  <c r="S353" i="53"/>
  <c r="X353" i="53" s="1"/>
  <c r="AG352" i="53"/>
  <c r="Z352" i="53"/>
  <c r="AE352" i="53" s="1"/>
  <c r="Z353" i="53"/>
  <c r="P84" i="55" s="1"/>
  <c r="S84" i="55" s="1"/>
  <c r="Z350" i="53"/>
  <c r="AE350" i="53" s="1"/>
  <c r="X350" i="53"/>
  <c r="J83" i="55"/>
  <c r="R83" i="55" s="1"/>
  <c r="J84" i="55"/>
  <c r="R84" i="55" s="1"/>
  <c r="Q83" i="55"/>
  <c r="Q84" i="55"/>
  <c r="M171" i="55" a="1"/>
  <c r="M171" i="55" s="1"/>
  <c r="N194" i="55" a="1"/>
  <c r="N194" i="55" s="1"/>
  <c r="P58" i="53"/>
  <c r="P59" i="53"/>
  <c r="P60" i="53"/>
  <c r="P61" i="53"/>
  <c r="P62" i="53"/>
  <c r="P63" i="53"/>
  <c r="P65" i="53"/>
  <c r="P66" i="53"/>
  <c r="P67" i="53"/>
  <c r="P68" i="53"/>
  <c r="P69" i="53"/>
  <c r="P70" i="53"/>
  <c r="P71" i="53"/>
  <c r="P72" i="53"/>
  <c r="P73" i="53"/>
  <c r="P74" i="53"/>
  <c r="P75" i="53"/>
  <c r="P76" i="53"/>
  <c r="P77" i="53"/>
  <c r="P78" i="53"/>
  <c r="P79" i="53"/>
  <c r="P80" i="53"/>
  <c r="P81" i="53"/>
  <c r="P82" i="53"/>
  <c r="P83" i="53"/>
  <c r="P84" i="53"/>
  <c r="P85" i="53"/>
  <c r="P86" i="53"/>
  <c r="P87" i="53"/>
  <c r="P15" i="53"/>
  <c r="P17" i="53"/>
  <c r="P98" i="53"/>
  <c r="P99" i="53"/>
  <c r="P144" i="53"/>
  <c r="P155" i="53"/>
  <c r="P171" i="53"/>
  <c r="P361" i="53"/>
  <c r="P362" i="53"/>
  <c r="P363" i="53"/>
  <c r="P364" i="53"/>
  <c r="P368" i="53"/>
  <c r="P365" i="53"/>
  <c r="P366" i="53"/>
  <c r="P367" i="53"/>
  <c r="P6" i="53"/>
  <c r="P7" i="53"/>
  <c r="P8" i="53"/>
  <c r="P9" i="53"/>
  <c r="P10" i="53"/>
  <c r="P11" i="53"/>
  <c r="P12" i="53"/>
  <c r="P13"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88" i="53"/>
  <c r="P89" i="53"/>
  <c r="P90" i="53"/>
  <c r="P91" i="53"/>
  <c r="P92" i="53"/>
  <c r="P93" i="53"/>
  <c r="P94" i="53"/>
  <c r="P95" i="53"/>
  <c r="P96" i="53"/>
  <c r="P97"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5" i="53"/>
  <c r="P146" i="53"/>
  <c r="P147" i="53"/>
  <c r="P148" i="53"/>
  <c r="P149" i="53"/>
  <c r="P150" i="53"/>
  <c r="P151" i="53"/>
  <c r="P152" i="53"/>
  <c r="P153" i="53"/>
  <c r="P154" i="53"/>
  <c r="P159" i="53"/>
  <c r="P160" i="53"/>
  <c r="P161" i="53"/>
  <c r="P162" i="53"/>
  <c r="P163" i="53"/>
  <c r="P164" i="53"/>
  <c r="P165" i="53"/>
  <c r="P166" i="53"/>
  <c r="P167" i="53"/>
  <c r="P168" i="53"/>
  <c r="P169"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5" i="53"/>
  <c r="P196" i="53"/>
  <c r="P197" i="53"/>
  <c r="P198" i="53"/>
  <c r="P199" i="53"/>
  <c r="P200" i="53"/>
  <c r="P201" i="53"/>
  <c r="P202" i="53"/>
  <c r="P203" i="53"/>
  <c r="P204" i="53"/>
  <c r="P205" i="53"/>
  <c r="P206" i="53"/>
  <c r="P207" i="53"/>
  <c r="P208" i="53"/>
  <c r="P209" i="53"/>
  <c r="P210" i="53"/>
  <c r="P211" i="53"/>
  <c r="P212" i="53"/>
  <c r="P213" i="53"/>
  <c r="P214" i="53"/>
  <c r="P215" i="53"/>
  <c r="P216" i="53"/>
  <c r="P217" i="53"/>
  <c r="P218" i="53"/>
  <c r="P219" i="53"/>
  <c r="P221" i="53"/>
  <c r="P222" i="53"/>
  <c r="P223" i="53"/>
  <c r="P224" i="53"/>
  <c r="P225" i="53"/>
  <c r="P226" i="53"/>
  <c r="P253" i="53"/>
  <c r="P254" i="53"/>
  <c r="P255" i="53"/>
  <c r="P256" i="53"/>
  <c r="P240" i="53"/>
  <c r="P241" i="53"/>
  <c r="P242" i="53"/>
  <c r="P243" i="53"/>
  <c r="P244" i="53"/>
  <c r="P245" i="53"/>
  <c r="P246" i="53"/>
  <c r="P238" i="53"/>
  <c r="P247" i="53"/>
  <c r="P248" i="53"/>
  <c r="P249" i="53"/>
  <c r="P250" i="53"/>
  <c r="P251" i="53"/>
  <c r="P252" i="53"/>
  <c r="P257" i="53"/>
  <c r="P258" i="53"/>
  <c r="P259" i="53"/>
  <c r="P260" i="53"/>
  <c r="P261" i="53"/>
  <c r="P262" i="53"/>
  <c r="P263" i="53"/>
  <c r="P264" i="53"/>
  <c r="P265" i="53"/>
  <c r="P266" i="53"/>
  <c r="P267" i="53"/>
  <c r="P268" i="53"/>
  <c r="P269" i="53"/>
  <c r="P270" i="53"/>
  <c r="P271" i="53"/>
  <c r="P272" i="53"/>
  <c r="P273" i="53"/>
  <c r="P274" i="53"/>
  <c r="P275" i="53"/>
  <c r="P276" i="53"/>
  <c r="P277" i="53"/>
  <c r="P278" i="53"/>
  <c r="P279" i="53"/>
  <c r="P280" i="53"/>
  <c r="P281" i="53"/>
  <c r="P282" i="53"/>
  <c r="P283" i="53"/>
  <c r="P284" i="53"/>
  <c r="P285" i="53"/>
  <c r="P286" i="53"/>
  <c r="P287" i="53"/>
  <c r="P288" i="53"/>
  <c r="P289" i="53"/>
  <c r="P290" i="53"/>
  <c r="P291" i="53"/>
  <c r="P292" i="53"/>
  <c r="P293" i="53"/>
  <c r="P294" i="53"/>
  <c r="P295" i="53"/>
  <c r="P296" i="53"/>
  <c r="P297" i="53"/>
  <c r="P298" i="53"/>
  <c r="P299" i="53"/>
  <c r="P300" i="53"/>
  <c r="P301" i="53"/>
  <c r="P302" i="53"/>
  <c r="P303" i="53"/>
  <c r="P304" i="53"/>
  <c r="P305" i="53"/>
  <c r="P306" i="53"/>
  <c r="P307" i="53"/>
  <c r="P308" i="53"/>
  <c r="P309" i="53"/>
  <c r="P310" i="53"/>
  <c r="P311" i="53"/>
  <c r="P312" i="53"/>
  <c r="P313" i="53"/>
  <c r="P314" i="53"/>
  <c r="P315" i="53"/>
  <c r="P316" i="53"/>
  <c r="P317" i="53"/>
  <c r="P318" i="53"/>
  <c r="P319" i="53"/>
  <c r="P320" i="53"/>
  <c r="P321" i="53"/>
  <c r="P323" i="53"/>
  <c r="P325" i="53"/>
  <c r="P326" i="53"/>
  <c r="P327" i="53"/>
  <c r="P328" i="53"/>
  <c r="P329" i="53"/>
  <c r="P330" i="53"/>
  <c r="P331" i="53"/>
  <c r="P332" i="53"/>
  <c r="P334" i="53"/>
  <c r="P335" i="53"/>
  <c r="P336" i="53"/>
  <c r="P337" i="53"/>
  <c r="P338" i="53"/>
  <c r="P339" i="53"/>
  <c r="P340" i="53"/>
  <c r="P341" i="53"/>
  <c r="P342" i="53"/>
  <c r="P343" i="53"/>
  <c r="P344" i="53"/>
  <c r="P345" i="53"/>
  <c r="P346" i="53"/>
  <c r="P347" i="53"/>
  <c r="P348" i="53"/>
  <c r="P354" i="53"/>
  <c r="P355" i="53"/>
  <c r="P356" i="53"/>
  <c r="P357" i="53"/>
  <c r="P358" i="53"/>
  <c r="P359" i="53"/>
  <c r="J82" i="55"/>
  <c r="I82" i="55"/>
  <c r="I83" i="55"/>
  <c r="I84" i="55"/>
  <c r="F82" i="55"/>
  <c r="F83" i="55"/>
  <c r="F84" i="55"/>
  <c r="E82" i="55"/>
  <c r="E83" i="55"/>
  <c r="E84" i="55"/>
  <c r="C83" i="55"/>
  <c r="C84" i="55"/>
  <c r="B83" i="55"/>
  <c r="J170" i="55"/>
  <c r="Z354" i="53"/>
  <c r="Z355" i="53"/>
  <c r="Z356" i="53"/>
  <c r="Z357" i="53"/>
  <c r="Z6" i="53"/>
  <c r="Z7" i="53"/>
  <c r="Z8" i="53"/>
  <c r="AE8" i="53" s="1"/>
  <c r="Z9" i="53"/>
  <c r="AE9" i="53" s="1"/>
  <c r="Z10" i="53"/>
  <c r="AE10" i="53" s="1"/>
  <c r="Z11" i="53"/>
  <c r="AE11" i="53" s="1"/>
  <c r="Z12" i="53"/>
  <c r="AE12" i="53" s="1"/>
  <c r="Z13" i="53"/>
  <c r="AE13" i="53" s="1"/>
  <c r="Z15" i="53"/>
  <c r="AE15" i="53" s="1"/>
  <c r="Z17" i="53"/>
  <c r="AE17" i="53" s="1"/>
  <c r="Z18" i="53"/>
  <c r="AE18" i="53" s="1"/>
  <c r="Z19" i="53"/>
  <c r="AE19" i="53" s="1"/>
  <c r="Z20" i="53"/>
  <c r="AE20" i="53" s="1"/>
  <c r="Z21" i="53"/>
  <c r="Z22" i="53"/>
  <c r="AE22" i="53" s="1"/>
  <c r="Z23" i="53"/>
  <c r="AE23" i="53" s="1"/>
  <c r="Z24" i="53"/>
  <c r="AE24" i="53" s="1"/>
  <c r="Z25" i="53"/>
  <c r="AE25" i="53" s="1"/>
  <c r="Z26" i="53"/>
  <c r="AE26" i="53" s="1"/>
  <c r="Z27" i="53"/>
  <c r="AE27" i="53" s="1"/>
  <c r="Z28" i="53"/>
  <c r="AE28" i="53" s="1"/>
  <c r="Z29" i="53"/>
  <c r="AE29" i="53" s="1"/>
  <c r="Z30" i="53"/>
  <c r="AE30" i="53" s="1"/>
  <c r="Z31" i="53"/>
  <c r="P62" i="55" s="1"/>
  <c r="Z32" i="53"/>
  <c r="AE32" i="53" s="1"/>
  <c r="Z33" i="53"/>
  <c r="AE33" i="53" s="1"/>
  <c r="Z34" i="53"/>
  <c r="AE34" i="53" s="1"/>
  <c r="Z35" i="53"/>
  <c r="Z36" i="53"/>
  <c r="AE36" i="53" s="1"/>
  <c r="Z37" i="53"/>
  <c r="AE37" i="53" s="1"/>
  <c r="Z38" i="53"/>
  <c r="AE38" i="53" s="1"/>
  <c r="Z39" i="53"/>
  <c r="AE39" i="53" s="1"/>
  <c r="Z40" i="53"/>
  <c r="Z41" i="53"/>
  <c r="AE41" i="53" s="1"/>
  <c r="Z42" i="53"/>
  <c r="AE42" i="53" s="1"/>
  <c r="Z43" i="53"/>
  <c r="AE43" i="53" s="1"/>
  <c r="Z44" i="53"/>
  <c r="AE44" i="53" s="1"/>
  <c r="Z45" i="53"/>
  <c r="AE45" i="53" s="1"/>
  <c r="Z46" i="53"/>
  <c r="AE46" i="53" s="1"/>
  <c r="Z47" i="53"/>
  <c r="AE47" i="53" s="1"/>
  <c r="Z48" i="53"/>
  <c r="AE48" i="53" s="1"/>
  <c r="Z49" i="53"/>
  <c r="AE49" i="53" s="1"/>
  <c r="Z50" i="53"/>
  <c r="AE50" i="53" s="1"/>
  <c r="Z51" i="53"/>
  <c r="AE51" i="53" s="1"/>
  <c r="Z52" i="53"/>
  <c r="AE52" i="53" s="1"/>
  <c r="Z53" i="53"/>
  <c r="AE53" i="53" s="1"/>
  <c r="Z54" i="53"/>
  <c r="AE54" i="53" s="1"/>
  <c r="Z55" i="53"/>
  <c r="AE55" i="53" s="1"/>
  <c r="Z56" i="53"/>
  <c r="Z57" i="53"/>
  <c r="AE57" i="53" s="1"/>
  <c r="Z58" i="53"/>
  <c r="AE58" i="53" s="1"/>
  <c r="Z59" i="53"/>
  <c r="AE59" i="53" s="1"/>
  <c r="Z60" i="53"/>
  <c r="AE60" i="53" s="1"/>
  <c r="Z61" i="53"/>
  <c r="AE61" i="53" s="1"/>
  <c r="Z62" i="53"/>
  <c r="AE62" i="53" s="1"/>
  <c r="Z63" i="53"/>
  <c r="AE63" i="53" s="1"/>
  <c r="Z65" i="53"/>
  <c r="AE65" i="53" s="1"/>
  <c r="Z66" i="53"/>
  <c r="AE66" i="53"/>
  <c r="Z67" i="53"/>
  <c r="AE67" i="53" s="1"/>
  <c r="Z68" i="53"/>
  <c r="AE68" i="53" s="1"/>
  <c r="Z69" i="53"/>
  <c r="AE69" i="53" s="1"/>
  <c r="Z70" i="53"/>
  <c r="AE70" i="53" s="1"/>
  <c r="Z71" i="53"/>
  <c r="AE71" i="53" s="1"/>
  <c r="Z72" i="53"/>
  <c r="AE72" i="53" s="1"/>
  <c r="Z73" i="53"/>
  <c r="AE73" i="53"/>
  <c r="Z74" i="53"/>
  <c r="AE74" i="53" s="1"/>
  <c r="Z75" i="53"/>
  <c r="AE75" i="53" s="1"/>
  <c r="Z76" i="53"/>
  <c r="AE76" i="53" s="1"/>
  <c r="Z77" i="53"/>
  <c r="Z78" i="53"/>
  <c r="AE78" i="53" s="1"/>
  <c r="Z79" i="53"/>
  <c r="AE79" i="53" s="1"/>
  <c r="Z80" i="53"/>
  <c r="AE80" i="53" s="1"/>
  <c r="Z81" i="53"/>
  <c r="Z82" i="53"/>
  <c r="AE82" i="53"/>
  <c r="Z83" i="53"/>
  <c r="AE83" i="53" s="1"/>
  <c r="Z84" i="53"/>
  <c r="AE84" i="53" s="1"/>
  <c r="Z85" i="53"/>
  <c r="AE85" i="53" s="1"/>
  <c r="Z86" i="53"/>
  <c r="AE86" i="53" s="1"/>
  <c r="Z87" i="53"/>
  <c r="P51" i="55"/>
  <c r="Z88" i="53"/>
  <c r="AE88" i="53" s="1"/>
  <c r="Z89" i="53"/>
  <c r="AE89" i="53" s="1"/>
  <c r="Z90" i="53"/>
  <c r="AE90" i="53" s="1"/>
  <c r="Z91" i="53"/>
  <c r="AE91" i="53" s="1"/>
  <c r="Z92" i="53"/>
  <c r="AE92" i="53" s="1"/>
  <c r="Z93" i="53"/>
  <c r="AE93" i="53" s="1"/>
  <c r="Z94" i="53"/>
  <c r="AE94" i="53" s="1"/>
  <c r="Z95" i="53"/>
  <c r="AE95" i="53" s="1"/>
  <c r="Z96" i="53"/>
  <c r="AE96" i="53" s="1"/>
  <c r="Z97" i="53"/>
  <c r="AE97" i="53" s="1"/>
  <c r="Z98" i="53"/>
  <c r="AE98" i="53" s="1"/>
  <c r="Z99" i="53"/>
  <c r="AE99" i="53" s="1"/>
  <c r="Z100" i="53"/>
  <c r="AE100" i="53" s="1"/>
  <c r="Z101" i="53"/>
  <c r="AE101" i="53" s="1"/>
  <c r="Z102" i="53"/>
  <c r="AE102" i="53" s="1"/>
  <c r="Z103" i="53"/>
  <c r="AE103" i="53" s="1"/>
  <c r="Z104" i="53"/>
  <c r="AE104" i="53" s="1"/>
  <c r="Z105" i="53"/>
  <c r="AE105" i="53" s="1"/>
  <c r="Z106" i="53"/>
  <c r="AE106" i="53" s="1"/>
  <c r="Z107" i="53"/>
  <c r="AE107" i="53" s="1"/>
  <c r="Z108" i="53"/>
  <c r="AE108" i="53" s="1"/>
  <c r="Z109" i="53"/>
  <c r="AE109" i="53" s="1"/>
  <c r="Z110" i="53"/>
  <c r="AE110" i="53" s="1"/>
  <c r="Z111" i="53"/>
  <c r="AE111" i="53" s="1"/>
  <c r="Z112" i="53"/>
  <c r="AE112" i="53" s="1"/>
  <c r="Z113" i="53"/>
  <c r="AE113" i="53" s="1"/>
  <c r="Z114" i="53"/>
  <c r="AE114" i="53" s="1"/>
  <c r="Z115" i="53"/>
  <c r="AE115" i="53" s="1"/>
  <c r="Z116" i="53"/>
  <c r="AE116" i="53" s="1"/>
  <c r="Z117" i="53"/>
  <c r="AE117" i="53" s="1"/>
  <c r="Z118" i="53"/>
  <c r="AE118" i="53" s="1"/>
  <c r="Z119" i="53"/>
  <c r="AE119" i="53" s="1"/>
  <c r="Z120" i="53"/>
  <c r="AE120" i="53" s="1"/>
  <c r="Z121" i="53"/>
  <c r="AE121" i="53" s="1"/>
  <c r="Z122" i="53"/>
  <c r="AE122" i="53" s="1"/>
  <c r="Z123" i="53"/>
  <c r="AE123" i="53" s="1"/>
  <c r="Z124" i="53"/>
  <c r="AE124" i="53" s="1"/>
  <c r="Z125" i="53"/>
  <c r="AE125" i="53" s="1"/>
  <c r="Z126" i="53"/>
  <c r="AE126" i="53" s="1"/>
  <c r="Z127" i="53"/>
  <c r="Z128" i="53"/>
  <c r="AE128" i="53" s="1"/>
  <c r="Z129" i="53"/>
  <c r="AE129" i="53" s="1"/>
  <c r="Z130" i="53"/>
  <c r="AE130" i="53" s="1"/>
  <c r="Z131" i="53"/>
  <c r="AE131" i="53" s="1"/>
  <c r="Z132" i="53"/>
  <c r="AE132" i="53" s="1"/>
  <c r="Z133" i="53"/>
  <c r="AE133" i="53" s="1"/>
  <c r="Z134" i="53"/>
  <c r="AE134" i="53" s="1"/>
  <c r="Z135" i="53"/>
  <c r="Z136" i="53"/>
  <c r="AE136" i="53" s="1"/>
  <c r="Z137" i="53"/>
  <c r="AE137" i="53" s="1"/>
  <c r="Z138" i="53"/>
  <c r="Z139" i="53"/>
  <c r="AE139" i="53" s="1"/>
  <c r="Z140" i="53"/>
  <c r="AE140" i="53" s="1"/>
  <c r="Z141" i="53"/>
  <c r="Z142" i="53"/>
  <c r="AE142" i="53" s="1"/>
  <c r="Z143" i="53"/>
  <c r="AE143" i="53" s="1"/>
  <c r="Z144" i="53"/>
  <c r="AE144" i="53" s="1"/>
  <c r="Z145" i="53"/>
  <c r="AE145" i="53" s="1"/>
  <c r="Z146" i="53"/>
  <c r="AE146" i="53" s="1"/>
  <c r="Z147" i="53"/>
  <c r="AE147" i="53" s="1"/>
  <c r="Z148" i="53"/>
  <c r="AE148" i="53" s="1"/>
  <c r="Z149" i="53"/>
  <c r="AE149" i="53"/>
  <c r="Z150" i="53"/>
  <c r="AE150" i="53" s="1"/>
  <c r="Z151" i="53"/>
  <c r="AE151" i="53" s="1"/>
  <c r="Z152" i="53"/>
  <c r="AE152" i="53" s="1"/>
  <c r="Z153" i="53"/>
  <c r="AE153" i="53" s="1"/>
  <c r="Z154" i="53"/>
  <c r="AE154" i="53" s="1"/>
  <c r="Z155" i="53"/>
  <c r="AE155" i="53" s="1"/>
  <c r="Z156" i="53"/>
  <c r="AE156" i="53" s="1"/>
  <c r="Z157" i="53"/>
  <c r="Z158" i="53"/>
  <c r="AE158" i="53" s="1"/>
  <c r="Z159" i="53"/>
  <c r="AE159" i="53" s="1"/>
  <c r="Z160" i="53"/>
  <c r="AE160" i="53" s="1"/>
  <c r="Z161" i="53"/>
  <c r="AE161" i="53" s="1"/>
  <c r="Z162" i="53"/>
  <c r="Z163" i="53"/>
  <c r="Z164" i="53"/>
  <c r="AE164" i="53" s="1"/>
  <c r="Z165" i="53"/>
  <c r="P109" i="55" s="1"/>
  <c r="Z166" i="53"/>
  <c r="P110" i="55" s="1"/>
  <c r="Z167" i="53"/>
  <c r="Z168" i="53"/>
  <c r="AE168" i="53" s="1"/>
  <c r="Z169" i="53"/>
  <c r="AE169" i="53" s="1"/>
  <c r="Z171" i="53"/>
  <c r="AE171" i="53" s="1"/>
  <c r="Z172" i="53"/>
  <c r="AE172" i="53" s="1"/>
  <c r="Z173" i="53"/>
  <c r="AE173" i="53" s="1"/>
  <c r="Z174" i="53"/>
  <c r="AE174" i="53" s="1"/>
  <c r="Z175" i="53"/>
  <c r="AE175" i="53" s="1"/>
  <c r="Z176" i="53"/>
  <c r="AE176" i="53" s="1"/>
  <c r="Z177" i="53"/>
  <c r="Z178" i="53"/>
  <c r="AE178" i="53" s="1"/>
  <c r="Z179" i="53"/>
  <c r="AE179" i="53" s="1"/>
  <c r="Z180" i="53"/>
  <c r="AE180" i="53" s="1"/>
  <c r="Z181" i="53"/>
  <c r="AE181" i="53" s="1"/>
  <c r="Z182" i="53"/>
  <c r="AE182" i="53" s="1"/>
  <c r="Z183" i="53"/>
  <c r="AE183" i="53" s="1"/>
  <c r="Z184" i="53"/>
  <c r="AE184" i="53" s="1"/>
  <c r="Z185" i="53"/>
  <c r="AE185" i="53" s="1"/>
  <c r="Z186" i="53"/>
  <c r="AE186" i="53" s="1"/>
  <c r="Z187" i="53"/>
  <c r="AE187" i="53" s="1"/>
  <c r="Z188" i="53"/>
  <c r="AE188" i="53" s="1"/>
  <c r="Z189" i="53"/>
  <c r="AE189" i="53" s="1"/>
  <c r="Z190" i="53"/>
  <c r="AE190" i="53" s="1"/>
  <c r="Z191" i="53"/>
  <c r="AE191" i="53" s="1"/>
  <c r="Z192" i="53"/>
  <c r="AE192" i="53" s="1"/>
  <c r="Z193" i="53"/>
  <c r="AE193" i="53" s="1"/>
  <c r="Z194" i="53"/>
  <c r="AE194" i="53" s="1"/>
  <c r="Z195" i="53"/>
  <c r="AE195" i="53" s="1"/>
  <c r="Z196" i="53"/>
  <c r="Z197" i="53"/>
  <c r="AE197" i="53" s="1"/>
  <c r="Z198" i="53"/>
  <c r="Z199" i="53"/>
  <c r="AE199" i="53" s="1"/>
  <c r="Z200" i="53"/>
  <c r="AE200" i="53" s="1"/>
  <c r="Z201" i="53"/>
  <c r="AE201" i="53" s="1"/>
  <c r="Z202" i="53"/>
  <c r="AE202" i="53" s="1"/>
  <c r="Z203" i="53"/>
  <c r="AE203" i="53" s="1"/>
  <c r="Z204" i="53"/>
  <c r="AE204" i="53" s="1"/>
  <c r="Z205" i="53"/>
  <c r="AE205" i="53" s="1"/>
  <c r="Z206" i="53"/>
  <c r="AE206" i="53" s="1"/>
  <c r="Z207" i="53"/>
  <c r="AE207" i="53" s="1"/>
  <c r="Z208" i="53"/>
  <c r="AE208" i="53" s="1"/>
  <c r="Z209" i="53"/>
  <c r="AE209" i="53" s="1"/>
  <c r="Z210" i="53"/>
  <c r="AE210" i="53" s="1"/>
  <c r="Z211" i="53"/>
  <c r="AE211" i="53" s="1"/>
  <c r="Z212" i="53"/>
  <c r="Z213" i="53"/>
  <c r="AE213" i="53" s="1"/>
  <c r="Z214" i="53"/>
  <c r="AE214" i="53" s="1"/>
  <c r="Z215" i="53"/>
  <c r="AE215" i="53" s="1"/>
  <c r="Z216" i="53"/>
  <c r="AE216" i="53" s="1"/>
  <c r="Z217" i="53"/>
  <c r="AE217" i="53" s="1"/>
  <c r="Z218" i="53"/>
  <c r="AE218" i="53" s="1"/>
  <c r="Z219" i="53"/>
  <c r="AE219" i="53" s="1"/>
  <c r="Z221" i="53"/>
  <c r="AE221" i="53" s="1"/>
  <c r="Z222" i="53"/>
  <c r="AE222" i="53" s="1"/>
  <c r="Z223" i="53"/>
  <c r="AE223" i="53" s="1"/>
  <c r="Z224" i="53"/>
  <c r="AE224" i="53" s="1"/>
  <c r="Z225" i="53"/>
  <c r="Z226" i="53"/>
  <c r="AE226" i="53" s="1"/>
  <c r="Z253" i="53"/>
  <c r="Z254" i="53"/>
  <c r="AE254" i="53" s="1"/>
  <c r="Z255" i="53"/>
  <c r="AE255" i="53" s="1"/>
  <c r="Z256" i="53"/>
  <c r="AE256" i="53" s="1"/>
  <c r="Z240" i="53"/>
  <c r="AE240" i="53" s="1"/>
  <c r="Z241" i="53"/>
  <c r="AE241" i="53" s="1"/>
  <c r="Z242" i="53"/>
  <c r="AE242" i="53" s="1"/>
  <c r="Z243" i="53"/>
  <c r="AE243" i="53" s="1"/>
  <c r="Z244" i="53"/>
  <c r="AE244" i="53" s="1"/>
  <c r="Z245" i="53"/>
  <c r="AE245" i="53" s="1"/>
  <c r="Z246" i="53"/>
  <c r="AE246" i="53" s="1"/>
  <c r="Z238" i="53"/>
  <c r="AE238" i="53" s="1"/>
  <c r="Z247" i="53"/>
  <c r="Z248" i="53"/>
  <c r="AE248" i="53" s="1"/>
  <c r="Z249" i="53"/>
  <c r="AE249" i="53" s="1"/>
  <c r="Z250" i="53"/>
  <c r="AE250" i="53" s="1"/>
  <c r="Z251" i="53"/>
  <c r="AE251" i="53" s="1"/>
  <c r="Z252" i="53"/>
  <c r="AE252" i="53" s="1"/>
  <c r="Z257" i="53"/>
  <c r="AE257" i="53" s="1"/>
  <c r="Z258" i="53"/>
  <c r="Z259" i="53"/>
  <c r="AE259" i="53" s="1"/>
  <c r="Z260" i="53"/>
  <c r="AE260" i="53" s="1"/>
  <c r="Z261" i="53"/>
  <c r="AE261" i="53" s="1"/>
  <c r="Z262" i="53"/>
  <c r="AE262" i="53" s="1"/>
  <c r="Z263" i="53"/>
  <c r="AE263" i="53" s="1"/>
  <c r="Z264" i="53"/>
  <c r="AE264" i="53" s="1"/>
  <c r="Z265" i="53"/>
  <c r="P14" i="55" s="1"/>
  <c r="Z266" i="53"/>
  <c r="P162" i="55" s="1"/>
  <c r="S162" i="55" s="1"/>
  <c r="Z267" i="53"/>
  <c r="AE267" i="53" s="1"/>
  <c r="Z268" i="53"/>
  <c r="AE268" i="53" s="1"/>
  <c r="Z269" i="53"/>
  <c r="AE269" i="53" s="1"/>
  <c r="Z270" i="53"/>
  <c r="AE270" i="53" s="1"/>
  <c r="Z271" i="53"/>
  <c r="Z272" i="53"/>
  <c r="AE272" i="53" s="1"/>
  <c r="Z273" i="53"/>
  <c r="AE273" i="53"/>
  <c r="Z274" i="53"/>
  <c r="AE274" i="53" s="1"/>
  <c r="Z275" i="53"/>
  <c r="AE275" i="53" s="1"/>
  <c r="Z276" i="53"/>
  <c r="AE276" i="53" s="1"/>
  <c r="Z277" i="53"/>
  <c r="AE277" i="53" s="1"/>
  <c r="Z278" i="53"/>
  <c r="AE278" i="53" s="1"/>
  <c r="Z279" i="53"/>
  <c r="AE279" i="53" s="1"/>
  <c r="Z280" i="53"/>
  <c r="AE280" i="53" s="1"/>
  <c r="Z281" i="53"/>
  <c r="AE281" i="53" s="1"/>
  <c r="Z282" i="53"/>
  <c r="AE282" i="53" s="1"/>
  <c r="Z283" i="53"/>
  <c r="AE283" i="53" s="1"/>
  <c r="Z284" i="53"/>
  <c r="AE284" i="53" s="1"/>
  <c r="Z285" i="53"/>
  <c r="AE285" i="53" s="1"/>
  <c r="Z286" i="53"/>
  <c r="AE286" i="53" s="1"/>
  <c r="Z287" i="53"/>
  <c r="AE287" i="53" s="1"/>
  <c r="Z288" i="53"/>
  <c r="AE288" i="53" s="1"/>
  <c r="Z289" i="53"/>
  <c r="AE289" i="53" s="1"/>
  <c r="Z290" i="53"/>
  <c r="AE290" i="53" s="1"/>
  <c r="Z291" i="53"/>
  <c r="AE291" i="53" s="1"/>
  <c r="Z292" i="53"/>
  <c r="AE292" i="53" s="1"/>
  <c r="Z293" i="53"/>
  <c r="AE293" i="53" s="1"/>
  <c r="Z294" i="53"/>
  <c r="P44" i="55" s="1"/>
  <c r="S44" i="55" s="1"/>
  <c r="Z295" i="53"/>
  <c r="AE295" i="53" s="1"/>
  <c r="Z296" i="53"/>
  <c r="AE296" i="53" s="1"/>
  <c r="Z297" i="53"/>
  <c r="AE297" i="53" s="1"/>
  <c r="Z298" i="53"/>
  <c r="AE298" i="53" s="1"/>
  <c r="Z299" i="53"/>
  <c r="AE299" i="53" s="1"/>
  <c r="Z300" i="53"/>
  <c r="AE300" i="53" s="1"/>
  <c r="Z301" i="53"/>
  <c r="AE301" i="53" s="1"/>
  <c r="Z302" i="53"/>
  <c r="AE302" i="53" s="1"/>
  <c r="Z303" i="53"/>
  <c r="AE303" i="53" s="1"/>
  <c r="Z304" i="53"/>
  <c r="AE304" i="53" s="1"/>
  <c r="Z305" i="53"/>
  <c r="AE305" i="53" s="1"/>
  <c r="Z306" i="53"/>
  <c r="AE306" i="53" s="1"/>
  <c r="Z307" i="53"/>
  <c r="AE307" i="53" s="1"/>
  <c r="Z308" i="53"/>
  <c r="AE308" i="53" s="1"/>
  <c r="Z309" i="53"/>
  <c r="AE309" i="53" s="1"/>
  <c r="Z310" i="53"/>
  <c r="AE310" i="53" s="1"/>
  <c r="Z311" i="53"/>
  <c r="P108" i="55" s="1"/>
  <c r="S108" i="55" s="1"/>
  <c r="Z312" i="53"/>
  <c r="AE312" i="53" s="1"/>
  <c r="Z313" i="53"/>
  <c r="AE313" i="53" s="1"/>
  <c r="Z314" i="53"/>
  <c r="AE314" i="53" s="1"/>
  <c r="Z315" i="53"/>
  <c r="AE315" i="53" s="1"/>
  <c r="Z316" i="53"/>
  <c r="AE316" i="53" s="1"/>
  <c r="Z317" i="53"/>
  <c r="AE317" i="53" s="1"/>
  <c r="Z318" i="53"/>
  <c r="AE318" i="53" s="1"/>
  <c r="Z319" i="53"/>
  <c r="AE319" i="53" s="1"/>
  <c r="Z320" i="53"/>
  <c r="AE320" i="53" s="1"/>
  <c r="Z321" i="53"/>
  <c r="AE321" i="53" s="1"/>
  <c r="Z323" i="53"/>
  <c r="Z324" i="53"/>
  <c r="P97" i="55" s="1"/>
  <c r="Z325" i="53"/>
  <c r="AE325" i="53" s="1"/>
  <c r="Z326" i="53"/>
  <c r="Z327" i="53"/>
  <c r="Z328" i="53"/>
  <c r="Z329" i="53"/>
  <c r="Z330" i="53"/>
  <c r="Z331" i="53"/>
  <c r="Z332" i="53"/>
  <c r="P134" i="55" s="1"/>
  <c r="Z334" i="53"/>
  <c r="AE334" i="53" s="1"/>
  <c r="Z335" i="53"/>
  <c r="AE335" i="53" s="1"/>
  <c r="Z336" i="53"/>
  <c r="AE336" i="53" s="1"/>
  <c r="Z337" i="53"/>
  <c r="AE337" i="53" s="1"/>
  <c r="Z338" i="53"/>
  <c r="AE338" i="53"/>
  <c r="Z339" i="53"/>
  <c r="AE339" i="53" s="1"/>
  <c r="Z340" i="53"/>
  <c r="AE340" i="53" s="1"/>
  <c r="Z341" i="53"/>
  <c r="AE341" i="53" s="1"/>
  <c r="Z342" i="53"/>
  <c r="AE342" i="53" s="1"/>
  <c r="Z343" i="53"/>
  <c r="AE343" i="53" s="1"/>
  <c r="Z344" i="53"/>
  <c r="AE344" i="53" s="1"/>
  <c r="Z345" i="53"/>
  <c r="AE345" i="53" s="1"/>
  <c r="Z346" i="53"/>
  <c r="AE346" i="53" s="1"/>
  <c r="Z347" i="53"/>
  <c r="AE347" i="53" s="1"/>
  <c r="Z348" i="53"/>
  <c r="AE348" i="53" s="1"/>
  <c r="Z349" i="53"/>
  <c r="Z358" i="53"/>
  <c r="Z359" i="53"/>
  <c r="Q170" i="55"/>
  <c r="N170" i="55" a="1"/>
  <c r="N170" i="55" s="1"/>
  <c r="I170" i="55"/>
  <c r="F170" i="55"/>
  <c r="E170" i="55"/>
  <c r="C170" i="55"/>
  <c r="B170" i="55"/>
  <c r="I10" i="52"/>
  <c r="I9" i="52"/>
  <c r="Q82" i="55"/>
  <c r="N82" i="55" a="1"/>
  <c r="N82" i="55" s="1"/>
  <c r="C82" i="55"/>
  <c r="B82" i="55"/>
  <c r="J188" i="55"/>
  <c r="R188" i="55" s="1"/>
  <c r="T188" i="55" s="1"/>
  <c r="P188" i="55"/>
  <c r="S188" i="55" s="1"/>
  <c r="J189" i="55"/>
  <c r="R189" i="55" s="1"/>
  <c r="P189" i="55"/>
  <c r="S189" i="55" s="1"/>
  <c r="J190" i="55"/>
  <c r="R190" i="55" s="1"/>
  <c r="T190" i="55" s="1"/>
  <c r="P190" i="55"/>
  <c r="S190" i="55" s="1"/>
  <c r="J191" i="55"/>
  <c r="R191" i="55" s="1"/>
  <c r="P191" i="55"/>
  <c r="S191" i="55" s="1"/>
  <c r="J192" i="55"/>
  <c r="R192" i="55" s="1"/>
  <c r="P192" i="55"/>
  <c r="S192" i="55" s="1"/>
  <c r="J193" i="55"/>
  <c r="J194" i="55"/>
  <c r="Q188" i="55"/>
  <c r="Q189" i="55"/>
  <c r="Q190" i="55"/>
  <c r="Q191" i="55"/>
  <c r="Q192" i="55"/>
  <c r="Q193" i="55"/>
  <c r="Q194" i="55"/>
  <c r="N191" i="55" a="1"/>
  <c r="N191" i="55" s="1"/>
  <c r="I188" i="55"/>
  <c r="I189" i="55"/>
  <c r="I190" i="55"/>
  <c r="I191" i="55"/>
  <c r="I192" i="55"/>
  <c r="I193" i="55"/>
  <c r="I194" i="55"/>
  <c r="F188" i="55"/>
  <c r="F189" i="55"/>
  <c r="F190" i="55"/>
  <c r="F191" i="55"/>
  <c r="F192" i="55"/>
  <c r="F193" i="55"/>
  <c r="F194" i="55"/>
  <c r="E188" i="55"/>
  <c r="E189" i="55"/>
  <c r="E190" i="55"/>
  <c r="E191" i="55"/>
  <c r="E192" i="55"/>
  <c r="E193" i="55"/>
  <c r="C188" i="55"/>
  <c r="C189" i="55"/>
  <c r="C190" i="55"/>
  <c r="C191" i="55"/>
  <c r="C192" i="55"/>
  <c r="C193" i="55"/>
  <c r="C194" i="55"/>
  <c r="B189" i="55"/>
  <c r="B190" i="55"/>
  <c r="B191" i="55"/>
  <c r="B192" i="55"/>
  <c r="B193" i="55"/>
  <c r="B194" i="55"/>
  <c r="J171" i="55"/>
  <c r="Q171" i="55"/>
  <c r="N171" i="55" a="1"/>
  <c r="N171" i="55" s="1"/>
  <c r="I171" i="55"/>
  <c r="F171" i="55"/>
  <c r="E171" i="55"/>
  <c r="C171" i="55"/>
  <c r="B171" i="55"/>
  <c r="J201" i="55"/>
  <c r="R201" i="55" s="1"/>
  <c r="P201" i="55"/>
  <c r="S201" i="55" s="1"/>
  <c r="Q201" i="55"/>
  <c r="I201" i="55"/>
  <c r="F201" i="55"/>
  <c r="E201" i="55"/>
  <c r="C201" i="55"/>
  <c r="B201" i="55"/>
  <c r="J89" i="55"/>
  <c r="R89" i="55" s="1"/>
  <c r="P89" i="55"/>
  <c r="S89" i="55" s="1"/>
  <c r="Q89" i="55"/>
  <c r="L89" i="55" a="1"/>
  <c r="L89" i="55" s="1"/>
  <c r="K89" i="55" a="1"/>
  <c r="K89" i="55" s="1"/>
  <c r="I89" i="55"/>
  <c r="H89" i="55"/>
  <c r="F89" i="55"/>
  <c r="E89" i="55"/>
  <c r="C89" i="55"/>
  <c r="B89" i="55"/>
  <c r="J198" i="55"/>
  <c r="R198" i="55" s="1"/>
  <c r="P198" i="55"/>
  <c r="S198" i="55" s="1"/>
  <c r="T198" i="55" s="1"/>
  <c r="Q198" i="55"/>
  <c r="I198" i="55"/>
  <c r="F198" i="55"/>
  <c r="E198" i="55"/>
  <c r="C198" i="55"/>
  <c r="B198" i="55"/>
  <c r="J184" i="55"/>
  <c r="R184" i="55" s="1"/>
  <c r="P184" i="55"/>
  <c r="S184" i="55" s="1"/>
  <c r="Q184" i="55"/>
  <c r="I184" i="55"/>
  <c r="F184" i="55"/>
  <c r="E184" i="55"/>
  <c r="C184" i="55"/>
  <c r="B184" i="55"/>
  <c r="J180" i="55"/>
  <c r="R180" i="55" s="1"/>
  <c r="T180" i="55" s="1"/>
  <c r="P180" i="55"/>
  <c r="S180" i="55" s="1"/>
  <c r="J181" i="55"/>
  <c r="R181" i="55" s="1"/>
  <c r="P181" i="55"/>
  <c r="S181" i="55" s="1"/>
  <c r="Q180" i="55"/>
  <c r="Q181" i="55"/>
  <c r="I180" i="55"/>
  <c r="I181" i="55"/>
  <c r="F180" i="55"/>
  <c r="F181" i="55"/>
  <c r="E180" i="55"/>
  <c r="E181" i="55"/>
  <c r="C180" i="55"/>
  <c r="C181" i="55"/>
  <c r="B180" i="55"/>
  <c r="B181" i="55"/>
  <c r="J140" i="55"/>
  <c r="Q140" i="55"/>
  <c r="I140" i="55"/>
  <c r="F140" i="55"/>
  <c r="E140" i="55"/>
  <c r="C140" i="55"/>
  <c r="B140" i="55"/>
  <c r="AG157" i="53"/>
  <c r="AG158" i="53"/>
  <c r="X157" i="53"/>
  <c r="X158" i="53"/>
  <c r="AG156" i="53"/>
  <c r="X156" i="53"/>
  <c r="J52" i="55"/>
  <c r="Q52" i="55"/>
  <c r="I52" i="55"/>
  <c r="F52" i="55"/>
  <c r="E52" i="55"/>
  <c r="C52" i="55"/>
  <c r="C51" i="55"/>
  <c r="G87" i="53"/>
  <c r="B52" i="55"/>
  <c r="I5" i="52"/>
  <c r="Q199" i="55"/>
  <c r="Q200" i="55"/>
  <c r="J199" i="55"/>
  <c r="J200" i="55"/>
  <c r="I199" i="55"/>
  <c r="I200" i="55"/>
  <c r="E199" i="55"/>
  <c r="F199" i="55"/>
  <c r="F200" i="55"/>
  <c r="E200" i="55"/>
  <c r="C199" i="55"/>
  <c r="C200" i="55"/>
  <c r="B200" i="55"/>
  <c r="Q179" i="55"/>
  <c r="Q182" i="55"/>
  <c r="Q183" i="55"/>
  <c r="Q185" i="55"/>
  <c r="Q186" i="55"/>
  <c r="Q187" i="55"/>
  <c r="Q196" i="55"/>
  <c r="Q197" i="55"/>
  <c r="P179" i="55"/>
  <c r="S179" i="55" s="1"/>
  <c r="P182" i="55"/>
  <c r="S182" i="55" s="1"/>
  <c r="P185" i="55"/>
  <c r="P187" i="55"/>
  <c r="S187" i="55" s="1"/>
  <c r="P196" i="55"/>
  <c r="S196" i="55" s="1"/>
  <c r="P197" i="55"/>
  <c r="J179" i="55"/>
  <c r="J182" i="55"/>
  <c r="J183" i="55"/>
  <c r="J185" i="55"/>
  <c r="J187" i="55"/>
  <c r="J196" i="55"/>
  <c r="J197" i="55"/>
  <c r="I179" i="55"/>
  <c r="I182" i="55"/>
  <c r="I183" i="55"/>
  <c r="I185" i="55"/>
  <c r="I186" i="55"/>
  <c r="I187" i="55"/>
  <c r="I196" i="55"/>
  <c r="I197" i="55"/>
  <c r="F179" i="55"/>
  <c r="F182" i="55"/>
  <c r="F183" i="55"/>
  <c r="F185" i="55"/>
  <c r="F186" i="55"/>
  <c r="F187" i="55"/>
  <c r="F196" i="55"/>
  <c r="F197" i="55"/>
  <c r="E179" i="55"/>
  <c r="E182" i="55"/>
  <c r="E183" i="55"/>
  <c r="E185" i="55"/>
  <c r="E186" i="55"/>
  <c r="E187" i="55"/>
  <c r="E196" i="55"/>
  <c r="E197" i="55"/>
  <c r="C179" i="55"/>
  <c r="C182" i="55"/>
  <c r="C183" i="55"/>
  <c r="C185" i="55"/>
  <c r="C186" i="55"/>
  <c r="C187" i="55"/>
  <c r="C196" i="55"/>
  <c r="C197" i="55"/>
  <c r="B187" i="55"/>
  <c r="B196" i="55"/>
  <c r="B197" i="55"/>
  <c r="B183" i="55"/>
  <c r="B185" i="55"/>
  <c r="B186" i="55"/>
  <c r="B179" i="55"/>
  <c r="B182" i="55"/>
  <c r="B177" i="55"/>
  <c r="S68" i="53"/>
  <c r="X68" i="53" s="1"/>
  <c r="S354" i="53"/>
  <c r="S355" i="53"/>
  <c r="S356" i="53"/>
  <c r="S357" i="53"/>
  <c r="S358" i="53"/>
  <c r="S196" i="53"/>
  <c r="S359" i="53"/>
  <c r="AG215" i="53"/>
  <c r="X215" i="53"/>
  <c r="AG270" i="53"/>
  <c r="AG271" i="53"/>
  <c r="AG272" i="53"/>
  <c r="X270" i="53"/>
  <c r="S345" i="53"/>
  <c r="X345" i="53" s="1"/>
  <c r="G345" i="53"/>
  <c r="X332" i="53"/>
  <c r="G13" i="59"/>
  <c r="H13" i="59"/>
  <c r="I13" i="59"/>
  <c r="D11" i="59"/>
  <c r="D12" i="59"/>
  <c r="D13" i="59"/>
  <c r="E11" i="59"/>
  <c r="E12" i="59"/>
  <c r="E13" i="59"/>
  <c r="C11" i="59"/>
  <c r="C12" i="59"/>
  <c r="C13" i="59"/>
  <c r="B11" i="59"/>
  <c r="B12" i="59"/>
  <c r="B13" i="59"/>
  <c r="AB384" i="53"/>
  <c r="AG315" i="53"/>
  <c r="X315" i="53"/>
  <c r="AG314" i="53"/>
  <c r="X314" i="53"/>
  <c r="AG313" i="53"/>
  <c r="X313" i="53"/>
  <c r="AG320" i="53"/>
  <c r="X320" i="53"/>
  <c r="AG319" i="53"/>
  <c r="X319" i="53"/>
  <c r="AG318" i="53"/>
  <c r="X318" i="53"/>
  <c r="AG20" i="53"/>
  <c r="J105" i="55"/>
  <c r="R105" i="55" s="1"/>
  <c r="Q105" i="55"/>
  <c r="I105" i="55"/>
  <c r="F105" i="55"/>
  <c r="E105" i="55"/>
  <c r="C105" i="55"/>
  <c r="G309" i="53" s="1"/>
  <c r="B105" i="55"/>
  <c r="J81" i="55"/>
  <c r="R81" i="55" s="1"/>
  <c r="Q81" i="55"/>
  <c r="I81" i="55"/>
  <c r="F81" i="55"/>
  <c r="E81" i="55"/>
  <c r="C81" i="55"/>
  <c r="G295" i="53" s="1"/>
  <c r="B81" i="55"/>
  <c r="J44" i="55"/>
  <c r="R44" i="55" s="1"/>
  <c r="Q44" i="55"/>
  <c r="I44" i="55"/>
  <c r="F44" i="55"/>
  <c r="E44" i="55"/>
  <c r="C44" i="55"/>
  <c r="G294" i="53"/>
  <c r="B44" i="55"/>
  <c r="J39" i="55"/>
  <c r="R39" i="55" s="1"/>
  <c r="Q39" i="55"/>
  <c r="I39" i="55"/>
  <c r="F39" i="55"/>
  <c r="E39" i="55"/>
  <c r="C39" i="55"/>
  <c r="B39" i="55"/>
  <c r="J32" i="55"/>
  <c r="Q32" i="55"/>
  <c r="I32" i="55"/>
  <c r="F32" i="55"/>
  <c r="E32" i="55"/>
  <c r="C32" i="55"/>
  <c r="G269" i="53"/>
  <c r="B32" i="55"/>
  <c r="J162" i="55"/>
  <c r="R162" i="55" s="1"/>
  <c r="Q162" i="55"/>
  <c r="I162" i="55"/>
  <c r="F162" i="55"/>
  <c r="E162" i="55"/>
  <c r="C162" i="55"/>
  <c r="B162" i="55"/>
  <c r="J10" i="55"/>
  <c r="R10" i="55"/>
  <c r="Q10" i="55"/>
  <c r="I10" i="55"/>
  <c r="F10" i="55"/>
  <c r="E10" i="55"/>
  <c r="C10" i="55"/>
  <c r="B10" i="55"/>
  <c r="G167" i="53"/>
  <c r="AG297" i="53"/>
  <c r="X297" i="53"/>
  <c r="X298" i="53"/>
  <c r="AG298" i="53"/>
  <c r="X271" i="53"/>
  <c r="AG268" i="53"/>
  <c r="AG17" i="53"/>
  <c r="G17" i="53"/>
  <c r="AG99" i="53"/>
  <c r="S99" i="53"/>
  <c r="X99" i="53" s="1"/>
  <c r="X144" i="53"/>
  <c r="X71" i="53"/>
  <c r="X70" i="53"/>
  <c r="G6" i="53"/>
  <c r="C7" i="55"/>
  <c r="H4" i="59"/>
  <c r="H5" i="59"/>
  <c r="H6" i="59"/>
  <c r="B131" i="55"/>
  <c r="B114" i="55"/>
  <c r="AG224" i="53"/>
  <c r="X224" i="53"/>
  <c r="G224" i="53"/>
  <c r="AG225" i="53"/>
  <c r="X225" i="53"/>
  <c r="G225" i="53"/>
  <c r="AG222" i="53"/>
  <c r="G222" i="53"/>
  <c r="AG221" i="53"/>
  <c r="X221" i="53"/>
  <c r="G221" i="53"/>
  <c r="AG252" i="53"/>
  <c r="S252" i="53"/>
  <c r="X252" i="53" s="1"/>
  <c r="G243" i="53"/>
  <c r="AG251" i="53"/>
  <c r="S251" i="53"/>
  <c r="X251" i="53" s="1"/>
  <c r="AG250" i="53"/>
  <c r="S250" i="53"/>
  <c r="X250" i="53" s="1"/>
  <c r="G250" i="53"/>
  <c r="AG249" i="53"/>
  <c r="S249" i="53"/>
  <c r="X249" i="53" s="1"/>
  <c r="AG248" i="53"/>
  <c r="S248" i="53"/>
  <c r="X248" i="53" s="1"/>
  <c r="AG247" i="53"/>
  <c r="S247" i="53"/>
  <c r="X247" i="53" s="1"/>
  <c r="G247" i="53"/>
  <c r="AG238" i="53"/>
  <c r="S238" i="53"/>
  <c r="X238" i="53" s="1"/>
  <c r="AG246" i="53"/>
  <c r="S246" i="53"/>
  <c r="X246" i="53" s="1"/>
  <c r="AG244" i="53"/>
  <c r="S244" i="53"/>
  <c r="X244" i="53" s="1"/>
  <c r="AG241" i="53"/>
  <c r="S241" i="53"/>
  <c r="X241" i="53" s="1"/>
  <c r="AG243" i="53"/>
  <c r="S243" i="53"/>
  <c r="X243" i="53" s="1"/>
  <c r="AG240" i="53"/>
  <c r="S240" i="53"/>
  <c r="X240" i="53" s="1"/>
  <c r="AG308" i="53"/>
  <c r="AG307" i="53"/>
  <c r="AG306" i="53"/>
  <c r="AG305" i="53"/>
  <c r="AG304" i="53"/>
  <c r="AG303" i="53"/>
  <c r="AG302" i="53"/>
  <c r="AG301" i="53"/>
  <c r="AG300" i="53"/>
  <c r="AG299" i="53"/>
  <c r="AG167" i="53"/>
  <c r="AG100" i="53"/>
  <c r="AG98" i="53"/>
  <c r="AG18" i="53"/>
  <c r="AG21" i="53"/>
  <c r="AG12" i="53"/>
  <c r="AG258" i="53"/>
  <c r="AG312" i="53"/>
  <c r="AG328" i="53"/>
  <c r="AG329" i="53"/>
  <c r="AG330" i="53"/>
  <c r="AG331" i="53"/>
  <c r="AG326" i="53"/>
  <c r="AG327" i="53"/>
  <c r="AG317" i="53"/>
  <c r="AG311" i="53"/>
  <c r="AG273" i="53"/>
  <c r="AG267" i="53"/>
  <c r="AG266" i="53"/>
  <c r="AG259" i="53"/>
  <c r="AG245" i="53"/>
  <c r="AG242" i="53"/>
  <c r="AG256" i="53"/>
  <c r="AG255" i="53"/>
  <c r="AG254" i="53"/>
  <c r="AG253" i="53"/>
  <c r="AG226" i="53"/>
  <c r="AG223" i="53"/>
  <c r="AG219" i="53"/>
  <c r="AG218" i="53"/>
  <c r="AG195" i="53"/>
  <c r="AG194" i="53"/>
  <c r="AG193" i="53"/>
  <c r="AG192" i="53"/>
  <c r="AG191" i="53"/>
  <c r="AG190" i="53"/>
  <c r="AG189" i="53"/>
  <c r="AG188" i="53"/>
  <c r="AG187" i="53"/>
  <c r="AG186" i="53"/>
  <c r="AG185" i="53"/>
  <c r="AG184" i="53"/>
  <c r="AG183" i="53"/>
  <c r="AG182" i="53"/>
  <c r="AG181" i="53"/>
  <c r="AG180" i="53"/>
  <c r="AG179" i="53"/>
  <c r="AG178" i="53"/>
  <c r="AG177" i="53"/>
  <c r="AG176" i="53"/>
  <c r="AG175" i="53"/>
  <c r="AG174" i="53"/>
  <c r="AG173" i="53"/>
  <c r="AG172" i="53"/>
  <c r="AG160" i="53"/>
  <c r="AG159" i="53"/>
  <c r="AG150" i="53"/>
  <c r="AG146" i="53"/>
  <c r="AG145" i="53"/>
  <c r="AG144" i="53"/>
  <c r="AG143" i="53"/>
  <c r="AG142" i="53"/>
  <c r="AG141" i="53"/>
  <c r="AG140" i="53"/>
  <c r="AG138" i="53"/>
  <c r="AG137" i="53"/>
  <c r="AG136" i="53"/>
  <c r="AG135" i="53"/>
  <c r="AG134" i="53"/>
  <c r="AG133" i="53"/>
  <c r="AG132" i="53"/>
  <c r="AG131" i="53"/>
  <c r="AG130" i="53"/>
  <c r="AG129" i="53"/>
  <c r="AG128" i="53"/>
  <c r="AG127" i="53"/>
  <c r="AG126" i="53"/>
  <c r="AG125" i="53"/>
  <c r="AG124" i="53"/>
  <c r="AG123" i="53"/>
  <c r="AG117" i="53"/>
  <c r="AG116" i="53"/>
  <c r="AG115" i="53"/>
  <c r="AG114" i="53"/>
  <c r="AG113" i="53"/>
  <c r="AG112" i="53"/>
  <c r="AG111" i="53"/>
  <c r="AG110" i="53"/>
  <c r="AG109" i="53"/>
  <c r="AG108" i="53"/>
  <c r="AG107" i="53"/>
  <c r="AG106" i="53"/>
  <c r="AG105" i="53"/>
  <c r="AG95" i="53"/>
  <c r="AG94" i="53"/>
  <c r="AG93" i="53"/>
  <c r="AG92" i="53"/>
  <c r="AG91" i="53"/>
  <c r="AG90" i="53"/>
  <c r="AG89" i="53"/>
  <c r="AG88" i="53"/>
  <c r="AG77" i="53"/>
  <c r="AG73" i="53"/>
  <c r="AG71" i="53"/>
  <c r="AG70" i="53"/>
  <c r="AG69" i="53"/>
  <c r="AG67" i="53"/>
  <c r="AG63" i="53"/>
  <c r="AG62" i="53"/>
  <c r="AG61" i="53"/>
  <c r="AG60" i="53"/>
  <c r="AG47" i="53"/>
  <c r="AG46" i="53"/>
  <c r="AG45" i="53"/>
  <c r="AG44" i="53"/>
  <c r="AG43" i="53"/>
  <c r="AG42" i="53"/>
  <c r="AG41" i="53"/>
  <c r="AG40" i="53"/>
  <c r="AG36" i="53"/>
  <c r="AG35" i="53"/>
  <c r="AG33" i="53"/>
  <c r="AG32" i="53"/>
  <c r="AG31" i="53"/>
  <c r="AG30" i="53"/>
  <c r="AG29" i="53"/>
  <c r="AG28" i="53"/>
  <c r="AG27" i="53"/>
  <c r="AG26" i="53"/>
  <c r="AG25" i="53"/>
  <c r="AG19" i="53"/>
  <c r="AG15" i="53"/>
  <c r="AG13" i="53"/>
  <c r="AG11" i="53"/>
  <c r="AG10" i="53"/>
  <c r="AG9" i="53"/>
  <c r="AG8" i="53"/>
  <c r="AG7" i="53"/>
  <c r="AG6" i="53"/>
  <c r="I5" i="59"/>
  <c r="I4" i="59"/>
  <c r="C4" i="59"/>
  <c r="AG211" i="53"/>
  <c r="AG210" i="53"/>
  <c r="AG209" i="53"/>
  <c r="AG208" i="53"/>
  <c r="AG207" i="53"/>
  <c r="AG206" i="53"/>
  <c r="X211" i="53"/>
  <c r="X210" i="53"/>
  <c r="X209" i="53"/>
  <c r="X208" i="53"/>
  <c r="X207" i="53"/>
  <c r="X206" i="53"/>
  <c r="AG204" i="53"/>
  <c r="AG203" i="53"/>
  <c r="AG202" i="53"/>
  <c r="AG201" i="53"/>
  <c r="AG200" i="53"/>
  <c r="AG199" i="53"/>
  <c r="S204" i="53"/>
  <c r="X204" i="53" s="1"/>
  <c r="S203" i="53"/>
  <c r="X203" i="53" s="1"/>
  <c r="S202" i="53"/>
  <c r="X202" i="53" s="1"/>
  <c r="S201" i="53"/>
  <c r="X201" i="53" s="1"/>
  <c r="S200" i="53"/>
  <c r="X200" i="53" s="1"/>
  <c r="S199" i="53"/>
  <c r="X199" i="53" s="1"/>
  <c r="X337" i="53"/>
  <c r="Q20" i="55"/>
  <c r="P20" i="55"/>
  <c r="S20" i="55" s="1"/>
  <c r="J20" i="55"/>
  <c r="R20" i="55" s="1"/>
  <c r="I20" i="55"/>
  <c r="F20" i="55"/>
  <c r="E20" i="55"/>
  <c r="C20" i="55"/>
  <c r="B20" i="55"/>
  <c r="Q19" i="55"/>
  <c r="P19" i="55"/>
  <c r="S19" i="55" s="1"/>
  <c r="J19" i="55"/>
  <c r="R19" i="55" s="1"/>
  <c r="I19" i="55"/>
  <c r="F19" i="55"/>
  <c r="E19" i="55"/>
  <c r="C19" i="55"/>
  <c r="B19" i="55"/>
  <c r="G325" i="53"/>
  <c r="G349" i="53"/>
  <c r="G348" i="53"/>
  <c r="G347" i="53"/>
  <c r="G346" i="53"/>
  <c r="G344" i="53"/>
  <c r="G343" i="53"/>
  <c r="G342" i="53"/>
  <c r="G341" i="53"/>
  <c r="G340" i="53"/>
  <c r="G338" i="53"/>
  <c r="G339" i="53"/>
  <c r="X349" i="53"/>
  <c r="S348" i="53"/>
  <c r="X348" i="53" s="1"/>
  <c r="X347" i="53"/>
  <c r="S346" i="53"/>
  <c r="X346" i="53" s="1"/>
  <c r="S344" i="53"/>
  <c r="X344" i="53" s="1"/>
  <c r="S343" i="53"/>
  <c r="X343" i="53" s="1"/>
  <c r="X342" i="53"/>
  <c r="X341" i="53"/>
  <c r="S340" i="53"/>
  <c r="X340" i="53" s="1"/>
  <c r="S339" i="53"/>
  <c r="X339" i="53" s="1"/>
  <c r="X338" i="53"/>
  <c r="AG336" i="53"/>
  <c r="S336" i="53"/>
  <c r="X336" i="53" s="1"/>
  <c r="AG335" i="53"/>
  <c r="S335" i="53"/>
  <c r="X335" i="53" s="1"/>
  <c r="AG334" i="53"/>
  <c r="S334" i="53"/>
  <c r="X334" i="53" s="1"/>
  <c r="X325" i="53"/>
  <c r="S324" i="53"/>
  <c r="X324" i="53" s="1"/>
  <c r="S323" i="53"/>
  <c r="X323" i="53" s="1"/>
  <c r="X321" i="53"/>
  <c r="S317" i="53"/>
  <c r="X317" i="53" s="1"/>
  <c r="X316" i="53"/>
  <c r="S312" i="53"/>
  <c r="X312" i="53" s="1"/>
  <c r="S311" i="53"/>
  <c r="X311" i="53" s="1"/>
  <c r="S310" i="53"/>
  <c r="X310" i="53" s="1"/>
  <c r="S309" i="53"/>
  <c r="X309" i="53" s="1"/>
  <c r="S308" i="53"/>
  <c r="X308" i="53" s="1"/>
  <c r="S307" i="53"/>
  <c r="X307" i="53" s="1"/>
  <c r="S306" i="53"/>
  <c r="X306" i="53" s="1"/>
  <c r="S305" i="53"/>
  <c r="X305" i="53" s="1"/>
  <c r="S304" i="53"/>
  <c r="X304" i="53" s="1"/>
  <c r="S303" i="53"/>
  <c r="X303" i="53" s="1"/>
  <c r="S302" i="53"/>
  <c r="X302" i="53" s="1"/>
  <c r="S301" i="53"/>
  <c r="X301" i="53" s="1"/>
  <c r="S300" i="53"/>
  <c r="X300" i="53" s="1"/>
  <c r="S299" i="53"/>
  <c r="X299" i="53" s="1"/>
  <c r="S296" i="53"/>
  <c r="X296" i="53" s="1"/>
  <c r="S295" i="53"/>
  <c r="X295" i="53" s="1"/>
  <c r="S294" i="53"/>
  <c r="X294" i="53" s="1"/>
  <c r="S293" i="53"/>
  <c r="X293" i="53" s="1"/>
  <c r="S292" i="53"/>
  <c r="X292" i="53" s="1"/>
  <c r="S291" i="53"/>
  <c r="X291" i="53" s="1"/>
  <c r="S290" i="53"/>
  <c r="X290" i="53" s="1"/>
  <c r="S289" i="53"/>
  <c r="X289" i="53" s="1"/>
  <c r="S288" i="53"/>
  <c r="X288" i="53" s="1"/>
  <c r="S287" i="53"/>
  <c r="X287" i="53" s="1"/>
  <c r="S286" i="53"/>
  <c r="X286" i="53" s="1"/>
  <c r="S285" i="53"/>
  <c r="X285" i="53" s="1"/>
  <c r="S284" i="53"/>
  <c r="X284" i="53" s="1"/>
  <c r="S283" i="53"/>
  <c r="X283" i="53" s="1"/>
  <c r="S282" i="53"/>
  <c r="X282" i="53" s="1"/>
  <c r="S281" i="53"/>
  <c r="X281" i="53" s="1"/>
  <c r="S280" i="53"/>
  <c r="X280" i="53" s="1"/>
  <c r="S279" i="53"/>
  <c r="X279" i="53" s="1"/>
  <c r="S278" i="53"/>
  <c r="X278" i="53" s="1"/>
  <c r="S277" i="53"/>
  <c r="X277" i="53" s="1"/>
  <c r="S276" i="53"/>
  <c r="X276" i="53" s="1"/>
  <c r="S275" i="53"/>
  <c r="X275" i="53" s="1"/>
  <c r="S274" i="53"/>
  <c r="X274" i="53" s="1"/>
  <c r="S273" i="53"/>
  <c r="X273" i="53" s="1"/>
  <c r="X272" i="53"/>
  <c r="S269" i="53"/>
  <c r="X269" i="53" s="1"/>
  <c r="S267" i="53"/>
  <c r="X267" i="53" s="1"/>
  <c r="S266" i="53"/>
  <c r="X266" i="53" s="1"/>
  <c r="AG332" i="53"/>
  <c r="Q134" i="55"/>
  <c r="AG323" i="53"/>
  <c r="AG321" i="53"/>
  <c r="AG316" i="53"/>
  <c r="AG310" i="53"/>
  <c r="AG309" i="53"/>
  <c r="AG296" i="53"/>
  <c r="AG295" i="53"/>
  <c r="AG294" i="53"/>
  <c r="AG293" i="53"/>
  <c r="AG292" i="53"/>
  <c r="AG291" i="53"/>
  <c r="AG290" i="53"/>
  <c r="AG289" i="53"/>
  <c r="AG288" i="53"/>
  <c r="AG287" i="53"/>
  <c r="AG286" i="53"/>
  <c r="AG285" i="53"/>
  <c r="AG284" i="53"/>
  <c r="AG283" i="53"/>
  <c r="AG282" i="53"/>
  <c r="AG281" i="53"/>
  <c r="AG280" i="53"/>
  <c r="AG279" i="53"/>
  <c r="AG278" i="53"/>
  <c r="AG277" i="53"/>
  <c r="AG276" i="53"/>
  <c r="AG275" i="53"/>
  <c r="AG274" i="53"/>
  <c r="AG269" i="53"/>
  <c r="Q97" i="55"/>
  <c r="J97" i="55"/>
  <c r="I97" i="55"/>
  <c r="F97" i="55"/>
  <c r="E97" i="55"/>
  <c r="C97" i="55"/>
  <c r="G324" i="53" s="1"/>
  <c r="B97" i="55"/>
  <c r="Q37" i="55"/>
  <c r="J37" i="55"/>
  <c r="I37" i="55"/>
  <c r="F37" i="55"/>
  <c r="E37" i="55"/>
  <c r="C37" i="55"/>
  <c r="G323" i="53"/>
  <c r="B37" i="55"/>
  <c r="Q177" i="55"/>
  <c r="P177" i="55"/>
  <c r="S177" i="55" s="1"/>
  <c r="J177" i="55"/>
  <c r="R177" i="55" s="1"/>
  <c r="I177" i="55"/>
  <c r="F177" i="55"/>
  <c r="E177" i="55"/>
  <c r="C177" i="55"/>
  <c r="Q176" i="55"/>
  <c r="P176" i="55"/>
  <c r="S176" i="55" s="1"/>
  <c r="J176" i="55"/>
  <c r="R176" i="55" s="1"/>
  <c r="I176" i="55"/>
  <c r="F176" i="55"/>
  <c r="E176" i="55"/>
  <c r="C176" i="55"/>
  <c r="B176" i="55"/>
  <c r="Q175" i="55"/>
  <c r="P175" i="55"/>
  <c r="S175" i="55" s="1"/>
  <c r="J175" i="55"/>
  <c r="R175" i="55" s="1"/>
  <c r="T175" i="55" s="1"/>
  <c r="I175" i="55"/>
  <c r="F175" i="55"/>
  <c r="E175" i="55"/>
  <c r="C175" i="55"/>
  <c r="B175" i="55"/>
  <c r="Q174" i="55"/>
  <c r="P174" i="55"/>
  <c r="S174" i="55" s="1"/>
  <c r="J174" i="55"/>
  <c r="R174" i="55" s="1"/>
  <c r="I174" i="55"/>
  <c r="F174" i="55"/>
  <c r="E174" i="55"/>
  <c r="C174" i="55"/>
  <c r="B174" i="55"/>
  <c r="Q169" i="55"/>
  <c r="P169" i="55"/>
  <c r="S169" i="55" s="1"/>
  <c r="J169" i="55"/>
  <c r="R169" i="55" s="1"/>
  <c r="I169" i="55"/>
  <c r="F169" i="55"/>
  <c r="E169" i="55"/>
  <c r="C169" i="55"/>
  <c r="B169" i="55"/>
  <c r="Q168" i="55"/>
  <c r="P168" i="55"/>
  <c r="S168" i="55" s="1"/>
  <c r="J168" i="55"/>
  <c r="R168" i="55" s="1"/>
  <c r="I168" i="55"/>
  <c r="F168" i="55"/>
  <c r="E168" i="55"/>
  <c r="C168" i="55"/>
  <c r="B168" i="55"/>
  <c r="Q167" i="55"/>
  <c r="P167" i="55"/>
  <c r="S167" i="55" s="1"/>
  <c r="J167" i="55"/>
  <c r="R167" i="55" s="1"/>
  <c r="I167" i="55"/>
  <c r="F167" i="55"/>
  <c r="E167" i="55"/>
  <c r="C167" i="55"/>
  <c r="B167" i="55"/>
  <c r="G168" i="53"/>
  <c r="Q165" i="55"/>
  <c r="P165" i="55"/>
  <c r="S165" i="55" s="1"/>
  <c r="J165" i="55"/>
  <c r="R165" i="55" s="1"/>
  <c r="I165" i="55"/>
  <c r="F165" i="55"/>
  <c r="E165" i="55"/>
  <c r="C165" i="55"/>
  <c r="B165" i="55"/>
  <c r="Q161" i="55"/>
  <c r="P161" i="55"/>
  <c r="S161" i="55" s="1"/>
  <c r="J161" i="55"/>
  <c r="R161" i="55"/>
  <c r="I161" i="55"/>
  <c r="F161" i="55"/>
  <c r="E161" i="55"/>
  <c r="C161" i="55"/>
  <c r="B161" i="55"/>
  <c r="Q160" i="55"/>
  <c r="J160" i="55"/>
  <c r="I160" i="55"/>
  <c r="F160" i="55"/>
  <c r="E160" i="55"/>
  <c r="C160" i="55"/>
  <c r="B160" i="55"/>
  <c r="Q159" i="55"/>
  <c r="J159" i="55"/>
  <c r="I159" i="55"/>
  <c r="F159" i="55"/>
  <c r="E159" i="55"/>
  <c r="C159" i="55"/>
  <c r="B159" i="55"/>
  <c r="G336" i="53"/>
  <c r="Q138" i="55"/>
  <c r="J138" i="55"/>
  <c r="R138" i="55" s="1"/>
  <c r="I138" i="55"/>
  <c r="F138" i="55"/>
  <c r="E138" i="55"/>
  <c r="C138" i="55"/>
  <c r="G334" i="53"/>
  <c r="B138" i="55"/>
  <c r="Q137" i="55"/>
  <c r="J137" i="55"/>
  <c r="I137" i="55"/>
  <c r="F137" i="55"/>
  <c r="E137" i="55"/>
  <c r="C137" i="55"/>
  <c r="G217" i="53"/>
  <c r="B137" i="55"/>
  <c r="Q136" i="55"/>
  <c r="J136" i="55"/>
  <c r="I136" i="55"/>
  <c r="F136" i="55"/>
  <c r="E136" i="55"/>
  <c r="C136" i="55"/>
  <c r="B136" i="55"/>
  <c r="J134" i="55"/>
  <c r="I134" i="55"/>
  <c r="F134" i="55"/>
  <c r="E134" i="55"/>
  <c r="C134" i="55"/>
  <c r="G332" i="53" s="1"/>
  <c r="B134" i="55"/>
  <c r="Q133" i="55"/>
  <c r="J133" i="55"/>
  <c r="R133" i="55" s="1"/>
  <c r="I133" i="55"/>
  <c r="F133" i="55"/>
  <c r="E133" i="55"/>
  <c r="C133" i="55"/>
  <c r="G335" i="53" s="1"/>
  <c r="B133" i="55"/>
  <c r="Q132" i="55"/>
  <c r="J132" i="55"/>
  <c r="I132" i="55"/>
  <c r="F132" i="55"/>
  <c r="E132" i="55"/>
  <c r="B132" i="55"/>
  <c r="Q131" i="55"/>
  <c r="J131" i="55"/>
  <c r="I131" i="55"/>
  <c r="F131" i="55"/>
  <c r="E131" i="55"/>
  <c r="C131" i="55"/>
  <c r="Q130" i="55"/>
  <c r="J130" i="55"/>
  <c r="I130" i="55"/>
  <c r="F130" i="55"/>
  <c r="E130" i="55"/>
  <c r="C130" i="55"/>
  <c r="B130" i="55"/>
  <c r="Q128" i="55"/>
  <c r="J128" i="55"/>
  <c r="I128" i="55"/>
  <c r="F128" i="55"/>
  <c r="E128" i="55"/>
  <c r="C128" i="55"/>
  <c r="B128" i="55"/>
  <c r="Q126" i="55"/>
  <c r="J126" i="55"/>
  <c r="I126" i="55"/>
  <c r="F126" i="55"/>
  <c r="E126" i="55"/>
  <c r="C126" i="55"/>
  <c r="B126" i="55"/>
  <c r="Q124" i="55"/>
  <c r="P124" i="55"/>
  <c r="S124" i="55" s="1"/>
  <c r="J124" i="55"/>
  <c r="R124" i="55" s="1"/>
  <c r="I124" i="55"/>
  <c r="F124" i="55"/>
  <c r="E124" i="55"/>
  <c r="C124" i="55"/>
  <c r="B124" i="55"/>
  <c r="Q123" i="55"/>
  <c r="J123" i="55"/>
  <c r="I123" i="55"/>
  <c r="F123" i="55"/>
  <c r="E123" i="55"/>
  <c r="C123" i="55"/>
  <c r="B123" i="55"/>
  <c r="Q122" i="55"/>
  <c r="J122" i="55"/>
  <c r="I122" i="55"/>
  <c r="F122" i="55"/>
  <c r="E122" i="55"/>
  <c r="C122" i="55"/>
  <c r="G154" i="53"/>
  <c r="B122" i="55"/>
  <c r="Q121" i="55"/>
  <c r="J121" i="55"/>
  <c r="I121" i="55"/>
  <c r="F121" i="55"/>
  <c r="E121" i="55"/>
  <c r="C121" i="55"/>
  <c r="G321" i="53"/>
  <c r="B121" i="55"/>
  <c r="Q120" i="55"/>
  <c r="J120" i="55"/>
  <c r="I120" i="55"/>
  <c r="F120" i="55"/>
  <c r="E120" i="55"/>
  <c r="C120" i="55"/>
  <c r="G162" i="53"/>
  <c r="B120" i="55"/>
  <c r="Q119" i="55"/>
  <c r="J119" i="55"/>
  <c r="I119" i="55"/>
  <c r="F119" i="55"/>
  <c r="E119" i="55"/>
  <c r="C119" i="55"/>
  <c r="G103" i="53"/>
  <c r="B119" i="55"/>
  <c r="Q118" i="55"/>
  <c r="J118" i="55"/>
  <c r="I118" i="55"/>
  <c r="F118" i="55"/>
  <c r="E118" i="55"/>
  <c r="C118" i="55"/>
  <c r="G101" i="53"/>
  <c r="B118" i="55"/>
  <c r="Q117" i="55"/>
  <c r="J117" i="55"/>
  <c r="I117" i="55"/>
  <c r="F117" i="55"/>
  <c r="E117" i="55"/>
  <c r="C117" i="55"/>
  <c r="B117" i="55"/>
  <c r="Q116" i="55"/>
  <c r="J116" i="55"/>
  <c r="I116" i="55"/>
  <c r="F116" i="55"/>
  <c r="E116" i="55"/>
  <c r="C116" i="55"/>
  <c r="B116" i="55"/>
  <c r="Q115" i="55"/>
  <c r="J115" i="55"/>
  <c r="I115" i="55"/>
  <c r="F115" i="55"/>
  <c r="E115" i="55"/>
  <c r="C115" i="55"/>
  <c r="B115" i="55"/>
  <c r="Q114" i="55"/>
  <c r="J114" i="55"/>
  <c r="I114" i="55"/>
  <c r="F114" i="55"/>
  <c r="E114" i="55"/>
  <c r="C114" i="55"/>
  <c r="G258" i="53" s="1"/>
  <c r="Q112" i="55"/>
  <c r="J112" i="55"/>
  <c r="I112" i="55"/>
  <c r="F112" i="55"/>
  <c r="E112" i="55"/>
  <c r="C112" i="55"/>
  <c r="B112" i="55"/>
  <c r="Q111" i="55"/>
  <c r="J111" i="55"/>
  <c r="I111" i="55"/>
  <c r="F111" i="55"/>
  <c r="E111" i="55"/>
  <c r="C111" i="55"/>
  <c r="B111" i="55"/>
  <c r="Q110" i="55"/>
  <c r="J110" i="55"/>
  <c r="I110" i="55"/>
  <c r="F110" i="55"/>
  <c r="E110" i="55"/>
  <c r="C110" i="55"/>
  <c r="G166" i="53" s="1"/>
  <c r="B110" i="55"/>
  <c r="Q109" i="55"/>
  <c r="J109" i="55"/>
  <c r="I109" i="55"/>
  <c r="F109" i="55"/>
  <c r="E109" i="55"/>
  <c r="C109" i="55"/>
  <c r="G165" i="53" s="1"/>
  <c r="B109" i="55"/>
  <c r="Q108" i="55"/>
  <c r="J108" i="55"/>
  <c r="R108" i="55" s="1"/>
  <c r="I108" i="55"/>
  <c r="F108" i="55"/>
  <c r="E108" i="55"/>
  <c r="C108" i="55"/>
  <c r="B108" i="55"/>
  <c r="Q107" i="55"/>
  <c r="J107" i="55"/>
  <c r="R107" i="55" s="1"/>
  <c r="I107" i="55"/>
  <c r="F107" i="55"/>
  <c r="E107" i="55"/>
  <c r="C107" i="55"/>
  <c r="B107" i="55"/>
  <c r="Q104" i="55"/>
  <c r="J104" i="55"/>
  <c r="I104" i="55"/>
  <c r="F104" i="55"/>
  <c r="E104" i="55"/>
  <c r="C104" i="55"/>
  <c r="B104" i="55"/>
  <c r="Q103" i="55"/>
  <c r="J103" i="55"/>
  <c r="I103" i="55"/>
  <c r="F103" i="55"/>
  <c r="E103" i="55"/>
  <c r="C103" i="55"/>
  <c r="G163" i="53"/>
  <c r="B103" i="55"/>
  <c r="Q102" i="55"/>
  <c r="J102" i="55"/>
  <c r="I102" i="55"/>
  <c r="F102" i="55"/>
  <c r="E102" i="55"/>
  <c r="C102" i="55"/>
  <c r="G159" i="53"/>
  <c r="B102" i="55"/>
  <c r="G139" i="53"/>
  <c r="G301" i="53"/>
  <c r="Q99" i="55"/>
  <c r="J99" i="55"/>
  <c r="I99" i="55"/>
  <c r="F99" i="55"/>
  <c r="E99" i="55"/>
  <c r="C99" i="55"/>
  <c r="G209" i="53" s="1"/>
  <c r="B99" i="55"/>
  <c r="Q98" i="55"/>
  <c r="J98" i="55"/>
  <c r="I98" i="55"/>
  <c r="F98" i="55"/>
  <c r="E98" i="55"/>
  <c r="C98" i="55"/>
  <c r="G297" i="53"/>
  <c r="B98" i="55"/>
  <c r="Q96" i="55"/>
  <c r="J96" i="55"/>
  <c r="I96" i="55"/>
  <c r="F96" i="55"/>
  <c r="E96" i="55"/>
  <c r="C96" i="55"/>
  <c r="G100" i="53" s="1"/>
  <c r="B96" i="55"/>
  <c r="Q93" i="55"/>
  <c r="J93" i="55"/>
  <c r="R93" i="55" s="1"/>
  <c r="I93" i="55"/>
  <c r="F93" i="55"/>
  <c r="E93" i="55"/>
  <c r="C93" i="55"/>
  <c r="G296" i="53" s="1"/>
  <c r="B93" i="55"/>
  <c r="G96" i="53"/>
  <c r="Q90" i="55"/>
  <c r="P90" i="55"/>
  <c r="S90" i="55" s="1"/>
  <c r="T90" i="55" s="1"/>
  <c r="J90" i="55"/>
  <c r="R90" i="55" s="1"/>
  <c r="I90" i="55"/>
  <c r="F90" i="55"/>
  <c r="E90" i="55"/>
  <c r="C90" i="55"/>
  <c r="B90" i="55"/>
  <c r="Q88" i="55"/>
  <c r="P88" i="55"/>
  <c r="S88" i="55" s="1"/>
  <c r="J88" i="55"/>
  <c r="R88" i="55" s="1"/>
  <c r="I88" i="55"/>
  <c r="F88" i="55"/>
  <c r="E88" i="55"/>
  <c r="C88" i="55"/>
  <c r="B88" i="55"/>
  <c r="Q87" i="55"/>
  <c r="P87" i="55"/>
  <c r="S87" i="55" s="1"/>
  <c r="J87" i="55"/>
  <c r="R87" i="55" s="1"/>
  <c r="I87" i="55"/>
  <c r="F87" i="55"/>
  <c r="E87" i="55"/>
  <c r="C87" i="55"/>
  <c r="B87" i="55"/>
  <c r="G317" i="53"/>
  <c r="G311" i="53"/>
  <c r="G273" i="53"/>
  <c r="G267" i="53"/>
  <c r="I6" i="52"/>
  <c r="X263" i="53"/>
  <c r="G263" i="53"/>
  <c r="B20" i="59"/>
  <c r="B18" i="59"/>
  <c r="E17" i="55"/>
  <c r="S18" i="53"/>
  <c r="X18" i="53" s="1"/>
  <c r="S6" i="53"/>
  <c r="B7" i="55"/>
  <c r="B4" i="59"/>
  <c r="B5" i="59"/>
  <c r="B6" i="59"/>
  <c r="T2" i="53"/>
  <c r="O384" i="53"/>
  <c r="K2" i="53"/>
  <c r="G19" i="53"/>
  <c r="G29" i="53"/>
  <c r="K20" i="59"/>
  <c r="I7" i="55"/>
  <c r="D20" i="59"/>
  <c r="D18" i="59"/>
  <c r="D19" i="59"/>
  <c r="D6" i="59"/>
  <c r="D5" i="59"/>
  <c r="D4" i="59"/>
  <c r="I8" i="55"/>
  <c r="S19" i="53"/>
  <c r="X19" i="53" s="1"/>
  <c r="AD2" i="53"/>
  <c r="AC2" i="53"/>
  <c r="AB2" i="53"/>
  <c r="W2" i="53"/>
  <c r="V2" i="53"/>
  <c r="U2" i="53"/>
  <c r="R2" i="53"/>
  <c r="O2" i="53"/>
  <c r="S6" i="59"/>
  <c r="R6" i="59"/>
  <c r="Q6" i="59"/>
  <c r="P6" i="59"/>
  <c r="K6" i="59"/>
  <c r="J6" i="59"/>
  <c r="I6" i="59"/>
  <c r="E6" i="59"/>
  <c r="C6" i="59"/>
  <c r="S5" i="59"/>
  <c r="R5" i="59"/>
  <c r="Q5" i="59"/>
  <c r="P5" i="59"/>
  <c r="Q4" i="59"/>
  <c r="K5" i="59"/>
  <c r="J5" i="59"/>
  <c r="E5" i="59"/>
  <c r="C5" i="59"/>
  <c r="S4" i="59"/>
  <c r="R4" i="59"/>
  <c r="K4" i="59"/>
  <c r="J4" i="59"/>
  <c r="E4" i="59"/>
  <c r="AG34" i="53"/>
  <c r="AG37" i="53"/>
  <c r="AG38" i="53"/>
  <c r="AG39" i="53"/>
  <c r="AG48" i="53"/>
  <c r="AG49" i="53"/>
  <c r="AG50" i="53"/>
  <c r="AG51" i="53"/>
  <c r="AG52" i="53"/>
  <c r="AG53" i="53"/>
  <c r="AG54" i="53"/>
  <c r="AG55" i="53"/>
  <c r="AG56" i="53"/>
  <c r="AG57" i="53"/>
  <c r="AG58" i="53"/>
  <c r="AG59" i="53"/>
  <c r="AG65" i="53"/>
  <c r="AG66" i="53"/>
  <c r="AG68" i="53"/>
  <c r="AG72" i="53"/>
  <c r="AG74" i="53"/>
  <c r="AG75" i="53"/>
  <c r="AG76" i="53"/>
  <c r="AG78" i="53"/>
  <c r="AG79" i="53"/>
  <c r="AG80" i="53"/>
  <c r="AG81" i="53"/>
  <c r="AG82" i="53"/>
  <c r="AG83" i="53"/>
  <c r="AG84" i="53"/>
  <c r="AG85" i="53"/>
  <c r="AG86" i="53"/>
  <c r="AG87" i="53"/>
  <c r="AG96" i="53"/>
  <c r="AG97" i="53"/>
  <c r="AG101" i="53"/>
  <c r="AG102" i="53"/>
  <c r="AG103" i="53"/>
  <c r="AG104" i="53"/>
  <c r="AG118" i="53"/>
  <c r="AG119" i="53"/>
  <c r="AG120" i="53"/>
  <c r="AG121" i="53"/>
  <c r="AG122" i="53"/>
  <c r="AG139" i="53"/>
  <c r="AG147" i="53"/>
  <c r="AG148" i="53"/>
  <c r="AG149" i="53"/>
  <c r="AG151" i="53"/>
  <c r="AG152" i="53"/>
  <c r="AG153" i="53"/>
  <c r="AG154" i="53"/>
  <c r="AG155" i="53"/>
  <c r="AG161" i="53"/>
  <c r="AG162" i="53"/>
  <c r="AG163" i="53"/>
  <c r="AG164" i="53"/>
  <c r="AG165" i="53"/>
  <c r="AG166" i="53"/>
  <c r="AG168" i="53"/>
  <c r="AG169" i="53"/>
  <c r="AG171" i="53"/>
  <c r="AG196" i="53"/>
  <c r="AG197" i="53"/>
  <c r="AG198" i="53"/>
  <c r="AG205" i="53"/>
  <c r="AG212" i="53"/>
  <c r="AG213" i="53"/>
  <c r="AG214" i="53"/>
  <c r="AG216" i="53"/>
  <c r="AG217" i="53"/>
  <c r="AG257" i="53"/>
  <c r="AG260" i="53"/>
  <c r="AG261" i="53"/>
  <c r="AG265" i="53"/>
  <c r="AG22" i="53"/>
  <c r="AG23" i="53"/>
  <c r="AG24" i="53"/>
  <c r="J17" i="55"/>
  <c r="R17" i="55" s="1"/>
  <c r="P17" i="55"/>
  <c r="S17" i="55" s="1"/>
  <c r="T17" i="55" s="1"/>
  <c r="J18" i="55"/>
  <c r="R18" i="55" s="1"/>
  <c r="J15" i="55"/>
  <c r="D79" i="55" a="1"/>
  <c r="D79" i="55" s="1"/>
  <c r="H79" i="55" s="1"/>
  <c r="I9" i="55"/>
  <c r="I14" i="55"/>
  <c r="I15" i="55"/>
  <c r="I16" i="55"/>
  <c r="I17" i="55"/>
  <c r="I18" i="55"/>
  <c r="I21" i="55"/>
  <c r="I24" i="55"/>
  <c r="I25" i="55"/>
  <c r="I27" i="55"/>
  <c r="I29" i="55"/>
  <c r="I30" i="55"/>
  <c r="I31" i="55"/>
  <c r="Q9" i="55"/>
  <c r="Q14" i="55"/>
  <c r="Q15" i="55"/>
  <c r="Q16" i="55"/>
  <c r="Q17" i="55"/>
  <c r="Q18" i="55"/>
  <c r="Q21" i="55"/>
  <c r="Q24" i="55"/>
  <c r="Q25" i="55"/>
  <c r="Q27" i="55"/>
  <c r="Q29" i="55"/>
  <c r="Q30" i="55"/>
  <c r="Q31" i="55"/>
  <c r="Q8" i="55"/>
  <c r="Q7" i="55"/>
  <c r="J9" i="55"/>
  <c r="J14" i="55"/>
  <c r="J16" i="55"/>
  <c r="R16" i="55" s="1"/>
  <c r="J21" i="55"/>
  <c r="R21" i="55" s="1"/>
  <c r="J24" i="55"/>
  <c r="J25" i="55"/>
  <c r="J27" i="55"/>
  <c r="J29" i="55"/>
  <c r="J30" i="55"/>
  <c r="J31" i="55"/>
  <c r="J8" i="55"/>
  <c r="J7" i="55"/>
  <c r="E9" i="55"/>
  <c r="E14" i="55"/>
  <c r="E15" i="55"/>
  <c r="E16" i="55"/>
  <c r="E18" i="55"/>
  <c r="E21" i="55"/>
  <c r="E24" i="55"/>
  <c r="E25" i="55"/>
  <c r="E27" i="55"/>
  <c r="E29" i="55"/>
  <c r="E30" i="55"/>
  <c r="E31" i="55"/>
  <c r="E36" i="55"/>
  <c r="E38" i="55"/>
  <c r="E40" i="55"/>
  <c r="E41" i="55"/>
  <c r="E45" i="55"/>
  <c r="E46" i="55"/>
  <c r="E47" i="55"/>
  <c r="E48" i="55"/>
  <c r="E49" i="55"/>
  <c r="E50" i="55"/>
  <c r="E51" i="55"/>
  <c r="E53" i="55"/>
  <c r="E54" i="55"/>
  <c r="E55" i="55"/>
  <c r="E56" i="55"/>
  <c r="E57" i="55"/>
  <c r="E58" i="55"/>
  <c r="E59" i="55"/>
  <c r="E60" i="55"/>
  <c r="E61" i="55"/>
  <c r="E62" i="55"/>
  <c r="E66" i="55"/>
  <c r="E67" i="55"/>
  <c r="E71" i="55"/>
  <c r="E72" i="55"/>
  <c r="E73" i="55"/>
  <c r="E76" i="55"/>
  <c r="E77" i="55"/>
  <c r="E78" i="55"/>
  <c r="E79" i="55"/>
  <c r="E80" i="55"/>
  <c r="E86" i="55"/>
  <c r="E8" i="55"/>
  <c r="E7" i="55"/>
  <c r="B14" i="55"/>
  <c r="B15" i="55"/>
  <c r="B16" i="55"/>
  <c r="B17" i="55"/>
  <c r="B18" i="55"/>
  <c r="B21" i="55"/>
  <c r="B24" i="55"/>
  <c r="B25" i="55"/>
  <c r="B27" i="55"/>
  <c r="B29" i="55"/>
  <c r="B30" i="55"/>
  <c r="B31" i="55"/>
  <c r="B36" i="55"/>
  <c r="B38" i="55"/>
  <c r="B40" i="55"/>
  <c r="B41" i="55"/>
  <c r="B45" i="55"/>
  <c r="B46" i="55"/>
  <c r="B47" i="55"/>
  <c r="B48" i="55"/>
  <c r="B49" i="55"/>
  <c r="B50" i="55"/>
  <c r="B51" i="55"/>
  <c r="B53" i="55"/>
  <c r="B54" i="55"/>
  <c r="B55" i="55"/>
  <c r="B56" i="55"/>
  <c r="B57" i="55"/>
  <c r="B58" i="55"/>
  <c r="B59" i="55"/>
  <c r="B60" i="55"/>
  <c r="B61" i="55"/>
  <c r="B62" i="55"/>
  <c r="B66" i="55"/>
  <c r="B67" i="55"/>
  <c r="B71" i="55"/>
  <c r="B72" i="55"/>
  <c r="B73" i="55"/>
  <c r="B76" i="55"/>
  <c r="B77" i="55"/>
  <c r="B78" i="55"/>
  <c r="B79" i="55"/>
  <c r="B80" i="55"/>
  <c r="B86" i="55"/>
  <c r="B9" i="55"/>
  <c r="B8" i="55"/>
  <c r="G92" i="53"/>
  <c r="G11" i="53"/>
  <c r="F15" i="55"/>
  <c r="F17" i="55"/>
  <c r="F25" i="55"/>
  <c r="F50" i="55"/>
  <c r="F58" i="55"/>
  <c r="F60" i="55"/>
  <c r="F67" i="55"/>
  <c r="F73" i="55"/>
  <c r="F8" i="55"/>
  <c r="F9" i="55"/>
  <c r="F14" i="55"/>
  <c r="F16" i="55"/>
  <c r="F18" i="55"/>
  <c r="F21" i="55"/>
  <c r="F24" i="55"/>
  <c r="F27" i="55"/>
  <c r="F29" i="55"/>
  <c r="F30" i="55"/>
  <c r="F31" i="55"/>
  <c r="F36" i="55"/>
  <c r="F38" i="55"/>
  <c r="F40" i="55"/>
  <c r="F41" i="55"/>
  <c r="F45" i="55"/>
  <c r="F46" i="55"/>
  <c r="F47" i="55"/>
  <c r="F48" i="55"/>
  <c r="F49" i="55"/>
  <c r="F51" i="55"/>
  <c r="F53" i="55"/>
  <c r="F54" i="55"/>
  <c r="F55" i="55"/>
  <c r="F56" i="55"/>
  <c r="F57" i="55"/>
  <c r="F59" i="55"/>
  <c r="F61" i="55"/>
  <c r="F62" i="55"/>
  <c r="F66" i="55"/>
  <c r="F71" i="55"/>
  <c r="F72" i="55"/>
  <c r="F76" i="55"/>
  <c r="F77" i="55"/>
  <c r="F78" i="55"/>
  <c r="F79" i="55"/>
  <c r="F80" i="55"/>
  <c r="F86" i="55"/>
  <c r="C16" i="55"/>
  <c r="G114" i="53"/>
  <c r="C17" i="55"/>
  <c r="C18" i="55"/>
  <c r="C21" i="55"/>
  <c r="G42" i="53"/>
  <c r="C24" i="55"/>
  <c r="C25" i="55"/>
  <c r="G268" i="53"/>
  <c r="G25" i="53"/>
  <c r="C27" i="55"/>
  <c r="C29" i="55"/>
  <c r="C30" i="55"/>
  <c r="G337" i="53" s="1"/>
  <c r="G30" i="53"/>
  <c r="C31" i="55"/>
  <c r="G218" i="53"/>
  <c r="C36" i="55"/>
  <c r="G78" i="53" s="1"/>
  <c r="C38" i="55"/>
  <c r="G271" i="53"/>
  <c r="C40" i="55"/>
  <c r="C41" i="55"/>
  <c r="G201" i="53"/>
  <c r="G286" i="53"/>
  <c r="C45" i="55"/>
  <c r="G53" i="53" s="1"/>
  <c r="C46" i="55"/>
  <c r="G82" i="53"/>
  <c r="C47" i="55"/>
  <c r="G65" i="53"/>
  <c r="C48" i="55"/>
  <c r="C49" i="55"/>
  <c r="G81" i="53"/>
  <c r="C50" i="55"/>
  <c r="G86" i="53" s="1"/>
  <c r="C53" i="55"/>
  <c r="C54" i="55"/>
  <c r="G68" i="53" s="1"/>
  <c r="C55" i="55"/>
  <c r="C56" i="55"/>
  <c r="G21" i="53"/>
  <c r="C57" i="55"/>
  <c r="G24" i="53" s="1"/>
  <c r="G259" i="53"/>
  <c r="C58" i="55"/>
  <c r="G84" i="53"/>
  <c r="C59" i="55"/>
  <c r="C60" i="55"/>
  <c r="C61" i="55"/>
  <c r="C62" i="55"/>
  <c r="G62" i="53"/>
  <c r="G63" i="53"/>
  <c r="C66" i="55"/>
  <c r="C67" i="55"/>
  <c r="C71" i="55"/>
  <c r="C72" i="55"/>
  <c r="G213" i="53"/>
  <c r="C73" i="55"/>
  <c r="G261" i="53" s="1"/>
  <c r="G129" i="53"/>
  <c r="C76" i="55"/>
  <c r="C77" i="55"/>
  <c r="C78" i="55"/>
  <c r="G144" i="53"/>
  <c r="C79" i="55"/>
  <c r="C80" i="55"/>
  <c r="G257" i="53" s="1"/>
  <c r="G264" i="53"/>
  <c r="C86" i="55"/>
  <c r="C9" i="55"/>
  <c r="G108" i="53"/>
  <c r="G266" i="53"/>
  <c r="G110" i="53"/>
  <c r="C14" i="55"/>
  <c r="G265" i="53" s="1"/>
  <c r="C15" i="55"/>
  <c r="G113" i="53"/>
  <c r="C8" i="55"/>
  <c r="I13" i="52"/>
  <c r="I12" i="52"/>
  <c r="I11" i="52"/>
  <c r="I4" i="52"/>
  <c r="G123" i="53"/>
  <c r="G26" i="53"/>
  <c r="G115" i="53"/>
  <c r="G116" i="53"/>
  <c r="G117" i="53"/>
  <c r="G18" i="53"/>
  <c r="G107" i="53"/>
  <c r="G44" i="53"/>
  <c r="G32" i="53"/>
  <c r="G33" i="53"/>
  <c r="G70" i="53"/>
  <c r="G9" i="53"/>
  <c r="G10" i="53"/>
  <c r="G140" i="53"/>
  <c r="G141" i="53"/>
  <c r="G142" i="53"/>
  <c r="G138" i="53"/>
  <c r="G136" i="53"/>
  <c r="G137" i="53"/>
  <c r="G67" i="53"/>
  <c r="G13" i="53"/>
  <c r="G60" i="53"/>
  <c r="G28" i="53"/>
  <c r="G109" i="53"/>
  <c r="G111" i="53"/>
  <c r="G112" i="53"/>
  <c r="G219" i="53"/>
  <c r="G223" i="53"/>
  <c r="G254" i="53"/>
  <c r="S8" i="53"/>
  <c r="X8" i="53" s="1"/>
  <c r="B19" i="59"/>
  <c r="I12" i="59"/>
  <c r="J20" i="59"/>
  <c r="J18" i="59"/>
  <c r="J19" i="59"/>
  <c r="K19" i="59"/>
  <c r="K18" i="59"/>
  <c r="K13" i="59"/>
  <c r="K11" i="59"/>
  <c r="K12" i="59"/>
  <c r="J13" i="59"/>
  <c r="J12" i="59"/>
  <c r="J11" i="59"/>
  <c r="S11" i="59"/>
  <c r="S12" i="59"/>
  <c r="S13" i="59"/>
  <c r="S20" i="59"/>
  <c r="S18" i="59"/>
  <c r="S19" i="59"/>
  <c r="R20" i="59"/>
  <c r="R18" i="59"/>
  <c r="R19" i="59"/>
  <c r="R13" i="59"/>
  <c r="R11" i="59"/>
  <c r="R12" i="59"/>
  <c r="AD384" i="53"/>
  <c r="AC384" i="53"/>
  <c r="W384" i="53"/>
  <c r="V384" i="53"/>
  <c r="H18" i="59"/>
  <c r="H19" i="59"/>
  <c r="H20" i="59"/>
  <c r="C19" i="59"/>
  <c r="I19" i="59"/>
  <c r="C20" i="59"/>
  <c r="C18" i="59"/>
  <c r="I18" i="59"/>
  <c r="H11" i="59"/>
  <c r="H12" i="59"/>
  <c r="I11" i="59"/>
  <c r="Q12" i="59"/>
  <c r="P12" i="59"/>
  <c r="Q13" i="59"/>
  <c r="P13" i="59"/>
  <c r="P11" i="59"/>
  <c r="Q11" i="59"/>
  <c r="E19" i="59"/>
  <c r="E20" i="59"/>
  <c r="Q19" i="59"/>
  <c r="P19" i="59"/>
  <c r="Q18" i="59"/>
  <c r="P20" i="59"/>
  <c r="Q20" i="59"/>
  <c r="I20" i="59"/>
  <c r="E18" i="59"/>
  <c r="X265" i="53"/>
  <c r="X264" i="53"/>
  <c r="X262" i="53"/>
  <c r="X261" i="53"/>
  <c r="X260" i="53"/>
  <c r="X259" i="53"/>
  <c r="X258" i="53"/>
  <c r="X257" i="53"/>
  <c r="S245" i="53"/>
  <c r="X245" i="53" s="1"/>
  <c r="S242" i="53"/>
  <c r="X242" i="53" s="1"/>
  <c r="S256" i="53"/>
  <c r="X256" i="53" s="1"/>
  <c r="S255" i="53"/>
  <c r="X255" i="53" s="1"/>
  <c r="S254" i="53"/>
  <c r="X254" i="53"/>
  <c r="S253" i="53"/>
  <c r="X253" i="53" s="1"/>
  <c r="X226" i="53"/>
  <c r="X223" i="53"/>
  <c r="X219" i="53"/>
  <c r="X218" i="53"/>
  <c r="X217" i="53"/>
  <c r="X216" i="53"/>
  <c r="S214" i="53"/>
  <c r="X214" i="53" s="1"/>
  <c r="S213" i="53"/>
  <c r="X213" i="53" s="1"/>
  <c r="S212" i="53"/>
  <c r="X212" i="53" s="1"/>
  <c r="S205" i="53"/>
  <c r="X205" i="53" s="1"/>
  <c r="S198" i="53"/>
  <c r="X198" i="53" s="1"/>
  <c r="X197" i="53"/>
  <c r="S195" i="53"/>
  <c r="X195" i="53" s="1"/>
  <c r="S194" i="53"/>
  <c r="X194" i="53" s="1"/>
  <c r="S193" i="53"/>
  <c r="X193" i="53" s="1"/>
  <c r="S192" i="53"/>
  <c r="X192" i="53" s="1"/>
  <c r="S191" i="53"/>
  <c r="X191" i="53" s="1"/>
  <c r="S190" i="53"/>
  <c r="X190" i="53" s="1"/>
  <c r="S189" i="53"/>
  <c r="X189" i="53" s="1"/>
  <c r="S188" i="53"/>
  <c r="X188" i="53" s="1"/>
  <c r="S187" i="53"/>
  <c r="X187" i="53" s="1"/>
  <c r="S186" i="53"/>
  <c r="X186" i="53" s="1"/>
  <c r="S185" i="53"/>
  <c r="X185" i="53" s="1"/>
  <c r="S184" i="53"/>
  <c r="X184" i="53"/>
  <c r="X183" i="53"/>
  <c r="S182" i="53"/>
  <c r="X182" i="53" s="1"/>
  <c r="S181" i="53"/>
  <c r="X181" i="53" s="1"/>
  <c r="S180" i="53"/>
  <c r="X180" i="53" s="1"/>
  <c r="S179" i="53"/>
  <c r="X179" i="53" s="1"/>
  <c r="S178" i="53"/>
  <c r="X178" i="53" s="1"/>
  <c r="X177" i="53"/>
  <c r="X176" i="53"/>
  <c r="X175" i="53"/>
  <c r="X174" i="53"/>
  <c r="S173" i="53"/>
  <c r="X173" i="53" s="1"/>
  <c r="S172" i="53"/>
  <c r="X172" i="53" s="1"/>
  <c r="X171" i="53"/>
  <c r="S169" i="53"/>
  <c r="X169" i="53" s="1"/>
  <c r="S168" i="53"/>
  <c r="X168" i="53" s="1"/>
  <c r="S166" i="53"/>
  <c r="X166" i="53" s="1"/>
  <c r="S165" i="53"/>
  <c r="X165" i="53" s="1"/>
  <c r="S164" i="53"/>
  <c r="X164" i="53" s="1"/>
  <c r="S163" i="53"/>
  <c r="X163" i="53" s="1"/>
  <c r="S162" i="53"/>
  <c r="X162" i="53" s="1"/>
  <c r="S161" i="53"/>
  <c r="X161" i="53" s="1"/>
  <c r="S160" i="53"/>
  <c r="X160" i="53" s="1"/>
  <c r="S159" i="53"/>
  <c r="X159" i="53" s="1"/>
  <c r="X155" i="53"/>
  <c r="S154" i="53"/>
  <c r="X154" i="53" s="1"/>
  <c r="S153" i="53"/>
  <c r="X153" i="53" s="1"/>
  <c r="S152" i="53"/>
  <c r="X152" i="53" s="1"/>
  <c r="S151" i="53"/>
  <c r="X151" i="53" s="1"/>
  <c r="S150" i="53"/>
  <c r="X150" i="53" s="1"/>
  <c r="S149" i="53"/>
  <c r="X149" i="53" s="1"/>
  <c r="S148" i="53"/>
  <c r="X148" i="53"/>
  <c r="S147" i="53"/>
  <c r="X147" i="53"/>
  <c r="S146" i="53"/>
  <c r="X146" i="53" s="1"/>
  <c r="S145" i="53"/>
  <c r="X145" i="53" s="1"/>
  <c r="S143" i="53"/>
  <c r="X143" i="53" s="1"/>
  <c r="S142" i="53"/>
  <c r="X142" i="53" s="1"/>
  <c r="S141" i="53"/>
  <c r="X141" i="53" s="1"/>
  <c r="S140" i="53"/>
  <c r="X140" i="53" s="1"/>
  <c r="S139" i="53"/>
  <c r="X139" i="53" s="1"/>
  <c r="S138" i="53"/>
  <c r="X138" i="53" s="1"/>
  <c r="S137" i="53"/>
  <c r="X137" i="53" s="1"/>
  <c r="S136" i="53"/>
  <c r="X136" i="53" s="1"/>
  <c r="S135" i="53"/>
  <c r="X135" i="53" s="1"/>
  <c r="S134" i="53"/>
  <c r="X134" i="53" s="1"/>
  <c r="S133" i="53"/>
  <c r="X133" i="53" s="1"/>
  <c r="S132" i="53"/>
  <c r="X132" i="53" s="1"/>
  <c r="S131" i="53"/>
  <c r="X131" i="53" s="1"/>
  <c r="S130" i="53"/>
  <c r="X130" i="53" s="1"/>
  <c r="S129" i="53"/>
  <c r="X129" i="53" s="1"/>
  <c r="S128" i="53"/>
  <c r="X128" i="53" s="1"/>
  <c r="S127" i="53"/>
  <c r="X127" i="53" s="1"/>
  <c r="S126" i="53"/>
  <c r="X126" i="53" s="1"/>
  <c r="S125" i="53"/>
  <c r="X125" i="53" s="1"/>
  <c r="S124" i="53"/>
  <c r="X124" i="53" s="1"/>
  <c r="S123" i="53"/>
  <c r="X123" i="53" s="1"/>
  <c r="S122" i="53"/>
  <c r="X122" i="53" s="1"/>
  <c r="S121" i="53"/>
  <c r="X121" i="53" s="1"/>
  <c r="S120" i="53"/>
  <c r="X120" i="53" s="1"/>
  <c r="S119" i="53"/>
  <c r="X119" i="53" s="1"/>
  <c r="S118" i="53"/>
  <c r="X118" i="53" s="1"/>
  <c r="S117" i="53"/>
  <c r="X117" i="53" s="1"/>
  <c r="S116" i="53"/>
  <c r="X116" i="53" s="1"/>
  <c r="S115" i="53"/>
  <c r="X115" i="53" s="1"/>
  <c r="S114" i="53"/>
  <c r="X114" i="53" s="1"/>
  <c r="S113" i="53"/>
  <c r="X113" i="53" s="1"/>
  <c r="S112" i="53"/>
  <c r="X112" i="53" s="1"/>
  <c r="S111" i="53"/>
  <c r="S110" i="53"/>
  <c r="X110" i="53" s="1"/>
  <c r="S109" i="53"/>
  <c r="X109" i="53" s="1"/>
  <c r="S108" i="53"/>
  <c r="X108" i="53" s="1"/>
  <c r="S107" i="53"/>
  <c r="X107" i="53" s="1"/>
  <c r="S106" i="53"/>
  <c r="X106" i="53" s="1"/>
  <c r="S105" i="53"/>
  <c r="X105" i="53" s="1"/>
  <c r="S104" i="53"/>
  <c r="X104" i="53" s="1"/>
  <c r="S103" i="53"/>
  <c r="X103" i="53" s="1"/>
  <c r="S102" i="53"/>
  <c r="X102" i="53" s="1"/>
  <c r="S101" i="53"/>
  <c r="X101" i="53"/>
  <c r="S100" i="53"/>
  <c r="X100" i="53" s="1"/>
  <c r="X98" i="53"/>
  <c r="S97" i="53"/>
  <c r="X97" i="53" s="1"/>
  <c r="S96" i="53"/>
  <c r="X96" i="53" s="1"/>
  <c r="S95" i="53"/>
  <c r="X95" i="53" s="1"/>
  <c r="S94" i="53"/>
  <c r="X94" i="53" s="1"/>
  <c r="S93" i="53"/>
  <c r="X93" i="53" s="1"/>
  <c r="S92" i="53"/>
  <c r="X92" i="53" s="1"/>
  <c r="S91" i="53"/>
  <c r="X91" i="53" s="1"/>
  <c r="S90" i="53"/>
  <c r="X90" i="53" s="1"/>
  <c r="S89" i="53"/>
  <c r="X89" i="53" s="1"/>
  <c r="S88" i="53"/>
  <c r="X88" i="53" s="1"/>
  <c r="S87" i="53"/>
  <c r="X87" i="53" s="1"/>
  <c r="S86" i="53"/>
  <c r="X86" i="53" s="1"/>
  <c r="S85" i="53"/>
  <c r="X85" i="53" s="1"/>
  <c r="S84" i="53"/>
  <c r="X84" i="53" s="1"/>
  <c r="S83" i="53"/>
  <c r="X83" i="53" s="1"/>
  <c r="S82" i="53"/>
  <c r="X82" i="53" s="1"/>
  <c r="S81" i="53"/>
  <c r="X81" i="53" s="1"/>
  <c r="S80" i="53"/>
  <c r="X80" i="53"/>
  <c r="S79" i="53"/>
  <c r="X79" i="53" s="1"/>
  <c r="S78" i="53"/>
  <c r="X78" i="53" s="1"/>
  <c r="S77" i="53"/>
  <c r="X77" i="53" s="1"/>
  <c r="S76" i="53"/>
  <c r="X76" i="53" s="1"/>
  <c r="S75" i="53"/>
  <c r="X75" i="53" s="1"/>
  <c r="S74" i="53"/>
  <c r="X74" i="53" s="1"/>
  <c r="S73" i="53"/>
  <c r="X73" i="53" s="1"/>
  <c r="S72" i="53"/>
  <c r="X72" i="53" s="1"/>
  <c r="S69" i="53"/>
  <c r="X69" i="53" s="1"/>
  <c r="S67" i="53"/>
  <c r="X67" i="53" s="1"/>
  <c r="S66" i="53"/>
  <c r="X66" i="53" s="1"/>
  <c r="S65" i="53"/>
  <c r="X65" i="53" s="1"/>
  <c r="S63" i="53"/>
  <c r="X63" i="53" s="1"/>
  <c r="S62" i="53"/>
  <c r="X62" i="53" s="1"/>
  <c r="S61" i="53"/>
  <c r="X61" i="53" s="1"/>
  <c r="S60" i="53"/>
  <c r="X60" i="53" s="1"/>
  <c r="S59" i="53"/>
  <c r="X59" i="53" s="1"/>
  <c r="S58" i="53"/>
  <c r="X58" i="53" s="1"/>
  <c r="S57" i="53"/>
  <c r="X57" i="53" s="1"/>
  <c r="S56" i="53"/>
  <c r="X56" i="53" s="1"/>
  <c r="S55" i="53"/>
  <c r="X55" i="53" s="1"/>
  <c r="S54" i="53"/>
  <c r="X54" i="53" s="1"/>
  <c r="S53" i="53"/>
  <c r="X53" i="53" s="1"/>
  <c r="S52" i="53"/>
  <c r="X52" i="53" s="1"/>
  <c r="S51" i="53"/>
  <c r="X51" i="53" s="1"/>
  <c r="S50" i="53"/>
  <c r="X50" i="53" s="1"/>
  <c r="S49" i="53"/>
  <c r="X49" i="53" s="1"/>
  <c r="S48" i="53"/>
  <c r="X48" i="53"/>
  <c r="S47" i="53"/>
  <c r="X47" i="53" s="1"/>
  <c r="S46" i="53"/>
  <c r="X46" i="53" s="1"/>
  <c r="S45" i="53"/>
  <c r="X45" i="53" s="1"/>
  <c r="S44" i="53"/>
  <c r="X44" i="53" s="1"/>
  <c r="S43" i="53"/>
  <c r="X43" i="53" s="1"/>
  <c r="S42" i="53"/>
  <c r="X42" i="53"/>
  <c r="S41" i="53"/>
  <c r="X41" i="53" s="1"/>
  <c r="S40" i="53"/>
  <c r="X40" i="53" s="1"/>
  <c r="S39" i="53"/>
  <c r="X39" i="53" s="1"/>
  <c r="S38" i="53"/>
  <c r="X38" i="53" s="1"/>
  <c r="S37" i="53"/>
  <c r="X37" i="53" s="1"/>
  <c r="S36" i="53"/>
  <c r="X36" i="53" s="1"/>
  <c r="S35" i="53"/>
  <c r="S34" i="53"/>
  <c r="X34" i="53" s="1"/>
  <c r="S33" i="53"/>
  <c r="S32" i="53"/>
  <c r="X32" i="53" s="1"/>
  <c r="S31" i="53"/>
  <c r="X31" i="53" s="1"/>
  <c r="S30" i="53"/>
  <c r="X30" i="53" s="1"/>
  <c r="S29" i="53"/>
  <c r="X29" i="53" s="1"/>
  <c r="S28" i="53"/>
  <c r="X28" i="53" s="1"/>
  <c r="S27" i="53"/>
  <c r="X27" i="53" s="1"/>
  <c r="X26" i="53"/>
  <c r="S25" i="53"/>
  <c r="X25" i="53" s="1"/>
  <c r="S24" i="53"/>
  <c r="X24" i="53" s="1"/>
  <c r="S23" i="53"/>
  <c r="X23" i="53" s="1"/>
  <c r="S22" i="53"/>
  <c r="S21" i="53"/>
  <c r="X21" i="53" s="1"/>
  <c r="S20" i="53"/>
  <c r="X20" i="53" s="1"/>
  <c r="S13" i="53"/>
  <c r="X13" i="53" s="1"/>
  <c r="S12" i="53"/>
  <c r="X12" i="53" s="1"/>
  <c r="S11" i="53"/>
  <c r="X11" i="53" s="1"/>
  <c r="S10" i="53"/>
  <c r="X10" i="53" s="1"/>
  <c r="S9" i="53"/>
  <c r="X9" i="53" s="1"/>
  <c r="S7" i="53"/>
  <c r="X7" i="53" s="1"/>
  <c r="Q80" i="55"/>
  <c r="J41" i="55"/>
  <c r="J51" i="55"/>
  <c r="Q47" i="55"/>
  <c r="J62" i="55"/>
  <c r="Q62" i="55"/>
  <c r="Q56" i="55"/>
  <c r="J56" i="55"/>
  <c r="C7" i="26"/>
  <c r="D7" i="26" s="1"/>
  <c r="C9" i="26"/>
  <c r="D9" i="26"/>
  <c r="E9" i="26" s="1"/>
  <c r="F9" i="26" s="1"/>
  <c r="G9" i="26" s="1"/>
  <c r="H9" i="26" s="1"/>
  <c r="I9" i="26" s="1"/>
  <c r="J9" i="26" s="1"/>
  <c r="K9" i="26" s="1"/>
  <c r="L9" i="26" s="1"/>
  <c r="M9" i="26" s="1"/>
  <c r="N9" i="26" s="1"/>
  <c r="O9" i="26" s="1"/>
  <c r="P9" i="26" s="1"/>
  <c r="Q9" i="26" s="1"/>
  <c r="R9" i="26" s="1"/>
  <c r="S9" i="26" s="1"/>
  <c r="T9" i="26"/>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Y12" i="26"/>
  <c r="F7" i="55"/>
  <c r="O13" i="59"/>
  <c r="P16" i="55"/>
  <c r="S16" i="55" s="1"/>
  <c r="G15" i="53"/>
  <c r="G31" i="53"/>
  <c r="G143" i="53"/>
  <c r="G106" i="53"/>
  <c r="G253" i="53"/>
  <c r="G256" i="53"/>
  <c r="G226" i="53"/>
  <c r="G27" i="53"/>
  <c r="G255" i="53"/>
  <c r="G71" i="53"/>
  <c r="G61" i="53"/>
  <c r="G12" i="53"/>
  <c r="G8" i="53"/>
  <c r="G7" i="53"/>
  <c r="G105" i="53"/>
  <c r="G135" i="53"/>
  <c r="P21" i="55"/>
  <c r="S21" i="55" s="1"/>
  <c r="I59" i="55"/>
  <c r="Q50" i="55"/>
  <c r="Q73" i="55"/>
  <c r="Q51" i="55"/>
  <c r="Q72" i="55"/>
  <c r="Q66" i="55"/>
  <c r="Q49" i="55"/>
  <c r="P78" i="55"/>
  <c r="S78" i="55" s="1"/>
  <c r="J78" i="55"/>
  <c r="R78" i="55" s="1"/>
  <c r="Q59" i="55"/>
  <c r="Q41" i="55"/>
  <c r="Q58" i="55"/>
  <c r="Q57" i="55"/>
  <c r="Q67" i="55"/>
  <c r="Q60" i="55"/>
  <c r="J60" i="55"/>
  <c r="P86" i="55"/>
  <c r="S86" i="55" s="1"/>
  <c r="J86" i="55"/>
  <c r="R86" i="55" s="1"/>
  <c r="P77" i="55"/>
  <c r="S77" i="55" s="1"/>
  <c r="J77" i="55"/>
  <c r="R77" i="55" s="1"/>
  <c r="Q79" i="55"/>
  <c r="Q71" i="55"/>
  <c r="Q48" i="55"/>
  <c r="Q40" i="55"/>
  <c r="P76" i="55"/>
  <c r="S76" i="55" s="1"/>
  <c r="J76" i="55"/>
  <c r="R76" i="55" s="1"/>
  <c r="Q86" i="55"/>
  <c r="Q78" i="55"/>
  <c r="Q55" i="55"/>
  <c r="Q77" i="55"/>
  <c r="Q54" i="55"/>
  <c r="Q46" i="55"/>
  <c r="J46" i="55"/>
  <c r="Q38" i="55"/>
  <c r="P79" i="55"/>
  <c r="S79" i="55" s="1"/>
  <c r="J79" i="55"/>
  <c r="R79" i="55" s="1"/>
  <c r="Q76" i="55"/>
  <c r="Q61" i="55"/>
  <c r="Q53" i="55"/>
  <c r="Q45" i="55"/>
  <c r="Q36" i="55"/>
  <c r="I58" i="55"/>
  <c r="J55" i="55"/>
  <c r="I51" i="55"/>
  <c r="J47" i="55"/>
  <c r="I80" i="55"/>
  <c r="I49" i="55"/>
  <c r="I73" i="55"/>
  <c r="I41" i="55"/>
  <c r="I66" i="55"/>
  <c r="J54" i="55"/>
  <c r="J38" i="55"/>
  <c r="J61" i="55"/>
  <c r="J53" i="55"/>
  <c r="J45" i="55"/>
  <c r="J36" i="55"/>
  <c r="J67" i="55"/>
  <c r="J66" i="55"/>
  <c r="J59" i="55"/>
  <c r="J73" i="55"/>
  <c r="J58" i="55"/>
  <c r="J50" i="55"/>
  <c r="J80" i="55"/>
  <c r="J72" i="55"/>
  <c r="J57" i="55"/>
  <c r="J49" i="55"/>
  <c r="J71" i="55"/>
  <c r="J48" i="55"/>
  <c r="J40" i="55"/>
  <c r="I67" i="55"/>
  <c r="I60" i="55"/>
  <c r="I50" i="55"/>
  <c r="I72" i="55"/>
  <c r="I57" i="55"/>
  <c r="I48" i="55"/>
  <c r="I40" i="55"/>
  <c r="I79" i="55"/>
  <c r="I71" i="55"/>
  <c r="I56" i="55"/>
  <c r="I47" i="55"/>
  <c r="I86" i="55"/>
  <c r="I78" i="55"/>
  <c r="I55" i="55"/>
  <c r="I46" i="55"/>
  <c r="I38" i="55"/>
  <c r="I77" i="55"/>
  <c r="I62" i="55"/>
  <c r="I54" i="55"/>
  <c r="I45" i="55"/>
  <c r="I36" i="55"/>
  <c r="I76" i="55"/>
  <c r="I61" i="55"/>
  <c r="I53" i="55"/>
  <c r="G69" i="53"/>
  <c r="G175" i="53"/>
  <c r="G190" i="53"/>
  <c r="G189" i="53"/>
  <c r="G183" i="53"/>
  <c r="G191" i="53"/>
  <c r="G186" i="53"/>
  <c r="G172" i="53"/>
  <c r="G188" i="53"/>
  <c r="G193" i="53"/>
  <c r="G176" i="53"/>
  <c r="G194" i="53"/>
  <c r="G195" i="53"/>
  <c r="G192" i="53"/>
  <c r="G177" i="53"/>
  <c r="G181" i="53"/>
  <c r="G184" i="53"/>
  <c r="G185" i="53"/>
  <c r="G179" i="53"/>
  <c r="G174" i="53"/>
  <c r="G187" i="53"/>
  <c r="G182" i="53"/>
  <c r="G178" i="53"/>
  <c r="G173" i="53"/>
  <c r="G180" i="53"/>
  <c r="G73" i="53"/>
  <c r="G45" i="53"/>
  <c r="G46" i="53"/>
  <c r="G93" i="53"/>
  <c r="G77" i="53"/>
  <c r="G47" i="53"/>
  <c r="G20" i="53"/>
  <c r="G95" i="53"/>
  <c r="G90" i="53"/>
  <c r="G88" i="53"/>
  <c r="G89" i="53"/>
  <c r="G91" i="53"/>
  <c r="G94" i="53"/>
  <c r="G132" i="53"/>
  <c r="G133" i="53"/>
  <c r="G125" i="53"/>
  <c r="G35" i="53"/>
  <c r="G262" i="53"/>
  <c r="G131" i="53"/>
  <c r="G36" i="53"/>
  <c r="G150" i="53"/>
  <c r="G146" i="53"/>
  <c r="G145" i="53"/>
  <c r="G128" i="53"/>
  <c r="G130" i="53"/>
  <c r="G43" i="53"/>
  <c r="G124" i="53"/>
  <c r="G40" i="53"/>
  <c r="G127" i="53"/>
  <c r="G41" i="53"/>
  <c r="G134" i="53"/>
  <c r="G126" i="53"/>
  <c r="G308" i="53"/>
  <c r="G303" i="53"/>
  <c r="G299" i="53"/>
  <c r="G306" i="53"/>
  <c r="G302" i="53"/>
  <c r="G307" i="53"/>
  <c r="G305" i="53"/>
  <c r="G300" i="53"/>
  <c r="G304" i="53"/>
  <c r="G97" i="53"/>
  <c r="G283" i="53"/>
  <c r="G279" i="53"/>
  <c r="G288" i="53"/>
  <c r="G278" i="53"/>
  <c r="G284" i="53"/>
  <c r="G290" i="53"/>
  <c r="G282" i="53"/>
  <c r="G292" i="53"/>
  <c r="G280" i="53"/>
  <c r="G281" i="53"/>
  <c r="G276" i="53"/>
  <c r="G293" i="53"/>
  <c r="G287" i="53"/>
  <c r="G275" i="53"/>
  <c r="G289" i="53"/>
  <c r="G274" i="53"/>
  <c r="G285" i="53"/>
  <c r="G277" i="53"/>
  <c r="G291" i="53"/>
  <c r="N199" i="55" a="1"/>
  <c r="N199" i="55" s="1"/>
  <c r="N196" i="55" a="1"/>
  <c r="N196" i="55" s="1"/>
  <c r="N179" i="55" a="1"/>
  <c r="N179" i="55" s="1"/>
  <c r="N182" i="55" a="1"/>
  <c r="N182" i="55" s="1"/>
  <c r="N183" i="55" a="1"/>
  <c r="N183" i="55" s="1"/>
  <c r="N185" i="55" a="1"/>
  <c r="N185" i="55" s="1"/>
  <c r="N187" i="55" a="1"/>
  <c r="N187" i="55" s="1"/>
  <c r="N197" i="55" a="1"/>
  <c r="N197" i="55" s="1"/>
  <c r="N186" i="55" a="1"/>
  <c r="N186" i="55" s="1"/>
  <c r="G169" i="53"/>
  <c r="G298" i="53"/>
  <c r="G196" i="53"/>
  <c r="G149" i="53"/>
  <c r="N104" i="55" a="1"/>
  <c r="N104" i="55" s="1"/>
  <c r="N162" i="55" a="1"/>
  <c r="N162" i="55" s="1"/>
  <c r="N128" i="55" a="1"/>
  <c r="N128" i="55" s="1"/>
  <c r="N112" i="55" a="1"/>
  <c r="N112" i="55" s="1"/>
  <c r="N27" i="55" a="1"/>
  <c r="N27" i="55" s="1"/>
  <c r="N117" i="55" a="1"/>
  <c r="N117" i="55" s="1"/>
  <c r="N14" i="55" a="1"/>
  <c r="N14" i="55" s="1"/>
  <c r="P18" i="55"/>
  <c r="S18" i="55" s="1"/>
  <c r="I211" i="55"/>
  <c r="N39" i="55" a="1"/>
  <c r="N39" i="55" s="1"/>
  <c r="N81" i="55" a="1"/>
  <c r="N81" i="55" s="1"/>
  <c r="N51" i="55" a="1"/>
  <c r="N51" i="55" s="1"/>
  <c r="N10" i="55" a="1"/>
  <c r="N10" i="55" s="1"/>
  <c r="N76" i="55" a="1"/>
  <c r="N76" i="55" s="1"/>
  <c r="N32" i="55" a="1"/>
  <c r="N32" i="55" s="1"/>
  <c r="N44" i="55" a="1"/>
  <c r="N44" i="55" s="1"/>
  <c r="N50" i="55" a="1"/>
  <c r="N50" i="55"/>
  <c r="N21" i="55" a="1"/>
  <c r="N21" i="55" s="1"/>
  <c r="N60" i="55" a="1"/>
  <c r="N60" i="55" s="1"/>
  <c r="N59" i="55" a="1"/>
  <c r="N59" i="55" s="1"/>
  <c r="N115" i="55" a="1"/>
  <c r="N115" i="55" s="1"/>
  <c r="N15" i="55" a="1"/>
  <c r="N15" i="55" s="1"/>
  <c r="N20" i="55" a="1"/>
  <c r="N20" i="55" s="1"/>
  <c r="M114" i="55" a="1"/>
  <c r="M114" i="55" s="1"/>
  <c r="N30" i="55" a="1"/>
  <c r="N30" i="55" s="1"/>
  <c r="N7" i="55" a="1"/>
  <c r="N7" i="55" s="1"/>
  <c r="N93" i="55" a="1"/>
  <c r="N93" i="55" s="1"/>
  <c r="N167" i="55" a="1"/>
  <c r="N167" i="55" s="1"/>
  <c r="N120" i="55" a="1"/>
  <c r="N120" i="55" s="1"/>
  <c r="N175" i="55" a="1"/>
  <c r="N175" i="55" s="1"/>
  <c r="N122" i="55" a="1"/>
  <c r="N122" i="55" s="1"/>
  <c r="N8" i="55" a="1"/>
  <c r="N8" i="55" s="1"/>
  <c r="N137" i="55" a="1"/>
  <c r="N137" i="55" s="1"/>
  <c r="N130" i="55" a="1"/>
  <c r="N130" i="55" s="1"/>
  <c r="N57" i="55" a="1"/>
  <c r="N57" i="55" s="1"/>
  <c r="N105" i="55" a="1"/>
  <c r="N105" i="55" s="1"/>
  <c r="N102" i="55" a="1"/>
  <c r="N102" i="55" s="1"/>
  <c r="M102" i="55" a="1"/>
  <c r="M102" i="55" s="1"/>
  <c r="O102" i="55" s="1"/>
  <c r="N48" i="55" a="1"/>
  <c r="N48" i="55" s="1"/>
  <c r="N99" i="55" a="1"/>
  <c r="N99" i="55" s="1"/>
  <c r="N31" i="55" a="1"/>
  <c r="N31" i="55" s="1"/>
  <c r="M59" i="55" a="1"/>
  <c r="M59" i="55" s="1"/>
  <c r="N77" i="55" a="1"/>
  <c r="N77" i="55" s="1"/>
  <c r="N86" i="55" a="1"/>
  <c r="N86" i="55" s="1"/>
  <c r="N49" i="55" a="1"/>
  <c r="N49" i="55" s="1"/>
  <c r="N169" i="55" a="1"/>
  <c r="N169" i="55" s="1"/>
  <c r="N160" i="55" a="1"/>
  <c r="N160" i="55" s="1"/>
  <c r="N110" i="55" a="1"/>
  <c r="N110" i="55" s="1"/>
  <c r="N47" i="55" a="1"/>
  <c r="N47" i="55" s="1"/>
  <c r="N123" i="55" a="1"/>
  <c r="N123" i="55" s="1"/>
  <c r="N78" i="55" a="1"/>
  <c r="N78" i="55" s="1"/>
  <c r="N61" i="55" a="1"/>
  <c r="N61" i="55" s="1"/>
  <c r="N108" i="55" a="1"/>
  <c r="N108" i="55" s="1"/>
  <c r="N25" i="55" a="1"/>
  <c r="N25" i="55" s="1"/>
  <c r="N54" i="55" a="1"/>
  <c r="N54" i="55" s="1"/>
  <c r="N40" i="55" a="1"/>
  <c r="N40" i="55" s="1"/>
  <c r="N132" i="55" a="1"/>
  <c r="N132" i="55" s="1"/>
  <c r="M132" i="55" a="1"/>
  <c r="M132" i="55" s="1"/>
  <c r="N98" i="55" a="1"/>
  <c r="N98" i="55" s="1"/>
  <c r="N71" i="55" a="1"/>
  <c r="N71" i="55" s="1"/>
  <c r="M54" i="55" a="1"/>
  <c r="M54" i="55" s="1"/>
  <c r="M136" i="55" a="1"/>
  <c r="M136" i="55" s="1"/>
  <c r="N103" i="55" a="1"/>
  <c r="N103" i="55" s="1"/>
  <c r="M118" i="55" a="1"/>
  <c r="M118" i="55" s="1"/>
  <c r="M123" i="55" a="1"/>
  <c r="M123" i="55" s="1"/>
  <c r="O123" i="55" s="1"/>
  <c r="N18" i="55" a="1"/>
  <c r="N18" i="55" s="1"/>
  <c r="N66" i="55" a="1"/>
  <c r="N66" i="55" s="1"/>
  <c r="N90" i="55" a="1"/>
  <c r="N90" i="55" s="1"/>
  <c r="N165" i="55" a="1"/>
  <c r="N165" i="55" s="1"/>
  <c r="N73" i="55" a="1"/>
  <c r="N73" i="55" s="1"/>
  <c r="N36" i="55" a="1"/>
  <c r="N36" i="55" s="1"/>
  <c r="P123" i="55"/>
  <c r="M72" i="55" a="1"/>
  <c r="M72" i="55" s="1"/>
  <c r="M48" i="55" a="1"/>
  <c r="M48" i="55" s="1"/>
  <c r="N9" i="55" a="1"/>
  <c r="N9" i="55" s="1"/>
  <c r="N96" i="55" a="1"/>
  <c r="N96" i="55" s="1"/>
  <c r="N176" i="55" a="1"/>
  <c r="N176" i="55" s="1"/>
  <c r="N116" i="55" a="1"/>
  <c r="N116" i="55" s="1"/>
  <c r="M17" i="55" a="1"/>
  <c r="M17" i="55" s="1"/>
  <c r="O17" i="55" s="1"/>
  <c r="M51" i="55" a="1"/>
  <c r="M51" i="55" s="1"/>
  <c r="M111" i="55" a="1"/>
  <c r="M111" i="55" s="1"/>
  <c r="P50" i="55"/>
  <c r="M27" i="55" a="1"/>
  <c r="M27" i="55" s="1"/>
  <c r="O27" i="55" s="1"/>
  <c r="N37" i="55" a="1"/>
  <c r="N37" i="55" s="1"/>
  <c r="M37" i="55" a="1"/>
  <c r="M37" i="55" s="1"/>
  <c r="O37" i="55" s="1"/>
  <c r="N177" i="55" a="1"/>
  <c r="N177" i="55" s="1"/>
  <c r="P54" i="55"/>
  <c r="R54" i="55" s="1"/>
  <c r="M174" i="55" a="1"/>
  <c r="M174" i="55" s="1"/>
  <c r="O174" i="55" s="1"/>
  <c r="M169" i="55" a="1"/>
  <c r="M169" i="55" s="1"/>
  <c r="O169" i="55" s="1"/>
  <c r="M56" i="55" a="1"/>
  <c r="M56" i="55" s="1"/>
  <c r="N159" i="55" a="1"/>
  <c r="N159" i="55" s="1"/>
  <c r="N79" i="55" a="1"/>
  <c r="N79" i="55" s="1"/>
  <c r="N38" i="55" a="1"/>
  <c r="N38" i="55" s="1"/>
  <c r="N131" i="55" a="1"/>
  <c r="N131" i="55" s="1"/>
  <c r="N114" i="55" a="1"/>
  <c r="N114" i="55" s="1"/>
  <c r="M124" i="55" a="1"/>
  <c r="M124" i="55" s="1"/>
  <c r="O124" i="55" s="1"/>
  <c r="M175" i="55" a="1"/>
  <c r="M175" i="55" s="1"/>
  <c r="O175" i="55" s="1"/>
  <c r="N45" i="55" a="1"/>
  <c r="N45" i="55" s="1"/>
  <c r="N133" i="55" a="1"/>
  <c r="N133" i="55" s="1"/>
  <c r="N161" i="55" a="1"/>
  <c r="N161" i="55" s="1"/>
  <c r="N29" i="55" a="1"/>
  <c r="N29" i="55" s="1"/>
  <c r="AE258" i="53"/>
  <c r="N174" i="55" a="1"/>
  <c r="N174" i="55" s="1"/>
  <c r="N55" i="55" a="1"/>
  <c r="N55" i="55" s="1"/>
  <c r="M138" i="55" a="1"/>
  <c r="M138" i="55" s="1"/>
  <c r="O138" i="55" s="1"/>
  <c r="N46" i="55" a="1"/>
  <c r="N46" i="55" s="1"/>
  <c r="N87" i="55" a="1"/>
  <c r="N87" i="55" s="1"/>
  <c r="N118" i="55" a="1"/>
  <c r="N118" i="55" s="1"/>
  <c r="N121" i="55" a="1"/>
  <c r="N121" i="55" s="1"/>
  <c r="M121" i="55" a="1"/>
  <c r="M121" i="55" s="1"/>
  <c r="N56" i="55" a="1"/>
  <c r="N56" i="55" s="1"/>
  <c r="N109" i="55" a="1"/>
  <c r="N109" i="55" s="1"/>
  <c r="N19" i="55" a="1"/>
  <c r="N19" i="55" s="1"/>
  <c r="N72" i="55" a="1"/>
  <c r="N72" i="55" s="1"/>
  <c r="N16" i="55" a="1"/>
  <c r="N16" i="55" s="1"/>
  <c r="M53" i="55" a="1"/>
  <c r="M53" i="55" s="1"/>
  <c r="N17" i="55" a="1"/>
  <c r="N17" i="55" s="1"/>
  <c r="N67" i="55" a="1"/>
  <c r="N67" i="55" s="1"/>
  <c r="N111" i="55" a="1"/>
  <c r="N111" i="55" s="1"/>
  <c r="N107" i="55" a="1"/>
  <c r="N107" i="55" s="1"/>
  <c r="N119" i="55" a="1"/>
  <c r="N119" i="55" s="1"/>
  <c r="M119" i="55" a="1"/>
  <c r="M119" i="55" s="1"/>
  <c r="N124" i="55" a="1"/>
  <c r="N124" i="55" s="1"/>
  <c r="P131" i="55"/>
  <c r="R131" i="55" s="1"/>
  <c r="N138" i="55" a="1"/>
  <c r="N138" i="55" s="1"/>
  <c r="P25" i="55"/>
  <c r="P80" i="55"/>
  <c r="R80" i="55" s="1"/>
  <c r="O12" i="59"/>
  <c r="T12" i="59" s="1"/>
  <c r="P61" i="55"/>
  <c r="S61" i="55" s="1"/>
  <c r="AE294" i="53"/>
  <c r="AE253" i="53"/>
  <c r="AE265" i="53"/>
  <c r="P121" i="55"/>
  <c r="P71" i="55"/>
  <c r="P138" i="55"/>
  <c r="S138" i="55" s="1"/>
  <c r="T138" i="55" s="1"/>
  <c r="AE87" i="53"/>
  <c r="AE196" i="53"/>
  <c r="N168" i="55" a="1"/>
  <c r="N168" i="55" s="1"/>
  <c r="G58" i="53"/>
  <c r="G57" i="53"/>
  <c r="G215" i="53"/>
  <c r="M24" i="55" a="1"/>
  <c r="M24" i="55" s="1"/>
  <c r="M47" i="55" a="1"/>
  <c r="M47" i="55" s="1"/>
  <c r="M21" i="55" a="1"/>
  <c r="M21" i="55" s="1"/>
  <c r="O21" i="55" s="1"/>
  <c r="M177" i="55" a="1"/>
  <c r="M177" i="55" s="1"/>
  <c r="O177" i="55" s="1"/>
  <c r="M90" i="55" a="1"/>
  <c r="M90" i="55" s="1"/>
  <c r="O90" i="55" s="1"/>
  <c r="M18" i="55" a="1"/>
  <c r="M18" i="55" s="1"/>
  <c r="O18" i="55" s="1"/>
  <c r="N41" i="55" a="1"/>
  <c r="N41" i="55" s="1"/>
  <c r="M76" i="55" a="1"/>
  <c r="M76" i="55" s="1"/>
  <c r="O76" i="55" s="1"/>
  <c r="M116" i="55" a="1"/>
  <c r="M116" i="55" s="1"/>
  <c r="M131" i="55" a="1"/>
  <c r="M131" i="55" s="1"/>
  <c r="M31" i="55" a="1"/>
  <c r="M31" i="55" s="1"/>
  <c r="M20" i="55" a="1"/>
  <c r="M20" i="55" s="1"/>
  <c r="O20" i="55" s="1"/>
  <c r="M104" i="55" a="1"/>
  <c r="M104" i="55" s="1"/>
  <c r="O104" i="55" s="1"/>
  <c r="X196" i="53"/>
  <c r="M49" i="55" a="1"/>
  <c r="M49" i="55" s="1"/>
  <c r="M108" i="55" a="1"/>
  <c r="M108" i="55" s="1"/>
  <c r="O108" i="55" s="1"/>
  <c r="M167" i="55" a="1"/>
  <c r="M167" i="55" s="1"/>
  <c r="O167" i="55" s="1"/>
  <c r="M77" i="55" a="1"/>
  <c r="M77" i="55" s="1"/>
  <c r="O77" i="55" s="1"/>
  <c r="AE6" i="53"/>
  <c r="N53" i="55" a="1"/>
  <c r="N53" i="55" s="1"/>
  <c r="M93" i="55" a="1"/>
  <c r="M93" i="55" s="1"/>
  <c r="O93" i="55" s="1"/>
  <c r="M80" i="55" a="1"/>
  <c r="M80" i="55" s="1"/>
  <c r="N80" i="55" a="1"/>
  <c r="N80" i="55" s="1"/>
  <c r="M19" i="55" a="1"/>
  <c r="M19" i="55" s="1"/>
  <c r="O19" i="55" s="1"/>
  <c r="N97" i="55" a="1"/>
  <c r="N97" i="55" s="1"/>
  <c r="N134" i="55" a="1"/>
  <c r="N134" i="55" s="1"/>
  <c r="M134" i="55" a="1"/>
  <c r="M134" i="55" s="1"/>
  <c r="N62" i="55" a="1"/>
  <c r="N62" i="55"/>
  <c r="M62" i="55" a="1"/>
  <c r="M62" i="55" s="1"/>
  <c r="M88" i="55" a="1"/>
  <c r="M88" i="55" s="1"/>
  <c r="O88" i="55" s="1"/>
  <c r="M126" i="55" a="1"/>
  <c r="M126" i="55" s="1"/>
  <c r="AE165" i="53"/>
  <c r="N88" i="55" a="1"/>
  <c r="N88" i="55" s="1"/>
  <c r="N24" i="55" a="1"/>
  <c r="N24" i="55" s="1"/>
  <c r="M30" i="55" a="1"/>
  <c r="M30" i="55" s="1"/>
  <c r="M16" i="55" a="1"/>
  <c r="M16" i="55"/>
  <c r="O16" i="55" s="1"/>
  <c r="M96" i="55" a="1"/>
  <c r="M96" i="55" s="1"/>
  <c r="N58" i="55" a="1"/>
  <c r="N58" i="55" s="1"/>
  <c r="M58" i="55" a="1"/>
  <c r="M58" i="55" s="1"/>
  <c r="M71" i="55" a="1"/>
  <c r="M71" i="55" s="1"/>
  <c r="M61" i="55" a="1"/>
  <c r="M61" i="55" s="1"/>
  <c r="M115" i="55" a="1"/>
  <c r="M115" i="55" s="1"/>
  <c r="O115" i="55" s="1"/>
  <c r="M159" i="55" a="1"/>
  <c r="M159" i="55" s="1"/>
  <c r="M38" i="55" a="1"/>
  <c r="M38" i="55" s="1"/>
  <c r="N126" i="55" a="1"/>
  <c r="N126" i="55" s="1"/>
  <c r="N136" i="55" a="1"/>
  <c r="N136" i="55" s="1"/>
  <c r="M165" i="55" a="1"/>
  <c r="M165" i="55" s="1"/>
  <c r="O165" i="55" s="1"/>
  <c r="M128" i="55" a="1"/>
  <c r="M128" i="55" s="1"/>
  <c r="O128" i="55" s="1"/>
  <c r="M66" i="55" a="1"/>
  <c r="M66" i="55" s="1"/>
  <c r="O66" i="55" s="1"/>
  <c r="P46" i="55"/>
  <c r="S46" i="55" s="1"/>
  <c r="R14" i="26"/>
  <c r="AB12" i="26"/>
  <c r="J14" i="26"/>
  <c r="Z14" i="26"/>
  <c r="AH12" i="26"/>
  <c r="AA14" i="26"/>
  <c r="AI14" i="26"/>
  <c r="T12" i="26"/>
  <c r="G313" i="53"/>
  <c r="G314" i="53"/>
  <c r="G315" i="53"/>
  <c r="G316" i="53"/>
  <c r="X222" i="53"/>
  <c r="G320" i="53"/>
  <c r="G318" i="53"/>
  <c r="G319" i="53"/>
  <c r="G12" i="59"/>
  <c r="L12" i="59" s="1"/>
  <c r="P18" i="59"/>
  <c r="V18" i="59" s="1"/>
  <c r="P4" i="59"/>
  <c r="AA384" i="53"/>
  <c r="Q2" i="55" s="1"/>
  <c r="AE349" i="53"/>
  <c r="AA2" i="53"/>
  <c r="B12" i="26"/>
  <c r="AG12" i="26"/>
  <c r="D12" i="26"/>
  <c r="W14" i="26"/>
  <c r="O12" i="26"/>
  <c r="AC12" i="26"/>
  <c r="M14" i="26"/>
  <c r="L12" i="26"/>
  <c r="Q14" i="26"/>
  <c r="AE12" i="26"/>
  <c r="AF14" i="26"/>
  <c r="AE14" i="26"/>
  <c r="T14" i="26"/>
  <c r="L14" i="26"/>
  <c r="N14" i="26"/>
  <c r="V12" i="26"/>
  <c r="P12" i="26"/>
  <c r="F14" i="26"/>
  <c r="Y14" i="26"/>
  <c r="H14" i="26"/>
  <c r="X12" i="26"/>
  <c r="W12" i="26"/>
  <c r="AL12" i="26"/>
  <c r="I12" i="26"/>
  <c r="R12" i="26"/>
  <c r="B6" i="26"/>
  <c r="E12" i="26"/>
  <c r="P14" i="26"/>
  <c r="AG14" i="26"/>
  <c r="J12" i="26"/>
  <c r="U14" i="26"/>
  <c r="F12" i="26"/>
  <c r="AL14" i="26"/>
  <c r="Q12" i="26"/>
  <c r="S12" i="26"/>
  <c r="AK14" i="26"/>
  <c r="AB14" i="26"/>
  <c r="AI12" i="26"/>
  <c r="AD14" i="26"/>
  <c r="U12" i="26"/>
  <c r="C6" i="26"/>
  <c r="E7" i="26"/>
  <c r="F7" i="26" s="1"/>
  <c r="C12" i="26"/>
  <c r="H12" i="26"/>
  <c r="O14" i="26"/>
  <c r="G50" i="53"/>
  <c r="G48" i="53"/>
  <c r="G56" i="53"/>
  <c r="AJ12" i="26"/>
  <c r="AK12" i="26"/>
  <c r="X14" i="26"/>
  <c r="AF12" i="26"/>
  <c r="I14" i="26"/>
  <c r="N84" i="55" a="1"/>
  <c r="N84" i="55" s="1"/>
  <c r="N13" i="55" a="1"/>
  <c r="N13" i="55" s="1"/>
  <c r="N200" i="55" a="1"/>
  <c r="N200" i="55" s="1"/>
  <c r="G240" i="53"/>
  <c r="G246" i="53"/>
  <c r="N180" i="55" a="1"/>
  <c r="N180" i="55" s="1"/>
  <c r="N198" i="55" a="1"/>
  <c r="N198" i="55" s="1"/>
  <c r="N188" i="55" a="1"/>
  <c r="N188" i="55" s="1"/>
  <c r="N192" i="55" a="1"/>
  <c r="N192" i="55" s="1"/>
  <c r="N52" i="55" a="1"/>
  <c r="N52" i="55" s="1"/>
  <c r="N83" i="55" a="1"/>
  <c r="N83" i="55" s="1"/>
  <c r="N190" i="55" a="1"/>
  <c r="N190" i="55" s="1"/>
  <c r="N184" i="55" a="1"/>
  <c r="N184" i="55" s="1"/>
  <c r="N181" i="55" a="1"/>
  <c r="N181" i="55" s="1"/>
  <c r="N201" i="55" a="1"/>
  <c r="N201" i="55" s="1"/>
  <c r="N189" i="55" a="1"/>
  <c r="N189" i="55" s="1"/>
  <c r="N140" i="55" a="1"/>
  <c r="N140" i="55" s="1"/>
  <c r="N89" i="55" a="1"/>
  <c r="N89" i="55" s="1"/>
  <c r="N2" i="53"/>
  <c r="G248" i="53"/>
  <c r="G251" i="53"/>
  <c r="G241" i="53"/>
  <c r="G238" i="53"/>
  <c r="G252" i="53"/>
  <c r="G244" i="53"/>
  <c r="G242" i="53"/>
  <c r="G245" i="53"/>
  <c r="N193" i="55" a="1"/>
  <c r="N193" i="55" s="1"/>
  <c r="M13" i="55" a="1"/>
  <c r="M13" i="55" s="1"/>
  <c r="O13" i="55" s="1"/>
  <c r="M190" i="55" a="1"/>
  <c r="M190" i="55" s="1"/>
  <c r="O190" i="55" s="1"/>
  <c r="M189" i="55" a="1"/>
  <c r="M189" i="55" s="1"/>
  <c r="O189" i="55" s="1"/>
  <c r="N5" i="59"/>
  <c r="G37" i="55"/>
  <c r="H37" i="55"/>
  <c r="K13" i="55" a="1"/>
  <c r="K13" i="55" s="1"/>
  <c r="H13" i="55"/>
  <c r="H71" i="55"/>
  <c r="G71" i="55"/>
  <c r="J2" i="55"/>
  <c r="P83" i="55"/>
  <c r="S83" i="55" s="1"/>
  <c r="AE351" i="53"/>
  <c r="AE266" i="53"/>
  <c r="M188" i="55" a="1"/>
  <c r="M188" i="55" s="1"/>
  <c r="O188" i="55" s="1"/>
  <c r="P102" i="55"/>
  <c r="R102" i="55" s="1"/>
  <c r="M170" i="55" a="1"/>
  <c r="M170" i="55" s="1"/>
  <c r="O170" i="55" s="1"/>
  <c r="P93" i="55"/>
  <c r="S93" i="55" s="1"/>
  <c r="T93" i="55" s="1"/>
  <c r="H16" i="55"/>
  <c r="G16" i="55"/>
  <c r="G239" i="53"/>
  <c r="G249" i="53"/>
  <c r="AE157" i="53"/>
  <c r="G214" i="53"/>
  <c r="G122" i="53"/>
  <c r="G118" i="53"/>
  <c r="G170" i="53"/>
  <c r="G6" i="59"/>
  <c r="L6" i="59" s="1"/>
  <c r="G193" i="55"/>
  <c r="H193" i="55"/>
  <c r="V14" i="26"/>
  <c r="G2" i="26"/>
  <c r="M89" i="55" a="1"/>
  <c r="M89" i="55" s="1"/>
  <c r="O89" i="55" s="1"/>
  <c r="M194" i="55" a="1"/>
  <c r="M194" i="55" s="1"/>
  <c r="G86" i="55"/>
  <c r="L86" i="55"/>
  <c r="C7" i="59"/>
  <c r="P114" i="55"/>
  <c r="S114" i="55" s="1"/>
  <c r="M192" i="55" a="1"/>
  <c r="M192" i="55" s="1"/>
  <c r="O192" i="55" s="1"/>
  <c r="G21" i="55"/>
  <c r="K21" i="55" a="1"/>
  <c r="K21" i="55" s="1"/>
  <c r="H21" i="55"/>
  <c r="M181" i="55" a="1"/>
  <c r="M181" i="55" s="1"/>
  <c r="O181" i="55" s="1"/>
  <c r="P200" i="55"/>
  <c r="R200" i="55" s="1"/>
  <c r="M180" i="55" a="1"/>
  <c r="M180" i="55" s="1"/>
  <c r="O180" i="55" s="1"/>
  <c r="M184" i="55" a="1"/>
  <c r="M184" i="55" s="1"/>
  <c r="O184" i="55" s="1"/>
  <c r="M193" i="55" a="1"/>
  <c r="M193" i="55" s="1"/>
  <c r="M191" i="55" a="1"/>
  <c r="M191" i="55" s="1"/>
  <c r="O191" i="55" s="1"/>
  <c r="M197" i="55" a="1"/>
  <c r="M197" i="55" s="1"/>
  <c r="O197" i="55" s="1"/>
  <c r="I7" i="59"/>
  <c r="G272" i="53"/>
  <c r="N12" i="26"/>
  <c r="G312" i="53"/>
  <c r="G76" i="53"/>
  <c r="G161" i="53"/>
  <c r="G88" i="55"/>
  <c r="H88" i="55"/>
  <c r="X35" i="53"/>
  <c r="G66" i="53"/>
  <c r="G38" i="53"/>
  <c r="G151" i="53"/>
  <c r="P39" i="55"/>
  <c r="S39" i="55" s="1"/>
  <c r="T39" i="55" s="1"/>
  <c r="G12" i="26"/>
  <c r="K12" i="26"/>
  <c r="S14" i="26"/>
  <c r="AE323" i="53"/>
  <c r="P37" i="55"/>
  <c r="S37" i="55" s="1"/>
  <c r="AH14" i="26"/>
  <c r="G205" i="53"/>
  <c r="G210" i="53"/>
  <c r="G216" i="53"/>
  <c r="G22" i="53"/>
  <c r="K14" i="26"/>
  <c r="G102" i="53"/>
  <c r="AJ14" i="26"/>
  <c r="Z12" i="26"/>
  <c r="AD12" i="26"/>
  <c r="G147" i="53"/>
  <c r="M12" i="26"/>
  <c r="G14" i="26"/>
  <c r="AC14" i="26"/>
  <c r="G85" i="53"/>
  <c r="G23" i="53"/>
  <c r="K169" i="55" a="1"/>
  <c r="K169" i="55" s="1"/>
  <c r="L20" i="55" a="1"/>
  <c r="L20" i="55" s="1"/>
  <c r="K20" i="55" a="1"/>
  <c r="K20" i="55"/>
  <c r="N4" i="59"/>
  <c r="H110" i="55"/>
  <c r="G56" i="55"/>
  <c r="H56" i="55"/>
  <c r="G60" i="55"/>
  <c r="L17" i="55"/>
  <c r="H17" i="55"/>
  <c r="K17" i="55" a="1"/>
  <c r="K17" i="55" s="1"/>
  <c r="G17" i="55"/>
  <c r="K88" i="55" a="1"/>
  <c r="K88" i="55" s="1"/>
  <c r="G199" i="53"/>
  <c r="G203" i="53"/>
  <c r="K19" i="55" a="1"/>
  <c r="K19" i="55" s="1"/>
  <c r="G19" i="55"/>
  <c r="H19" i="55"/>
  <c r="P133" i="55"/>
  <c r="S133" i="55" s="1"/>
  <c r="T133" i="55" s="1"/>
  <c r="G99" i="53"/>
  <c r="G98" i="53"/>
  <c r="P199" i="55"/>
  <c r="S199" i="55" s="1"/>
  <c r="AE141" i="53"/>
  <c r="AE332" i="53"/>
  <c r="M82" i="55" a="1"/>
  <c r="M82" i="55"/>
  <c r="O82" i="55" s="1"/>
  <c r="D6" i="26"/>
  <c r="G51" i="53"/>
  <c r="G208" i="53"/>
  <c r="G207" i="53"/>
  <c r="G83" i="53"/>
  <c r="G206" i="53"/>
  <c r="G39" i="53"/>
  <c r="G119" i="53"/>
  <c r="G49" i="53"/>
  <c r="G200" i="53"/>
  <c r="G204" i="53"/>
  <c r="G121" i="53"/>
  <c r="G197" i="53"/>
  <c r="G260" i="53"/>
  <c r="G148" i="53"/>
  <c r="G155" i="53"/>
  <c r="G55" i="53"/>
  <c r="G202" i="53"/>
  <c r="G198" i="53"/>
  <c r="G153" i="53"/>
  <c r="M13" i="59"/>
  <c r="N18" i="59"/>
  <c r="H24" i="55"/>
  <c r="G24" i="55"/>
  <c r="H86" i="55"/>
  <c r="K86" i="55" a="1"/>
  <c r="K86" i="55" s="1"/>
  <c r="G25" i="55"/>
  <c r="H25" i="55"/>
  <c r="G121" i="55"/>
  <c r="H121" i="55"/>
  <c r="G20" i="55"/>
  <c r="H20" i="55"/>
  <c r="P32" i="55"/>
  <c r="R32" i="55" s="1"/>
  <c r="J7" i="59"/>
  <c r="K16" i="55" a="1"/>
  <c r="K16" i="55" s="1"/>
  <c r="L16" i="55" a="1"/>
  <c r="L16" i="55" s="1"/>
  <c r="P10" i="55"/>
  <c r="S10" i="55" s="1"/>
  <c r="T10" i="55" s="1"/>
  <c r="AA12" i="26"/>
  <c r="J14" i="59"/>
  <c r="I21" i="59"/>
  <c r="C21" i="59"/>
  <c r="N13" i="59"/>
  <c r="N19" i="59"/>
  <c r="P47" i="55"/>
  <c r="AE166" i="53"/>
  <c r="P48" i="55"/>
  <c r="S48" i="55" s="1"/>
  <c r="P58" i="55"/>
  <c r="R58" i="55" s="1"/>
  <c r="B14" i="59"/>
  <c r="H84" i="55"/>
  <c r="H136" i="55"/>
  <c r="K7" i="59"/>
  <c r="P49" i="55"/>
  <c r="S49" i="55" s="1"/>
  <c r="P24" i="55"/>
  <c r="S24" i="55" s="1"/>
  <c r="F19" i="59"/>
  <c r="I14" i="59"/>
  <c r="P103" i="55"/>
  <c r="R103" i="55" s="1"/>
  <c r="AE163" i="53"/>
  <c r="AE135" i="53"/>
  <c r="AE81" i="53"/>
  <c r="AE40" i="53"/>
  <c r="P38" i="55"/>
  <c r="S38" i="55" s="1"/>
  <c r="P31" i="55"/>
  <c r="R31" i="55" s="1"/>
  <c r="P52" i="55"/>
  <c r="R52" i="55" s="1"/>
  <c r="N11" i="59"/>
  <c r="AE324" i="53"/>
  <c r="P111" i="55"/>
  <c r="R111" i="55" s="1"/>
  <c r="P81" i="55"/>
  <c r="S81" i="55" s="1"/>
  <c r="T81" i="55" s="1"/>
  <c r="H117" i="55"/>
  <c r="P9" i="55"/>
  <c r="R9" i="55" s="1"/>
  <c r="P98" i="55"/>
  <c r="S98" i="55" s="1"/>
  <c r="P122" i="55"/>
  <c r="S122" i="55" s="1"/>
  <c r="H29" i="55"/>
  <c r="P136" i="55"/>
  <c r="S136" i="55" s="1"/>
  <c r="P126" i="55"/>
  <c r="R126" i="55" s="1"/>
  <c r="P105" i="55"/>
  <c r="S105" i="55" s="1"/>
  <c r="B7" i="59"/>
  <c r="AE271" i="53"/>
  <c r="AE311" i="53"/>
  <c r="K24" i="55" a="1"/>
  <c r="K24" i="55" s="1"/>
  <c r="K10" i="55" a="1"/>
  <c r="K10" i="55" s="1"/>
  <c r="K25" i="55" a="1"/>
  <c r="K25" i="55" s="1"/>
  <c r="K84" i="55" a="1"/>
  <c r="K84" i="55" s="1"/>
  <c r="K211" i="55"/>
  <c r="K71" i="55" a="1"/>
  <c r="K71" i="55" s="1"/>
  <c r="K37" i="55" a="1"/>
  <c r="K37" i="55" s="1"/>
  <c r="K136" i="55" a="1"/>
  <c r="K136" i="55" s="1"/>
  <c r="K117" i="55" a="1"/>
  <c r="K117" i="55" s="1"/>
  <c r="K2" i="55"/>
  <c r="K60" i="55" a="1"/>
  <c r="K60" i="55" s="1"/>
  <c r="K56" i="55" a="1"/>
  <c r="K56" i="55" s="1"/>
  <c r="K7" i="55" a="1"/>
  <c r="K7" i="55" s="1"/>
  <c r="I2" i="55"/>
  <c r="D14" i="59"/>
  <c r="F13" i="59"/>
  <c r="K121" i="55" a="1"/>
  <c r="K121" i="55" s="1"/>
  <c r="D7" i="59"/>
  <c r="D21" i="59"/>
  <c r="B21" i="59"/>
  <c r="N6" i="59"/>
  <c r="F4" i="59"/>
  <c r="F12" i="59"/>
  <c r="K138" i="55" a="1"/>
  <c r="K138" i="55" s="1"/>
  <c r="K179" i="55" a="1"/>
  <c r="K179" i="55" s="1"/>
  <c r="H179" i="55"/>
  <c r="G76" i="55"/>
  <c r="L76" i="55" a="1"/>
  <c r="L76" i="55" s="1"/>
  <c r="H76" i="55"/>
  <c r="K76" i="55" a="1"/>
  <c r="K76" i="55" s="1"/>
  <c r="H116" i="55"/>
  <c r="G49" i="55"/>
  <c r="H49" i="55"/>
  <c r="K49" i="55" a="1"/>
  <c r="K49" i="55" s="1"/>
  <c r="K187" i="55" a="1"/>
  <c r="K187" i="55" s="1"/>
  <c r="G187" i="55"/>
  <c r="L77" i="55" a="1"/>
  <c r="L77" i="55" s="1"/>
  <c r="K77" i="55" a="1"/>
  <c r="K77" i="55" s="1"/>
  <c r="H77" i="55"/>
  <c r="G77" i="55"/>
  <c r="K61" i="55" a="1"/>
  <c r="K61" i="55" s="1"/>
  <c r="G61" i="55"/>
  <c r="H61" i="55"/>
  <c r="K109" i="55" a="1"/>
  <c r="K109" i="55" s="1"/>
  <c r="G109" i="55"/>
  <c r="H109" i="55"/>
  <c r="H197" i="55"/>
  <c r="K197" i="55" a="1"/>
  <c r="K197" i="55" s="1"/>
  <c r="K181" i="55" a="1"/>
  <c r="K181" i="55"/>
  <c r="G93" i="55"/>
  <c r="G116" i="55"/>
  <c r="K110" i="55" a="1"/>
  <c r="K110" i="55" s="1"/>
  <c r="L201" i="55" a="1"/>
  <c r="L201" i="55" s="1"/>
  <c r="G96" i="55"/>
  <c r="K96" i="55" a="1"/>
  <c r="K96" i="55"/>
  <c r="K131" i="55" a="1"/>
  <c r="K131" i="55" s="1"/>
  <c r="H131" i="55"/>
  <c r="G131" i="55"/>
  <c r="G112" i="55"/>
  <c r="H112" i="55"/>
  <c r="G32" i="55"/>
  <c r="K32" i="55" a="1"/>
  <c r="K32" i="55" s="1"/>
  <c r="H32" i="55"/>
  <c r="G9" i="55"/>
  <c r="H9" i="55"/>
  <c r="K9" i="55" a="1"/>
  <c r="K9" i="55" s="1"/>
  <c r="L198" i="55" a="1"/>
  <c r="L198" i="55" s="1"/>
  <c r="H198" i="55"/>
  <c r="G198" i="55"/>
  <c r="K198" i="55" a="1"/>
  <c r="K198" i="55"/>
  <c r="K87" i="55" a="1"/>
  <c r="K87" i="55" s="1"/>
  <c r="G87" i="55"/>
  <c r="L87" i="55"/>
  <c r="H87" i="55"/>
  <c r="K167" i="55" a="1"/>
  <c r="K167" i="55" s="1"/>
  <c r="L167" i="55" a="1"/>
  <c r="L167" i="55" s="1"/>
  <c r="H167" i="55"/>
  <c r="H126" i="55"/>
  <c r="G126" i="55"/>
  <c r="K126" i="55" a="1"/>
  <c r="K126" i="55" s="1"/>
  <c r="H160" i="55"/>
  <c r="K160" i="55" a="1"/>
  <c r="K160" i="55" s="1"/>
  <c r="K59" i="55" a="1"/>
  <c r="K59" i="55" s="1"/>
  <c r="L78" i="55" a="1"/>
  <c r="L78" i="55" s="1"/>
  <c r="H78" i="55"/>
  <c r="G40" i="55"/>
  <c r="H40" i="55"/>
  <c r="H62" i="55"/>
  <c r="L79" i="55" a="1"/>
  <c r="L79" i="55" s="1"/>
  <c r="G197" i="55"/>
  <c r="G201" i="55"/>
  <c r="K79" i="55" a="1"/>
  <c r="K79" i="55" s="1"/>
  <c r="H181" i="55"/>
  <c r="K191" i="55" a="1"/>
  <c r="K191" i="55"/>
  <c r="G181" i="55"/>
  <c r="K201" i="55" a="1"/>
  <c r="K201" i="55" s="1"/>
  <c r="H46" i="55"/>
  <c r="G57" i="55"/>
  <c r="K188" i="55" a="1"/>
  <c r="K188" i="55" s="1"/>
  <c r="G188" i="55"/>
  <c r="H57" i="55"/>
  <c r="G72" i="55"/>
  <c r="H72" i="55"/>
  <c r="K72" i="55" a="1"/>
  <c r="K72" i="55" s="1"/>
  <c r="H122" i="55"/>
  <c r="G122" i="55"/>
  <c r="H170" i="55"/>
  <c r="G133" i="55"/>
  <c r="K133" i="55" a="1"/>
  <c r="K133" i="55" s="1"/>
  <c r="H133" i="55"/>
  <c r="H83" i="55"/>
  <c r="H81" i="55"/>
  <c r="K81" i="55" a="1"/>
  <c r="K81" i="55" s="1"/>
  <c r="L165" i="55" a="1"/>
  <c r="L165" i="55" s="1"/>
  <c r="K165" i="55" a="1"/>
  <c r="K165" i="55" s="1"/>
  <c r="G165" i="55"/>
  <c r="K99" i="55" a="1"/>
  <c r="K99" i="55" s="1"/>
  <c r="M60" i="55" a="1"/>
  <c r="M60" i="55" s="1"/>
  <c r="O60" i="55" s="1"/>
  <c r="M15" i="55" a="1"/>
  <c r="M15" i="55" s="1"/>
  <c r="M112" i="55" a="1"/>
  <c r="M112" i="55" s="1"/>
  <c r="O112" i="55" s="1"/>
  <c r="M133" i="55" a="1"/>
  <c r="M133" i="55" s="1"/>
  <c r="O133" i="55" s="1"/>
  <c r="M45" i="55" a="1"/>
  <c r="M45" i="55" s="1"/>
  <c r="M57" i="55" a="1"/>
  <c r="M57" i="55" s="1"/>
  <c r="O57" i="55" s="1"/>
  <c r="P107" i="55"/>
  <c r="S107" i="55" s="1"/>
  <c r="X33" i="53"/>
  <c r="M140" i="55" a="1"/>
  <c r="M140" i="55" s="1"/>
  <c r="M185" i="55" a="1"/>
  <c r="M185" i="55" s="1"/>
  <c r="M40" i="55" a="1"/>
  <c r="M40" i="55" s="1"/>
  <c r="O40" i="55" s="1"/>
  <c r="M97" i="55" a="1"/>
  <c r="M97" i="55" s="1"/>
  <c r="M161" i="55" a="1"/>
  <c r="M161" i="55" s="1"/>
  <c r="O161" i="55" s="1"/>
  <c r="M120" i="55" a="1"/>
  <c r="M120" i="55" s="1"/>
  <c r="O120" i="55" s="1"/>
  <c r="M186" i="55" a="1"/>
  <c r="M186" i="55" s="1"/>
  <c r="H7" i="59"/>
  <c r="N7" i="59" s="1"/>
  <c r="M201" i="55" a="1"/>
  <c r="M201" i="55" s="1"/>
  <c r="O201" i="55" s="1"/>
  <c r="M110" i="55" a="1"/>
  <c r="M110" i="55" s="1"/>
  <c r="O110" i="55" s="1"/>
  <c r="M55" i="55" a="1"/>
  <c r="M55" i="55" s="1"/>
  <c r="O55" i="55" s="1"/>
  <c r="M8" i="55" a="1"/>
  <c r="M8" i="55" s="1"/>
  <c r="O8" i="55" s="1"/>
  <c r="M67" i="55" a="1"/>
  <c r="M67" i="55" s="1"/>
  <c r="M78" i="55" a="1"/>
  <c r="M78" i="55" s="1"/>
  <c r="O78" i="55" s="1"/>
  <c r="M187" i="55" a="1"/>
  <c r="M187" i="55" s="1"/>
  <c r="O187" i="55" s="1"/>
  <c r="AE365" i="53"/>
  <c r="M36" i="55" a="1"/>
  <c r="M36" i="55" s="1"/>
  <c r="O36" i="55" s="1"/>
  <c r="M103" i="55" a="1"/>
  <c r="M103" i="55" s="1"/>
  <c r="O103" i="55" s="1"/>
  <c r="M130" i="55" a="1"/>
  <c r="M130" i="55" s="1"/>
  <c r="M39" i="55" a="1"/>
  <c r="M39" i="55" s="1"/>
  <c r="O39" i="55" s="1"/>
  <c r="M99" i="55" a="1"/>
  <c r="M99" i="55" s="1"/>
  <c r="O99" i="55" s="1"/>
  <c r="M183" i="55" a="1"/>
  <c r="M183" i="55" s="1"/>
  <c r="O183" i="55" s="1"/>
  <c r="M199" i="55" a="1"/>
  <c r="M199" i="55"/>
  <c r="M50" i="55" a="1"/>
  <c r="M50" i="55" s="1"/>
  <c r="O50" i="55" s="1"/>
  <c r="M182" i="55" a="1"/>
  <c r="M182" i="55" s="1"/>
  <c r="O182" i="55" s="1"/>
  <c r="M87" i="55" a="1"/>
  <c r="M87" i="55" s="1"/>
  <c r="O87" i="55" s="1"/>
  <c r="M109" i="55" a="1"/>
  <c r="M109" i="55" s="1"/>
  <c r="O109" i="55" s="1"/>
  <c r="M14" i="55" a="1"/>
  <c r="M14" i="55" s="1"/>
  <c r="O14" i="55" s="1"/>
  <c r="M107" i="55" a="1"/>
  <c r="M107" i="55" s="1"/>
  <c r="O107" i="55" s="1"/>
  <c r="M86" i="55" a="1"/>
  <c r="M86" i="55" s="1"/>
  <c r="O86" i="55" s="1"/>
  <c r="M105" i="55" a="1"/>
  <c r="M105" i="55" s="1"/>
  <c r="O105" i="55" s="1"/>
  <c r="M179" i="55" a="1"/>
  <c r="M179" i="55" s="1"/>
  <c r="O179" i="55" s="1"/>
  <c r="M73" i="55" a="1"/>
  <c r="M73" i="55" s="1"/>
  <c r="O73" i="55" s="1"/>
  <c r="M44" i="55" a="1"/>
  <c r="M44" i="55" s="1"/>
  <c r="O44" i="55" s="1"/>
  <c r="M196" i="55" a="1"/>
  <c r="M196" i="55" s="1"/>
  <c r="M52" i="55" a="1"/>
  <c r="M52" i="55" s="1"/>
  <c r="M83" i="55" a="1"/>
  <c r="M83" i="55"/>
  <c r="O83" i="55" s="1"/>
  <c r="M46" i="55" a="1"/>
  <c r="M46" i="55" s="1"/>
  <c r="O46" i="55" s="1"/>
  <c r="M41" i="55" a="1"/>
  <c r="M41" i="55" s="1"/>
  <c r="M29" i="55" a="1"/>
  <c r="M29" i="55" s="1"/>
  <c r="M122" i="55" a="1"/>
  <c r="M122" i="55" s="1"/>
  <c r="O122" i="55" s="1"/>
  <c r="M160" i="55" a="1"/>
  <c r="M160" i="55" s="1"/>
  <c r="O160" i="55" s="1"/>
  <c r="M168" i="55" a="1"/>
  <c r="M168" i="55" s="1"/>
  <c r="O168" i="55" s="1"/>
  <c r="M32" i="55" a="1"/>
  <c r="M32" i="55" s="1"/>
  <c r="O32" i="55" s="1"/>
  <c r="M200" i="55" a="1"/>
  <c r="M200" i="55" s="1"/>
  <c r="M137" i="55" a="1"/>
  <c r="M137" i="55" s="1"/>
  <c r="M79" i="55" a="1"/>
  <c r="M79" i="55" s="1"/>
  <c r="O79" i="55" s="1"/>
  <c r="M7" i="55" a="1"/>
  <c r="M7" i="55" s="1"/>
  <c r="M117" i="55" a="1"/>
  <c r="M117" i="55" s="1"/>
  <c r="M9" i="55" a="1"/>
  <c r="M9" i="55" s="1"/>
  <c r="O9" i="55" s="1"/>
  <c r="M98" i="55" a="1"/>
  <c r="M98" i="55" s="1"/>
  <c r="O98" i="55" s="1"/>
  <c r="M10" i="55" a="1"/>
  <c r="M10" i="55" s="1"/>
  <c r="O10" i="55" s="1"/>
  <c r="M162" i="55" a="1"/>
  <c r="M162" i="55" s="1"/>
  <c r="O162" i="55" s="1"/>
  <c r="M198" i="55" a="1"/>
  <c r="M198" i="55" s="1"/>
  <c r="O198" i="55" s="1"/>
  <c r="M84" i="55" a="1"/>
  <c r="M84" i="55" s="1"/>
  <c r="O84" i="55" s="1"/>
  <c r="M176" i="55" a="1"/>
  <c r="M176" i="55" s="1"/>
  <c r="O176" i="55" s="1"/>
  <c r="M25" i="55" a="1"/>
  <c r="M25" i="55" s="1"/>
  <c r="O25" i="55" s="1"/>
  <c r="M81" i="55" a="1"/>
  <c r="M81" i="55" s="1"/>
  <c r="O81" i="55" s="1"/>
  <c r="R37" i="55"/>
  <c r="G212" i="53"/>
  <c r="P29" i="55"/>
  <c r="R29" i="55" s="1"/>
  <c r="P183" i="55"/>
  <c r="R183" i="55" s="1"/>
  <c r="G160" i="53"/>
  <c r="G104" i="53"/>
  <c r="G34" i="53"/>
  <c r="G236" i="53"/>
  <c r="G235" i="53"/>
  <c r="G152" i="53"/>
  <c r="G164" i="53"/>
  <c r="G237" i="53"/>
  <c r="P40" i="55"/>
  <c r="R40" i="55" s="1"/>
  <c r="S40" i="55"/>
  <c r="Q7" i="59"/>
  <c r="S186" i="55"/>
  <c r="U13" i="59"/>
  <c r="S185" i="55"/>
  <c r="G20" i="59"/>
  <c r="M20" i="59" s="1"/>
  <c r="N211" i="55"/>
  <c r="O2" i="55" s="1"/>
  <c r="V19" i="59"/>
  <c r="F6" i="59"/>
  <c r="R51" i="55"/>
  <c r="R109" i="55"/>
  <c r="N2" i="55"/>
  <c r="F20" i="59"/>
  <c r="N20" i="59"/>
  <c r="F5" i="59"/>
  <c r="E14" i="59"/>
  <c r="O171" i="55"/>
  <c r="S134" i="55"/>
  <c r="F11" i="59"/>
  <c r="P7" i="55"/>
  <c r="S7" i="55" s="1"/>
  <c r="E7" i="59"/>
  <c r="P193" i="55"/>
  <c r="S193" i="55" s="1"/>
  <c r="P82" i="55"/>
  <c r="S82" i="55" s="1"/>
  <c r="P27" i="55"/>
  <c r="S27" i="55" s="1"/>
  <c r="P115" i="55"/>
  <c r="R115" i="55" s="1"/>
  <c r="K93" i="55" a="1"/>
  <c r="K93" i="55" s="1"/>
  <c r="P60" i="55"/>
  <c r="S60" i="55" s="1"/>
  <c r="P30" i="55"/>
  <c r="R30" i="55" s="1"/>
  <c r="P8" i="55"/>
  <c r="S8" i="55" s="1"/>
  <c r="P116" i="55"/>
  <c r="S116" i="55" s="1"/>
  <c r="L175" i="55" a="1"/>
  <c r="L175" i="55" s="1"/>
  <c r="H21" i="59"/>
  <c r="P66" i="55"/>
  <c r="S66" i="55" s="1"/>
  <c r="V13" i="59"/>
  <c r="P104" i="55"/>
  <c r="R104" i="55" s="1"/>
  <c r="H175" i="55"/>
  <c r="H191" i="55"/>
  <c r="G11" i="59"/>
  <c r="G14" i="59" s="1"/>
  <c r="K175" i="55" a="1"/>
  <c r="K175" i="55" s="1"/>
  <c r="L191" i="55" a="1"/>
  <c r="L191" i="55" s="1"/>
  <c r="P140" i="55"/>
  <c r="R140" i="55" s="1"/>
  <c r="AE31" i="53"/>
  <c r="P55" i="55"/>
  <c r="S55" i="55" s="1"/>
  <c r="P117" i="55"/>
  <c r="R117" i="55" s="1"/>
  <c r="S25" i="55"/>
  <c r="S71" i="55"/>
  <c r="P137" i="55"/>
  <c r="R137" i="55" s="1"/>
  <c r="P99" i="55"/>
  <c r="R99" i="55"/>
  <c r="S109" i="55"/>
  <c r="K119" i="55" a="1"/>
  <c r="K119" i="55" s="1"/>
  <c r="V11" i="59"/>
  <c r="V6" i="59"/>
  <c r="R97" i="55"/>
  <c r="R197" i="55"/>
  <c r="V20" i="59"/>
  <c r="S197" i="55"/>
  <c r="R186" i="55"/>
  <c r="R187" i="55"/>
  <c r="R134" i="55"/>
  <c r="T181" i="55"/>
  <c r="S47" i="55"/>
  <c r="R182" i="55"/>
  <c r="T182" i="55" s="1"/>
  <c r="S51" i="55"/>
  <c r="T84" i="55"/>
  <c r="S121" i="55"/>
  <c r="T191" i="55"/>
  <c r="P7" i="59"/>
  <c r="V7" i="59" s="1"/>
  <c r="T44" i="55"/>
  <c r="T162" i="55"/>
  <c r="R179" i="55"/>
  <c r="R121" i="55"/>
  <c r="H186" i="55"/>
  <c r="K186" i="55" a="1"/>
  <c r="K186" i="55" s="1"/>
  <c r="G186" i="55"/>
  <c r="G182" i="55"/>
  <c r="K182" i="55" a="1"/>
  <c r="K182" i="55" s="1"/>
  <c r="H182" i="55"/>
  <c r="K27" i="55" a="1"/>
  <c r="K27" i="55" s="1"/>
  <c r="M2" i="55"/>
  <c r="K21" i="59"/>
  <c r="R62" i="55"/>
  <c r="T62" i="55" s="1"/>
  <c r="H130" i="55"/>
  <c r="K130" i="55" a="1"/>
  <c r="K130" i="55" s="1"/>
  <c r="G130" i="55"/>
  <c r="H44" i="55"/>
  <c r="G44" i="55"/>
  <c r="G199" i="55"/>
  <c r="H199" i="55"/>
  <c r="K199" i="55" a="1"/>
  <c r="K199" i="55" s="1"/>
  <c r="R110" i="55"/>
  <c r="S110" i="55"/>
  <c r="H104" i="55"/>
  <c r="G104" i="55"/>
  <c r="K104" i="55" a="1"/>
  <c r="K104" i="55" s="1"/>
  <c r="G137" i="55"/>
  <c r="H137" i="55"/>
  <c r="K137" i="55" a="1"/>
  <c r="K137" i="55" s="1"/>
  <c r="K51" i="55" a="1"/>
  <c r="K51" i="55" s="1"/>
  <c r="G51" i="55"/>
  <c r="H51" i="55"/>
  <c r="T161" i="55"/>
  <c r="T13" i="55"/>
  <c r="T167" i="55"/>
  <c r="V12" i="59"/>
  <c r="R21" i="59"/>
  <c r="K8" i="55" a="1"/>
  <c r="K8" i="55" s="1"/>
  <c r="V5" i="59"/>
  <c r="O54" i="55"/>
  <c r="AE127" i="53"/>
  <c r="P96" i="55"/>
  <c r="R96" i="55" s="1"/>
  <c r="P112" i="55"/>
  <c r="S112" i="55"/>
  <c r="T112" i="55" s="1"/>
  <c r="P384" i="53"/>
  <c r="L117" i="55" s="1" a="1"/>
  <c r="L117" i="55" s="1"/>
  <c r="P2" i="53"/>
  <c r="H138" i="55"/>
  <c r="G138" i="55"/>
  <c r="K41" i="55" a="1"/>
  <c r="K41" i="55" s="1"/>
  <c r="G41" i="55"/>
  <c r="H41" i="55"/>
  <c r="G119" i="55"/>
  <c r="H119" i="55"/>
  <c r="K55" i="55" a="1"/>
  <c r="K55" i="55" s="1"/>
  <c r="G55" i="55"/>
  <c r="H55" i="55"/>
  <c r="H18" i="55"/>
  <c r="K18" i="55" a="1"/>
  <c r="K18" i="55" s="1"/>
  <c r="L18" i="55" a="1"/>
  <c r="L18" i="55" s="1"/>
  <c r="AE138" i="53"/>
  <c r="P128" i="55"/>
  <c r="S128" i="55" s="1"/>
  <c r="H103" i="55"/>
  <c r="G103" i="55"/>
  <c r="K103" i="55" a="1"/>
  <c r="K103" i="55" s="1"/>
  <c r="G78" i="55"/>
  <c r="K78" i="55" a="1"/>
  <c r="K78" i="55"/>
  <c r="AE35" i="53"/>
  <c r="O5" i="59"/>
  <c r="T5" i="59" s="1"/>
  <c r="O19" i="59"/>
  <c r="U19" i="59" s="1"/>
  <c r="AE21" i="53"/>
  <c r="O4" i="59"/>
  <c r="U4" i="59" s="1"/>
  <c r="P56" i="55"/>
  <c r="S56" i="55" s="1"/>
  <c r="Z384" i="53"/>
  <c r="P211" i="55" s="1"/>
  <c r="O18" i="59"/>
  <c r="T18" i="59" s="1"/>
  <c r="H118" i="55"/>
  <c r="K118" i="55" a="1"/>
  <c r="K118" i="55" s="1"/>
  <c r="G118" i="55"/>
  <c r="H134" i="55"/>
  <c r="G134" i="55"/>
  <c r="K134" i="55" a="1"/>
  <c r="K134" i="55" s="1"/>
  <c r="G99" i="55"/>
  <c r="H99" i="55"/>
  <c r="P130" i="55"/>
  <c r="S130" i="55" s="1"/>
  <c r="P59" i="55"/>
  <c r="S59" i="55" s="1"/>
  <c r="AE177" i="53"/>
  <c r="AE162" i="53"/>
  <c r="P120" i="55"/>
  <c r="S120" i="55" s="1"/>
  <c r="AE56" i="53"/>
  <c r="P45" i="55"/>
  <c r="R45" i="55" s="1"/>
  <c r="G170" i="55"/>
  <c r="K170" i="55" a="1"/>
  <c r="K170" i="55" s="1"/>
  <c r="G115" i="55"/>
  <c r="K115" i="55" a="1"/>
  <c r="K115" i="55" s="1"/>
  <c r="H115" i="55"/>
  <c r="E21" i="59"/>
  <c r="F18" i="59"/>
  <c r="H14" i="59"/>
  <c r="G169" i="55"/>
  <c r="H169" i="55"/>
  <c r="L169" i="55" a="1"/>
  <c r="L169" i="55" s="1"/>
  <c r="O20" i="59"/>
  <c r="P194" i="55"/>
  <c r="S194" i="55" s="1"/>
  <c r="P170" i="55"/>
  <c r="S170" i="55" s="1"/>
  <c r="O6" i="59"/>
  <c r="T6" i="59" s="1"/>
  <c r="K30" i="55" a="1"/>
  <c r="K30" i="55" s="1"/>
  <c r="L30" i="55" a="1"/>
  <c r="L30" i="55" s="1"/>
  <c r="G30" i="55"/>
  <c r="H30" i="55"/>
  <c r="AE198" i="53"/>
  <c r="P41" i="55"/>
  <c r="S41" i="55" s="1"/>
  <c r="AE77" i="53"/>
  <c r="P36" i="55"/>
  <c r="S36" i="55" s="1"/>
  <c r="P57" i="55"/>
  <c r="S57" i="55" s="1"/>
  <c r="K111" i="55" a="1"/>
  <c r="K111" i="55" s="1"/>
  <c r="G111" i="55"/>
  <c r="H111" i="55"/>
  <c r="L90" i="55" a="1"/>
  <c r="L90" i="55"/>
  <c r="H90" i="55"/>
  <c r="K90" i="55" a="1"/>
  <c r="K90" i="55" s="1"/>
  <c r="G4" i="59"/>
  <c r="M4" i="59" s="1"/>
  <c r="G62" i="55"/>
  <c r="K62" i="55" a="1"/>
  <c r="K62" i="55" s="1"/>
  <c r="Z2" i="53"/>
  <c r="X22" i="53"/>
  <c r="G18" i="59"/>
  <c r="M18" i="59" s="1"/>
  <c r="S2" i="53"/>
  <c r="C14" i="59"/>
  <c r="N12" i="59"/>
  <c r="AE212" i="53"/>
  <c r="P72" i="55"/>
  <c r="R72" i="55" s="1"/>
  <c r="G183" i="55"/>
  <c r="H183" i="55"/>
  <c r="K183" i="55" a="1"/>
  <c r="K183" i="55" s="1"/>
  <c r="H47" i="55"/>
  <c r="K47" i="55" a="1"/>
  <c r="K47" i="55" s="1"/>
  <c r="G47" i="55"/>
  <c r="AE225" i="53"/>
  <c r="P15" i="55"/>
  <c r="S15" i="55" s="1"/>
  <c r="P67" i="55"/>
  <c r="R67" i="55" s="1"/>
  <c r="O11" i="59"/>
  <c r="U11" i="59" s="1"/>
  <c r="G46" i="55"/>
  <c r="K46" i="55" a="1"/>
  <c r="K46" i="55" s="1"/>
  <c r="X111" i="53"/>
  <c r="G19" i="59"/>
  <c r="M19" i="59" s="1"/>
  <c r="G5" i="59"/>
  <c r="L5" i="59" s="1"/>
  <c r="AE247" i="53"/>
  <c r="P132" i="55"/>
  <c r="S132" i="55" s="1"/>
  <c r="G192" i="55"/>
  <c r="K192" i="55" a="1"/>
  <c r="K192" i="55" s="1"/>
  <c r="H192" i="55"/>
  <c r="L192" i="55" a="1"/>
  <c r="L192" i="55"/>
  <c r="H107" i="55"/>
  <c r="K107" i="55" a="1"/>
  <c r="K107" i="55" s="1"/>
  <c r="G59" i="55"/>
  <c r="H59" i="55"/>
  <c r="G45" i="55"/>
  <c r="H45" i="55"/>
  <c r="K45" i="55" a="1"/>
  <c r="K45" i="55" s="1"/>
  <c r="H159" i="55"/>
  <c r="G159" i="55"/>
  <c r="K159" i="55" a="1"/>
  <c r="K159" i="55" s="1"/>
  <c r="K122" i="55" a="1"/>
  <c r="K122" i="55" s="1"/>
  <c r="G83" i="55"/>
  <c r="K83" i="55" a="1"/>
  <c r="K83" i="55"/>
  <c r="K44" i="55" a="1"/>
  <c r="K44" i="55" s="1"/>
  <c r="S52" i="55"/>
  <c r="H27" i="55"/>
  <c r="P119" i="55"/>
  <c r="R119" i="55" s="1"/>
  <c r="G27" i="55"/>
  <c r="J21" i="59"/>
  <c r="R185" i="55"/>
  <c r="R196" i="55"/>
  <c r="T168" i="55"/>
  <c r="S14" i="59"/>
  <c r="S7" i="59"/>
  <c r="S123" i="55"/>
  <c r="U12" i="59"/>
  <c r="S54" i="55"/>
  <c r="S62" i="55"/>
  <c r="T176" i="55"/>
  <c r="R7" i="59"/>
  <c r="R14" i="59"/>
  <c r="T20" i="55"/>
  <c r="T21" i="55"/>
  <c r="P14" i="59"/>
  <c r="T18" i="55"/>
  <c r="S131" i="55"/>
  <c r="V4" i="59"/>
  <c r="R48" i="55"/>
  <c r="S50" i="55"/>
  <c r="S97" i="55"/>
  <c r="R25" i="55"/>
  <c r="R114" i="55"/>
  <c r="T114" i="55" s="1"/>
  <c r="R50" i="55"/>
  <c r="R123" i="55"/>
  <c r="R47" i="55"/>
  <c r="S21" i="59"/>
  <c r="S31" i="55"/>
  <c r="T13" i="59"/>
  <c r="S58" i="55"/>
  <c r="S32" i="55"/>
  <c r="R122" i="55"/>
  <c r="R71" i="55"/>
  <c r="S384" i="53"/>
  <c r="X384" i="53" s="1"/>
  <c r="H8" i="55"/>
  <c r="G8" i="55"/>
  <c r="G120" i="53"/>
  <c r="G211" i="53"/>
  <c r="G233" i="53"/>
  <c r="G310" i="53"/>
  <c r="P118" i="55"/>
  <c r="S118" i="55" s="1"/>
  <c r="P73" i="55"/>
  <c r="R73" i="55" s="1"/>
  <c r="G75" i="53"/>
  <c r="G79" i="53"/>
  <c r="G72" i="53"/>
  <c r="G171" i="53"/>
  <c r="G234" i="53"/>
  <c r="G59" i="53"/>
  <c r="X6" i="53"/>
  <c r="G74" i="53"/>
  <c r="G37" i="53"/>
  <c r="L20" i="59"/>
  <c r="L186" i="55" a="1"/>
  <c r="L186" i="55" s="1"/>
  <c r="L10" i="55" a="1"/>
  <c r="L10" i="55" s="1"/>
  <c r="S115" i="55"/>
  <c r="S137" i="55"/>
  <c r="S99" i="55"/>
  <c r="T99" i="55" s="1"/>
  <c r="R112" i="55"/>
  <c r="L211" i="55"/>
  <c r="L107" i="55" a="1"/>
  <c r="L107" i="55" s="1"/>
  <c r="L93" i="55" a="1"/>
  <c r="L93" i="55" s="1"/>
  <c r="L119" i="55" a="1"/>
  <c r="L119" i="55" s="1"/>
  <c r="L136" i="55" a="1"/>
  <c r="L136" i="55" s="1"/>
  <c r="L99" i="55" a="1"/>
  <c r="L99" i="55" s="1"/>
  <c r="L7" i="55" a="1"/>
  <c r="L7" i="55" s="1"/>
  <c r="L56" i="55" a="1"/>
  <c r="L56" i="55" s="1"/>
  <c r="D11" i="57"/>
  <c r="D8" i="57"/>
  <c r="D12" i="57"/>
  <c r="D7" i="57"/>
  <c r="D6" i="57"/>
  <c r="D5" i="57"/>
  <c r="D9" i="57"/>
  <c r="D10" i="57"/>
  <c r="L190" i="55" l="1" a="1"/>
  <c r="L190" i="55" s="1"/>
  <c r="K190" i="55" a="1"/>
  <c r="K190" i="55" s="1"/>
  <c r="H190" i="55"/>
  <c r="G190" i="55"/>
  <c r="L47" i="55" a="1"/>
  <c r="L47" i="55" s="1"/>
  <c r="L159" i="55" a="1"/>
  <c r="L159" i="55" s="1"/>
  <c r="M5" i="59"/>
  <c r="L45" i="55" a="1"/>
  <c r="L45" i="55" s="1"/>
  <c r="U6" i="59"/>
  <c r="L131" i="55" a="1"/>
  <c r="L131" i="55" s="1"/>
  <c r="R36" i="55"/>
  <c r="S67" i="55"/>
  <c r="R60" i="55"/>
  <c r="N21" i="59"/>
  <c r="L81" i="55" a="1"/>
  <c r="L81" i="55" s="1"/>
  <c r="L111" i="55" a="1"/>
  <c r="L111" i="55" s="1"/>
  <c r="T124" i="55"/>
  <c r="R193" i="55"/>
  <c r="T79" i="55"/>
  <c r="T77" i="55"/>
  <c r="T108" i="55"/>
  <c r="L55" i="55" a="1"/>
  <c r="L55" i="55" s="1"/>
  <c r="P21" i="59"/>
  <c r="O185" i="55"/>
  <c r="L2" i="55"/>
  <c r="T50" i="55"/>
  <c r="L160" i="55" a="1"/>
  <c r="L160" i="55" s="1"/>
  <c r="O56" i="55"/>
  <c r="T189" i="55"/>
  <c r="O131" i="55"/>
  <c r="G185" i="55"/>
  <c r="L185" i="55" a="1"/>
  <c r="L185" i="55" s="1"/>
  <c r="K185" i="55" a="1"/>
  <c r="K185" i="55" s="1"/>
  <c r="H185" i="55"/>
  <c r="L102" i="55" a="1"/>
  <c r="L102" i="55" s="1"/>
  <c r="K102" i="55" a="1"/>
  <c r="K102" i="55" s="1"/>
  <c r="H102" i="55"/>
  <c r="G102" i="55"/>
  <c r="O114" i="55"/>
  <c r="R82" i="55"/>
  <c r="T82" i="55" s="1"/>
  <c r="L84" i="55" a="1"/>
  <c r="L84" i="55" s="1"/>
  <c r="L62" i="55" a="1"/>
  <c r="L62" i="55" s="1"/>
  <c r="O61" i="55"/>
  <c r="T165" i="55"/>
  <c r="T174" i="55"/>
  <c r="T115" i="55"/>
  <c r="R118" i="55"/>
  <c r="T118" i="55" s="1"/>
  <c r="O199" i="55"/>
  <c r="R41" i="55"/>
  <c r="T41" i="55" s="1"/>
  <c r="L24" i="55" a="1"/>
  <c r="L24" i="55" s="1"/>
  <c r="R136" i="55"/>
  <c r="T11" i="59"/>
  <c r="T51" i="55"/>
  <c r="S183" i="55"/>
  <c r="O15" i="55"/>
  <c r="L182" i="55" a="1"/>
  <c r="L182" i="55" s="1"/>
  <c r="T105" i="55"/>
  <c r="T185" i="55"/>
  <c r="L187" i="55" a="1"/>
  <c r="L187" i="55" s="1"/>
  <c r="R15" i="55"/>
  <c r="L126" i="55" a="1"/>
  <c r="L126" i="55" s="1"/>
  <c r="L37" i="55" a="1"/>
  <c r="L37" i="55" s="1"/>
  <c r="L115" i="55" a="1"/>
  <c r="L115" i="55" s="1"/>
  <c r="P2" i="55"/>
  <c r="L57" i="55" a="1"/>
  <c r="L57" i="55" s="1"/>
  <c r="R120" i="55"/>
  <c r="T120" i="55" s="1"/>
  <c r="L104" i="55" a="1"/>
  <c r="L104" i="55" s="1"/>
  <c r="T67" i="55"/>
  <c r="S103" i="55"/>
  <c r="O132" i="55"/>
  <c r="T86" i="55"/>
  <c r="T87" i="55"/>
  <c r="T177" i="55"/>
  <c r="T31" i="55"/>
  <c r="O136" i="55"/>
  <c r="O71" i="55"/>
  <c r="T186" i="55"/>
  <c r="O45" i="55"/>
  <c r="O51" i="55"/>
  <c r="T121" i="55"/>
  <c r="R199" i="55"/>
  <c r="T199" i="55" s="1"/>
  <c r="R211" i="55"/>
  <c r="R2" i="55"/>
  <c r="T88" i="55"/>
  <c r="H162" i="55"/>
  <c r="L162" i="55" a="1"/>
  <c r="L162" i="55" s="1"/>
  <c r="K162" i="55" a="1"/>
  <c r="K162" i="55" s="1"/>
  <c r="G162" i="55"/>
  <c r="O116" i="55"/>
  <c r="G194" i="55"/>
  <c r="H194" i="55"/>
  <c r="K194" i="55" a="1"/>
  <c r="K194" i="55" s="1"/>
  <c r="K73" i="55" a="1"/>
  <c r="K73" i="55" s="1"/>
  <c r="G73" i="55"/>
  <c r="H73" i="55"/>
  <c r="L73" i="55" a="1"/>
  <c r="L73" i="55" s="1"/>
  <c r="H67" i="55"/>
  <c r="G67" i="55"/>
  <c r="K180" i="55" a="1"/>
  <c r="K180" i="55" s="1"/>
  <c r="H180" i="55"/>
  <c r="L180" i="55" a="1"/>
  <c r="L180" i="55" s="1"/>
  <c r="K168" i="55" a="1"/>
  <c r="K168" i="55" s="1"/>
  <c r="H168" i="55"/>
  <c r="L168" i="55" a="1"/>
  <c r="L168" i="55" s="1"/>
  <c r="H200" i="55"/>
  <c r="G200" i="55"/>
  <c r="L200" i="55" a="1"/>
  <c r="L200" i="55" s="1"/>
  <c r="K200" i="55" a="1"/>
  <c r="K200" i="55" s="1"/>
  <c r="G108" i="55"/>
  <c r="H108" i="55"/>
  <c r="K108" i="55" a="1"/>
  <c r="K108" i="55" s="1"/>
  <c r="T58" i="55"/>
  <c r="O80" i="55"/>
  <c r="O119" i="55"/>
  <c r="T184" i="55"/>
  <c r="L4" i="59"/>
  <c r="T197" i="55"/>
  <c r="S117" i="55"/>
  <c r="O29" i="55"/>
  <c r="O31" i="55"/>
  <c r="T54" i="55"/>
  <c r="O140" i="55"/>
  <c r="O72" i="55"/>
  <c r="O59" i="55"/>
  <c r="T76" i="55"/>
  <c r="T192" i="55"/>
  <c r="P159" i="55"/>
  <c r="R159" i="55" s="1"/>
  <c r="T78" i="55"/>
  <c r="T89" i="55"/>
  <c r="R171" i="55"/>
  <c r="S9" i="55"/>
  <c r="T52" i="55"/>
  <c r="T15" i="55"/>
  <c r="O111" i="55"/>
  <c r="G7" i="59"/>
  <c r="R132" i="55"/>
  <c r="T132" i="55" s="1"/>
  <c r="AE384" i="53"/>
  <c r="K14" i="59"/>
  <c r="T196" i="55"/>
  <c r="T107" i="55"/>
  <c r="X2" i="53"/>
  <c r="T25" i="55"/>
  <c r="O137" i="55"/>
  <c r="T37" i="55"/>
  <c r="T187" i="55"/>
  <c r="O21" i="59"/>
  <c r="R27" i="55"/>
  <c r="T27" i="55" s="1"/>
  <c r="T71" i="55"/>
  <c r="M6" i="59"/>
  <c r="O14" i="59"/>
  <c r="S111" i="55"/>
  <c r="R56" i="55"/>
  <c r="T110" i="55"/>
  <c r="O48" i="55"/>
  <c r="T134" i="55"/>
  <c r="O117" i="55"/>
  <c r="R170" i="55"/>
  <c r="T170" i="55" s="1"/>
  <c r="L18" i="59"/>
  <c r="L122" i="55" a="1"/>
  <c r="L122" i="55" s="1"/>
  <c r="R59" i="55"/>
  <c r="T59" i="55" s="1"/>
  <c r="O7" i="59"/>
  <c r="U7" i="59" s="1"/>
  <c r="S104" i="55"/>
  <c r="T122" i="55"/>
  <c r="O58" i="55"/>
  <c r="O118" i="55"/>
  <c r="T169" i="55"/>
  <c r="Q21" i="59"/>
  <c r="T19" i="59"/>
  <c r="O97" i="55"/>
  <c r="L177" i="55" a="1"/>
  <c r="L177" i="55" s="1"/>
  <c r="H177" i="55"/>
  <c r="G177" i="55"/>
  <c r="K177" i="55" a="1"/>
  <c r="K177" i="55" s="1"/>
  <c r="K140" i="55" a="1"/>
  <c r="K140" i="55" s="1"/>
  <c r="G140" i="55"/>
  <c r="H140" i="55"/>
  <c r="G38" i="55"/>
  <c r="H38" i="55"/>
  <c r="K38" i="55" a="1"/>
  <c r="K38" i="55" s="1"/>
  <c r="G15" i="55"/>
  <c r="L15" i="55" a="1"/>
  <c r="L15" i="55" s="1"/>
  <c r="H15" i="55"/>
  <c r="H176" i="55"/>
  <c r="K176" i="55" a="1"/>
  <c r="K176" i="55" s="1"/>
  <c r="L176" i="55" a="1"/>
  <c r="L176" i="55" s="1"/>
  <c r="H14" i="55"/>
  <c r="G14" i="55"/>
  <c r="L14" i="55" a="1"/>
  <c r="L14" i="55" s="1"/>
  <c r="O30" i="55"/>
  <c r="H54" i="55"/>
  <c r="G54" i="55"/>
  <c r="L54" i="55" a="1"/>
  <c r="L54" i="55" s="1"/>
  <c r="K54" i="55" a="1"/>
  <c r="K54" i="55" s="1"/>
  <c r="G36" i="55"/>
  <c r="H36" i="55"/>
  <c r="K36" i="55" a="1"/>
  <c r="K36" i="55" s="1"/>
  <c r="L36" i="55" a="1"/>
  <c r="L36" i="55" s="1"/>
  <c r="L189" i="55" a="1"/>
  <c r="L189" i="55" s="1"/>
  <c r="K189" i="55" a="1"/>
  <c r="K189" i="55" s="1"/>
  <c r="H189" i="55"/>
  <c r="G189" i="55"/>
  <c r="G174" i="55"/>
  <c r="L174" i="55" a="1"/>
  <c r="L174" i="55" s="1"/>
  <c r="K174" i="55" a="1"/>
  <c r="K174" i="55" s="1"/>
  <c r="H174" i="55"/>
  <c r="G98" i="55"/>
  <c r="K98" i="55" a="1"/>
  <c r="K98" i="55" s="1"/>
  <c r="H98" i="55"/>
  <c r="H53" i="55"/>
  <c r="G53" i="55"/>
  <c r="K53" i="55" a="1"/>
  <c r="K53" i="55" s="1"/>
  <c r="G171" i="55"/>
  <c r="H171" i="55"/>
  <c r="K171" i="55" a="1"/>
  <c r="K171" i="55" s="1"/>
  <c r="H97" i="55"/>
  <c r="K97" i="55" a="1"/>
  <c r="K97" i="55" s="1"/>
  <c r="G97" i="55"/>
  <c r="H52" i="55"/>
  <c r="G52" i="55"/>
  <c r="K52" i="55" a="1"/>
  <c r="K52" i="55" s="1"/>
  <c r="L52" i="55" a="1"/>
  <c r="L52" i="55" s="1"/>
  <c r="H31" i="55"/>
  <c r="L31" i="55" a="1"/>
  <c r="L31" i="55" s="1"/>
  <c r="K31" i="55" a="1"/>
  <c r="K31" i="55" s="1"/>
  <c r="G31" i="55"/>
  <c r="H114" i="55"/>
  <c r="K114" i="55" a="1"/>
  <c r="K114" i="55" s="1"/>
  <c r="G114" i="55"/>
  <c r="K132" i="55" a="1"/>
  <c r="K132" i="55" s="1"/>
  <c r="G132" i="55"/>
  <c r="L132" i="55" a="1"/>
  <c r="L132" i="55" s="1"/>
  <c r="H132" i="55"/>
  <c r="G50" i="55"/>
  <c r="H50" i="55"/>
  <c r="K50" i="55" a="1"/>
  <c r="K50" i="55" s="1"/>
  <c r="G48" i="55"/>
  <c r="H48" i="55"/>
  <c r="K48" i="55" a="1"/>
  <c r="K48" i="55" s="1"/>
  <c r="H128" i="55"/>
  <c r="G128" i="55"/>
  <c r="L128" i="55" a="1"/>
  <c r="L128" i="55" s="1"/>
  <c r="K128" i="55" a="1"/>
  <c r="K128" i="55" s="1"/>
  <c r="L66" i="55" a="1"/>
  <c r="L66" i="55" s="1"/>
  <c r="G66" i="55"/>
  <c r="K66" i="55" a="1"/>
  <c r="K66" i="55" s="1"/>
  <c r="H66" i="55"/>
  <c r="G184" i="55"/>
  <c r="K184" i="55" a="1"/>
  <c r="K184" i="55" s="1"/>
  <c r="L184" i="55" a="1"/>
  <c r="L184" i="55" s="1"/>
  <c r="H184" i="55"/>
  <c r="H124" i="55"/>
  <c r="K124" i="55" a="1"/>
  <c r="K124" i="55" s="1"/>
  <c r="L124" i="55" a="1"/>
  <c r="L124" i="55" s="1"/>
  <c r="T19" i="55"/>
  <c r="G196" i="55"/>
  <c r="L196" i="55" a="1"/>
  <c r="L196" i="55" s="1"/>
  <c r="K196" i="55" a="1"/>
  <c r="K196" i="55" s="1"/>
  <c r="H196" i="55"/>
  <c r="G123" i="55"/>
  <c r="L123" i="55" a="1"/>
  <c r="L123" i="55" s="1"/>
  <c r="H123" i="55"/>
  <c r="K123" i="55" a="1"/>
  <c r="K123" i="55" s="1"/>
  <c r="R14" i="55"/>
  <c r="S14" i="55"/>
  <c r="G161" i="55"/>
  <c r="H161" i="55"/>
  <c r="K161" i="55" a="1"/>
  <c r="K161" i="55" s="1"/>
  <c r="L161" i="55" a="1"/>
  <c r="L161" i="55" s="1"/>
  <c r="K105" i="55" a="1"/>
  <c r="K105" i="55" s="1"/>
  <c r="H105" i="55"/>
  <c r="G105" i="55"/>
  <c r="L105" i="55" a="1"/>
  <c r="L105" i="55" s="1"/>
  <c r="L82" i="55" a="1"/>
  <c r="L82" i="55" s="1"/>
  <c r="G82" i="55"/>
  <c r="K82" i="55" a="1"/>
  <c r="K82" i="55" s="1"/>
  <c r="H82" i="55"/>
  <c r="T16" i="55"/>
  <c r="T201" i="55"/>
  <c r="G58" i="55"/>
  <c r="H58" i="55"/>
  <c r="L58" i="55" a="1"/>
  <c r="L58" i="55" s="1"/>
  <c r="K58" i="55" a="1"/>
  <c r="K58" i="55" s="1"/>
  <c r="H120" i="55"/>
  <c r="K120" i="55" a="1"/>
  <c r="K120" i="55" s="1"/>
  <c r="G120" i="55"/>
  <c r="H80" i="55"/>
  <c r="G80" i="55"/>
  <c r="K80" i="55" a="1"/>
  <c r="K80" i="55" s="1"/>
  <c r="H39" i="55"/>
  <c r="K39" i="55" a="1"/>
  <c r="K39" i="55" s="1"/>
  <c r="G39" i="55"/>
  <c r="O193" i="55"/>
  <c r="O134" i="55"/>
  <c r="Q14" i="59"/>
  <c r="V14" i="59" s="1"/>
  <c r="T36" i="55"/>
  <c r="M11" i="59"/>
  <c r="S45" i="55"/>
  <c r="T45" i="55" s="1"/>
  <c r="R38" i="55"/>
  <c r="T38" i="55" s="1"/>
  <c r="T137" i="55"/>
  <c r="T60" i="55"/>
  <c r="O200" i="55"/>
  <c r="O67" i="55"/>
  <c r="O121" i="55"/>
  <c r="S73" i="55"/>
  <c r="T73" i="55" s="1"/>
  <c r="T179" i="55"/>
  <c r="S200" i="55"/>
  <c r="T200" i="55" s="1"/>
  <c r="O196" i="55"/>
  <c r="L11" i="59"/>
  <c r="R61" i="55"/>
  <c r="T61" i="55" s="1"/>
  <c r="V21" i="59"/>
  <c r="AE2" i="53"/>
  <c r="L40" i="55" a="1"/>
  <c r="L40" i="55" s="1"/>
  <c r="L29" i="55" a="1"/>
  <c r="L29" i="55" s="1"/>
  <c r="L197" i="55" a="1"/>
  <c r="L197" i="55" s="1"/>
  <c r="L199" i="55" a="1"/>
  <c r="L199" i="55" s="1"/>
  <c r="L9" i="55" a="1"/>
  <c r="L9" i="55" s="1"/>
  <c r="L44" i="55" a="1"/>
  <c r="L44" i="55" s="1"/>
  <c r="R49" i="55"/>
  <c r="T49" i="55" s="1"/>
  <c r="R24" i="55"/>
  <c r="T24" i="55" s="1"/>
  <c r="T97" i="55"/>
  <c r="S102" i="55"/>
  <c r="T102" i="55" s="1"/>
  <c r="O49" i="55"/>
  <c r="T14" i="59"/>
  <c r="L13" i="59"/>
  <c r="T183" i="55"/>
  <c r="T47" i="55"/>
  <c r="L118" i="55" a="1"/>
  <c r="L118" i="55" s="1"/>
  <c r="L188" i="55" a="1"/>
  <c r="L188" i="55" s="1"/>
  <c r="T123" i="55"/>
  <c r="R46" i="55"/>
  <c r="T46" i="55" s="1"/>
  <c r="N14" i="59"/>
  <c r="T4" i="59"/>
  <c r="L130" i="55" a="1"/>
  <c r="L130" i="55" s="1"/>
  <c r="S96" i="55"/>
  <c r="T96" i="55" s="1"/>
  <c r="Q211" i="55"/>
  <c r="O38" i="55"/>
  <c r="O47" i="55"/>
  <c r="S80" i="55"/>
  <c r="T80" i="55" s="1"/>
  <c r="AE7" i="53"/>
  <c r="T103" i="55"/>
  <c r="O159" i="55"/>
  <c r="U18" i="59"/>
  <c r="K116" i="55" a="1"/>
  <c r="K116" i="55" s="1"/>
  <c r="T104" i="55"/>
  <c r="L103" i="55" a="1"/>
  <c r="L103" i="55" s="1"/>
  <c r="T136" i="55"/>
  <c r="O126" i="55"/>
  <c r="T9" i="55"/>
  <c r="L179" i="55" a="1"/>
  <c r="L179" i="55" s="1"/>
  <c r="S140" i="55"/>
  <c r="T140" i="55" s="1"/>
  <c r="L32" i="55" a="1"/>
  <c r="L32" i="55" s="1"/>
  <c r="L138" i="55" a="1"/>
  <c r="L138" i="55" s="1"/>
  <c r="T109" i="55"/>
  <c r="T131" i="55"/>
  <c r="O194" i="55"/>
  <c r="O130" i="55"/>
  <c r="O53" i="55"/>
  <c r="R194" i="55"/>
  <c r="T194" i="55" s="1"/>
  <c r="T193" i="55"/>
  <c r="O186" i="55"/>
  <c r="T48" i="55"/>
  <c r="L137" i="55" a="1"/>
  <c r="L137" i="55" s="1"/>
  <c r="L8" i="55" a="1"/>
  <c r="L8" i="55" s="1"/>
  <c r="R130" i="55"/>
  <c r="T130" i="55" s="1"/>
  <c r="S30" i="55"/>
  <c r="T30" i="55" s="1"/>
  <c r="L41" i="55" a="1"/>
  <c r="L41" i="55" s="1"/>
  <c r="R57" i="55"/>
  <c r="T57" i="55" s="1"/>
  <c r="T117" i="55"/>
  <c r="O62" i="55"/>
  <c r="K112" i="55" a="1"/>
  <c r="K112" i="55" s="1"/>
  <c r="T111" i="55"/>
  <c r="O7" i="55"/>
  <c r="T40" i="55"/>
  <c r="T32" i="55"/>
  <c r="T83" i="55"/>
  <c r="K193" i="55" a="1"/>
  <c r="K193" i="55" s="1"/>
  <c r="T56" i="55"/>
  <c r="O96" i="55"/>
  <c r="K40" i="55" a="1"/>
  <c r="K40" i="55" s="1"/>
  <c r="E5" i="57"/>
  <c r="E6" i="57" s="1"/>
  <c r="E7" i="57" s="1"/>
  <c r="E8" i="57" s="1"/>
  <c r="E9" i="57" s="1"/>
  <c r="E10" i="57" s="1"/>
  <c r="E11" i="57" s="1"/>
  <c r="E12" i="57" s="1"/>
  <c r="D13" i="57"/>
  <c r="M14" i="59"/>
  <c r="L14" i="59"/>
  <c r="O24" i="55"/>
  <c r="O41" i="55"/>
  <c r="G7" i="26"/>
  <c r="F6" i="26"/>
  <c r="T21" i="59"/>
  <c r="U21" i="59"/>
  <c r="R98" i="55"/>
  <c r="T98" i="55" s="1"/>
  <c r="L19" i="59"/>
  <c r="L49" i="55" a="1"/>
  <c r="L49" i="55" s="1"/>
  <c r="L112" i="55" a="1"/>
  <c r="L112" i="55" s="1"/>
  <c r="R66" i="55"/>
  <c r="T66" i="55" s="1"/>
  <c r="L83" i="55" a="1"/>
  <c r="L83" i="55" s="1"/>
  <c r="L50" i="55" a="1"/>
  <c r="L50" i="55" s="1"/>
  <c r="L53" i="55" a="1"/>
  <c r="L53" i="55" s="1"/>
  <c r="S119" i="55"/>
  <c r="T119" i="55" s="1"/>
  <c r="U5" i="59"/>
  <c r="R55" i="55"/>
  <c r="T55" i="55" s="1"/>
  <c r="O211" i="55"/>
  <c r="S126" i="55"/>
  <c r="T126" i="55" s="1"/>
  <c r="T7" i="59"/>
  <c r="L96" i="55" a="1"/>
  <c r="L96" i="55" s="1"/>
  <c r="L114" i="55" a="1"/>
  <c r="L114" i="55" s="1"/>
  <c r="L61" i="55" a="1"/>
  <c r="L61" i="55" s="1"/>
  <c r="L48" i="55" a="1"/>
  <c r="L48" i="55" s="1"/>
  <c r="F21" i="59" a="1"/>
  <c r="F21" i="59" s="1"/>
  <c r="L108" i="55" a="1"/>
  <c r="L108" i="55" s="1"/>
  <c r="M12" i="59"/>
  <c r="L193" i="55" a="1"/>
  <c r="L193" i="55" s="1"/>
  <c r="S29" i="55"/>
  <c r="T29" i="55" s="1"/>
  <c r="O52" i="55"/>
  <c r="G21" i="59"/>
  <c r="L71" i="55" a="1"/>
  <c r="L71" i="55" s="1"/>
  <c r="L109" i="55" a="1"/>
  <c r="L109" i="55" s="1"/>
  <c r="L133" i="55" a="1"/>
  <c r="L133" i="55" s="1"/>
  <c r="L39" i="55" a="1"/>
  <c r="L39" i="55" s="1"/>
  <c r="L46" i="55" a="1"/>
  <c r="L46" i="55" s="1"/>
  <c r="R7" i="55"/>
  <c r="T7" i="55" s="1"/>
  <c r="L97" i="55" a="1"/>
  <c r="L97" i="55" s="1"/>
  <c r="L183" i="55" a="1"/>
  <c r="L183" i="55" s="1"/>
  <c r="L134" i="55" a="1"/>
  <c r="L134" i="55" s="1"/>
  <c r="L25" i="55" a="1"/>
  <c r="L25" i="55" s="1"/>
  <c r="L170" i="55" a="1"/>
  <c r="L170" i="55" s="1"/>
  <c r="L59" i="55" a="1"/>
  <c r="L59" i="55" s="1"/>
  <c r="E6" i="26"/>
  <c r="L110" i="55" a="1"/>
  <c r="L110" i="55" s="1"/>
  <c r="F7" i="59" a="1"/>
  <c r="F7" i="59" s="1"/>
  <c r="U20" i="59"/>
  <c r="R8" i="55"/>
  <c r="T8" i="55" s="1"/>
  <c r="L80" i="55" a="1"/>
  <c r="L80" i="55" s="1"/>
  <c r="L60" i="55" a="1"/>
  <c r="L60" i="55" s="1"/>
  <c r="L98" i="55" a="1"/>
  <c r="L98" i="55" s="1"/>
  <c r="F14" i="59" a="1"/>
  <c r="F14" i="59" s="1"/>
  <c r="S72" i="55"/>
  <c r="T72" i="55" s="1"/>
  <c r="T20" i="59"/>
  <c r="R116" i="55"/>
  <c r="T116" i="55" s="1"/>
  <c r="G13" i="55"/>
  <c r="L13" i="55" a="1"/>
  <c r="L13" i="55" s="1"/>
  <c r="G10" i="55"/>
  <c r="H10" i="55"/>
  <c r="L67" i="55" a="1"/>
  <c r="L67" i="55" s="1"/>
  <c r="R128" i="55"/>
  <c r="T128" i="55" s="1"/>
  <c r="L116" i="55" a="1"/>
  <c r="L116" i="55" s="1"/>
  <c r="L120" i="55" a="1"/>
  <c r="L120" i="55" s="1"/>
  <c r="L38" i="55" a="1"/>
  <c r="L38" i="55" s="1"/>
  <c r="L140" i="55" a="1"/>
  <c r="L140" i="55" s="1"/>
  <c r="L121" i="55" a="1"/>
  <c r="L121" i="55" s="1"/>
  <c r="L27" i="55" a="1"/>
  <c r="L27" i="55" s="1"/>
  <c r="K57" i="55" a="1"/>
  <c r="K57" i="55" s="1"/>
  <c r="G29" i="55"/>
  <c r="K29" i="55" a="1"/>
  <c r="K29" i="55" s="1"/>
  <c r="K67" i="55" a="1"/>
  <c r="K67" i="55" s="1"/>
  <c r="K15" i="55" a="1"/>
  <c r="K15" i="55" s="1"/>
  <c r="L72" i="55" a="1"/>
  <c r="L72" i="55" s="1"/>
  <c r="L51" i="55" a="1"/>
  <c r="L51" i="55" s="1"/>
  <c r="L194" i="55" a="1"/>
  <c r="L194" i="55" s="1"/>
  <c r="L171" i="55" a="1"/>
  <c r="L171" i="55" s="1"/>
  <c r="H7" i="55"/>
  <c r="G7" i="55"/>
  <c r="G80" i="53"/>
  <c r="AE353" i="53"/>
  <c r="G52" i="53"/>
  <c r="P160" i="55"/>
  <c r="P53" i="55"/>
  <c r="G54" i="53"/>
  <c r="K14" i="55" a="1"/>
  <c r="K14" i="55" s="1"/>
  <c r="T14" i="55" l="1"/>
  <c r="S159" i="55"/>
  <c r="L7" i="59"/>
  <c r="M7" i="59"/>
  <c r="T159" i="55"/>
  <c r="S211" i="55"/>
  <c r="S2" i="55"/>
  <c r="U14" i="59"/>
  <c r="R53" i="55"/>
  <c r="S53" i="55"/>
  <c r="G6" i="26"/>
  <c r="H7" i="26"/>
  <c r="M21" i="59"/>
  <c r="L21" i="59"/>
  <c r="R160" i="55"/>
  <c r="S160" i="55"/>
  <c r="G211" i="55"/>
  <c r="G3" i="55"/>
  <c r="G212" i="55"/>
  <c r="G2" i="55"/>
  <c r="H211" i="55"/>
  <c r="H2" i="55"/>
  <c r="T160" i="55" l="1"/>
  <c r="T2" i="55"/>
  <c r="T211" i="55"/>
  <c r="H212" i="55"/>
  <c r="H3" i="55"/>
  <c r="I7" i="26"/>
  <c r="H6" i="26"/>
  <c r="T53" i="55"/>
  <c r="J7" i="26" l="1"/>
  <c r="I6" i="26"/>
  <c r="K7" i="26" l="1"/>
  <c r="J6" i="26"/>
  <c r="L7" i="26" l="1"/>
  <c r="K6" i="26"/>
  <c r="L6" i="26" l="1"/>
  <c r="M7" i="26"/>
  <c r="M6" i="26" l="1"/>
  <c r="N7" i="26"/>
  <c r="N6" i="26" l="1"/>
  <c r="O7" i="26"/>
  <c r="O6" i="26" l="1"/>
  <c r="P7" i="26"/>
  <c r="Q7" i="26" l="1"/>
  <c r="P6" i="26"/>
  <c r="Q6" i="26" l="1"/>
  <c r="R7" i="26"/>
  <c r="S7" i="26" l="1"/>
  <c r="R6" i="26"/>
  <c r="S6" i="26" l="1"/>
  <c r="T7" i="26"/>
  <c r="T6" i="26" l="1"/>
  <c r="U7" i="26"/>
  <c r="U6" i="26" l="1"/>
  <c r="V7" i="26"/>
  <c r="W7" i="26" l="1"/>
  <c r="V6" i="26"/>
  <c r="W6" i="26" l="1"/>
  <c r="X7" i="26"/>
  <c r="Y7" i="26" l="1"/>
  <c r="X6" i="26"/>
  <c r="Z7" i="26" l="1"/>
  <c r="Y6" i="26"/>
  <c r="Z6" i="26" l="1"/>
  <c r="AA7" i="26"/>
  <c r="AA6" i="26" l="1"/>
  <c r="AB7" i="26"/>
  <c r="AC7" i="26" l="1"/>
  <c r="AB6" i="26"/>
  <c r="AC6" i="26" l="1"/>
  <c r="AD7" i="26"/>
  <c r="AD6" i="26" l="1"/>
  <c r="AE7" i="26"/>
  <c r="AE6" i="26" l="1"/>
  <c r="AF7" i="26"/>
  <c r="AG7" i="26" l="1"/>
  <c r="AF6" i="26"/>
  <c r="AG6" i="26" l="1"/>
  <c r="AH7" i="26"/>
  <c r="AH6" i="26" l="1"/>
  <c r="AI7" i="26"/>
  <c r="AI6" i="26" l="1"/>
  <c r="AJ7" i="26"/>
  <c r="AK7" i="26" l="1"/>
  <c r="AJ6"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U25" authorId="0" shapeId="0" xr:uid="{4D980F8B-C888-46C2-AEDB-44DEC0675BF3}">
      <text>
        <r>
          <rPr>
            <b/>
            <sz val="10"/>
            <color indexed="81"/>
            <rFont val="Tahoma"/>
            <family val="2"/>
          </rPr>
          <t>Administrator:</t>
        </r>
        <r>
          <rPr>
            <sz val="10"/>
            <color indexed="81"/>
            <rFont val="Tahoma"/>
            <family val="2"/>
          </rPr>
          <t xml:space="preserve">
This is mission mode use case, may be indirectly covered by driver. Evan will follow up with SW on their use scenario and coverage plan. 
Diag risk: Tcore lib, etc are all new. 
Pre-silicon: Alex help to request emulator priority , so Diag can cover basic test case . 
Diag plan: try to cover basic case in pre-silicon, but still risk for full feature verification. 
</t>
        </r>
      </text>
    </comment>
    <comment ref="U40" authorId="0" shapeId="0" xr:uid="{9774FC1B-7716-4E66-BF33-F8636D88DE85}">
      <text>
        <r>
          <rPr>
            <b/>
            <sz val="10"/>
            <color indexed="81"/>
            <rFont val="Tahoma"/>
            <family val="2"/>
          </rPr>
          <t>Administrator:</t>
        </r>
        <r>
          <rPr>
            <sz val="10"/>
            <color indexed="81"/>
            <rFont val="Tahoma"/>
            <family val="2"/>
          </rPr>
          <t xml:space="preserve">
This is mission mode use case, may be indirectly covered by driver. Evan will follow up with SW on their use scenario and coverage plan. 
Diag risk: Tcore lib, etc are all new. 
Pre-silicon: Alex help to request emulator priority , so Diag can cover basic test case . 
Diag plan: try to cover basic case in pre-silicon, but still risk for full feature verification. 
Same as 1015</t>
        </r>
      </text>
    </comment>
    <comment ref="U67" authorId="0" shapeId="0" xr:uid="{A275BB40-AC64-47A3-93D8-B7DFE9A26F23}">
      <text>
        <r>
          <rPr>
            <b/>
            <sz val="10"/>
            <color indexed="81"/>
            <rFont val="Tahoma"/>
            <family val="2"/>
          </rPr>
          <t>Administrator:</t>
        </r>
        <r>
          <rPr>
            <sz val="10"/>
            <color indexed="81"/>
            <rFont val="Tahoma"/>
            <family val="2"/>
          </rPr>
          <t xml:space="preserve">
Refer to 1007</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<sst xmlns="http://schemas.openxmlformats.org/spreadsheetml/2006/main" count="6062" uniqueCount="1786">
  <si>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</si>
  <si>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</si>
  <si>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</si>
  <si>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</si>
  <si>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</si>
  <si>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</si>
  <si>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</si>
  <si>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</si>
  <si>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</si>
  <si>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</si>
  <si>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</si>
  <si>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</si>
  <si>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</si>
  <si>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</si>
  <si>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</si>
  <si>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</si>
  <si>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</si>
  <si>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</si>
  <si>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</si>
  <si>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</si>
  <si>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</si>
  <si>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</si>
  <si>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</si>
  <si>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</si>
  <si>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</si>
  <si>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</si>
  <si>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</si>
  <si>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</si>
  <si>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</si>
  <si>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</si>
  <si>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</si>
  <si>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</si>
  <si>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</si>
  <si>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</si>
  <si>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</si>
  <si>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</si>
  <si>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</si>
  <si>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</si>
  <si>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</si>
  <si>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</si>
  <si>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</si>
  <si>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</si>
  <si>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</si>
  <si>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</si>
  <si>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</si>
  <si>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</si>
  <si>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</si>
  <si>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</si>
  <si>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</si>
  <si>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</si>
  <si>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</si>
  <si>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</si>
  <si>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</si>
  <si>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</si>
  <si>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</si>
  <si>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</si>
  <si>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</si>
  <si>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</si>
  <si>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</si>
  <si>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</si>
  <si>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</si>
  <si>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</si>
  <si>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</si>
  <si>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</si>
  <si>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</si>
  <si>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</si>
  <si>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</si>
  <si>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</si>
  <si>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</si>
  <si>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</si>
  <si>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</si>
  <si>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</si>
  <si>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</si>
  <si>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</si>
  <si>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</si>
  <si>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</si>
  <si>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</si>
  <si>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</si>
  <si>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</si>
  <si>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</si>
  <si>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</si>
  <si>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</si>
  <si>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</si>
  <si>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</si>
  <si>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</si>
  <si>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</si>
  <si>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</si>
  <si>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</si>
  <si>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</si>
  <si>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</si>
  <si>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</si>
  <si>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</si>
  <si>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</si>
  <si>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</si>
  <si>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</si>
  <si>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</si>
  <si>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</si>
  <si>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</si>
  <si>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</si>
  <si>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</si>
  <si>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</si>
  <si>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</si>
  <si>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</si>
  <si>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</si>
  <si>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</si>
  <si>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</si>
  <si>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</si>
  <si>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</si>
  <si>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</si>
  <si>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</si>
  <si>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</si>
  <si>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</si>
  <si>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</si>
  <si>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</si>
  <si>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</si>
  <si>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</si>
  <si>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</si>
  <si>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</si>
  <si>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</si>
  <si>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</si>
  <si>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</si>
  <si>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</si>
  <si>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</si>
  <si>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</si>
  <si>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</si>
  <si>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</si>
  <si>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</si>
  <si>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</si>
  <si>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</si>
  <si>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</si>
  <si>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</si>
  <si>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</si>
  <si>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</si>
  <si>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</si>
  <si>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</si>
  <si>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</si>
  <si>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</si>
  <si>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</si>
  <si>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</si>
  <si>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</si>
  <si>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</si>
  <si>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</si>
  <si>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</si>
  <si>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</si>
  <si>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</si>
  <si>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</si>
  <si>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</si>
  <si>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</si>
  <si>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</si>
  <si>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</si>
  <si>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</si>
  <si>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</si>
  <si>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</si>
  <si>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</si>
  <si>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</si>
  <si>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</si>
  <si>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</si>
  <si>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</si>
  <si>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</si>
  <si>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</si>
  <si>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</si>
  <si>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</si>
  <si>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</si>
  <si>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</si>
  <si>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</si>
  <si>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</si>
  <si>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</si>
  <si>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</si>
  <si>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</si>
  <si>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</si>
  <si>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</si>
  <si>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</si>
  <si>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</si>
  <si>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</si>
  <si>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</si>
  <si>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</si>
  <si>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</si>
  <si>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</si>
  <si>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</si>
  <si>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</si>
  <si>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</si>
  <si>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</si>
  <si>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</si>
  <si>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</si>
  <si>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</si>
  <si>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</si>
  <si>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</si>
  <si>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</si>
  <si>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</si>
  <si>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</si>
  <si>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</si>
  <si>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</si>
  <si>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</si>
  <si>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</si>
  <si>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</si>
  <si>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</si>
  <si>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</si>
  <si>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</si>
  <si>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</si>
  <si>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</si>
  <si>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</si>
  <si>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</si>
  <si>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</si>
  <si>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</si>
  <si>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</si>
  <si>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</si>
  <si>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</si>
  <si>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</si>
  <si>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</si>
  <si>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</si>
  <si>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</si>
  <si>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</si>
  <si>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</si>
  <si>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</si>
  <si>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</si>
  <si>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</si>
  <si>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</si>
  <si>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</si>
  <si>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</si>
  <si>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</si>
  <si>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</si>
  <si>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</si>
  <si>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</si>
  <si>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</si>
  <si>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</si>
  <si>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</si>
  <si>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</si>
  <si>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</si>
  <si>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</si>
  <si>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</si>
  <si>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</si>
  <si>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</si>
  <si>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</si>
  <si>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</si>
  <si>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</si>
  <si>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</si>
  <si>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</si>
  <si>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</si>
  <si>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</si>
  <si>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</si>
  <si>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</si>
  <si>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</si>
  <si>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</si>
  <si>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</si>
  <si>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</si>
  <si>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</si>
  <si>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</si>
  <si>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</si>
  <si>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</si>
  <si>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</si>
  <si>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</si>
  <si>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</si>
  <si>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</si>
  <si>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</si>
  <si>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</si>
  <si>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</si>
  <si>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</si>
  <si>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</si>
  <si>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</si>
  <si>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</si>
  <si>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</si>
  <si>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</si>
  <si>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</si>
  <si>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</si>
  <si>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</si>
  <si>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</si>
  <si>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</si>
  <si>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</si>
  <si>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</si>
  <si>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</si>
  <si>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</si>
  <si>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</si>
  <si>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</si>
  <si>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</si>
  <si>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</si>
  <si>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</si>
  <si>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</si>
  <si>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</si>
  <si>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</si>
  <si>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</si>
  <si>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</si>
  <si>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</si>
  <si>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</si>
  <si>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</si>
  <si>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</si>
  <si>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</si>
  <si>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</si>
  <si>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</si>
  <si>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</si>
  <si>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</si>
  <si>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</si>
  <si>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</si>
  <si>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</si>
  <si>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</si>
  <si>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</si>
  <si>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</si>
  <si>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</si>
  <si>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</si>
  <si>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</si>
  <si>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</si>
  <si>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</si>
  <si>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</si>
  <si>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</si>
  <si>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NV48-HUBS-1000, NV48-HUBS-1001, NV48-HUBS-1002, NV48-HUBS-1021, NV48-HUBS-3000, NV48-HUBS-3028</t>
  </si>
  <si>
    <t>MMHUB:SOC - SOC-15 SDP Interfaces</t>
  </si>
  <si>
    <t>Trevor</t>
  </si>
  <si>
    <t>MMHUB</t>
  </si>
  <si>
    <t> MMHUB FB Aperture Address Boundary</t>
  </si>
  <si>
    <t>mhub001.1</t>
  </si>
  <si>
    <t>Tserver</t>
  </si>
  <si>
    <t>-novm</t>
  </si>
  <si>
    <t>28245e236a5d</t>
  </si>
  <si>
    <t>MMHUB AGP Aperture Address Boundary</t>
  </si>
  <si>
    <t>mhub001.2</t>
  </si>
  <si>
    <t>NV48-HUBS-1000, NV48-HUBS-1001, NV48-HUBS-1002, NV48-HUBS-1021, NV48-HUBS-3000</t>
  </si>
  <si>
    <t> MMHUB FB Aperture Address Range</t>
  </si>
  <si>
    <t>mhub001.3</t>
  </si>
  <si>
    <t>MMHUB AGP Aperture Address Range</t>
  </si>
  <si>
    <t>mhub001.4</t>
  </si>
  <si>
    <t>MMHUB System Aperture Address Boundary</t>
  </si>
  <si>
    <t>mhub001.5</t>
  </si>
  <si>
    <t>MMHUB System Aperture Address Range</t>
  </si>
  <si>
    <t>mhub001.6</t>
  </si>
  <si>
    <t>MMHUB Unmapped System Memory</t>
  </si>
  <si>
    <t>mhub001.7</t>
  </si>
  <si>
    <t>MMHUB System Aperture Access Mode</t>
  </si>
  <si>
    <t>mhub001.9</t>
  </si>
  <si>
    <t>-vm</t>
  </si>
  <si>
    <t>NV48-HUBS-1000, NV48-HUBS-1001, NV48-HUBS-1002, NV48-HUBS-1021, NV48-HUBS-1038, NV48-HUBS-3001</t>
  </si>
  <si>
    <t>MMHUB Independent VM Context Aperture Address Range/Boundary</t>
  </si>
  <si>
    <t>mhub002.1-15</t>
  </si>
  <si>
    <t>TNG</t>
  </si>
  <si>
    <t xml:space="preserve"> tng-v1.0.0-2559-g9f041aafe2-dirty</t>
  </si>
  <si>
    <t>mhub002.16</t>
  </si>
  <si>
    <t>8d0cc7a1d6</t>
  </si>
  <si>
    <t>NV48-HUBS-1000, NV48-HUBS-1001, NV48-HUBS-1002, NV48-HUBS-1021</t>
  </si>
  <si>
    <t>MMHUB Concurrent Access to Multiple Apertures</t>
  </si>
  <si>
    <t>mhub002.17</t>
  </si>
  <si>
    <t>Access to a VM FB region mapped to the 1st 16MB of FB</t>
  </si>
  <si>
    <t>mhub002.18</t>
  </si>
  <si>
    <t>00d5d8a0da42</t>
  </si>
  <si>
    <t>Zi Harn</t>
  </si>
  <si>
    <t>VM Non-ADM Mode</t>
  </si>
  <si>
    <t>mhub003</t>
  </si>
  <si>
    <t>-vm -UseSdmaPio</t>
  </si>
  <si>
    <t>NV48-HUBS-1045</t>
  </si>
  <si>
    <t>MMHUB:MMUTCL2:VML2 - PDE Attributes</t>
  </si>
  <si>
    <t>MMHUB PDE C attribute</t>
  </si>
  <si>
    <t>mhub005</t>
  </si>
  <si>
    <t>-vm -tcoreptloc=1</t>
  </si>
  <si>
    <t>[error][GMC] Access 2: checkBuf does not contain the expected data!_x000D_
[error][GMC] Access 2: checkBuf does not contain the expected data!</t>
  </si>
  <si>
    <t>NV48-HUBS-1046</t>
  </si>
  <si>
    <t>MMHUB:MMUTCL2:VML2 - PTE Attributes</t>
  </si>
  <si>
    <t>MMHUB PTE SVT Address Space attributes - VM FB Page Access</t>
  </si>
  <si>
    <t>mhub006.1,2,4</t>
  </si>
  <si>
    <t>PTE C attribute</t>
  </si>
  <si>
    <t>mhub007.4</t>
  </si>
  <si>
    <t>Chengchun</t>
  </si>
  <si>
    <t>MMHUB PTE WR Permission attributes</t>
  </si>
  <si>
    <t>mhub008.1,2</t>
  </si>
  <si>
    <t>NV48-HUBS-1044, NV48-HUBS-1045</t>
  </si>
  <si>
    <t>MMHUB:MMUTCL2:VML2 - Page Table Levels</t>
  </si>
  <si>
    <t>MMHUB PDE "P"te attribute</t>
  </si>
  <si>
    <t>mhub010.1,2</t>
  </si>
  <si>
    <t>MHUB010.002
TCoreAssert FAIL : 0_x000D_
  in TCoreNavi48::GPUResource* TCoreNavi48::GPUPageTable::LookUpResList(bool, TC_uint64) at /home/jtellian/branches/navi48/external/amd/lib/gfx12/tcore2/tcore2/src/lib/ip/mc/GPUPageTable.cpp:1134</t>
  </si>
  <si>
    <t>NV48-HUBS-1044, NV48-HUBS-1046, NV48-HUBS-1050</t>
  </si>
  <si>
    <t>Zhongli</t>
  </si>
  <si>
    <t>MMHUB PTE Translate "F"urther attribute</t>
  </si>
  <si>
    <t>mhub011.1</t>
  </si>
  <si>
    <t>MMHUB PTE Translate "F"urther attribute in active page migration mode for NonRT BigK cache</t>
  </si>
  <si>
    <t>mhub011.2</t>
  </si>
  <si>
    <t>-vm -tc_BigkCacheFragSize=4</t>
  </si>
  <si>
    <t>MMHUB PTE Translate "F"urther attribute in active page migration mode for SoftRT BigK cache</t>
  </si>
  <si>
    <t>mhub011.3</t>
  </si>
  <si>
    <t>MMHUB PTE Translate "F"urther attribute in active page migration mode for NonRT SmallK cache</t>
  </si>
  <si>
    <t>mhub011.4</t>
  </si>
  <si>
    <t>-vm -tc_SmallkCacheFragSize=4</t>
  </si>
  <si>
    <t>MMHUB PTE Translate "F"urther attribute in active page migration mode for SoftRT SmallK cache</t>
  </si>
  <si>
    <t>mhub011.5</t>
  </si>
  <si>
    <t>NV48-HUBS-1046, NV48-HUBS-1049, NV48-HUBS-1051</t>
  </si>
  <si>
    <t>MMHUB VM Page Table Block &amp; Fragment Sizes</t>
  </si>
  <si>
    <t>mhub012</t>
  </si>
  <si>
    <t>NV48-HUBS-1046, NV48-HUBS-1063</t>
  </si>
  <si>
    <t>MMHUB VMC_TAP_PDE/PTE_REQUEST PHYSICAL</t>
  </si>
  <si>
    <t>mhub013.1</t>
  </si>
  <si>
    <t>mhub013.2</t>
  </si>
  <si>
    <t>MMHUB Heterogeneous PTE/PDE in the same Cache Line</t>
  </si>
  <si>
    <t>mhub014.1,2</t>
  </si>
  <si>
    <t>GFXHUB</t>
  </si>
  <si>
    <t>SDMA 0 Queue Entry Reuse</t>
  </si>
  <si>
    <t>mhub015.3,4</t>
  </si>
  <si>
    <t>SDMA 0 Queue Prefetch/Unordered AT Completion</t>
  </si>
  <si>
    <t>mhub016.5-8</t>
  </si>
  <si>
    <t>[warn][GMC] [device=1] SdmaUtcL1Gfx11::GetRdXnackRWPtrPosition(): Reorder FIFO pointers are not available in GFX11.</t>
  </si>
  <si>
    <t>Feature and rd/wr pointers of Reorder FIFO from sdma*_utcl1_rd/wr_xnack1.xnack_vector field no longer exist.</t>
  </si>
  <si>
    <t>NV48-HUBS-2034</t>
  </si>
  <si>
    <t>GFXHUB:GCUTCL2:VML2 - GPUVM fault with retry/Xnack interface</t>
  </si>
  <si>
    <t>SDMA 0 XNACK=1</t>
  </si>
  <si>
    <t>mhub018.3,4</t>
  </si>
  <si>
    <t>The proper XNACK value for Page Retry is not set!</t>
  </si>
  <si>
    <t>SDMA 0 XNACK=2;PRT page</t>
  </si>
  <si>
    <t>mhub019.3,4</t>
  </si>
  <si>
    <t>SDMA 0 XNACK=3;Page Fault - Context Switch</t>
  </si>
  <si>
    <t>mhub020.3,4</t>
  </si>
  <si>
    <t>NV48-HUBS-1014, NV48-HUBS-1022</t>
  </si>
  <si>
    <t>MMHUB:UTCL1 - TLBs</t>
  </si>
  <si>
    <t>Sukaina</t>
  </si>
  <si>
    <t>VM L1 Aperture-Only TLB Faults</t>
  </si>
  <si>
    <t>mhub027.1,2</t>
  </si>
  <si>
    <t>This test should not be applicable to Navi31 since there is no Aperture-only TLB in VML1/UTCL1</t>
  </si>
  <si>
    <t>VM L1 Read/Write TLB Hits/Misses</t>
  </si>
  <si>
    <t>mhub028.1,2</t>
  </si>
  <si>
    <t>• Refer to TP section 4.3.3.2 UTCL1
• Refer to TP section 4.3.3.4 AXI4 client interface (considered as part of MMUTCL1 and MMUTCL2)
• Note the removal of SEM from HW, thus tests will no longer suppport SEM, and should switch to L_SDMA in most cases. 
• MMHUB L1 tests will be impacted more due to the client switch.
• Multiple legacy MMHUB L1 tests will need to be reviewed/updated (not limited to this row) to accommodate TLB size changes, L1 hit/miss, L1 eviction, XNACK, attributes, fragment processing, invalidation. New tests may be necessary for some cases.
• FB_GPA might be for FFBM only (not POR)</t>
  </si>
  <si>
    <t>VM L1 Read/Write TLB Eviction</t>
  </si>
  <si>
    <t>mhub029.1,2</t>
  </si>
  <si>
    <t>00d5d8a0da42
Must be run before MHUB030.1-3</t>
  </si>
  <si>
    <t>VM L1 Fragment Processing</t>
  </si>
  <si>
    <t>mhub030.1-3</t>
  </si>
  <si>
    <t>NV48-HUBS-1026, NV48-HUBS-1044 </t>
  </si>
  <si>
    <t>MMHUB:MMUTCL2:VML2 - Caches</t>
  </si>
  <si>
    <t>MMHUB VM L2 Cache Hits/Misses(PDE all-levels, PTE Bigk/4K/Reserer4K)</t>
  </si>
  <si>
    <t>mhub031.1</t>
  </si>
  <si>
    <t>•  Refer to TP section 4.3.3.3 UTCL2
•  HDP VM will be cover by other dedicated tests
• Review legacy L2 tests (not lmited to this row), and ensure they are updated to work with the cache size changes, library changes, etc.</t>
  </si>
  <si>
    <t>NV48-HUBS-1026, NV48-HUBS-1044</t>
  </si>
  <si>
    <t>mhub031.3-5</t>
  </si>
  <si>
    <t xml:space="preserve">NV48-HUBS-1026, NV48-HUBS-1044 </t>
  </si>
  <si>
    <t>mhub031.2</t>
  </si>
  <si>
    <t>-vm -tc_BigkCacheFragSize=4 -tc_SmallkCacheFragSize=0</t>
  </si>
  <si>
    <t>mhub031.6-9</t>
  </si>
  <si>
    <t>NV48-HUBS-1034</t>
  </si>
  <si>
    <t>MMHUB:MMUTCL2:VML2 - MMHUB Programmable SmallK</t>
  </si>
  <si>
    <t>PDE0 Cache Line (bigK=64K)</t>
  </si>
  <si>
    <t>mhub032.10</t>
  </si>
  <si>
    <t>-vm -tc_BigkCacheFragSize=1  -tc_SmallkCacheFragSize=4</t>
  </si>
  <si>
    <t>PTE Cache Line (smallK=8K)</t>
  </si>
  <si>
    <t>mhub032.11</t>
  </si>
  <si>
    <t>-vm -tc_BigkCacheFragSize=4  -tc_SmallkCacheFragSize=1 -tc_ulVidmemFragmentSize=2</t>
  </si>
  <si>
    <t>28245e236a5d
[error][GMC] PTE0[39] Read = 0000
[error][GMC] PTE0[39] Expected = efefefef</t>
  </si>
  <si>
    <t>PDE0 Cache Line (smallK=8K)</t>
  </si>
  <si>
    <t>mhub032.12</t>
  </si>
  <si>
    <t>MMHUB VM L2 PTE BigK Cache Line</t>
  </si>
  <si>
    <t>mhub032.1</t>
  </si>
  <si>
    <t>-vm -tc_SmallkCacheFragSize=4 -tc_ulVidmemFragmentSize=2</t>
  </si>
  <si>
    <t>MMHUB VM L2 PDE0 BigK Cache Line</t>
  </si>
  <si>
    <t>mhub032.2</t>
  </si>
  <si>
    <t>PTE Cache Line (bigK=64K)</t>
  </si>
  <si>
    <t>mhub032.3</t>
  </si>
  <si>
    <t>-vm -tc_BigkCacheFragSize=4  -tc_SmallkCacheFragSize=1</t>
  </si>
  <si>
    <t>[error][Logger] ts::Test::Result MhubVmL2CacheLineTest::vml2_cacheline_test(int, int) Invalid GFX Gen.</t>
  </si>
  <si>
    <t>mhub032.4</t>
  </si>
  <si>
    <t>-vm -tc_BigkCacheFragSize=4 -tc_SmallkCacheFragSize=1</t>
  </si>
  <si>
    <t>PTE Cache Line (bigK=8K)</t>
  </si>
  <si>
    <t>mhub032.5</t>
  </si>
  <si>
    <t>-vm -tc_BigkCacheFragSize=1 -tc_SmallkCacheFragSize=4 -tc_ulVidmemFragmentSize=2</t>
  </si>
  <si>
    <t>mhub032.6</t>
  </si>
  <si>
    <t>MMHUB VM L2 PDE/PTE SmallK Cache Line</t>
  </si>
  <si>
    <t>mhub032.7-8</t>
  </si>
  <si>
    <t>-vm -tc_BigkCacheFragSize=4 (For var7 only, add -tc_ulVidmemFragmentSize=2)</t>
  </si>
  <si>
    <t>PTE Cache Line (smallK=64K)</t>
  </si>
  <si>
    <t>mhub032.9</t>
  </si>
  <si>
    <t>-vm -tc_BigkCacheFragSize=1 -tc_SmallkCacheFragSize=4</t>
  </si>
  <si>
    <t>NV48-HUBS-1026</t>
  </si>
  <si>
    <t>VM L2 PDE/PTE Cache Eviction</t>
  </si>
  <si>
    <t>mhub033.1,2,3</t>
  </si>
  <si>
    <t>NV48-HUBS-1034, NV48-HUBS-1056</t>
  </si>
  <si>
    <t>Small(4)K/BigK Cache Swap</t>
  </si>
  <si>
    <t>mhub034.1</t>
  </si>
  <si>
    <t>-vm -tc_SmallkCacheFragSize=0 -tc_BigkCacheFragSize=4</t>
  </si>
  <si>
    <t>mhub034.2</t>
  </si>
  <si>
    <t>-vm -tc_SmallkCacheFragSize=4 -tc_BigkCacheFragSize=0</t>
  </si>
  <si>
    <t>Small(8)K/BigK Cache Swap</t>
  </si>
  <si>
    <t>mhub034.3</t>
  </si>
  <si>
    <t>-vm -tc_SmallkCacheFragSize=1 -tc_BigkCacheFragSize=4</t>
  </si>
  <si>
    <t>mhub034.4</t>
  </si>
  <si>
    <t>-vm -tc_SmallkCacheFragSize=4 -tc_BigkCacheFragSize=1</t>
  </si>
  <si>
    <t>NV48-HUBS-1036</t>
  </si>
  <si>
    <t>MMHUB:MMUTCL2:VML2 - Range-based UTCL1 and VML1 invalidation</t>
  </si>
  <si>
    <t>MMHUB Per-VM Context Invalidations (normal)</t>
  </si>
  <si>
    <t>mhub052.3,4,5</t>
  </si>
  <si>
    <t>MMHUB VM PDE/PTE Only Invalidation (normal)</t>
  </si>
  <si>
    <t>mhub053.1</t>
  </si>
  <si>
    <t>NV48-HUBS-1042, NV48-HUBS-1043</t>
  </si>
  <si>
    <t>MMHUB:MMUTCL2:VML2 - Invalidate by Address Range and VMID aka "Sharpshooting"</t>
  </si>
  <si>
    <t>MMHUB VM L2 Address Range/Boundary Invalidation (normal)</t>
  </si>
  <si>
    <t>mhub054.1</t>
  </si>
  <si>
    <t>NV48-HUBS-1043</t>
  </si>
  <si>
    <t>MMHUB:MMUTCL2:VML2 - Lightweight/Heavyweight flush-type invalidation</t>
  </si>
  <si>
    <t>MMHUB VM L2 Legacy/Lightweight/Heavyweight/Heavyweight 2 Invalidation</t>
  </si>
  <si>
    <t>mhub054.5-8</t>
  </si>
  <si>
    <t>NV48-HUBS-1020, NV48-HUBS-1036, NV48-HUBS-1042</t>
  </si>
  <si>
    <t>MMHUB:UTCL1 - Support both GPUVM invalidate and ATC invalidate</t>
  </si>
  <si>
    <t xml:space="preserve">MMHUB L1 Range Invalidation </t>
  </si>
  <si>
    <t>mhub055</t>
  </si>
  <si>
    <t>See notes for mhub028</t>
  </si>
  <si>
    <t>NV48-HUBS-1037, NV48-HUBS-1042, NV48-HUBS-1043</t>
  </si>
  <si>
    <t>MMHUB:MMUTCL2:VML2 - Per invalidate engine registers</t>
  </si>
  <si>
    <t>MMHUB VM Invalidation Stress Test</t>
  </si>
  <si>
    <t>mhub057.11,12,13</t>
  </si>
  <si>
    <t>mhub057.6</t>
  </si>
  <si>
    <t>Chriz</t>
  </si>
  <si>
    <t>MMHUB Permission &amp; Invalid Fault: PTE WRX &amp; SVT Attribute</t>
  </si>
  <si>
    <t>mhub081.1,2</t>
  </si>
  <si>
    <t>NV48-HUBS-1026, NV48-HUBS-1045</t>
  </si>
  <si>
    <t>MMHUB Address/Walker Error: PDE V Attribute</t>
  </si>
  <si>
    <t>mhub082</t>
  </si>
  <si>
    <t>MMHUB Address/Walker Error: Dummy Page Fault</t>
  </si>
  <si>
    <t>mhub083</t>
  </si>
  <si>
    <t>MMHUB Address/Walker Error: VM/System Aperture Fault</t>
  </si>
  <si>
    <t>mhub084.1,2</t>
  </si>
  <si>
    <t>MMHUB Address/Walker Error: Page Table Setup Fault</t>
  </si>
  <si>
    <t>mhub085</t>
  </si>
  <si>
    <t>[error][Logger] LSDMA_QUEUE0:WaitForIdle timeout!</t>
  </si>
  <si>
    <t>NV48-HUBS-1026, NV48-HUBS-1046</t>
  </si>
  <si>
    <t>MMHUB Mapping Error: PTE SVT Address Space</t>
  </si>
  <si>
    <t>mhub086.1,2</t>
  </si>
  <si>
    <t>[error][GMC] [device=1] Expected Interrupt not detected!
[error][GMC] [device=1] Mapping Error bit NOT set!</t>
  </si>
  <si>
    <t>MMHUB Retry on Faults</t>
  </si>
  <si>
    <t>mhub089</t>
  </si>
  <si>
    <t>MMHUB No Caching of VM/ATHUB Faulted Requests</t>
  </si>
  <si>
    <t>mhub093.1</t>
  </si>
  <si>
    <t>Multiple Faults</t>
  </si>
  <si>
    <t>mhub094</t>
  </si>
  <si>
    <t>NV48-HUBS-1038</t>
  </si>
  <si>
    <t>MMHUB:MMUTCL2:VML2 - Per VMID Context registers</t>
  </si>
  <si>
    <t>MMHUB Multiple Faults on Multiple VM Context</t>
  </si>
  <si>
    <t>mhub095</t>
  </si>
  <si>
    <t>NV48-HUBS-1035</t>
  </si>
  <si>
    <t>MMHUB:MMUTCL2:VML2 - CAM/filter to avoid duplicate table-walk reads</t>
  </si>
  <si>
    <t>PTW Fetch QoS enable</t>
  </si>
  <si>
    <t>mhub598.17</t>
  </si>
  <si>
    <t>TCore exception : _rbResourceType != "PhysicalVidmem" in bool TCoreNavi48::RingServerCPG::Allocate() at /data/lindzhan/diag_gpu_main/external/amd/lib/gfx12/tcore2/tcore2/src/lib/ip/gc/RingServerCPG.cpp:79</t>
  </si>
  <si>
    <t>PTW Fetch QoS disable</t>
  </si>
  <si>
    <t>mhub598.18</t>
  </si>
  <si>
    <t>NV48-HUBS-1047</t>
  </si>
  <si>
    <t>MMHUB:MMUTCL2:VML2 - PTE permissions returned</t>
  </si>
  <si>
    <t xml:space="preserve">PTE permissions returned - Read after write </t>
  </si>
  <si>
    <t>mhub141.1</t>
  </si>
  <si>
    <t>Segfault</t>
  </si>
  <si>
    <t>• The feature was "half" implemented in HW in NV2x, check to see if anything has changed for both MMHUB &amp; GFXHUB side.</t>
  </si>
  <si>
    <t xml:space="preserve">PTE permissions returned - Write after read </t>
  </si>
  <si>
    <t>mhub141.2</t>
  </si>
  <si>
    <t>NV48-HUBS-1039</t>
  </si>
  <si>
    <t>MMHUB:MMUTCL2:VML2 - Register bits that enable software to control hit/miss behaviour on invalid ptes in cache</t>
  </si>
  <si>
    <t xml:space="preserve">MMHUB Invalid PTEs in Cache Behaviour </t>
  </si>
  <si>
    <t>mhub145.1-2</t>
  </si>
  <si>
    <t>LSDMA_QUEUE0:WaitForIdle timeout!</t>
  </si>
  <si>
    <t>NV48-HUBS-1040</t>
  </si>
  <si>
    <t>MMHUB:MMUTCL2:VML2 - Register bits that enable software to control hit/miss behaviour on permission mismatch in cache</t>
  </si>
  <si>
    <t xml:space="preserve">MMHUB Valid PTE with Permission Mismatch in Cache </t>
  </si>
  <si>
    <t>mhub146.1-2</t>
  </si>
  <si>
    <t xml:space="preserve"> GFXHUB FB Aperture Address Boundary</t>
  </si>
  <si>
    <t>mhub201.1</t>
  </si>
  <si>
    <t>-novm -UseCpDirReg=1</t>
  </si>
  <si>
    <t xml:space="preserve"> GFXHUB AGP Aperture Address Boundary</t>
  </si>
  <si>
    <t>mhub201.2</t>
  </si>
  <si>
    <t>GFXHUB FB Aperture Address Range</t>
  </si>
  <si>
    <t>mhub201.3</t>
  </si>
  <si>
    <t>GFXHUB AGP Aperture Address Range</t>
  </si>
  <si>
    <t>mhub201.4</t>
  </si>
  <si>
    <t>GFXHUB System Aperture Address Boundary</t>
  </si>
  <si>
    <t>mhub201.5</t>
  </si>
  <si>
    <t>GFXHUB System Aperture Address Range</t>
  </si>
  <si>
    <t>mhub201.6</t>
  </si>
  <si>
    <t>GFXHUB Unmapped System Memory</t>
  </si>
  <si>
    <t>mhub201.7</t>
  </si>
  <si>
    <t>GFXHUB System Aperture Access Mode</t>
  </si>
  <si>
    <t>mhub201.9</t>
  </si>
  <si>
    <t>-vm -UseCpDirReg=1</t>
  </si>
  <si>
    <t>NV48-HUBS-2005</t>
  </si>
  <si>
    <t>GFXHUB MARC Aperture</t>
  </si>
  <si>
    <t>mhub201.11</t>
  </si>
  <si>
    <t>-vm  -tc_DisableIommuHostTranslation=0 -pm4rb=fb</t>
  </si>
  <si>
    <t xml:space="preserve">• Refer to TP section 4.3.2.2 MARC for Secure P2P
• Need to take the expansion to 16 apertures into account, VF/SRIOV isn't POR
SRIOV + Cloud gaming ONLY. NV32 Item
</t>
  </si>
  <si>
    <t>GFXHUB all MARC Apertures</t>
  </si>
  <si>
    <t>mhub201.12</t>
  </si>
  <si>
    <t>-vm  -tc_DisableIommuHostTranslation=0</t>
  </si>
  <si>
    <t>SRIOV + Cloud gaming ONLY. NV32 Item</t>
  </si>
  <si>
    <t>NV48-HUBS-2008</t>
  </si>
  <si>
    <t>GFXHUB:GCUTCL2:VML2 - Caches</t>
  </si>
  <si>
    <t>GFXHUB Independent VM Context Aperture Address Range/Boundary</t>
  </si>
  <si>
    <t>mhub202.1-15</t>
  </si>
  <si>
    <t>mhub202.16</t>
  </si>
  <si>
    <t>GFXHUB Concurrent Access to Multiple Apertures</t>
  </si>
  <si>
    <t>mhub202.17</t>
  </si>
  <si>
    <t>NV48-HUBS-2029</t>
  </si>
  <si>
    <t>GFXHUB:GCUTCL2:VML2 - PDE Attributes</t>
  </si>
  <si>
    <t xml:space="preserve"> GFXHUB PDE C attribute</t>
  </si>
  <si>
    <t>mhub205</t>
  </si>
  <si>
    <t>NV48-HUBS-2030</t>
  </si>
  <si>
    <r>
      <t>GFXHUB:GCUTCL2:VML2 -</t>
    </r>
    <r>
      <rPr>
        <b/>
        <sz val="11"/>
        <color theme="1"/>
        <rFont val="Calibri"/>
        <family val="2"/>
        <scheme val="minor"/>
      </rPr>
      <t xml:space="preserve"> </t>
    </r>
    <r>
      <rPr>
        <sz val="11"/>
        <color theme="1"/>
        <rFont val="Calibri"/>
        <family val="2"/>
        <scheme val="minor"/>
      </rPr>
      <t>PTE Attributes</t>
    </r>
  </si>
  <si>
    <t>GFXHUB PTE SVT Address Space attributes - VM FB Page Access</t>
  </si>
  <si>
    <t>mhub206.1,2,4</t>
  </si>
  <si>
    <t>GFXHUB PTE C Attribute</t>
  </si>
  <si>
    <t>mhub207.2</t>
  </si>
  <si>
    <t>GFXHUB PTE WRX Permission attributes</t>
  </si>
  <si>
    <t>mhub208.1,2</t>
  </si>
  <si>
    <t>NV48-HUBS-2030, NV48-HUBS-2043</t>
  </si>
  <si>
    <t>mhub208.3</t>
  </si>
  <si>
    <t>-vm -q</t>
  </si>
  <si>
    <t>NV48-HUBS-2022, NV48-HUBS-2038, NV48-HUBS-1041</t>
  </si>
  <si>
    <t>GFXHUB:GCUTCL2:VML2 - Register bits that enable software to control hit/miss behaviour on page migration(R=W=0) in cache</t>
  </si>
  <si>
    <t>GFXHUB SDMA Page Migration Read-Only</t>
  </si>
  <si>
    <t>mhub209.3</t>
  </si>
  <si>
    <t>GFX_GEN</t>
  </si>
  <si>
    <t>GFXHUB SDMA Page Migration Read-Write-Retry</t>
  </si>
  <si>
    <t>mhub209.4</t>
  </si>
  <si>
    <t>GFXHUB SDMA Per PTE Page Migration Read-Only</t>
  </si>
  <si>
    <t>mhub209.5</t>
  </si>
  <si>
    <t>GFXHUB SDMA Per PTE Page Migration Read-Write-Retry</t>
  </si>
  <si>
    <t>mhub209.6</t>
  </si>
  <si>
    <t>TCore exception : HostCopy()-&gt;Poll( _npFenceResource, 0, (void*)&amp;nFence, 0, sizeof( f ) ) in virtual TCoreNavi48::RingStatus::Code TCoreNavi48::RingServerCPG::WaitForFence(TCoreNavi48::RingServer::Fence) at /data/lindzhan/diag_gpu_main/external/amd/lib/gfx12/tcore2/tcore2/src/lib/ip/gc/RingServerCPG.cpp:1404</t>
  </si>
  <si>
    <t>NV48-HUBS-2028, NV48-HUBS-2029</t>
  </si>
  <si>
    <t>GFXHUB:GCUTCL2:VML2 - Page Tables Levels</t>
  </si>
  <si>
    <t>GFXHUB PDE "P"te attribute</t>
  </si>
  <si>
    <t>mhub210.1-2</t>
  </si>
  <si>
    <t>TCoreAssert FAIL : 0
  in TCoreNavi48::GPUResource* TCoreNavi48::GPUPageTable::LookUpResList(bool, TC_uint64) at /data/lindzhan/diag_gpu_main/external/amd/lib/gfx12/tcore2/tcore2/src/lib/ip/mc/GPUPageTable.cpp:1134</t>
  </si>
  <si>
    <t>NV48-HUBS-2028,  NV48-HUBS-2029, NV48-HUBS-2030, NV48-HUBS-2033</t>
  </si>
  <si>
    <t>GFXHUB PTE Translate "F"urther attribute</t>
  </si>
  <si>
    <t>mhub211.1</t>
  </si>
  <si>
    <t>NV48-HUBS-2028, NV48-HUBS-2033</t>
  </si>
  <si>
    <t>GFXHUB PTE Translate "F"urther attribute in active page migration mode for BigK cache</t>
  </si>
  <si>
    <t>mhub211.2</t>
  </si>
  <si>
    <t xml:space="preserve"> </t>
  </si>
  <si>
    <t>GFXHUB PTE Translate "F"urther attribute in active page migration mode for SmallK cache</t>
  </si>
  <si>
    <t>mhub211.4</t>
  </si>
  <si>
    <t>NV48-HUBS-2028, NV48-HUBS-2035</t>
  </si>
  <si>
    <t>GFXHUB VM Page Table Block &amp; Fragment Sizes</t>
  </si>
  <si>
    <t>mhub212</t>
  </si>
  <si>
    <t>BRP012
sukey2
0051b95f3193
force_unsecure=1</t>
  </si>
  <si>
    <t>GFXHUB VMC_TAP_PDE/PTE_REQUEST PHYSICAL</t>
  </si>
  <si>
    <t>mhub213.1</t>
  </si>
  <si>
    <t>mhub213.2</t>
  </si>
  <si>
    <t>-vm -tcoreptloc=1 -pm4rb=system</t>
  </si>
  <si>
    <t>GFXHUB Heterogeneous PTE/PDE in the same Cache Line</t>
  </si>
  <si>
    <t>mhub214.1-2</t>
  </si>
  <si>
    <t>UTC L1 TLB Hits/Misses - VM FB</t>
  </si>
  <si>
    <t>mhub215.3-4</t>
  </si>
  <si>
    <t>-vm -pm4rb=fb</t>
  </si>
  <si>
    <t>UTC L1 XNACK=1</t>
  </si>
  <si>
    <t>mhub218</t>
  </si>
  <si>
    <t>UTC L1 XNACK=2</t>
  </si>
  <si>
    <t>mhub219</t>
  </si>
  <si>
    <t>[error][GMC] The expected XNACK value for Page Null is not set!</t>
  </si>
  <si>
    <t>UTC L1 XNACK=3</t>
  </si>
  <si>
    <t>mhub220</t>
  </si>
  <si>
    <t>GFXHUB VM L2 Cache Hits/Misses(PDE all-levels, PTE Bigk/4K/Reserer4K)</t>
  </si>
  <si>
    <t>mhub231.6-9</t>
  </si>
  <si>
    <t>f0afbe458375</t>
  </si>
  <si>
    <t>Similar to MMHUB UTCL2 delta notes. Please take the cache size update, library updates into account when enabling the tests.</t>
  </si>
  <si>
    <t xml:space="preserve">NV48-HUBS-2008, NV48-HUBS-2023 </t>
  </si>
  <si>
    <t>GFXHUB VM L2 PDE/PTE Cache Line</t>
  </si>
  <si>
    <t>mhub232.1</t>
  </si>
  <si>
    <t>-vm -UseCpDirReg -pm4rb=fb -tc_SmallkCacheFragSize=4 -tc_ulVidmemFragmentSize=2</t>
  </si>
  <si>
    <t>PDE0 Cache Line (smallK=64K)</t>
  </si>
  <si>
    <t>mhub232.10</t>
  </si>
  <si>
    <t>-vm -tc_SmallkCacheFragSize=4 -pm4rb=fb -UseSdma -tc_BigkCacheFragSize=1</t>
  </si>
  <si>
    <t>mhub232.11</t>
  </si>
  <si>
    <t>-vm -tc_SmallkCacheFragSize=1 -tc_BigkCacheFragSize=4 -tc_ulVidmemFragmentSize=2 -pm4rb=fb -UseSdma</t>
  </si>
  <si>
    <t>mhub232.12</t>
  </si>
  <si>
    <t>mhub232.2</t>
  </si>
  <si>
    <t>-vm -pm4rb=fb -tc_SmallkCacheFragSize=4 -UseCpDirReg -CpDirRegVm</t>
  </si>
  <si>
    <t>mhub232.3</t>
  </si>
  <si>
    <t>-vm -tc_BigkCacheFragSize=4 -pm4rb=fb -tc_SmallkCacheFragSize=1</t>
  </si>
  <si>
    <t>mhub232.4</t>
  </si>
  <si>
    <t>-vm -tc_BlockFragmentSize=4 -pm4rb=fb  -tc_BigkCacheFragSize=4 -tc_SmallkCacheFragSize=1 -CpDirRegVm -UseCpDirReg</t>
  </si>
  <si>
    <t>mhub232.5</t>
  </si>
  <si>
    <t>-vm -tc_BlockFragmentSize=1 -tc_ulVidmemFragmentSize=2 -pm4rb=fb -tc_BigkCacheFragSize=1 -tc_SmallkCacheFragSize=4 -UseSdma</t>
  </si>
  <si>
    <t>mhub232.6</t>
  </si>
  <si>
    <t>-vm -tc_BlockFragmentSize=1 -tc_ulVidmemFragmentSize=2 -pm4rb=fb -tc_BigkCacheFragSize=1 -tc_SmallkCacheFragSize=4 -CpDirRegVm -UseCpDirReg</t>
  </si>
  <si>
    <t>mhub232.7</t>
  </si>
  <si>
    <t>-vm -UseCpDirReg -pm4rb=fb -tc_BigkCacheFragSize=4 -CpDirRegVm -tc_ulVidmemFragmentSize=2</t>
  </si>
  <si>
    <t>mhub232.8</t>
  </si>
  <si>
    <t>-vm -pm4rb=fb -tc_BigkCacheFragSize=4 -CpDirRegVm</t>
  </si>
  <si>
    <t>mhub232.9</t>
  </si>
  <si>
    <t>NV48-HUBS-2023, NV48-HUBS-2040</t>
  </si>
  <si>
    <t>GFXHUB:GCUTCL2:VML2 - Programmable “smallK” size</t>
  </si>
  <si>
    <t>mhub234.1</t>
  </si>
  <si>
    <t>-vm -tc_BigkCacheFragSize=4 -pm4rb=fb</t>
  </si>
  <si>
    <t>mhub234.2</t>
  </si>
  <si>
    <t>-vm -tc_SmallkCacheFragSize=4 -pm4rb=fb</t>
  </si>
  <si>
    <t>mhub234.3</t>
  </si>
  <si>
    <t>-vm -tc_SmallkCacheFragSize=1 -tc_BigkCacheFragSize=4 -pm4rb=fb</t>
  </si>
  <si>
    <t>mhub234.4</t>
  </si>
  <si>
    <t>-vm -tc_SmallkCacheFragSize=4 -tc_BigkCacheFragSize=1 -pm4rb=fb</t>
  </si>
  <si>
    <t>NV48-HUBS-2012</t>
  </si>
  <si>
    <t>GFXHUB:GCUTCL2:VML2 - Translation bypass by VMID</t>
  </si>
  <si>
    <t>GFXHUB Translation Bypass by VMID</t>
  </si>
  <si>
    <t>mhub246.1-8</t>
  </si>
  <si>
    <t>SCBU only feature</t>
  </si>
  <si>
    <t>NV48-HUBS-2074,NV48-HUBS-2026, NV48-HUBS-2027,NV48-HUBS-2074,NV48-HUBS-2073</t>
  </si>
  <si>
    <t>GFXHUB:GCUTCL2:VML2 - Invalidate by Address Range and VMID aka "Sharpshooting"</t>
  </si>
  <si>
    <t>GFXHUB Per-VM Context Invalidations (normal)</t>
  </si>
  <si>
    <t>mhub252.1</t>
  </si>
  <si>
    <t>diag_gpu_main@16b02e8fc0ef</t>
  </si>
  <si>
    <t>NV48-HUBS-2074,NV48-HUBS-2026, NV48-HUBS-2027,NV48-HUBS-2073</t>
  </si>
  <si>
    <t>GFXHUB VM PDE/PTE Only Invalidation (normal)</t>
  </si>
  <si>
    <t>mhub253.1</t>
  </si>
  <si>
    <t>NV48-HUBS-2015, NV48-HUBS-2026, NV48-HUBS-2027</t>
  </si>
  <si>
    <t>GFXHUB:GCUTCL2:VML2 - Range-based UTCL1 and VML1 invalidation</t>
  </si>
  <si>
    <t>GFXHUB VM L2 Address Range/Boundary Invalidation (normal)</t>
  </si>
  <si>
    <t>mhub254.1,3,5-8</t>
  </si>
  <si>
    <t>NV48-HUBS-2015, NV48-HUBS-2027</t>
  </si>
  <si>
    <t xml:space="preserve">GFXHUB UTC L0/L1 Range Invalidation </t>
  </si>
  <si>
    <t>mhub255.1-2</t>
  </si>
  <si>
    <t>GFXHUB VM Invalidation Stress Test</t>
  </si>
  <si>
    <t>mhub257.6</t>
  </si>
  <si>
    <t>Cannot use ZFB</t>
  </si>
  <si>
    <t>NV48-HUBS-2030, NV48-HUBS-2034</t>
  </si>
  <si>
    <t>GFXHUB Permission &amp; Invalid Fault: PTE WRX &amp; SVT Attribute</t>
  </si>
  <si>
    <t>mhub281.1,2</t>
  </si>
  <si>
    <t>NV48-HUBS-2029, NV48-HUBS-2034</t>
  </si>
  <si>
    <t>GFXHUB Address/Walker Error: PDE V Attribute</t>
  </si>
  <si>
    <t>mhub282</t>
  </si>
  <si>
    <t>28245e236a5d
[error][GMC] Walker Error:Pde0Valid fault bit NOT set!</t>
  </si>
  <si>
    <t>GFXHUB Address/Walker Error: Dummy Page Fault</t>
  </si>
  <si>
    <t>mhub283</t>
  </si>
  <si>
    <t>GFXHUB Address/Walker Error: VM/System Aperture Fault</t>
  </si>
  <si>
    <t>mhub284.1,2</t>
  </si>
  <si>
    <t>GFXHUB Address/Walker Error: Page Table Setup Fault</t>
  </si>
  <si>
    <t>mhub285</t>
  </si>
  <si>
    <t>GFXHUB Mapping Error: PTE SVT Address Space</t>
  </si>
  <si>
    <t>mhub286.1,2</t>
  </si>
  <si>
    <t>28245e236a5d
[error][GMC] [device=1] Expected 2 misses, but got 1 misses
[error][GMC] [device=1] Expected 0 hits, but got 0 hits</t>
  </si>
  <si>
    <t>GFXHUB PRT Fault</t>
  </si>
  <si>
    <t>mhub287</t>
  </si>
  <si>
    <t>GFXHUB Retry on Faults</t>
  </si>
  <si>
    <t>mhub289</t>
  </si>
  <si>
    <t>GFXHUB No Caching of VM/ATHUB Faulted Requests</t>
  </si>
  <si>
    <t>mhub293.1</t>
  </si>
  <si>
    <t>GFXHUB Multiple Faults Test</t>
  </si>
  <si>
    <t>mhub294.1</t>
  </si>
  <si>
    <t>GFXHUB Multiple Faults on Multiple VM Context</t>
  </si>
  <si>
    <t>mhub295</t>
  </si>
  <si>
    <t>NV48-HUBS-2052</t>
  </si>
  <si>
    <t>GFXHUB:GCUTCL2:VML2 - Page Size Optimization</t>
  </si>
  <si>
    <t>GFXHUB UTCL2 Page Size Calculation - gpa_nat/gpa_frag/spa_nat(4K/64k/1M)</t>
  </si>
  <si>
    <t>mhub248.1</t>
  </si>
  <si>
    <t>-vm -atc -tc_ulSysmemFragmentSize=4 -tc_LogHostPageSize=20 -CpDirRegVm</t>
  </si>
  <si>
    <t>[error][Logger] Exception during attempt to execute test: TcoreInterface ATC: ATC feature need ATS,PAGEREQ and PCIE_PASID CAPs! Please enable it in VBIOS.</t>
  </si>
  <si>
    <t>GFXHUB UTCL2 Page Size Calculation - gpa_nat/gpa_frag/spa_nat(32K/64k/1M)</t>
  </si>
  <si>
    <t>mhub248.2</t>
  </si>
  <si>
    <t>GFXHUB UTCL2 Page Size Calculation - gpa_nat/gpa_frag/spa_nat(2M/64k/1M)</t>
  </si>
  <si>
    <t>mhub248.3</t>
  </si>
  <si>
    <t>-vm -atc -tc_ulSysmemFragmentSize=9 -tc_LogHostPageSize=20 -CpDirRegVm</t>
  </si>
  <si>
    <t>NV48-HUBS-2013</t>
  </si>
  <si>
    <t>GFXHUB:GCUTCL2:VML2 - CAM/filter to avoid duplicate table-walk reads</t>
  </si>
  <si>
    <t>mhub340.1</t>
  </si>
  <si>
    <t>mhub340.2</t>
  </si>
  <si>
    <t>NV48-HUBS-2031</t>
  </si>
  <si>
    <t>GFXHUB:GCUTCL2:VML2 - PTE permissions returned</t>
  </si>
  <si>
    <t>mhub341.1</t>
  </si>
  <si>
    <t>Refer to notes for mhub141</t>
  </si>
  <si>
    <t>mhub341.2</t>
  </si>
  <si>
    <t>NV48-HUBS-2014</t>
  </si>
  <si>
    <t>GFXHUB:GCUTCL2:VML2 - GPA Mode</t>
  </si>
  <si>
    <t>UTC L2 GPA Translation - GPA=1 &amp; 2</t>
  </si>
  <si>
    <t>mhub344.1,2</t>
  </si>
  <si>
    <t>UTC L2 GPA Translation - GPA=3</t>
  </si>
  <si>
    <t>mhub344.3</t>
  </si>
  <si>
    <t>[error][GMC] [1] Expected zero hits, but got 8 hits
[error][GMC] [1] Expected zero misses, but got 5 misses</t>
  </si>
  <si>
    <t>NV48-HUBS-2020</t>
  </si>
  <si>
    <t>GFXHUB:GCUTCL2:VML2 - Register bits that enable software to control hit/miss behaviour on invalid ptes in cache</t>
  </si>
  <si>
    <t xml:space="preserve">GFXHUB Invalid PTEs in Cache Behaviour </t>
  </si>
  <si>
    <t>mhub345.1-2</t>
  </si>
  <si>
    <t>NV48-HUBS-2021</t>
  </si>
  <si>
    <t>GFXHUB:GCUTCL2:VML2 - Register bits that enable software to control hit/miss behaviour on permission mismatch in cache</t>
  </si>
  <si>
    <t xml:space="preserve">GFXHUB Valid PTE with Permission Mismatch in Cache </t>
  </si>
  <si>
    <t>mhub346.1-2</t>
  </si>
  <si>
    <t>NV48-HUBS-2037</t>
  </si>
  <si>
    <t>GFXHUB:GCUTCL2:VML2 - L bit in PTE</t>
  </si>
  <si>
    <t>This feature is to be covered by GFX diag (PTE.L (UTCL1_ALOG) test)</t>
  </si>
  <si>
    <t>NV48-HUBS-3007</t>
  </si>
  <si>
    <t>ATHUB:RPB - Supports write grouping (de-interleave ea write stream)
formerly:RPB to reassemble writes (Total GCEA/MMEA/DCE)</t>
  </si>
  <si>
    <t>MMHUB ATHUB Address Translation</t>
  </si>
  <si>
    <t>mhub401.34-35</t>
  </si>
  <si>
    <t>-vm -tc_DisableIommuHostTranslation=0 -tc_EnableNonIdentityMapping  -gpu_copyengine=tcore -nohws</t>
  </si>
  <si>
    <t>Feature is removed. Replaced by Native Large Writes.</t>
  </si>
  <si>
    <t>• Refer to TP section 4.3.4.1 RPB:  Write re-assemble
• Performance counters may need update due to the removal of MMHUB EA, might need to check the DAGB counters instead.</t>
  </si>
  <si>
    <t>GFXHUB ATHUB Address Translation</t>
  </si>
  <si>
    <t>mhub402.34</t>
  </si>
  <si>
    <t>Radhika</t>
  </si>
  <si>
    <t>Multi-Client and VM Stress test</t>
  </si>
  <si>
    <t>mhub407.1</t>
  </si>
  <si>
    <t>mhub407.6</t>
  </si>
  <si>
    <t>NV48-HUBS-1018, NV48-HUBS-1048, , NV48-HUBS-2042, NV48-HUBS-2059</t>
  </si>
  <si>
    <t xml:space="preserve">MMHUB:UTCL1 - “GPU Snoop” aka ‘gcc’ support in GPUVM L1, GFXHUB:GCEA - Removal of DF invalidation probe </t>
  </si>
  <si>
    <t>CPU – Producer, CPDMA – Consumer, MTYPE=3</t>
  </si>
  <si>
    <t>mhub408.101</t>
  </si>
  <si>
    <t>8bcb6a068690</t>
  </si>
  <si>
    <t>• Refer to TP section 4.3.2.10 [11.323] DF Invalidation Probe Removal (DEGFX11-1085). Some test conditions may need to be updated.
• Also watch out for possible client changes on MMHUB side (need to use L_SDMA or VCN etc.), and also perf counter changes</t>
  </si>
  <si>
    <t>CPU – Producer, CPDMA – Consumer, MTYPE=2</t>
  </si>
  <si>
    <t>mhub408.103</t>
  </si>
  <si>
    <t>CPU – Producer, CPDMA – Consumer, MTYPE=4</t>
  </si>
  <si>
    <t>mhub408.105</t>
  </si>
  <si>
    <t>CPU – Producer, CPDMA – Consumer, MTYPE=6</t>
  </si>
  <si>
    <t>mhub408.107</t>
  </si>
  <si>
    <t>CPDMA – Producer, CPU – Consumer, MTYPE=3</t>
  </si>
  <si>
    <t>mhub408.151</t>
  </si>
  <si>
    <t>NV48-HUBS-1018, NV48-HUBS-1048, , , NV48-HUBS-2042, NV48-HUBS-2059</t>
  </si>
  <si>
    <t>CPDMA – Producer, CPU – Consumer, MTYPE=2</t>
  </si>
  <si>
    <t>mhub408.153</t>
  </si>
  <si>
    <t>CPDMA – Producer, CPU – Consumer, MTYPE=4</t>
  </si>
  <si>
    <t>mhub408.155</t>
  </si>
  <si>
    <t>CPDMA – Producer, CPU – Consumer, MTYPE=6</t>
  </si>
  <si>
    <t>mhub408.157</t>
  </si>
  <si>
    <t>MMHUB – Producer, CPDMA – Consumer, MTYPE=3</t>
  </si>
  <si>
    <t>mhub408.161</t>
  </si>
  <si>
    <t>MMHUB – Producer, CPDMA – Consumer, MTYPE=2</t>
  </si>
  <si>
    <t>mhub408.163</t>
  </si>
  <si>
    <t>MMHUB – Producer, CPDMA – Consumer, MTYPE=4</t>
  </si>
  <si>
    <t>mhub408.165</t>
  </si>
  <si>
    <t>MMHUB – Producer, CPDMA – Consumer, MTYPE=6</t>
  </si>
  <si>
    <t>mhub408.167</t>
  </si>
  <si>
    <t>CPDMA – Producer, MMHUB – Consumer, MTYPE=3</t>
  </si>
  <si>
    <t>mhub408.171</t>
  </si>
  <si>
    <t>CPDMA – Producer, MMHUB – Consumer, MTYPE=2</t>
  </si>
  <si>
    <t>mhub408.173</t>
  </si>
  <si>
    <t>CPDMA – Producer, MMHUB – Consumer, MTYPE=4</t>
  </si>
  <si>
    <t>mhub408.175</t>
  </si>
  <si>
    <t>CPDMA – Producer, MMHUB – Consumer, MTYPE=6</t>
  </si>
  <si>
    <t>mhub408.177</t>
  </si>
  <si>
    <t>CPU – Producer, MMHUB – Consumer, MTYPE=3</t>
  </si>
  <si>
    <t>mhub408.81</t>
  </si>
  <si>
    <t>CPU – Producer, MMHUB – Consumer, MTYPE=2</t>
  </si>
  <si>
    <t>mhub408.83</t>
  </si>
  <si>
    <t>CPU – Producer, MMHUB – Consumer, MTYPE=4</t>
  </si>
  <si>
    <t>mhub408.85</t>
  </si>
  <si>
    <t>CPU – Producer, MMHUB – Consumer, MTYPE=6</t>
  </si>
  <si>
    <t>mhub408.87</t>
  </si>
  <si>
    <t>MMHUB – Producer, CPU – Consumer, MTYPE=3</t>
  </si>
  <si>
    <t>mhub408.91</t>
  </si>
  <si>
    <t>MMHUB – Producer, CPU – Consumer, MTYPE=2</t>
  </si>
  <si>
    <t>mhub408.93</t>
  </si>
  <si>
    <t>MMHUB – Producer, CPU – Consumer, MTYPE=4</t>
  </si>
  <si>
    <t>mhub408.95</t>
  </si>
  <si>
    <t>MMHUB – Producer, CPU – Consumer, MTYPE=6</t>
  </si>
  <si>
    <t>mhub408.97</t>
  </si>
  <si>
    <t>NV48-HUBS-2066</t>
  </si>
  <si>
    <t>GFXHUB:GUS - CH Interface</t>
  </si>
  <si>
    <t>ATHUB</t>
  </si>
  <si>
    <t>GUS EA in GFXHUB supported by RPB in ATHUB</t>
  </si>
  <si>
    <t>mhub411.1-2</t>
  </si>
  <si>
    <t>[error][GMC] [mhub] GMC Addr@f4007bffc written = 0x1fff: read = 0x0000</t>
  </si>
  <si>
    <t>NV48-HUBS-1030</t>
  </si>
  <si>
    <t>MMHUB:MMUTCL2:VML2 - GPUVA,VMID translation assist</t>
  </si>
  <si>
    <t>MMHUB GPUVA, VMID Translation Assist</t>
  </si>
  <si>
    <t>mhub060.1-32</t>
  </si>
  <si>
    <t>mhub060.61-64</t>
  </si>
  <si>
    <t>-vm (variations 63-64 require -vmid="Non-zero #")</t>
  </si>
  <si>
    <t>GPUVA VMID Translation Assist - GPUVA-&gt;FB_SPA in VMID0 with the feature disabled</t>
  </si>
  <si>
    <t>mhub060.80</t>
  </si>
  <si>
    <t>GPUVA VMID Translation Assist - GPUVA-&gt;FB_SPA in non-zero VMID  with the feature disabled</t>
  </si>
  <si>
    <t>mhub060.81</t>
  </si>
  <si>
    <t>GPUVA VMID Translation Assist - GPUVA-&gt;SYSMEM_SPA in VMID0 with the feature disabled</t>
  </si>
  <si>
    <t>mhub060.82</t>
  </si>
  <si>
    <t>GPUVA VMID Translation Assist - GPUVA-&gt;SYSMEM_SPA in non-zero VMID  with the feature disabled</t>
  </si>
  <si>
    <t>mhub060.83</t>
  </si>
  <si>
    <t>GPUVA VMID Translation Assist - SYSTEM_SPA-&gt;SYSTEM_SPA with feature disabled</t>
  </si>
  <si>
    <t>mhub060.86</t>
  </si>
  <si>
    <t>GPUVA VMID Translation Assist - FB_SPA-&gt;FB_SPA with feature disabled</t>
  </si>
  <si>
    <t>mhub060.87</t>
  </si>
  <si>
    <t>NV48-HUBS-2010</t>
  </si>
  <si>
    <t>GFXHUB:GCUTCL2:VML2 - GPUVA,VMID translation assist</t>
  </si>
  <si>
    <t>GFXHUB GPUVA, VMID Translation Assist</t>
  </si>
  <si>
    <t>mhub260.1-32,61-64</t>
  </si>
  <si>
    <t>mhub260.80</t>
  </si>
  <si>
    <t>mhub260.81</t>
  </si>
  <si>
    <t>mhub260.82</t>
  </si>
  <si>
    <t>mhub260.83</t>
  </si>
  <si>
    <t>mhub260.86</t>
  </si>
  <si>
    <t>mhub260.87</t>
  </si>
  <si>
    <t>NV48-HUBS-1062</t>
  </si>
  <si>
    <t>MMHUB:MMUTCL2:VML2 - GPUVM L2 cache read/dump capabilities</t>
  </si>
  <si>
    <t>MMHUB-GPUVM L2 Cache Dump Capabilities</t>
  </si>
  <si>
    <t>mhub033.101,103,106</t>
  </si>
  <si>
    <t>-vm -tc_BigkCacheFragSize=4 -UseSdmaPio</t>
  </si>
  <si>
    <t>[error][GMC] UtcL2Navi48::VmL2PteCacheDump - Timeout: Data not ready!
103, 106: [error][Logger] ts::Test::Result MhubVmL2EvictionTest::l2_BigK_eviction(bool) Invalid GFX Gen.</t>
  </si>
  <si>
    <t>mhub033.104</t>
  </si>
  <si>
    <t>-vm -tc_BigkCacheFragSize=4 -tc_ulVidmemFragmentSize=0</t>
  </si>
  <si>
    <t>[error][GMC] UtcL2Navi48::VmL2PteCacheDump - Timeout: Data not ready!</t>
  </si>
  <si>
    <t>MMHUB-GPUVM L2 Hits/Misses with Multiple Acceses (to test Cache Dump Capabilities)</t>
  </si>
  <si>
    <t>mhub031.10,11,12,13</t>
  </si>
  <si>
    <t>-vm -tc_SmallkCacheFragSize=0 -tc_BigkCacheFragSize=4 -UseSdmaPio</t>
  </si>
  <si>
    <t>NV48-HUBS-2049</t>
  </si>
  <si>
    <t>GFXHUB:GCUTCL2:VML2 - GPUVM L2 cache read/dump capabilities</t>
  </si>
  <si>
    <t>GFXHUB-GPUVM L2 Cache Dump Capabilities</t>
  </si>
  <si>
    <t>mhub233.1,3, 101,103</t>
  </si>
  <si>
    <t>-vm -tc_BigkCacheFragSize=4 -CpDirRegVm</t>
  </si>
  <si>
    <t>[error][GMC] [device=1] Valid permission fault bit NOT set!</t>
  </si>
  <si>
    <t>mhub233.2</t>
  </si>
  <si>
    <t>-vm -tc_BigkCacheFragSize=4 -tc_SmallkCacheFragSize=0 -CpDirRegVm</t>
  </si>
  <si>
    <t>GFXHUB-GPUVM L2 Hits/Misses with Multiple Acceses (to test Cache Dump Capabilities)</t>
  </si>
  <si>
    <t>mhub231.10,11</t>
  </si>
  <si>
    <t>-vm -CpDirRegVm -tc_SmallkCacheFragSize=0 -tc_BigkCacheFragSize=4</t>
  </si>
  <si>
    <t>[error][GMC] Unexpected entry
[error][Logger] ts::Test::Result MhubVmL2HitMissTest::vml2_hitmiss_test(int, bool) Invalid GFX Gen.</t>
  </si>
  <si>
    <t>NV48-HUBS-1034, NV48-HUBS-1060, NV48-HUBS-1061</t>
  </si>
  <si>
    <t>MMHUB UTCL2 Per-VMID BigK/SmallK Settings</t>
  </si>
  <si>
    <t>mhub059.1-32</t>
  </si>
  <si>
    <t>-vm -tc_ulVidmemFragmentSize=0 -UseSdmaPio</t>
  </si>
  <si>
    <t>Variation &gt; 18: TCoreAssert FAIL : 0
  in TCoreNavi48::GPUResource* TCoreNavi48::GPUPageTable::LookUpResList(bool, TC_uint64) at /home/nighuang/diag_gpu_main/external/amd/lib/gfx12/tcore2/tcore2/src/lib/ip/mc/GPUPageTable.cpp:1134</t>
  </si>
  <si>
    <t>NV48-HUBS-2047, NV48-HUBS-2048</t>
  </si>
  <si>
    <t>GFXHUB:GCUTCL2:VML2 - Per VF BigK/SmallK/Bank_Select Support</t>
  </si>
  <si>
    <t>GFXHUB UTCL2 Per-VMID BigK/SmallK Settings</t>
  </si>
  <si>
    <t>mhub259.1-32</t>
  </si>
  <si>
    <t>-vm -CpDirRegVm -tc_ulVidmemFragmentSize=0</t>
  </si>
  <si>
    <t>Variation &gt; 18: TCoreAssert FAIL : 0
  in TCoreNavi48::GPUResource* TCoreNavi48::GPUPageTable::LookUpResList(bool, TC_uint64) at /data/lindzhan/diag_gpu_main/external/amd/lib/gfx12/tcore2/tcore2/src/lib/ip/mc/GPUPageTable.cpp:1134</t>
  </si>
  <si>
    <t>NV48-HUBS-1007, NV48-HUBS-1017, NV48-HUBS-1057</t>
  </si>
  <si>
    <t>MMHUB:DAGB - MALL ("noalloc") support</t>
  </si>
  <si>
    <t>MMHUB ‘NoAlloc/ReUseHint’ Override on Walker Fetches (Page Table Location : FB)</t>
  </si>
  <si>
    <t>mhub153.1,7,401,407</t>
  </si>
  <si>
    <t>-cf=reusehint-tserver-soc.cf -vm -dal_use_dmcub -pm4rb=system -mall_flush_enable -tcoreptloc=0 -UseSdmaPio -mhub_lite_variation -log -df_bypass_smc_check -df_bypass_talib_check -mhub_gmcdf_flushmall</t>
  </si>
  <si>
    <t>• Refer to TP section 4.3.1.2 UTCL2: Programmable walker MTYPE &amp; noAlloc. PDE.Y and PDE.MTYPE are not applicable to the MMHUB side
• SEM is now removed, need to replace with L_SDMA/VCN instead
• GPA mode NoAlloc testing may be passed on to VCN team leveraging VSCH client, currently still under discussion.</t>
  </si>
  <si>
    <t>mhub153.2,8,402,408</t>
  </si>
  <si>
    <t>-vm -dal_use_dmcub -pm4rb=system -mall_flush_enable -tcoreptloc=0 -UseSdmaPio</t>
  </si>
  <si>
    <t>MMHUB ‘NoAlloc’ Override on Walker Fetches  - LeafPTE (Page Table Location : FB)</t>
  </si>
  <si>
    <t>mhub153.201,204,211,214</t>
  </si>
  <si>
    <t>-vm -dal_use_dmcub -mall_flush_enable -mall_bypass_frwk=0 -norlc -tcoreptloc=0 -UseSdmaPio</t>
  </si>
  <si>
    <t>MMHUB ‘NoAlloc’ Override on Walker Fetches - PDEasPTE (Page Table Location : FB)</t>
  </si>
  <si>
    <t>mhub153.301,304,311,314</t>
  </si>
  <si>
    <t>MMHUB ‘NoAlloc’ Override on Walker Fetches (Page Table Location : Sysmem)</t>
  </si>
  <si>
    <t>mhub153.5-6,11-12,405-406,411-412</t>
  </si>
  <si>
    <t>-vm -mall_flush_enable -mall_bypass_frwk=0 -norlc -tcoreptloc=1 -dal_use_dmcub -UseSdmaPio</t>
  </si>
  <si>
    <t>MMHUB ‘NoAlloc’ Override on Walker Fetches - LeafPTE (Page Table Location : Sysmem)</t>
  </si>
  <si>
    <t>mhub153.203,206,213,216</t>
  </si>
  <si>
    <t>MMHUB ‘NoAlloc’ Override on Walker Fetches - PDEasPTE (Page Table Location : Sysmem)</t>
  </si>
  <si>
    <t>mhub153.303,306,313,316</t>
  </si>
  <si>
    <t>MMHUB ReUseHint on walker fetches with different PDE.U values (Page Table Location : FB)</t>
  </si>
  <si>
    <t>mhub153.525,531,533,539</t>
  </si>
  <si>
    <t>-cf=reusehint-tserver-soc.cf -vm -dal_use_dmcub -pm4rb=system -mall_flush_enable -tcoreptloc=1 -UseSdmaPio -mhub_lite_variation -log -df_bypass_smc_check -df_bypass_talib_check -mhub_gmcdf_flushmall</t>
  </si>
  <si>
    <t>MMHUB ReUseHint on walker fetches with different PDE.U values (Page Table Location : Sysmem)</t>
  </si>
  <si>
    <t>mhub153.526,532,534,540</t>
  </si>
  <si>
    <t>MMHUB (DAGB) per client read, dagb0_rdcli_reuse_hint_override test, client reuse_hint=0/1/2/3,override_enable=0/1,override_reuse_hint=0/1/2/3</t>
  </si>
  <si>
    <t>mhub153.221-252</t>
  </si>
  <si>
    <t>-cf=reusehint-tserver-soc.cf -vm -dal_use_dmcub -pm4rb=system -mall_flush_enable -UseSdmaPio -mhub_lite_variation -tcorelog -log -df_bypass_smc_check -df_bypass_talib_check -tcoreptloc=1 -df_bypass_talib_check -mhub_gmcdf_flushmall</t>
  </si>
  <si>
    <t>MMHUB (DAGB) per client write, dagb0_wrcli_reuse_hint_override test, client reuse_hint=0/1/2/3,override_enable=0/1,override_reuse_hint=0/1/2/3</t>
  </si>
  <si>
    <t>mhub153.321-352</t>
  </si>
  <si>
    <t>MMHUB (DAGB) per client read, dagb1_rdcli_reuse_hint_override test, client reuse_hint=0/1/2/3,override_enable=0/1,override_reuse_hint=0/1/2/3</t>
  </si>
  <si>
    <t>mhub153.421-452</t>
  </si>
  <si>
    <t>-cf=reusehint-tserver-soc.cf -vm -dal_use_dmcub -pm4rb=system -mall_flush_enable -mhub_lite_variation -tcorelog -log -df_bypass_smc_check -df_bypass_talib_check -tcoreptloc=1 -df_bypass_talib_check -mhub_gmcdf_flushmall</t>
  </si>
  <si>
    <t>NV48-HUBS-2044</t>
  </si>
  <si>
    <t>GFXHUB:GCUTCL2:VML2 - "noalloc" support (MALL)</t>
  </si>
  <si>
    <t>NoAlloc on walker fetches, page table location = FB, destination:Sysmem(GPUVM) with PDE.U=0/1/2/3</t>
  </si>
  <si>
    <t>mhub353.525,531,533,539</t>
  </si>
  <si>
    <t>-cf=reusehint-tserver-soc.cf -vm -dal_use_dmcub -pm4rb=system -mall_flush_enable -tcoreptloc=0 -pm4rb=system -CpDirRegVm -UseCpDirReg -mhub_lite_variation -log -df_bypass_smc_check -df_bypass_talib_check -mhub_gmcdf_flushmall</t>
  </si>
  <si>
    <t>• Refer to TP section 4.3.1.2 UTCL2: Programmable walker MTYPE &amp; noAlloc for details
• Cover the addition of PDE.Y bit in for all page depth, should create new tests for this (use the 'GFXHUB PDE Y NoAlloc Tests' Row), and just update existing test for NV48 to test the legacy features.
• PDE.MTYPE testing will mainly be covered by GFX diag team</t>
  </si>
  <si>
    <t>NoAlloc on walker fetches, page table location = Sysmem, destination:Sysmem(GPUVM) with PDE.U=0/1/2/3</t>
  </si>
  <si>
    <t>mhub353.526,532,534,540</t>
  </si>
  <si>
    <t>-cf=reusehint-tserver-soc.cf -vm -dal_use_dmcub -pm4rb=system -mall_flush_enable -tcoreptloc=1 -pm4rb=system -CpDirRegVm -UseCpDirReg -mhub_lite_variation -log -df_bypass_smc_check -df_bypass_talib_check -mhub_gmcdf_flushmall</t>
  </si>
  <si>
    <t>f0afbe458375
Getting additional counts on the perf counters</t>
  </si>
  <si>
    <t>NoAlloc on walker fetches, page table location = FB, destination:Sysmem(GPUVM) with PDE.U=0/1/2/3 LeafPTE</t>
  </si>
  <si>
    <t>mhub353.541,543,545,547</t>
  </si>
  <si>
    <t>NoAlloc on walker fetches, page table location = Sysmem, destination:Sysmem(GPUVM) with PDE.U=0/1/2/3 LeafPTE</t>
  </si>
  <si>
    <t>mhub353.542,544,546,548</t>
  </si>
  <si>
    <t>NoAlloc on walker fetches, page table location = FB, destination:Sysmem(GPUVM) with PDE.U=0/1/2/3 PDEasPTE</t>
  </si>
  <si>
    <t>mhub353.549,551,553,555</t>
  </si>
  <si>
    <t>NoAlloc on walker fetches, page table location = Sysmem, destination:Sysmem(GPUVM) with PDE.U=0/1/2/3 PDEasPTE</t>
  </si>
  <si>
    <t>mhub353.550,552,554,556</t>
  </si>
  <si>
    <t>GFXHUB ‘NoAlloc’ Support - Using all page table depths, test each level of PDEx.Y (+ TF-PTE.Y) to validate caching of the data at PDEx.PA into MALL/eL3</t>
  </si>
  <si>
    <t>mhub353.102</t>
  </si>
  <si>
    <t>-vm -mall_flush_enable -mall_bypass_frwk=0 -norlc -tcoreptloc=0 -pm4rb=system -CpDirRegVm -UseCpDirReg -doorbellLoc=system</t>
  </si>
  <si>
    <t>GFXHUB ‘NoAlloc’ Override on Walker Fetches,  WALKER_FETCH_PDE*_ENABLE to 0x0 (Page Table Location : FB)</t>
  </si>
  <si>
    <t>mhub353.1,7</t>
  </si>
  <si>
    <t>-vm -dal_use_dmcub -mall_flush_enable -tcoreptloc=0 -pm4rb=system -CpDirRegVm -UseCpDirReg</t>
  </si>
  <si>
    <t>Not valid for NV48</t>
  </si>
  <si>
    <t>mhub353.2,8</t>
  </si>
  <si>
    <t>GFXHUB ‘NoAlloc’ Override on Walker Fetches, WALKER_FETCH_PDE*_ENABLE to 0x0 - LeafPTE (Page Table Location : FB)</t>
  </si>
  <si>
    <t>mhub353.201,204</t>
  </si>
  <si>
    <t>-vm -dal_use_dmcub -mall_flush_enable -mall_bypass_frwk=0 -norlc -tcoreptloc=0 -pm4rb=system -CpDirRegVm -UseCpDirReg</t>
  </si>
  <si>
    <t>GFXHUB ‘NoAlloc’ Override on Walker Fetches, WALKER_FETCH_PDE*_ENABLE to 0x0 - PDEasPTE (Page Table Location : FB)</t>
  </si>
  <si>
    <t>mhub353.301,304</t>
  </si>
  <si>
    <t>GFXHUB ‘NoAlloc’ Override on Walker Fetches, WALKER_FETCH_PDE*_ENABLE to 0x0 (Page Table Location : Sysmem)</t>
  </si>
  <si>
    <t>mhub353.5-6,11-12</t>
  </si>
  <si>
    <t>-vm -dal_use_dmcub -mall_flush_enable -mall_bypass_frwk=0 -norlc -tcoreptloc=1 -pm4rb=system -CpDirRegVm -UseCpDirReg</t>
  </si>
  <si>
    <t>GFXHUB ‘NoAlloc’ Override on Walker Fetches, WALKER_FETCH_PDE*_ENABLE to 0x0 - LeafPTE (Page Table Location : Sysmem)</t>
  </si>
  <si>
    <t>mhub353.203,206</t>
  </si>
  <si>
    <t>GFXHUB ‘NoAlloc’ Override on Walker Fetches, WALKER_FETCH_PDE*_ENABLE to 0x0 - PDEasPTE (Page Table Location : Sysmem)</t>
  </si>
  <si>
    <t>mhub353.303,306</t>
  </si>
  <si>
    <t>GFXHUB ‘NoAlloc’ Support</t>
  </si>
  <si>
    <t>mhub353.111-112</t>
  </si>
  <si>
    <t>-vm -mall_flush_enable -tcoreptloc=1 -pm4rb=system -CpDirRegVm -UseCpDirReg -doorbellLoc=system -CsChannelOffset=0xD00</t>
  </si>
  <si>
    <t>NV48-HUBS-2044, NV48-HUBS-2029</t>
  </si>
  <si>
    <t>GFXHUB ‘NoAlloc’ Override on Walker Fetches,  WALKER_FETCH_PDE_NOALLOC_ENABLE to 0x1 (Page Table Location : FB)</t>
  </si>
  <si>
    <t>mhub353.13,16, 19,22</t>
  </si>
  <si>
    <t>GFXHUB ‘NoAlloc’ Override on Walker Fetches, WALKER_FETCH_PDE*_ENABLE to 0x1 - LeafPTE (Page Table Location : FB)</t>
  </si>
  <si>
    <t>mhub353.207,210, 213, 216</t>
  </si>
  <si>
    <t>GFXHUB ‘NoAlloc’ Override on Walker Fetches, WALKER_FETCH_PDE*_ENABLE to 0x1 - PDEasPTE (Page Table Location : FB)</t>
  </si>
  <si>
    <t>mhub353.307,310, 313, 316</t>
  </si>
  <si>
    <t>GFXHUB ‘NoAlloc’ Override on Walker Fetches,  WALKER_FETCH_PDE_NOALLOC_ENABLE to 0x1 (Page Table Location : sysmem)</t>
  </si>
  <si>
    <t>mhub353.15,18, 21, 24</t>
  </si>
  <si>
    <t>GFXHUB ‘NoAlloc’ Override on Walker Fetches, WALKER_FETCH_PDE*_ENABLE to 0x1 - LeafPTE (Page Table Location : sysmem)</t>
  </si>
  <si>
    <t>mhub353.209,212, 215, 218</t>
  </si>
  <si>
    <t>GFXHUB ‘NoAlloc’ Override on Walker Fetches, WALKER_FETCH_PDE*_ENABLE to 0x1 - PDEasPTE (Page Table Location : sysmem)</t>
  </si>
  <si>
    <t>mhub353.309,312, 315, 318</t>
  </si>
  <si>
    <t>MMHUB ‘NoAlloc’ Support</t>
  </si>
  <si>
    <t>mhub153.111-112</t>
  </si>
  <si>
    <t>-vm -dal_use_dmcub -mall_flush_enable -tcoreptloc=1 -pm4rb=system -doorbellLoc=system -CsChannelOffset=0xD00 -UseSdmaPio</t>
  </si>
  <si>
    <t> MMHUB (DAGB) per client read, dagb0_rdcli_noalloc_override/value register pairs</t>
  </si>
  <si>
    <t>mhub153.21-28</t>
  </si>
  <si>
    <t>-vm -dal_use_dmcub -mall_flush_enable -mall_bypass_frwk=0 -tcoreptloc=1 -UseSdmaPio</t>
  </si>
  <si>
    <t> MMHUB (DAGB) per client write, dagb0_wrcli_noalloc_override/value register pairs</t>
  </si>
  <si>
    <t>mhub153.31-38</t>
  </si>
  <si>
    <t>-vm -dal_use_dmcub -mall_flush_enable -mall_bypass_frwk=0 -tcoreptloc=1 -vcn_use_psp_init=0 -vcn_instance_id=0 -vcnUseSysmem -gpu_copyengine=tcore</t>
  </si>
  <si>
    <t> MMHUB (DAGB) per client read, dagb1_rdcli_noalloc_override/value register pairs</t>
  </si>
  <si>
    <t>mhub153.41-48</t>
  </si>
  <si>
    <t>NV48-HUBS-1070</t>
  </si>
  <si>
    <t>MMHUB:Security - Trusted Memory Zone (TMZ)</t>
  </si>
  <si>
    <t>MMHUB TMZ System Level Testing</t>
  </si>
  <si>
    <t>mhub150.1-4,10,12,20,30-41</t>
  </si>
  <si>
    <t>-vm -load_ucode=tcore -no_toollib -norlc -vcn_instance_id=0 -tmzmode=tmz -tc_SecureMode=0 </t>
  </si>
  <si>
    <t>• Refer to TP section 4.3.3.5 MARC and 4.3.3.6 MMEA Removal
• MMEA registers to be replaced with DAGB ones</t>
  </si>
  <si>
    <t>NV48-HUBS-2025</t>
  </si>
  <si>
    <t>GFXHUB:GCUTCL2:VML2 - Trusted Memory Zone (TMZ) Secure Filtering</t>
  </si>
  <si>
    <t>GFXHUB TMZ System Level Testing</t>
  </si>
  <si>
    <t>mhub350.1-4,10,20,30-37</t>
  </si>
  <si>
    <t>Paul H</t>
  </si>
  <si>
    <t>GFXHUB TMZ System Level Testing - Partial Access</t>
  </si>
  <si>
    <t>mhub350.5-8</t>
  </si>
  <si>
    <t>NV48-HUBS-1063</t>
  </si>
  <si>
    <t>MMHUB:MMUTCL2:VML2 - Walker fetch behavior: REQUEST_PHYSICAL and PDE.S/C</t>
  </si>
  <si>
    <t>MMHUB Re-definition of register fields VM_L2_CNTL4 . VMC_TAP_(PDE|PTE)_REQUEST_PHYSICAL</t>
  </si>
  <si>
    <t>mhub013.3-6</t>
  </si>
  <si>
    <t>mhub013.7-10</t>
  </si>
  <si>
    <t>GFXHUB Re-definition of register fields VM_L2_CNTL4 . VMC_TAP_(PDE|PTE)_REQUEST_PHYSICAL</t>
  </si>
  <si>
    <t>mhub213.3-4</t>
  </si>
  <si>
    <t>mhub213.5-6</t>
  </si>
  <si>
    <t>• Refer to TP section 4.3.2.5 IO is incorrect when VM_L2_CNTL4.VMC_TAP_P[D|T]E_REQUEST_PHYSICAL=0
• ECO PLAT-58025 should be fixed now, make sure test is ready to cover this (DEGSIGMH30-70)</t>
  </si>
  <si>
    <t>mhub213.7-10</t>
  </si>
  <si>
    <t>NV48-HUBS-1006</t>
  </si>
  <si>
    <t>MMHUB:DAGB - “GPU Snoop” aka ‘gcc’ support in DAGB</t>
  </si>
  <si>
    <t>MMHUB:SOC:“GPU Snoop” aka ‘gcc’ support in DAGB: DAGB Snoop Override</t>
  </si>
  <si>
    <t>mhub415.1-4,11-14,21-24,31-34</t>
  </si>
  <si>
    <t>28245e236a5d
Invalid GFX_GEN</t>
  </si>
  <si>
    <t>Mtype 2, 4 does not support in NV3x and so that waived 2,4,12,14,22,24,32,34 variations</t>
  </si>
  <si>
    <t>NV48-HUBS-1003, NV48-HUBS-3003</t>
  </si>
  <si>
    <t>MMHUB:SOC - OpenCL Platform Atomics</t>
  </si>
  <si>
    <t>This feature is covered in VCN Diag tracker</t>
  </si>
  <si>
    <t>vcn005.1-4</t>
  </si>
  <si>
    <t>NV48-HUBS-1015, NV48-HUBS-1029</t>
  </si>
  <si>
    <t>MMHUB:UTCL1 - CPU Visible Frame-Buffer Surface Remapping, MMHUB:MMUTCL2:VML2 - Reserved Caches</t>
  </si>
  <si>
    <t>MMHUB HDP VM Tests</t>
  </si>
  <si>
    <t>mhub165.1-9</t>
  </si>
  <si>
    <t>8bcb6a068690
Variation 2: [error][GMC] Valid permission fault bit NOT set!
Variation 5: [error][GMC] Write permission fault bit NOT set!
Variation 6: [error][GMC] Read permission fault bit NOT set!
Variation 8: [error][GMC] Mapping Error bit NOT set!</t>
  </si>
  <si>
    <t>• Refer to TP section 4.4.3.1 CPU Visible Frame-Buffer Surface Remapping. This item would require multiple tests
• Should cover HDP VM testing (POR for LFB only), HDP reserved cache (cache hit/miss, replacement policy, attributes, invalidations, and combo test if possible))
• New diags to test HDP reserved cache invalidations by private invalidations. On top of that, also have a test case to confirm HDP reserved cache invalidations from VM_INVALIDATE_ENG will *not* go through.  Both are reflected in the diag test plan already. (DEGSIGMH30-447)</t>
  </si>
  <si>
    <t>NV48-HUBS-1015</t>
  </si>
  <si>
    <t>MMHUB:UTCL1 - CPU Visible Frame-Buffer Surface Remapping</t>
  </si>
  <si>
    <t>MMHUB HDP VM Basic Sanity Test</t>
  </si>
  <si>
    <t>mhub999.277</t>
  </si>
  <si>
    <t>NV48-HUBS-1023</t>
  </si>
  <si>
    <t>MMHUB:MMUTCL2 - Sideband translation path</t>
  </si>
  <si>
    <t>MMUTCL2 sideband invalidation</t>
  </si>
  <si>
    <t>mhub57.1</t>
  </si>
  <si>
    <t>NV32-HUBS-2006</t>
  </si>
  <si>
    <t>GFXHUB:GCUTCL2 - Remove 2MB max page size limit</t>
  </si>
  <si>
    <t>GFXHUB Page Size Limit tests</t>
  </si>
  <si>
    <t>mhub249</t>
  </si>
  <si>
    <t>• Refer to TP section 4.3.2.1 Remove 2M Page Size Limit (UTCL0, UTCL1, UTCL2)_x000D_
• GFX diag team will have UTCL0/L1 diags for this feature</t>
  </si>
  <si>
    <t>NV48-HUBS-1027</t>
  </si>
  <si>
    <t xml:space="preserve">MMHUB:MMUTCL2:VML2 - Common PSP-only default page </t>
  </si>
  <si>
    <t>MMHUB Common PSP-only default page test</t>
  </si>
  <si>
    <t>mhub091.1-4</t>
  </si>
  <si>
    <t>28245e236a5d
force_unsecure=1</t>
  </si>
  <si>
    <t>• Refer to TP section 4.3.1.3 Common PSP-only Default Page</t>
  </si>
  <si>
    <t>mhub091.5,6</t>
  </si>
  <si>
    <t>-vm -tc_DisableIommuHostTranslation=0</t>
  </si>
  <si>
    <t>NV48-HUBS-1028, NV48-HUBS-1029</t>
  </si>
  <si>
    <t xml:space="preserve">MMHUB:MMUTCL2:VML2 - DWB Scatter/Gather </t>
  </si>
  <si>
    <t>dwb2,3,15-19</t>
  </si>
  <si>
    <t>NONRT GPUVM Table Walks with PT in FB  - GPUVM-&gt;GPA </t>
  </si>
  <si>
    <t>mhub058.1</t>
  </si>
  <si>
    <t>-vm -atc -tcoreptloc=0 -pm4rb=fb -UseSem</t>
  </si>
  <si>
    <t>• Refer to TP section 4.3.1.4 GPUVM Table Walks to Sysmem
• Carry over the test from Mero, but may need additional updates, also some logics may need to be skipped due to no ATC (MMHUB ATC for FFBM not POR)</t>
  </si>
  <si>
    <t>NONRT GPUVM Table Walks with PT in Sysmem  - GPUVM-&gt;GPA </t>
  </si>
  <si>
    <t>mhub058.2</t>
  </si>
  <si>
    <t>-vm -atc -tcoreptloc=1 -pm4rb=fb -UseSem</t>
  </si>
  <si>
    <t>NONRT GPUVM Table Walks with PT in FB  - GPUVM-&gt;SPA(ATC Host)</t>
  </si>
  <si>
    <t>mhub058.3</t>
  </si>
  <si>
    <t>NONRT GPUVM Table Walks with PT in Sysmem  - GPUVM-&gt;SPA(ATC Host)</t>
  </si>
  <si>
    <t>mhub058.4</t>
  </si>
  <si>
    <t>This feature is not applicable for baremetal. SRIOV/FFBM only.</t>
  </si>
  <si>
    <t>NONRT GPUVM Table Walks with PT in FB  - GPUVM-&gt;SPA(ATC Guest)</t>
  </si>
  <si>
    <t>mhub058.5</t>
  </si>
  <si>
    <t>NONRT GPUVM Table Walks with PT in Sysmem  - GPUVM-&gt;SPA(ATC Guest)</t>
  </si>
  <si>
    <t>mhub058.6</t>
  </si>
  <si>
    <t>NONRT GPUVM Table Walks with PT in FB  - GPA-&gt;SPA</t>
  </si>
  <si>
    <t>mhub058.7</t>
  </si>
  <si>
    <t>NONRT GPUVM Table Walks with PT in Sysmem  - GPA-&gt;GPA</t>
  </si>
  <si>
    <t>mhub058.8</t>
  </si>
  <si>
    <t>NONRT GPUVM Table Walks with PT in FB  - PDE.P</t>
  </si>
  <si>
    <t>mhub058.9</t>
  </si>
  <si>
    <t>NONRT GPUVM Table Walks with PT in Sysmem  - PDE.P</t>
  </si>
  <si>
    <t>mhub058.10</t>
  </si>
  <si>
    <t>SOFTRT GPUVM Table Walks with PT in FB  - GPUVM-&gt;GPA </t>
  </si>
  <si>
    <t>mhub058.11</t>
  </si>
  <si>
    <t>SOFTRT GPUVM Table Walks with PT in Sysmem  - GPUVM-&gt;GPA </t>
  </si>
  <si>
    <t>mhub058.12</t>
  </si>
  <si>
    <t>SOFTRT GPUVM Table Walks with PT in FB  - GPUVM-&gt;SPA(ATC Host)</t>
  </si>
  <si>
    <t>mhub058.13</t>
  </si>
  <si>
    <t>SOFTRT GPUVM Table Walks with PT in Sysmem  - GPUVM-&gt;SPA(ATC Host)</t>
  </si>
  <si>
    <t>mhub058.14</t>
  </si>
  <si>
    <t>SOFTRT GPUVM Table Walks with PT in FB  - GPUVM-&gt;SPA(ATC Guest)</t>
  </si>
  <si>
    <t>mhub058.15</t>
  </si>
  <si>
    <t>SOFTRT GPUVM Table Walks with PT in Sysmem  - GPUVM-&gt;SPA(ATC Guest)</t>
  </si>
  <si>
    <t>mhub058.16</t>
  </si>
  <si>
    <t>SOFTRT GPUVM Table Walks with PT in FB  - GPA-&gt;SPA</t>
  </si>
  <si>
    <t>mhub058.17</t>
  </si>
  <si>
    <t>SOFTRT GPUVM Table Walks with PT in Sysmem  - GPA-&gt;GPA</t>
  </si>
  <si>
    <t>mhub058.18</t>
  </si>
  <si>
    <t>SOFTRT GPUVM Table Walks with PT in FB  - PDE.P</t>
  </si>
  <si>
    <t>mhub058.19</t>
  </si>
  <si>
    <t>SOFTRT GPUVM Table Walks with PT in Sysmem  - PDE.P</t>
  </si>
  <si>
    <t>mhub058.20</t>
  </si>
  <si>
    <t>NV48-HUBS-1033</t>
  </si>
  <si>
    <t>MMHUB:MMUTCL2:VML2 - GPA Mode</t>
  </si>
  <si>
    <t>vcnxxxx</t>
  </si>
  <si>
    <t>NV48-HUBS-1071</t>
  </si>
  <si>
    <t>MMHUB:Security - SOC15 Datapath/Controlpath Security</t>
  </si>
  <si>
    <t>This feature is covered in DF Diag tracker</t>
  </si>
  <si>
    <t>DF003.1-4</t>
  </si>
  <si>
    <t>NV48-HUBS-2006</t>
  </si>
  <si>
    <t>This feature is covered in GFX Diag tracker (GFXHUB Page Size Limit tests)</t>
  </si>
  <si>
    <t>utci10.1-8</t>
  </si>
  <si>
    <t>• Refer to TP section 4.3.2.1 Remove 2M Page Size Limit (UTCL0, UTCL1, UTCL2)
• GFX diag team will have UTCL0/L1 diags for this feature</t>
  </si>
  <si>
    <t>NV48-HUBS-2009</t>
  </si>
  <si>
    <t>GFXHUB:GCUTCL2:VML2 - Common PSP-only default page</t>
  </si>
  <si>
    <t>GFXHUB Common PSP-only default page test</t>
  </si>
  <si>
    <t>mhub291.1-4</t>
  </si>
  <si>
    <t>mhub291.5,6</t>
  </si>
  <si>
    <t>GFXHUB GPUVM Table Walks with PT in FB  - GPUVM-&gt;GPA </t>
  </si>
  <si>
    <t>mhub258.1</t>
  </si>
  <si>
    <t>-vm -atc -tcoreptloc=0 -pm4rb=fb -CpDirRegVm</t>
  </si>
  <si>
    <t>• Feature is now marked as Not Applicable on the GFXHUB side on FL, may not need to cover. 
• Refer to TP section 4.3.1.4 GPUVM Table Walks to Sysmem
• Carry over the test from Mero, but may need additional updates, also some logics may need to be skipped due to no ATC (MMHUB ATC for FFBM not POR)</t>
  </si>
  <si>
    <t>GFXHUBGPUVM Table Walks with PT in Sysmem  - GPUVM-&gt;GPA </t>
  </si>
  <si>
    <t>mhub258.2</t>
  </si>
  <si>
    <t>-vm -atc -tcoreptloc=1 -pm4rb=fb -CpDirRegVm</t>
  </si>
  <si>
    <t>Waived, since NV48 GCHUB does not have ATC</t>
  </si>
  <si>
    <t>GFXHUB GPUVM Table Walks with PT in FB  - GPUVM-&gt;SPA(ATC Host)</t>
  </si>
  <si>
    <t>mhub258.3</t>
  </si>
  <si>
    <t>-vm -atc -tcoreptloc=0 -pm4rb=fb  -CpDirRegVm</t>
  </si>
  <si>
    <t>GFXHUB GPUVM Table Walks with PT in Sysmem  - GPUVM-&gt;SPA(ATC Host)</t>
  </si>
  <si>
    <t>mhub258.4</t>
  </si>
  <si>
    <t>GFXHUB GPUVM Table Walks with PT in FB  - GPUVM-&gt;SPA(ATC Guest)</t>
  </si>
  <si>
    <t>mhub258.5</t>
  </si>
  <si>
    <t>GFXHUB GPUVM Table Walks with PT in Sysmem  - GPUVM-&gt;SPA(ATC Guest)</t>
  </si>
  <si>
    <t>mhub258.6</t>
  </si>
  <si>
    <t>-vm -atc -tcoreptloc=1 -pm4rb=fb  -CpDirRegVm</t>
  </si>
  <si>
    <t>GFXHUB GPUVM Table Walks with PT in FB  - GPA-&gt;SPA</t>
  </si>
  <si>
    <t>mhub258.7</t>
  </si>
  <si>
    <t>GFXHUB GPUVM Table Walks with PT in Sysmem  - GPA-&gt;GPA</t>
  </si>
  <si>
    <t>mhub258.8</t>
  </si>
  <si>
    <t>GFXHUB GPUVM Table Walks with PT in FB  - PDE.P</t>
  </si>
  <si>
    <t>mhub258.9</t>
  </si>
  <si>
    <t>GFXHUB GPUVM Table Walks with PT in Sysmem  - PDE.P</t>
  </si>
  <si>
    <t>mhub258.10</t>
  </si>
  <si>
    <t>NV48-HUBS-2016</t>
  </si>
  <si>
    <t>GFXHUB:GCUTCL2:VML2 - TLBi Support - Invalidation rates of  1TB VA, 32M invalidates/sec</t>
  </si>
  <si>
    <t>This feature is covered in OSS Diag tracker</t>
  </si>
  <si>
    <t>sdma86.1-14,87.1,91.1</t>
  </si>
  <si>
    <t>This feature is covered in GFX Diag tracker</t>
  </si>
  <si>
    <t>utci2.1</t>
  </si>
  <si>
    <t>NV48-HUBS-2018, NV48-HUBS-2019</t>
  </si>
  <si>
    <t>GFXHUB:GCUTCL2:VML2 - Full GCR Support</t>
  </si>
  <si>
    <t>utci7.1-6</t>
  </si>
  <si>
    <t>utci6.1-2</t>
  </si>
  <si>
    <t>NV48-HUBS-1050</t>
  </si>
  <si>
    <t>MMHUB:MMUTCL2:VML2 - Translate Further/PTE.F bit</t>
  </si>
  <si>
    <t>MMHUB Link micro-PTB to leaf PTB Test</t>
  </si>
  <si>
    <t>mhub127.1</t>
  </si>
  <si>
    <t>-vm -tc_BlockFragmentSize=4 -tc_PageTableDepth=1</t>
  </si>
  <si>
    <t>[error][GMC] vGpuVmPTE[0] doesn't match PTE[0] address from Page table walk, vGpuVmPTE[0] = 1000000001b80271 PTE[0] from page walk = 0000000000000000</t>
  </si>
  <si>
    <t>Refer to TP section 4.3.2.6 Link micro-PTB to leaf PTB (aka macro-PTB)</t>
  </si>
  <si>
    <t>mhub127.2</t>
  </si>
  <si>
    <t>-vm -tc_BlockFragmentSize=4 -tc_PageTableDepth=1 -tc_LinkMicroPtb</t>
  </si>
  <si>
    <t>[error][GMC] PDE0.A is not set to 1</t>
  </si>
  <si>
    <t>mhub127.3</t>
  </si>
  <si>
    <t>-vm -tc_BlockFragmentSize=4 -tc_PageTableDepth=1 -tcoreptloc</t>
  </si>
  <si>
    <t>[error][GMC] vGpuVmPTE[0] doesn't match PTE[0] address from Page table walk, vGpuVmPTE[0] = 1000000001b70271 PTE[0] from page walk = 0000000000000000</t>
  </si>
  <si>
    <t>mhub127.4</t>
  </si>
  <si>
    <t>-vm -tc_LinkMicroPtb -tcoreptloc -tc_BlockFragmentSize=4 -tc_PageTableDepth=1</t>
  </si>
  <si>
    <t>NV48-HUBS-2029, NV48-HUBS-2044</t>
  </si>
  <si>
    <r>
      <rPr>
        <b/>
        <sz val="11"/>
        <color theme="1"/>
        <rFont val="Calibri"/>
        <family val="2"/>
        <scheme val="minor"/>
      </rPr>
      <t xml:space="preserve">This feature is covered in GFX Diag tracker </t>
    </r>
    <r>
      <rPr>
        <sz val="11"/>
        <color theme="1"/>
        <rFont val="Calibri"/>
        <family val="2"/>
        <scheme val="minor"/>
      </rPr>
      <t>(GC PDE MTYPE Test)</t>
    </r>
  </si>
  <si>
    <t>glxixxxx</t>
  </si>
  <si>
    <t>NV48-HUBS-2033</t>
  </si>
  <si>
    <t>GFXHUB:GCUTCL2:VML2 - Translate Further/PTE.F bit</t>
  </si>
  <si>
    <t>GFXHUB Link micro-PTB to leaf PTB Test</t>
  </si>
  <si>
    <t>mhub327.1</t>
  </si>
  <si>
    <t>mhub327.2</t>
  </si>
  <si>
    <t>mhub327.3</t>
  </si>
  <si>
    <t>mhub327.4</t>
  </si>
  <si>
    <t>-vm -tc_BlockFragmentSize=4 -tc_PageTableDepth=1 -tc_LinkMicroPtb -tcoreptloc</t>
  </si>
  <si>
    <t>NV48-HUBS-1077</t>
  </si>
  <si>
    <t>MMHUB:MMUTCL2:VML2 - GPUVM fault status register</t>
  </si>
  <si>
    <t>MMHUB VML2 fault status register PRT field</t>
  </si>
  <si>
    <t>mhub087</t>
  </si>
  <si>
    <t>PRT is GFXHUB-only feature for NV2x&amp;3x ASICs. Testing not needed for MMHUB side</t>
  </si>
  <si>
    <t>NV48-HUBS-2071</t>
  </si>
  <si>
    <t>GFXHUB:GCUTCL2:VML2 - GPUVM fault status register</t>
  </si>
  <si>
    <r>
      <rPr>
        <b/>
        <sz val="11"/>
        <rFont val="Calibri"/>
        <family val="2"/>
        <scheme val="minor"/>
      </rPr>
      <t xml:space="preserve">This feature is covered by mhub287 </t>
    </r>
    <r>
      <rPr>
        <sz val="11"/>
        <rFont val="Calibri"/>
        <family val="2"/>
        <scheme val="minor"/>
      </rPr>
      <t>(GFXHUB VML2 fault status register PRT field)</t>
    </r>
  </si>
  <si>
    <t>Refer to TP section 4.3.2.3 Add Fault Status Bits to Indicate a PRT Fault</t>
  </si>
  <si>
    <t>NV48-HUBS-1002, NV48-HUBS-1021</t>
  </si>
  <si>
    <t>MMHUB:SOC - AXI4 client interface</t>
  </si>
  <si>
    <t>VCN AXI Space Test</t>
  </si>
  <si>
    <t>mhub164.1</t>
  </si>
  <si>
    <t>[error][Logger] mmhub_vcn_factory() - Unknown/unsupported asic in factory</t>
  </si>
  <si>
    <t>• Refer to TP section 4.3.3.2 MMHUB – UTCL1 ECO - Reserved AxUSER.spaces (0x5,0x6,0x7) should be treated like GPUVAs rather than pretranslated, section 4.3.3.3 UTCL1, section 4.3.3.4 UTCL2, and section 4.3.3.5 AXI4 client interface (considered as part of MMUTCL1 and MMUTCL2)
• Need a new diag to test the new AxUSER space bits 0x0 to 0x4 (exlcuding 0x1 - XGMI), these of which were the initial valid test cases.  The 0x5 to 0x7 values are for the ECO (DEGSIGMH30-429).  So I think both the original feature and the ECO tests can be combined into 1 test to validate AxUSER values 0x0 to 0x7. (Can use lmi_space_internal1 register to configure the AXI space)</t>
  </si>
  <si>
    <t>NV48-HUBS-1013</t>
  </si>
  <si>
    <t>MMHUB:MAM - Dirty RAM</t>
  </si>
  <si>
    <t>MMHUB MAM DRAM Tests, 256K/512K/1M/2M/4M, Walking 1, Stride 32</t>
  </si>
  <si>
    <t>mhub121.201-205</t>
  </si>
  <si>
    <t>-vm -tcoreptloc</t>
  </si>
  <si>
    <t>• Refer to TP section 4.3.3.7 MAM
• Need to port from GFXHUB MAM D-bit RAM test
• Only DAGB0 has MAM registers</t>
  </si>
  <si>
    <t>MMHUB MAM DRAM Tests, 256K/512K/1M/2M/4M, Walking 1, Coalescing enabled</t>
  </si>
  <si>
    <t>mhub121.211-215</t>
  </si>
  <si>
    <t>MMHUB MAM DRAM Tests, 256K/512K/1M/2M/4M, Walking 1, Stride 128</t>
  </si>
  <si>
    <t>mhub121.221-225</t>
  </si>
  <si>
    <t>MMHUB MAM DRAM Tests, 256K/512K/1M/2M/4M, Walking 1, Stride 256, Preservedbit enabled</t>
  </si>
  <si>
    <t>mhub121.231-235</t>
  </si>
  <si>
    <t>MMHUB MAM DRAM Tests, 256K/512K/1M/2M/4M, Walking 1, Stride 256, Preservedbit enabled, Coalescing enabled</t>
  </si>
  <si>
    <t>mhub121.241-245</t>
  </si>
  <si>
    <t>MMHUB MAM DRAM Tests, 256K/512K/1M/2M/4M, 32 accesses at a time, Stride 256, Preservedbit enabled</t>
  </si>
  <si>
    <t>mhub121.251-255</t>
  </si>
  <si>
    <t>NV48-HUBS-2046</t>
  </si>
  <si>
    <t>GFXHUB:GCUTCL2:VML2 - Programmable bank select in UTCL1/UTCL2</t>
  </si>
  <si>
    <t>GFXHUB Programmable Bank Select Test</t>
  </si>
  <si>
    <t>mhub354.1,2</t>
  </si>
  <si>
    <t>• Refer to TP section 4.3.1.1 Programmable bank select in UTCL1/UTCL2
• Cover UTCL2 supporting a programmable bank select hash function
• UTCL1 coverage will be from GFX diag team</t>
  </si>
  <si>
    <t>NV48-HUBS-2050</t>
  </si>
  <si>
    <t>GFXHUB:GCUTCL2:VML2 - Virtual FIFOs to maximize bank probes</t>
  </si>
  <si>
    <t>Part of this feature is covered in GFX Diag tracker</t>
  </si>
  <si>
    <t>gci30.900</t>
  </si>
  <si>
    <t>Use GFX diag GCI30.900. Compare test time for when VML2 VFIFO feature turned on (run without -vml2_vfifo_disable=1) vs. off (run with -vml2_vfifo_disable=1).</t>
  </si>
  <si>
    <t>NV48-HUBS-2045</t>
  </si>
  <si>
    <t>GFXHUB:GCUTCL2:VML2 - SA/SE Harvesting</t>
  </si>
  <si>
    <t>shci601.3,4</t>
  </si>
  <si>
    <t>This feature is also covered in GFX Diag tracker</t>
  </si>
  <si>
    <t>glxi7.1-3, glxi8.2 glxi9.1</t>
  </si>
  <si>
    <t>NV48-HUBS-1021</t>
  </si>
  <si>
    <t>MMHUB:UTCL1 - Aperture Checks</t>
  </si>
  <si>
    <t>Aperture Fault on L2 Return Test</t>
  </si>
  <si>
    <t>mhub162.1,2</t>
  </si>
  <si>
    <t>2317537dcbce</t>
  </si>
  <si>
    <t>Test re-designed - more info in DIAG-12797
• Refer to TP section 4.3.3.10 Aperture Fault on L2 Return Test
"-NV48/32 all APT check will be done in UTCL2 as there is not APT only TLB; APT only TLBs are part of PHX
-NV48/32 have new aperture fault feature (DEGSIGMH30-301) to replace the VML1 aperture fault feature.  New register to control feature is MMMC_VM_MX_L1_TLB*_DEBUG. ENABLE_APERTURE_FAULTS_ON_L2_RETURN"
Test Procedure
•	Set MMMC_VM_MX_L1_TLB*_DEBUG. ENABLE_APERTURE_FAULTS_ON_L2_RETURN = 1
•	Generate a UTCL2 return with IO=1 with any MMUTCL1 client
•	Check
o	MMMC_VM_MX_L1_TLB*_STATUS. FOUND_APERTURE_FAULTS == 1
o	Client received a nack=3 / has hung (depends if client hangs on nack=3)
•	Set MMMC_VM_MX_L1_TLB*_DEBUG.CLEAR_APERTURE_FAULTS = 1
•	Check MMMC_VM_MX_L1_TLB*_STATUS. FOUND_APERTURE_FAULTS == 0</t>
  </si>
  <si>
    <t>MM UTC L1 Invalidation - GPUVM</t>
  </si>
  <si>
    <t>mhub026.75,76,77</t>
  </si>
  <si>
    <t>• Refer to TP section 4.3.3.2 UTCL1
• L_SDMA should replace SDMA when applicable
• For variation 8 (mmutcl1 combo invalidation test), we can keep region[0] and [1] testing, but need to update the test to support GPUVA-&gt;SYSMEM_GPA testing as well</t>
  </si>
  <si>
    <t>MM UTC L1 Invalidation - Combo</t>
  </si>
  <si>
    <t>mhub026.8</t>
  </si>
  <si>
    <t>[error][GMC] Device is not supported!
NOTE: The individual invalidation test variations 75-77 are passing</t>
  </si>
  <si>
    <t>MM UTCL1 Read Write TLB Hit Miss - NonRT GPUVA-&gt;FB_GPA(GPUVM) using L_SDMA</t>
  </si>
  <si>
    <t>mhub043.5,6</t>
  </si>
  <si>
    <t>• Refer to TP section 4.3.3.2 UTCL1
• L_SDMA should replace SDMA when applicable
• Other variations of mhub043 not included here previously related to ATC host/IOTLB should be replaced with GPUVA-&gt;SYSMEM_GPA coverages whenever applicable</t>
  </si>
  <si>
    <t xml:space="preserve">MM UTCL1 Read Write TLB Hit Miss - SoftRT GPUVA-&gt;FB_GPA(GPUVM) using VCN0 </t>
  </si>
  <si>
    <t>mhub043.7,8</t>
  </si>
  <si>
    <t>-vm -mhub_vcn_init -UseVcnClient</t>
  </si>
  <si>
    <t>[error][GMC] Device is not supported!</t>
  </si>
  <si>
    <t>MM UTCL1 Read Write TLB Hit Miss - SoftRT GPUVA-&gt;FB_GPA(GPUVM) using VCN1</t>
  </si>
  <si>
    <t>mhub043.31,32</t>
  </si>
  <si>
    <t>MM UTCL1 Read Write TLB Hit Miss - including GPUVA-&gt;SYSMEM_GPA</t>
  </si>
  <si>
    <t>mhub043.1-4</t>
  </si>
  <si>
    <t>MM UTCL1 Read Write TLB Eviction - Wr/Rd for NonRT client(L_SDMA) using PTE physical addr, GPUVA-&gt;FB_GPA(GPUVM)</t>
  </si>
  <si>
    <t>mhub044.9,10</t>
  </si>
  <si>
    <t>• Refer to TP section 4.3.3.2 UTCL1
• L_SDMA should replace SDMA when applicable
• Other variations of mhub044 not included here previously related to ATC host/IOTLB should be replaced with GPUVA-&gt;SYSMEM_GPA coverages whenever applicable</t>
  </si>
  <si>
    <t>MM UTCL1 Read Write TLB Eviction - Wr/Rd for SoftRT client(VCN0) using PTE physical addr, GPUVA-&gt;FB_GPA(GPUVM)</t>
  </si>
  <si>
    <t>mhub044.11</t>
  </si>
  <si>
    <t>mhub044.12</t>
  </si>
  <si>
    <t>MM UTCL1 Read Write TLB Eviction - Wr/Rd for SoftRT client(VCN1) using PTE physical addr, GPUVA-&gt;FB_GPA(GPUVM)</t>
  </si>
  <si>
    <t>mhub044.53,54</t>
  </si>
  <si>
    <t>MM UTCL1 Read Write TLB Eviction - including GPUVA-&gt;SYSMEM_GPA</t>
  </si>
  <si>
    <t>mhub044.1-4</t>
  </si>
  <si>
    <t>MM UTCL1 Super Test</t>
  </si>
  <si>
    <t>mhub045.1-5</t>
  </si>
  <si>
    <t>-vm -mhub_vcn_init=0 (for SoftRT variations)</t>
  </si>
  <si>
    <t>• Refer to TP section 4.3.3.2 UTCL1
• L_SDMA should replace SDMA when applicable
• Other variations of mhub045 not included here previously related to ATC host/IOTLB should be replaced with GPUVA-&gt;SYSMEM_GPA coverages whenever applicable</t>
  </si>
  <si>
    <t>NV48-HUBS-1072</t>
  </si>
  <si>
    <t>MMHUB:RAS - Data Poison Propergation</t>
  </si>
  <si>
    <t>Charlie</t>
  </si>
  <si>
    <t>RAS</t>
  </si>
  <si>
    <t>MMHUB RAS Data Poison Propergation</t>
  </si>
  <si>
    <t>mhub609.1</t>
  </si>
  <si>
    <t>NV48-HUBS-3013</t>
  </si>
  <si>
    <t>ATHUB:RAS - Poison Data propergation</t>
  </si>
  <si>
    <t>ATHUB RAS Poison Data propergation</t>
  </si>
  <si>
    <t>mhub609.3</t>
  </si>
  <si>
    <t>NV48-HUBS-1073</t>
  </si>
  <si>
    <t>MMHUB:RAS - Data-path Parity Protection</t>
  </si>
  <si>
    <t>MMHUB RAS Data-path Parity Protection</t>
  </si>
  <si>
    <t>mhub6xx.x</t>
  </si>
  <si>
    <t>NV48-HUBS-1075</t>
  </si>
  <si>
    <t>MMHUB:RAS - Fatal Error Generation/Handling</t>
  </si>
  <si>
    <t>MMHUB RAS Fatal Error Generation/Handling</t>
  </si>
  <si>
    <t>NV48-HUBS-3011</t>
  </si>
  <si>
    <t>ATHUB:RAS - Datapath Parity</t>
  </si>
  <si>
    <t>Write Without Parity</t>
  </si>
  <si>
    <t>mhub611.1</t>
  </si>
  <si>
    <t>NV48-HUBS-3011,
NV48-HUBS-3029</t>
  </si>
  <si>
    <t>ATHUB:RAS - Datapath Parity
ATHUB:RAS - Datapath Parity Injection</t>
  </si>
  <si>
    <t>Write With DF Parity</t>
  </si>
  <si>
    <t>mhub611.2</t>
  </si>
  <si>
    <t>Write With Host Parity</t>
  </si>
  <si>
    <t>mhub611.3</t>
  </si>
  <si>
    <t>NV48-HUBS-3011
NV48-HUBS-3029</t>
  </si>
  <si>
    <t>THUB:RAS - Datapath Parity
ATHUB:RAS - Datapath Parity Injection</t>
  </si>
  <si>
    <t>Write With DF Host Parity</t>
  </si>
  <si>
    <t>mhub611.4</t>
  </si>
  <si>
    <t>THUB:RAS - Datapath Parity</t>
  </si>
  <si>
    <t>Read Without Parity</t>
  </si>
  <si>
    <t>mhub611.5</t>
  </si>
  <si>
    <t>Read With DMA Parity</t>
  </si>
  <si>
    <t>mhub611.6</t>
  </si>
  <si>
    <t>NV48-HUBS-3022</t>
  </si>
  <si>
    <t>ATHUB:Fatal Error Propgation</t>
  </si>
  <si>
    <t>ATHUB Fatal Error Propgation</t>
  </si>
  <si>
    <t>NV48-HUBS-1082</t>
  </si>
  <si>
    <t>MMHUB:Delta Color Compression (DCC)</t>
  </si>
  <si>
    <t>DCC Test on MMHUB</t>
  </si>
  <si>
    <t>mhub167.1</t>
  </si>
  <si>
    <t>NV48-HUBS-2077</t>
  </si>
  <si>
    <t>GCHUB:Delta Color Compression (DCC)</t>
  </si>
  <si>
    <t>DCC Test on GCHUB</t>
  </si>
  <si>
    <t>mhub367.1</t>
  </si>
  <si>
    <t>NV48-HUBS-1085</t>
  </si>
  <si>
    <t>MMHUB:Native large writes</t>
  </si>
  <si>
    <t>Nigel</t>
  </si>
  <si>
    <t>Native large write</t>
  </si>
  <si>
    <t>mhub168.1,2,3,4</t>
  </si>
  <si>
    <t>30 Loops X 256B Written
Reqs sent from DAGB = 33. Reqs out of RPB = 121
30 Loops x 64B Written
Reqs sent from DAGB = 31. Reqs out of RPB = 31</t>
  </si>
  <si>
    <t>tng-v1.0.0-2606-g0745464c3b</t>
  </si>
  <si>
    <t>NV48-HUBS-3019</t>
  </si>
  <si>
    <t>ATHUB:Native large write for IO</t>
  </si>
  <si>
    <t>mhub468.1</t>
  </si>
  <si>
    <t>NOTE:This feature is covered with MHUB168</t>
  </si>
  <si>
    <t>NV48-HUBS-3020</t>
  </si>
  <si>
    <t>ATHUB:RAW Check</t>
  </si>
  <si>
    <t>Nikhil</t>
  </si>
  <si>
    <t>Read after write test</t>
  </si>
  <si>
    <t>mhub469.1</t>
  </si>
  <si>
    <t>tng-v1.0.0-2606-g0745464c3b
./tng_executor --class gpu -c @gmhub_ptloc_sysmem.json -c +/diag/gpu/vml2/global/mode=On -c +/diag/gpu/firmware/CPC/load=No -c +/diag/gpu/firmware/CPG/load=No -c +/diag/gpu/interruptsEnabled=false -c +/diag/pci/remap/deviceId@0x756f:0x7540 -c +/diag/gpu/VBIOS/loader=Rom -c +/diag/gpu/gfx/mes/useKIQ=false -c +/diag/gpu/hostVisibleMemorySize=512_MiB gmhub.athub_raw_monolithic_test/CPWD -p cpwd_copy_data_size=256 -p cpwd_cmds_per_group=200 -p cpwd_copy_loops=200 --loop-count=500</t>
  </si>
  <si>
    <t>NV48-HUBS-3021</t>
  </si>
  <si>
    <t>ATHUB:Single VC (Virtual Channel) for GFX IO</t>
  </si>
  <si>
    <t>Single VC test</t>
  </si>
  <si>
    <t>mhub470.1</t>
  </si>
  <si>
    <t>NV48-HUBS-1087</t>
  </si>
  <si>
    <t>MMHUB:UTCL1 - TMZ</t>
  </si>
  <si>
    <t>MHUB UTCL1 TMZ test</t>
  </si>
  <si>
    <t>mhub150.42</t>
  </si>
  <si>
    <t>NV48-HUBS-1088</t>
  </si>
  <si>
    <t>MMHUB:UTCL1 - Compression Enable (PTE.D)</t>
  </si>
  <si>
    <t>MHUB DCC Test</t>
  </si>
  <si>
    <t>mhub167.2</t>
  </si>
  <si>
    <t>MMHUB:DAGB Read Write Boundary</t>
  </si>
  <si>
    <t>DAGB 256B Read Write Boundary</t>
  </si>
  <si>
    <t>mhub169.1,2,3,4</t>
  </si>
  <si>
    <t xml:space="preserve">PLEASE DO NOT CROSS THIS LINE.   Insert New Rows OR Copied Cells "Above" The Last Known Good Row Only So Each Copied Cells &amp; Rows Still Contains The Right Formulas (Similar Concept for Removing or Deleting Rows)        </t>
  </si>
  <si>
    <t>NV48-HUBS-3029</t>
  </si>
  <si>
    <t>ATHUB:RAS - Datapath Parity Injection</t>
  </si>
  <si>
    <t>Rayyan</t>
  </si>
  <si>
    <t>ATHUB data path parity</t>
  </si>
  <si>
    <t>mhub611.1-7</t>
  </si>
  <si>
    <t>-vm -atc -q -disable_fatal_errevent=1</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</si>
  <si>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</si>
  <si>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NV48-HUBS-1000</t>
  </si>
  <si>
    <t>Total # of Features</t>
  </si>
  <si>
    <t>NV48-HUBS-1001</t>
  </si>
  <si>
    <t>MMHUB:SOC - SOC-15 SCF/SMN interfaces</t>
  </si>
  <si>
    <t>Total # of P1</t>
  </si>
  <si>
    <t>NV48-HUBS-1002</t>
  </si>
  <si>
    <t>Total # of P2</t>
  </si>
  <si>
    <t>NV48-HUBS-1003</t>
  </si>
  <si>
    <t>Coverage by VCN diag vcn005.1-4</t>
  </si>
  <si>
    <t>Total # of P3</t>
  </si>
  <si>
    <t>NV48-HUBS-1004</t>
  </si>
  <si>
    <t>MMHUB:SOC - SRIOV</t>
  </si>
  <si>
    <t>Removed NV48</t>
  </si>
  <si>
    <t>Total # of Diagnostics</t>
  </si>
  <si>
    <t>NV48-HUBS-1005</t>
  </si>
  <si>
    <t>MMHUB:DAGB - DF sends “unsolicited error response” across SDP to MMHUB</t>
  </si>
  <si>
    <t>RAS, RAS need SRIOV to cover it. NV48 does not support SRIOV</t>
  </si>
  <si>
    <t>Total # of Driver</t>
  </si>
  <si>
    <t>Total # of IPSE</t>
  </si>
  <si>
    <t>Total # of N/A</t>
  </si>
  <si>
    <t>NV48-HUBS-1007</t>
  </si>
  <si>
    <t>Total # of Legacy</t>
  </si>
  <si>
    <t>NV48-HUBS-1008</t>
  </si>
  <si>
    <t>MMHUB:DAGB - Safe TDR for GPU Driver Reset Mode 2 Support</t>
  </si>
  <si>
    <t>Total # of Delta</t>
  </si>
  <si>
    <t>NV48-HUBS-1009</t>
  </si>
  <si>
    <t>MMHUB:DAGB - HDP Performance for Mixed RD/WR</t>
  </si>
  <si>
    <t>Total # of New</t>
  </si>
  <si>
    <t>NV48-HUBS-1010</t>
  </si>
  <si>
    <t>MMHUB:DAGB - SDP arbitration and interface capability</t>
  </si>
  <si>
    <t>NV48-HUBS-1011</t>
  </si>
  <si>
    <t>MMHUB:Performance - SOC-15 QoS 1.0</t>
  </si>
  <si>
    <t>NV48-HUBS-1012</t>
  </si>
  <si>
    <t>MMHUB:SOC - Register Access Resilience</t>
  </si>
  <si>
    <t>Removed</t>
  </si>
  <si>
    <t>NV48-HUBS-1014</t>
  </si>
  <si>
    <t>NV48-HUBS-1016</t>
  </si>
  <si>
    <t>MMHUB:UTCL1 - Flexible Frame-Buffer Mapping (FFBM)</t>
  </si>
  <si>
    <t>SRIOV</t>
  </si>
  <si>
    <t>NV48-HUBS-1017</t>
  </si>
  <si>
    <t>MMHUB:UTCL1 - "noalloc" support (MALL)</t>
  </si>
  <si>
    <t>NV48-HUBS-1018</t>
  </si>
  <si>
    <t>MMHUB:UTCL1 - “GPU Snoop” aka ‘gcc’ support in GPUVM L1</t>
  </si>
  <si>
    <t>NV48-HUBS-1019</t>
  </si>
  <si>
    <t>MMHUB:UTCL1 - Retry Support (formally "No Retry Supported")</t>
  </si>
  <si>
    <t>NV48-HUBS-1020</t>
  </si>
  <si>
    <t>NV48-HUBS-1022</t>
  </si>
  <si>
    <t>MMHUB:UTCL1 - CAM/TLB stores these translations:
GPUVA-&gt;SYSMEM_GPA
GPUVA-&gt;SYSMEM_SPA
GPUVA-&gt;FB_SPA
SYSMEM _GPA-&gt;SYSMEM_SPA (L2TLB only + ATC enabled)          
FB_GPA-&gt;FB_SPA (L2TLB, VFs only + FFBM) </t>
  </si>
  <si>
    <t>NV48-HUBS-1024</t>
  </si>
  <si>
    <t>MMHUB:SOC - Reliable Reset Recovery</t>
  </si>
  <si>
    <t>NV48-HUBS-1025</t>
  </si>
  <si>
    <t>MMHUB:MMUTCL2 - Flexible Frame-Buffer Mapping (FFBM)</t>
  </si>
  <si>
    <t>NV48-HUBS-1028</t>
  </si>
  <si>
    <t>Coverage by DCN diag dwb2,3,15-19</t>
  </si>
  <si>
    <t>NV48-HUBS-1029</t>
  </si>
  <si>
    <t>MMHUB:MMUTCL2:VML2 - Reserved Caches</t>
  </si>
  <si>
    <t>Also covered by DCN diag dwb2,3,15-19</t>
  </si>
  <si>
    <t>NV48-HUBS-1031</t>
  </si>
  <si>
    <t>MMHUB:MMUTCL2:VML2 - Translation bypass by VMID</t>
  </si>
  <si>
    <t>Console Program</t>
  </si>
  <si>
    <t>NV48-HUBS-1032</t>
  </si>
  <si>
    <t>MMHUB:MMUTCL2:VML2 - GPUVM Table Walks to Sysmem</t>
  </si>
  <si>
    <t>L2TLB is not present</t>
  </si>
  <si>
    <t>Coverage by VCN diag</t>
  </si>
  <si>
    <t>NV48-HUBS-1037</t>
  </si>
  <si>
    <t>NV48-HUBS-1041</t>
  </si>
  <si>
    <t>MMHUB:MMUTCL2:VML2 - Register bits that enable software to control hit/miss behaviour on page migration(R=W=0) in cache</t>
  </si>
  <si>
    <t>NV48-HUBS-1042</t>
  </si>
  <si>
    <t>NV48-HUBS-1044</t>
  </si>
  <si>
    <t>NV48-HUBS-1048</t>
  </si>
  <si>
    <t>MMHUB:MMUTCL2:VML2 - Mtype Attribute</t>
  </si>
  <si>
    <t>NV48-HUBS-1049</t>
  </si>
  <si>
    <t>MMHUB:MMUTCL2:VML2 - Page table block size, PDE and PTE Fragment sizes</t>
  </si>
  <si>
    <t>NV48-HUBS-1051</t>
  </si>
  <si>
    <t>MMHUB:MMUTCL2:VML2 - Support for 2MB, 1G, 512GB pages aka PDE Block Fragment Size</t>
  </si>
  <si>
    <t>NV48-HUBS-1052</t>
  </si>
  <si>
    <t>MMHUB:MMUTCL2:VML2 - L bit in PTE</t>
  </si>
  <si>
    <t>NV48-HUBS-1053</t>
  </si>
  <si>
    <t>MMHUB:MMUTCL2:VML2 - Page Migration Retry state</t>
  </si>
  <si>
    <t>MMHUB page migration is not POR unless otherwise stated</t>
  </si>
  <si>
    <t>NV48-HUBS-1054</t>
  </si>
  <si>
    <t>MMHUB:MMUTCL2:VML2 - Steering Registers</t>
  </si>
  <si>
    <t>NV48-HUBS-1055</t>
  </si>
  <si>
    <t>MMHUB:MMUTCL2:VML2 - is_local" enable / disable register</t>
  </si>
  <si>
    <t>not applicable</t>
  </si>
  <si>
    <t>NV48-HUBS-1056</t>
  </si>
  <si>
    <t>MMHUB:MMUTCL2:VML2 - VML2 BigK/4K cache swap</t>
  </si>
  <si>
    <t>NV48-HUBS-1057</t>
  </si>
  <si>
    <t>MMHUB:MMUTCL2:VML2 - "noalloc" support (MALL)</t>
  </si>
  <si>
    <t>NV48-HUBS-1058</t>
  </si>
  <si>
    <t>MMHUB:MMUTCL2:VML2 - Client group harvesting_x000D_
(was SA/SE Harvesting)</t>
  </si>
  <si>
    <t>NV48-HUBS-1059</t>
  </si>
  <si>
    <t>MMHUB:MMUTCL2:VML2 - Programmable bank select in UTCL1/UTCL2</t>
  </si>
  <si>
    <t>Not applicale for MMHUB due to only having one bank</t>
  </si>
  <si>
    <t>NV48-HUBS-1060</t>
  </si>
  <si>
    <t>MMHUB:MMUTCL2:VML2 - Per VF BigK/SmallK/Bank_Select Support</t>
  </si>
  <si>
    <t>NV48-HUBS-1061</t>
  </si>
  <si>
    <t>MMHUB:MMUTCL2:VML2 - Per VMID BigK/SmallK/Bank_Select Support</t>
  </si>
  <si>
    <t>NV48-HUBS-1064</t>
  </si>
  <si>
    <t>MMHUB:MMUTCL2:ATCL2 - Caches</t>
  </si>
  <si>
    <t>NV48-HUBS-1065</t>
  </si>
  <si>
    <t>MMHUB:MMUTCL2:ATCL2 - Flexible Frame-Buffer Mapping (FFBM)</t>
  </si>
  <si>
    <t>NV48-HUBS-1066</t>
  </si>
  <si>
    <t>MMHUB:Power/PCTL - SOCCLK Deep Sleep</t>
  </si>
  <si>
    <t>NV48-HUBS-1067</t>
  </si>
  <si>
    <t>MMHUB:Power/PCTL - MMHUB Power Gating</t>
  </si>
  <si>
    <t>NV48-HUBS-1068</t>
  </si>
  <si>
    <t>MMHUB:PCTL - Register Save and Restore</t>
  </si>
  <si>
    <t>NV48-HUBS-1069</t>
  </si>
  <si>
    <t>MMHUB:PCTL - RSMU Timer</t>
  </si>
  <si>
    <t>Coverage by DF diag DF003.1-4</t>
  </si>
  <si>
    <t>RAS (not support)</t>
  </si>
  <si>
    <t>RAS (not support)</t>
  </si>
  <si>
    <t>NV48-HUBS-1074</t>
  </si>
  <si>
    <t>MMHUB:RAS - Data Poison Consumption</t>
  </si>
  <si>
    <t>NV48-HUBS-1076</t>
  </si>
  <si>
    <t>MMHUB:Debug - Debug Bus</t>
  </si>
  <si>
    <t>NV48-HUBS-1078</t>
  </si>
  <si>
    <t>MMHUB:DAGB - Clock Gating (was Repeater FGCG in tap chain)</t>
  </si>
  <si>
    <t>NV48-HUBS-1079</t>
  </si>
  <si>
    <t>MMHUB:DAGB - Programmable priority per VC on SDP</t>
  </si>
  <si>
    <t>NV48-HUBS-1080</t>
  </si>
  <si>
    <t xml:space="preserve">MMHUB:DAGB - Programmable override priority per client on SDP </t>
  </si>
  <si>
    <t>NV48-HUBS-1081</t>
  </si>
  <si>
    <t>MMHUB:MMUTCL2 - Programmable credits</t>
  </si>
  <si>
    <t>2TLB not present in Navi44/48</t>
  </si>
  <si>
    <t>MMHUB:DAGB - Delta Color Compression (DCC)</t>
  </si>
  <si>
    <t>NV48-HUBS-1083</t>
  </si>
  <si>
    <t>MMHUB:DAGB - Client Read/Write Override</t>
  </si>
  <si>
    <t>Debug feature</t>
  </si>
  <si>
    <t>NV48-HUBS-1084</t>
  </si>
  <si>
    <t>MMHUB:SOC - SRAM FGCG</t>
  </si>
  <si>
    <t>MMHUB:DAGB - Native large writes</t>
  </si>
  <si>
    <t>NV48-HUBS-1086</t>
  </si>
  <si>
    <t>MMHUB:DAGB - Safe TDR for GPU Driver Reset Mode 3 Support</t>
  </si>
  <si>
    <t>NV48-HUBS-1089</t>
  </si>
  <si>
    <t>MMHUB:PCTL - MMHUB Interlock Support</t>
  </si>
  <si>
    <t>NV48-HUBS-1090</t>
  </si>
  <si>
    <t>MMHUB:MMUTCL2:VML2 - Page Size Optimization</t>
  </si>
  <si>
    <t>Not applicable to NV48 as there is no ATCL2</t>
  </si>
  <si>
    <t>NV48-HUBS-1091</t>
  </si>
  <si>
    <t>MMHUB:MMUTCL2 - IO/SPA for APU system</t>
  </si>
  <si>
    <t>NV48-HUBS-2000</t>
  </si>
  <si>
    <t>GFXHUB:GCUTCL2 - SRAM FGCG</t>
  </si>
  <si>
    <t>NV48-HUBS-2001</t>
  </si>
  <si>
    <t>GFXHUB:GCUTCL2 - Repeater FGCG</t>
  </si>
  <si>
    <t>NV48-HUBS-2002</t>
  </si>
  <si>
    <t>GFXHUB:GCUTCL2 - RDL parameter inhancement</t>
  </si>
  <si>
    <t>IPSE FYI item, not testable</t>
  </si>
  <si>
    <t>NV48-HUBS-2003</t>
  </si>
  <si>
    <t>GFXHUB:GCUTCL2 - Expand GRBM address bus range</t>
  </si>
  <si>
    <t>NV48-HUBS-2004</t>
  </si>
  <si>
    <t>GFXHUB:GCUTCL2 - SRIOV</t>
  </si>
  <si>
    <t>GFXHUB:GCUTCL2 - MARC for secured P2P</t>
  </si>
  <si>
    <t>Covered by GFX Diag (utci10.1-8) by checking the UTC L0 perf counters and feature is only supported for shader clients.</t>
  </si>
  <si>
    <t>NV48-HUBS-2007</t>
  </si>
  <si>
    <t>GFXHUB:GCUTCL2:RAS - Translation response data from DF (HBM / PCIE) 
(Data Poison Consumption)</t>
  </si>
  <si>
    <t>No RAS support on NV48</t>
  </si>
  <si>
    <t>NV48-HUBS-2011</t>
  </si>
  <si>
    <t>GFXHUB:GCUTCL2:VML2 - GPUVM Table Walks to Sysmem/FB</t>
  </si>
  <si>
    <t>GFXHUB:GCUTCL2 - Spatial Paritioning</t>
  </si>
  <si>
    <t>NV4X Chiplet</t>
  </si>
  <si>
    <t>NV48-HUBS-2015</t>
  </si>
  <si>
    <t>Coverage by OSS diag sdma86.1-14,87.1,91.1 and GFX diag utci2.1 </t>
  </si>
  <si>
    <t>NV48-HUBS-2017</t>
  </si>
  <si>
    <t>GFXHUB:GCUTCL2:VML2 - Page table walker read throttling</t>
  </si>
  <si>
    <t>SCBU Specific</t>
  </si>
  <si>
    <t>NV48-HUBS-2018</t>
  </si>
  <si>
    <t>Coverage by GFX diag utci7.1-6</t>
  </si>
  <si>
    <t>NV48-HUBS-2019</t>
  </si>
  <si>
    <t>GFXHUB:GCUTCL2:VML2 - Return invalid V=0 PA to GCR w/o generating an intr - UTC L2 typically fires an interrupt on a page fault (V=0) but, for GCR translation requests, that’s not case. V=0 is a legal setting.</t>
  </si>
  <si>
    <t>NV48-HUBS-2022</t>
  </si>
  <si>
    <t>NV48-HUBS-2023</t>
  </si>
  <si>
    <t>NV48-HUBS-2024</t>
  </si>
  <si>
    <t>Also covered by GFX diag utci6.1-2</t>
  </si>
  <si>
    <t>NV48-HUBS-2026</t>
  </si>
  <si>
    <t>NV48-HUBS-2027</t>
  </si>
  <si>
    <t>GFXHUB:GCUTCL2:VML2 - Lightweight/Heavyweight flush-type invalidation aka GPUVM –ATC like invalidations</t>
  </si>
  <si>
    <t>NV48-HUBS-2028</t>
  </si>
  <si>
    <t>Also covered by GFX glxi diag (GC PDE MTYPE Test)</t>
  </si>
  <si>
    <t>NV48-HUBS-2032</t>
  </si>
  <si>
    <t>GFXHUB:GCUTCL2:VML2 - is_local" enable / disable register</t>
  </si>
  <si>
    <t>Not Applicable</t>
  </si>
  <si>
    <t>NV48-HUBS-2035</t>
  </si>
  <si>
    <t>GFXHUB:GCUTCL2:VML2 - Support for 2MB, 1G, 512GB pages aka PDE Block Fragment Size</t>
  </si>
  <si>
    <t>NV48-HUBS-2036</t>
  </si>
  <si>
    <t>GFXHUB:GCUTCL2:VML2 - 44b PA</t>
  </si>
  <si>
    <t>NV48-HUBS-2038</t>
  </si>
  <si>
    <t>GFXHUB:GCUTCL2:VML2 - Page Migration Retry state</t>
  </si>
  <si>
    <t>NV48-HUBS-2039</t>
  </si>
  <si>
    <t>GFXHUB:GCUTCL2:VML2 - PTE.M - Mtype - Override “CC” to “UC”</t>
  </si>
  <si>
    <t>NV48-HUBS-2040</t>
  </si>
  <si>
    <t>GFXHUB:GCUTCL2:VML2 - VML2 BigK/4K cache swap</t>
  </si>
  <si>
    <t>NV48-HUBS-2041</t>
  </si>
  <si>
    <t>GFXHUB:GCUTCL2:VML2 - Steering Registers</t>
  </si>
  <si>
    <t>NV48-HUBS-2042</t>
  </si>
  <si>
    <t>GFXHUB:GCUTCL2:VML2 - Mtype Attribute</t>
  </si>
  <si>
    <t>NV48-HUBS-2043</t>
  </si>
  <si>
    <t>GFXHUB:GCUTCL2:VML2 - Qualify eXecute bit for gfx clients</t>
  </si>
  <si>
    <t>Coverage by GFX diag shci601.3,4</t>
  </si>
  <si>
    <t>NV48-HUBS-2047</t>
  </si>
  <si>
    <t>NV48-HUBS-2048</t>
  </si>
  <si>
    <t>GFXHUB:GCUTCL2:VML2 - Per VMID BigK support/SmallK/Bank_Select Support</t>
  </si>
  <si>
    <t>Coverage by GFX diag gci30.900 and performance team</t>
  </si>
  <si>
    <t>NV48-HUBS-2051</t>
  </si>
  <si>
    <t>GFXHUB:GCUTCL2 - IO/SPA for APU system</t>
  </si>
  <si>
    <t>APU</t>
  </si>
  <si>
    <t>GFXHUB:GCUTCL2:VML2 - Page Size Optimization</t>
  </si>
  <si>
    <t>NV48-HUBS-2053</t>
  </si>
  <si>
    <t>GFXHUB:GCUTCL2 - Flexible Frame-Buffer Mapping (FFBM)</t>
  </si>
  <si>
    <t xml:space="preserve">SRIOV </t>
  </si>
  <si>
    <t>NV48-HUBS-2072</t>
  </si>
  <si>
    <t>GFXHUB:GCUTCL2 - Programmable credits</t>
  </si>
  <si>
    <t>NV48-HUBS-2073</t>
  </si>
  <si>
    <t>GFXHUB:GCUTCL2:VMl2 - Remove dummy invalidation interfaces</t>
  </si>
  <si>
    <t>NV48-HUBS-2074</t>
  </si>
  <si>
    <t>GFXHUB:GCUTCL2:VMl2 - RLC busy handshake protocol for GPUVM invalidations</t>
  </si>
  <si>
    <t>NV48-HUBS-2075</t>
  </si>
  <si>
    <t>GFXHUB:GCUTCL2:VMl2 - UTCL2 Idle Signals for IMU</t>
  </si>
  <si>
    <t>GFXHUB:GCUTCL2:VMl2 - Delta Color Compress (DCC) Support</t>
  </si>
  <si>
    <t>NV48-HUBS-3000</t>
  </si>
  <si>
    <t>ATHUB:SOC - SOC-15 SDP interfaces (SOC-15 baseline)</t>
  </si>
  <si>
    <t>NV48-HUBS-3001</t>
  </si>
  <si>
    <t>ATHUB:SOC - SOC-15 SCF interfaces (SOC-15 baseline)</t>
  </si>
  <si>
    <t>Also need IPSE manual checks and Windows driver loads</t>
  </si>
  <si>
    <t>NV48-HUBS-3002</t>
  </si>
  <si>
    <t>ATHUB:SOC - VDCI on DF SDP interfaces</t>
  </si>
  <si>
    <t>NV48-HUBS-3003</t>
  </si>
  <si>
    <t>ATHUB:SOC - OpenCL Platform Atomics</t>
  </si>
  <si>
    <t>NV48-HUBS-3004</t>
  </si>
  <si>
    <t>ATHUB:SOC - GPU virtualization</t>
  </si>
  <si>
    <t>NV48-HUBS-3005</t>
  </si>
  <si>
    <t>ATHUB:ATS - SOC-15 QoS 1.0 (Qos for mmhub translation)</t>
  </si>
  <si>
    <t>NV48-HUBS-3006</t>
  </si>
  <si>
    <t>ATHUB:RPB - Supports multiple VCs (SDP Virtual Channel)</t>
  </si>
  <si>
    <t>NV48-HUBS-3008</t>
  </si>
  <si>
    <t>ATHUB:RPB - Support configurable tag partition for read/write requests</t>
  </si>
  <si>
    <t>NV48-HUBS-3009</t>
  </si>
  <si>
    <t>ATHUB:RPB - Support more arbitration method between different streams and channels</t>
  </si>
  <si>
    <t>NV48-HUBS-3010</t>
  </si>
  <si>
    <t>ATHUB:RPB - P2P Traffic</t>
  </si>
  <si>
    <t xml:space="preserve">RAS </t>
  </si>
  <si>
    <t>NV48-HUBS-3012</t>
  </si>
  <si>
    <t>ATHUB:RAS - SRAM ECC + error injection</t>
  </si>
  <si>
    <t>not applicable as ATHUB doens't SRAM ECC + error injection</t>
  </si>
  <si>
    <t>NV48-HUBS-3014</t>
  </si>
  <si>
    <t>ATHUB:RAS - Fatal Error Generation</t>
  </si>
  <si>
    <t>NV48-HUBS-3015</t>
  </si>
  <si>
    <t>ATHUB:Power - Dynamic Clock Gating</t>
  </si>
  <si>
    <t>NV48-HUBS-3016</t>
  </si>
  <si>
    <t>ATHUB:Power - Dynamic Power Gating</t>
  </si>
  <si>
    <t>NV48-HUBS-3017</t>
  </si>
  <si>
    <t>ATHUB:Security - SOC15 Security</t>
  </si>
  <si>
    <t>NV48-HUBS-3018</t>
  </si>
  <si>
    <t>ATHUB:Debug - Debug Bus</t>
  </si>
  <si>
    <t>NV48-HUBS-3023</t>
  </si>
  <si>
    <t>ATHUB:VDCI on GFX SDP interfaces</t>
  </si>
  <si>
    <t>NV48-HUBS-3024</t>
  </si>
  <si>
    <t>ATHUB:Safe TDR for GPU Driver Reset(enhanced SDP port control)</t>
  </si>
  <si>
    <t>NV48-HUBS-3025</t>
  </si>
  <si>
    <t>ATHUB:Register Access Resilience</t>
  </si>
  <si>
    <t>NV48-HUBS-3026</t>
  </si>
  <si>
    <t>ATHUB - RPB:Add vc0 in IO traffic to support ZFB</t>
  </si>
  <si>
    <t>NV48-HUBS-3027</t>
  </si>
  <si>
    <t>ATHUB:Power - SOCCLK Deep Sleep</t>
  </si>
  <si>
    <t>NV48-HUBS-3028</t>
  </si>
  <si>
    <t>ATHUB:SOC-15 Address Width</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</si>
  <si>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</si>
  <si>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</si>
  <si>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</si>
  <si>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</si>
  <si>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</si>
  <si>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</si>
  <si>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</si>
  <si>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</si>
  <si>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</si>
  <si>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</si>
  <si>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</si>
  <si>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</si>
  <si>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</si>
  <si>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</si>
  <si>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</si>
  <si>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</si>
  <si>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</si>
  <si>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</si>
  <si>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</si>
  <si>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</si>
  <si>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</si>
  <si>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</si>
  <si>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</si>
  <si>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</si>
  <si>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</si>
  <si>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</si>
  <si>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</si>
  <si>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</si>
  <si>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</si>
  <si>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</si>
  <si>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</si>
  <si>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</si>
  <si>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</si>
  <si>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</si>
  <si>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</si>
  <si>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</si>
  <si>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</si>
  <si>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</si>
  <si>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</si>
  <si>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</si>
  <si>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</si>
  <si>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</si>
  <si>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</si>
  <si>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</si>
  <si>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</si>
  <si>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</si>
  <si>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</si>
  <si>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</si>
  <si>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</si>
  <si>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</si>
  <si>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</si>
  <si>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</si>
  <si>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</si>
  <si>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</si>
  <si>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</si>
  <si>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</si>
  <si>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</si>
  <si>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</si>
  <si>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</si>
  <si>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</si>
  <si>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</si>
  <si>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</si>
  <si>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</si>
  <si>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A/B + 4wks</t>
  </si>
  <si>
    <t>A/B + 5wks</t>
  </si>
  <si>
    <t>Require manual power measurement, IPSE to cover</t>
  </si>
  <si>
    <t>A/B + 8wks</t>
  </si>
  <si>
    <t>Covered by IPSE, sequence will cause system hang</t>
  </si>
  <si>
    <t>Legacy feature to be covered by IPSE, should need Windows based testing.</t>
  </si>
  <si>
    <t>Not visible by Diag</t>
  </si>
  <si>
    <t>Windows based performance verification coverage</t>
  </si>
  <si>
    <t>Not required on post-si per FET team</t>
  </si>
  <si>
    <t>Need coverage from Windows based VCN performance test</t>
  </si>
  <si>
    <t>A/B + 7wks</t>
  </si>
  <si>
    <t>Power related manual testing by IPSE</t>
  </si>
  <si>
    <t>Windows based manual testing</t>
  </si>
  <si>
    <t>Legacy feature to be covered by IPSE manually. Requires modifying libs accessing undefined registers</t>
  </si>
  <si>
    <t>IPSE manual testing, and kysy related</t>
  </si>
  <si>
    <t>Covered by GFX workload test by IPSE</t>
  </si>
  <si>
    <t>Should be covered by register signoff process</t>
  </si>
  <si>
    <t>A/B + 6wks</t>
  </si>
  <si>
    <t>Coverage by GFX Diag</t>
  </si>
  <si>
    <t>Also covered by GFX diags</t>
  </si>
  <si>
    <t>Implicitly tested by Windows driver booting up</t>
  </si>
  <si>
    <t>Requires 3D workload testing and under certain clock settings</t>
  </si>
  <si>
    <t>Legacy feature to be covered by IPSE implicitly. Should need Windows based testing</t>
  </si>
  <si>
    <t>Legacy feature to be covered by IPSE implicitly via Sysmem testing. Not visible to diags</t>
  </si>
  <si>
    <t>Windows driver testing coverage</t>
  </si>
  <si>
    <t>Power related IPSE manual verification</t>
  </si>
  <si>
    <t>Legacy feature to be covered by IPSE. Covered inherently by ATHUB testing.</t>
  </si>
  <si>
    <t>A/B + 10wks</t>
  </si>
  <si>
    <t>After OSS/GFX/VCN DCC test</t>
  </si>
  <si>
    <t>IPSE manual testing, debug feature</t>
  </si>
  <si>
    <t>IPSE manual testing</t>
  </si>
  <si>
    <t>After OSS/GFX DCC test</t>
  </si>
  <si>
    <t>PLEASE DO NOT CROSS THIS LINE.   Insert New Rows OR Copied Cells "Above" The Last Known Good Row Only So Each Copied Cells &amp; Rows Still Contains The Right Formulas (Similar Concept for Removing or Deleting Rows)</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</si>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</sst>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trike/>
      <sz val="11"/>
      <color theme="1"/>
      <name val="Calibri"/>
      <family val="2"/>
      <scheme val="minor"/>
    </font>
    <font>
      <strike/>
      <sz val="11"/>
      <name val="Calibri"/>
      <family val="2"/>
      <scheme val="minor"/>
    </font>
    <font>
      <sz val="10"/>
      <color indexed="81"/>
      <name val="Tahoma"/>
      <family val="2"/>
    </font>
    <font>
      <b/>
      <sz val="10"/>
      <color indexed="81"/>
      <name val="Tahoma"/>
      <family val="2"/>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u/>
      <sz val="11"/>
      <color theme="1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medium">
        <color auto="1"/>
      </left>
      <right/>
      <top style="thin">
        <color auto="1"/>
      </top>
      <bottom/>
      <diagonal/>
    </border>
    <border>
      <left style="medium">
        <color indexed="64"/>
      </left>
      <right style="medium">
        <color indexed="64"/>
      </right>
      <top style="thin">
        <color auto="1"/>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55" fillId="0" borderId="0" applyNumberFormat="0" applyFill="0" applyBorder="0" applyAlignment="0" applyProtection="0"/>
  </cellStyleXfs>
  <cellXfs count="814">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0" borderId="49"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8" fillId="52" borderId="17" xfId="0" applyFont="1" applyFill="1" applyBorder="1" applyAlignment="1" applyProtection="1">
      <alignment horizontal="center"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3" xfId="0" applyNumberFormat="1" applyFont="1" applyFill="1" applyBorder="1" applyAlignment="1">
      <alignment horizontal="center" vertical="center"/>
    </xf>
    <xf numFmtId="0" fontId="16" fillId="44" borderId="51"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3" xfId="0" applyFont="1" applyFill="1" applyBorder="1" applyAlignment="1">
      <alignment vertical="center"/>
    </xf>
    <xf numFmtId="0" fontId="0" fillId="0" borderId="39" xfId="0" applyBorder="1" applyAlignment="1">
      <alignment vertical="center"/>
    </xf>
    <xf numFmtId="0" fontId="0" fillId="0" borderId="57" xfId="0" applyBorder="1" applyAlignment="1">
      <alignment vertical="center" wrapText="1"/>
    </xf>
    <xf numFmtId="0" fontId="0" fillId="0" borderId="57" xfId="0" applyBorder="1" applyAlignment="1">
      <alignment vertical="center"/>
    </xf>
    <xf numFmtId="0" fontId="0" fillId="0" borderId="40" xfId="0" applyBorder="1" applyAlignment="1">
      <alignment vertical="center" wrapText="1"/>
    </xf>
    <xf numFmtId="0" fontId="0" fillId="0" borderId="56" xfId="0" applyBorder="1" applyAlignment="1">
      <alignment vertical="center"/>
    </xf>
    <xf numFmtId="0" fontId="0" fillId="0" borderId="50" xfId="0" applyBorder="1" applyAlignment="1">
      <alignment vertical="center"/>
    </xf>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0" fillId="53" borderId="25" xfId="0" applyFill="1" applyBorder="1" applyAlignment="1">
      <alignment vertical="center" wrapText="1"/>
    </xf>
    <xf numFmtId="0" fontId="0" fillId="52" borderId="17" xfId="0" applyFill="1" applyBorder="1" applyAlignment="1">
      <alignment vertical="center" wrapText="1"/>
    </xf>
    <xf numFmtId="0" fontId="0" fillId="52" borderId="10" xfId="0" applyFill="1" applyBorder="1" applyAlignment="1">
      <alignment vertical="center" wrapText="1"/>
    </xf>
    <xf numFmtId="0" fontId="18" fillId="52" borderId="10" xfId="0" applyFont="1" applyFill="1" applyBorder="1" applyAlignment="1">
      <alignment vertical="center" wrapText="1"/>
    </xf>
    <xf numFmtId="0" fontId="0" fillId="52" borderId="17" xfId="0" applyFill="1" applyBorder="1" applyAlignment="1">
      <alignment horizontal="center" vertical="center" wrapText="1"/>
    </xf>
    <xf numFmtId="0" fontId="0" fillId="52" borderId="10" xfId="0" applyFill="1" applyBorder="1" applyAlignment="1">
      <alignment horizontal="center" vertical="center" wrapText="1"/>
    </xf>
    <xf numFmtId="0" fontId="18" fillId="52" borderId="10" xfId="0" applyFont="1" applyFill="1" applyBorder="1" applyAlignment="1">
      <alignment horizontal="center" vertical="center" wrapText="1"/>
    </xf>
    <xf numFmtId="0" fontId="0" fillId="52" borderId="17" xfId="0" applyFill="1" applyBorder="1" applyAlignment="1">
      <alignment horizontal="left" vertical="center" wrapText="1"/>
    </xf>
    <xf numFmtId="49" fontId="0" fillId="52" borderId="17" xfId="0" applyNumberFormat="1" applyFill="1" applyBorder="1" applyAlignment="1">
      <alignment horizontal="left" vertical="center" wrapText="1"/>
    </xf>
    <xf numFmtId="0" fontId="0" fillId="52" borderId="10" xfId="0" applyFill="1" applyBorder="1" applyAlignment="1">
      <alignment horizontal="left" vertical="center" wrapText="1"/>
    </xf>
    <xf numFmtId="49" fontId="0" fillId="52" borderId="10" xfId="0" applyNumberFormat="1" applyFill="1" applyBorder="1" applyAlignment="1">
      <alignment horizontal="left" vertical="center" wrapText="1"/>
    </xf>
    <xf numFmtId="0" fontId="18" fillId="52" borderId="10" xfId="0" applyFont="1" applyFill="1" applyBorder="1" applyAlignment="1">
      <alignment horizontal="left" vertical="center" wrapText="1"/>
    </xf>
    <xf numFmtId="49" fontId="18" fillId="52" borderId="10" xfId="0" applyNumberFormat="1" applyFont="1" applyFill="1" applyBorder="1" applyAlignment="1">
      <alignment horizontal="left" vertical="center" wrapText="1"/>
    </xf>
    <xf numFmtId="0" fontId="18" fillId="52" borderId="18" xfId="0" applyFont="1" applyFill="1" applyBorder="1" applyAlignment="1">
      <alignment horizontal="center" vertical="center"/>
    </xf>
    <xf numFmtId="0" fontId="18" fillId="52" borderId="14" xfId="0" applyFont="1" applyFill="1" applyBorder="1" applyAlignment="1">
      <alignment horizontal="center" vertical="center"/>
    </xf>
    <xf numFmtId="0" fontId="0" fillId="52" borderId="17" xfId="0" applyFill="1" applyBorder="1" applyAlignment="1" applyProtection="1">
      <alignment horizontal="center" vertical="center"/>
      <protection locked="0"/>
    </xf>
    <xf numFmtId="0" fontId="18" fillId="52" borderId="17" xfId="0" applyFont="1" applyFill="1" applyBorder="1" applyAlignment="1">
      <alignment horizontal="center" vertical="center"/>
    </xf>
    <xf numFmtId="0" fontId="0" fillId="52" borderId="10" xfId="0" applyFill="1" applyBorder="1" applyAlignment="1" applyProtection="1">
      <alignment horizontal="center" vertical="center"/>
      <protection locked="0"/>
    </xf>
    <xf numFmtId="0" fontId="18" fillId="52" borderId="10" xfId="0" applyFont="1" applyFill="1" applyBorder="1" applyAlignment="1">
      <alignment horizontal="center" vertical="center"/>
    </xf>
    <xf numFmtId="0" fontId="19" fillId="43" borderId="70" xfId="0" applyFont="1" applyFill="1" applyBorder="1" applyAlignment="1" applyProtection="1">
      <alignment horizontal="left" vertical="center" wrapText="1"/>
      <protection locked="0"/>
    </xf>
    <xf numFmtId="0" fontId="19" fillId="53" borderId="70" xfId="0" applyFont="1" applyFill="1" applyBorder="1" applyAlignment="1" applyProtection="1">
      <alignment horizontal="left" vertical="center" wrapText="1"/>
      <protection locked="0"/>
    </xf>
    <xf numFmtId="0" fontId="19" fillId="53" borderId="73" xfId="0" applyFont="1" applyFill="1" applyBorder="1" applyAlignment="1" applyProtection="1">
      <alignment horizontal="left" vertical="center" wrapText="1"/>
      <protection locked="0"/>
    </xf>
    <xf numFmtId="9" fontId="38" fillId="43" borderId="69" xfId="0" applyNumberFormat="1" applyFont="1" applyFill="1" applyBorder="1" applyAlignment="1" applyProtection="1">
      <alignment horizontal="left" vertical="center" wrapText="1"/>
      <protection locked="0"/>
    </xf>
    <xf numFmtId="9" fontId="38" fillId="43" borderId="73" xfId="42" applyFont="1" applyFill="1" applyBorder="1" applyAlignment="1" applyProtection="1">
      <alignment horizontal="left" vertical="center" wrapText="1"/>
      <protection locked="0"/>
    </xf>
    <xf numFmtId="9" fontId="38" fillId="43" borderId="71" xfId="42" applyFont="1" applyFill="1" applyBorder="1" applyAlignment="1" applyProtection="1">
      <alignment horizontal="left" vertical="center" wrapText="1"/>
      <protection locked="0"/>
    </xf>
    <xf numFmtId="0" fontId="19" fillId="43" borderId="74" xfId="0" applyFont="1" applyFill="1" applyBorder="1" applyAlignment="1" applyProtection="1">
      <alignment horizontal="left" vertical="center" wrapText="1"/>
      <protection locked="0"/>
    </xf>
    <xf numFmtId="1" fontId="38" fillId="43" borderId="70" xfId="0" applyNumberFormat="1" applyFont="1" applyFill="1" applyBorder="1" applyAlignment="1">
      <alignment horizontal="left" vertical="center" wrapText="1"/>
    </xf>
    <xf numFmtId="1" fontId="38" fillId="43" borderId="70" xfId="0" applyNumberFormat="1" applyFont="1" applyFill="1" applyBorder="1" applyAlignment="1" applyProtection="1">
      <alignment horizontal="left" vertical="center" wrapText="1"/>
      <protection locked="0"/>
    </xf>
    <xf numFmtId="0" fontId="19" fillId="43" borderId="73" xfId="0" applyFont="1" applyFill="1" applyBorder="1" applyAlignment="1" applyProtection="1">
      <alignment horizontal="left" vertical="center" wrapText="1"/>
      <protection locked="0"/>
    </xf>
    <xf numFmtId="1" fontId="38" fillId="43" borderId="69" xfId="0" applyNumberFormat="1" applyFont="1" applyFill="1" applyBorder="1" applyAlignment="1">
      <alignment horizontal="left" vertical="center" wrapText="1"/>
    </xf>
    <xf numFmtId="0" fontId="19" fillId="43" borderId="71" xfId="0" applyFont="1" applyFill="1" applyBorder="1" applyAlignment="1" applyProtection="1">
      <alignment horizontal="left" vertical="center" wrapText="1"/>
      <protection locked="0"/>
    </xf>
    <xf numFmtId="0" fontId="0" fillId="0" borderId="0" xfId="0" applyAlignment="1" applyProtection="1">
      <alignment horizontal="left" vertical="center" wrapText="1"/>
      <protection locked="0"/>
    </xf>
    <xf numFmtId="0" fontId="0" fillId="52" borderId="16" xfId="0" applyFill="1" applyBorder="1" applyAlignment="1">
      <alignment vertical="center"/>
    </xf>
    <xf numFmtId="0" fontId="0" fillId="52" borderId="13" xfId="0" applyFill="1" applyBorder="1" applyAlignment="1">
      <alignment vertical="center"/>
    </xf>
    <xf numFmtId="0" fontId="0" fillId="52" borderId="37" xfId="0" applyFill="1" applyBorder="1" applyProtection="1">
      <protection locked="0"/>
    </xf>
    <xf numFmtId="0" fontId="0" fillId="52" borderId="19" xfId="0" applyFill="1" applyBorder="1" applyProtection="1">
      <protection locked="0"/>
    </xf>
    <xf numFmtId="0" fontId="0" fillId="52" borderId="19" xfId="0" applyFill="1" applyBorder="1" applyAlignment="1" applyProtection="1">
      <alignment horizontal="center"/>
      <protection locked="0"/>
    </xf>
    <xf numFmtId="0" fontId="0" fillId="52" borderId="20" xfId="0" applyFill="1" applyBorder="1" applyAlignment="1" applyProtection="1">
      <alignment horizontal="center"/>
      <protection locked="0"/>
    </xf>
    <xf numFmtId="0" fontId="0" fillId="52" borderId="10" xfId="0" applyFill="1" applyBorder="1" applyAlignment="1">
      <alignment vertical="center"/>
    </xf>
    <xf numFmtId="0" fontId="18" fillId="52" borderId="20" xfId="0" applyFont="1" applyFill="1" applyBorder="1" applyAlignment="1" applyProtection="1">
      <alignment vertical="center" wrapText="1"/>
      <protection locked="0"/>
    </xf>
    <xf numFmtId="0" fontId="18" fillId="52" borderId="10" xfId="0" applyFont="1" applyFill="1" applyBorder="1" applyAlignment="1" applyProtection="1">
      <alignment vertical="center" wrapText="1"/>
      <protection locked="0"/>
    </xf>
    <xf numFmtId="0" fontId="0" fillId="40" borderId="10" xfId="0" applyFill="1" applyBorder="1" applyAlignment="1" applyProtection="1">
      <alignment vertical="center" wrapText="1"/>
      <protection locked="0"/>
    </xf>
    <xf numFmtId="0" fontId="0" fillId="40" borderId="24" xfId="0" applyFill="1" applyBorder="1" applyAlignment="1" applyProtection="1">
      <alignment vertical="center" wrapText="1"/>
      <protection locked="0"/>
    </xf>
    <xf numFmtId="0" fontId="0" fillId="35" borderId="84" xfId="0" applyFill="1" applyBorder="1" applyAlignment="1">
      <alignment horizontal="left" vertical="top"/>
    </xf>
    <xf numFmtId="0" fontId="42" fillId="35" borderId="84" xfId="0" applyFont="1" applyFill="1" applyBorder="1" applyAlignment="1">
      <alignment horizontal="center" vertical="top"/>
    </xf>
    <xf numFmtId="0" fontId="19" fillId="52" borderId="10" xfId="0" applyFont="1" applyFill="1" applyBorder="1" applyAlignment="1" applyProtection="1">
      <alignment vertical="center" wrapText="1"/>
      <protection locked="0"/>
    </xf>
    <xf numFmtId="0" fontId="16" fillId="52" borderId="10" xfId="0" applyFont="1" applyFill="1" applyBorder="1" applyAlignment="1">
      <alignment vertical="center" wrapText="1"/>
    </xf>
    <xf numFmtId="0" fontId="41" fillId="33" borderId="15" xfId="0" applyFont="1" applyFill="1" applyBorder="1" applyAlignment="1" applyProtection="1">
      <alignment vertical="center" wrapText="1"/>
      <protection locked="0"/>
    </xf>
    <xf numFmtId="0" fontId="18" fillId="52" borderId="14" xfId="0" applyFont="1" applyFill="1" applyBorder="1" applyAlignment="1" applyProtection="1">
      <alignment vertical="center" wrapText="1"/>
      <protection locked="0"/>
    </xf>
    <xf numFmtId="49" fontId="18" fillId="52" borderId="14" xfId="0" applyNumberFormat="1" applyFont="1" applyFill="1" applyBorder="1" applyAlignment="1" applyProtection="1">
      <alignment vertical="center" wrapText="1"/>
      <protection locked="0"/>
    </xf>
    <xf numFmtId="0" fontId="0" fillId="52" borderId="10" xfId="0" applyFill="1" applyBorder="1" applyAlignment="1" applyProtection="1">
      <alignment vertical="center"/>
      <protection locked="0"/>
    </xf>
    <xf numFmtId="0" fontId="16" fillId="0" borderId="0" xfId="0" applyFont="1"/>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0" fontId="45" fillId="52" borderId="13" xfId="0" applyFont="1" applyFill="1" applyBorder="1" applyAlignment="1">
      <alignment vertical="center" wrapText="1"/>
    </xf>
    <xf numFmtId="0" fontId="45" fillId="52" borderId="10" xfId="0" applyFont="1" applyFill="1" applyBorder="1" applyAlignment="1">
      <alignment vertical="center" wrapText="1"/>
    </xf>
    <xf numFmtId="0" fontId="46" fillId="52" borderId="10" xfId="0" applyFont="1" applyFill="1" applyBorder="1" applyAlignment="1" applyProtection="1">
      <alignment vertical="center"/>
      <protection locked="0"/>
    </xf>
    <xf numFmtId="0" fontId="45" fillId="52" borderId="10" xfId="0" applyFont="1" applyFill="1" applyBorder="1" applyAlignment="1">
      <alignment horizontal="center" vertical="center" wrapText="1"/>
    </xf>
    <xf numFmtId="0" fontId="46" fillId="40" borderId="10" xfId="0" applyFont="1" applyFill="1" applyBorder="1" applyAlignment="1">
      <alignment horizontal="center" vertical="center"/>
    </xf>
    <xf numFmtId="0" fontId="45" fillId="52" borderId="10" xfId="0" applyFont="1" applyFill="1" applyBorder="1" applyAlignment="1">
      <alignment horizontal="left" vertical="center" wrapText="1"/>
    </xf>
    <xf numFmtId="49" fontId="45" fillId="52" borderId="10" xfId="0" applyNumberFormat="1" applyFont="1" applyFill="1" applyBorder="1" applyAlignment="1">
      <alignment horizontal="left" vertical="center" wrapText="1"/>
    </xf>
    <xf numFmtId="0" fontId="45" fillId="52" borderId="10" xfId="0" applyFont="1" applyFill="1" applyBorder="1" applyAlignment="1" applyProtection="1">
      <alignment horizontal="center" vertical="center"/>
      <protection locked="0"/>
    </xf>
    <xf numFmtId="0" fontId="46" fillId="52" borderId="10" xfId="0" applyFont="1" applyFill="1" applyBorder="1" applyAlignment="1">
      <alignment horizontal="center" vertical="center"/>
    </xf>
    <xf numFmtId="0" fontId="46" fillId="52" borderId="14" xfId="0" applyFont="1" applyFill="1" applyBorder="1" applyAlignment="1">
      <alignment horizontal="center" vertical="center"/>
    </xf>
    <xf numFmtId="9" fontId="46" fillId="42" borderId="14" xfId="42" applyFont="1" applyFill="1" applyBorder="1" applyAlignment="1">
      <alignment horizontal="center" vertical="center"/>
    </xf>
    <xf numFmtId="0" fontId="46" fillId="52" borderId="26" xfId="0" applyFont="1" applyFill="1" applyBorder="1" applyAlignment="1" applyProtection="1">
      <alignment vertical="center"/>
      <protection locked="0"/>
    </xf>
    <xf numFmtId="0" fontId="46" fillId="52" borderId="10" xfId="0" applyFont="1" applyFill="1" applyBorder="1" applyAlignment="1" applyProtection="1">
      <alignment horizontal="center" vertical="center"/>
      <protection locked="0"/>
    </xf>
    <xf numFmtId="1" fontId="46" fillId="41" borderId="10" xfId="0" applyNumberFormat="1" applyFont="1" applyFill="1" applyBorder="1" applyAlignment="1">
      <alignment horizontal="center" vertical="center"/>
    </xf>
    <xf numFmtId="1" fontId="46" fillId="52" borderId="10" xfId="0" applyNumberFormat="1" applyFont="1" applyFill="1" applyBorder="1" applyAlignment="1" applyProtection="1">
      <alignment horizontal="center" vertical="center"/>
      <protection locked="0"/>
    </xf>
    <xf numFmtId="166" fontId="46" fillId="41" borderId="10" xfId="0" applyNumberFormat="1" applyFont="1" applyFill="1" applyBorder="1" applyAlignment="1">
      <alignment horizontal="center" vertical="center"/>
    </xf>
    <xf numFmtId="1" fontId="46" fillId="52" borderId="57" xfId="0" applyNumberFormat="1" applyFont="1" applyFill="1" applyBorder="1" applyAlignment="1" applyProtection="1">
      <alignment vertical="center"/>
      <protection locked="0"/>
    </xf>
    <xf numFmtId="1" fontId="46" fillId="33" borderId="13" xfId="0" applyNumberFormat="1" applyFont="1" applyFill="1" applyBorder="1" applyAlignment="1">
      <alignment horizontal="center" vertical="center"/>
    </xf>
    <xf numFmtId="166" fontId="46" fillId="33" borderId="10" xfId="0" applyNumberFormat="1" applyFont="1" applyFill="1" applyBorder="1" applyAlignment="1">
      <alignment horizontal="center" vertical="center"/>
    </xf>
    <xf numFmtId="49" fontId="46" fillId="52" borderId="14" xfId="0" applyNumberFormat="1" applyFont="1" applyFill="1" applyBorder="1" applyAlignment="1" applyProtection="1">
      <alignment vertical="center" wrapText="1"/>
      <protection locked="0"/>
    </xf>
    <xf numFmtId="0" fontId="45" fillId="0" borderId="0" xfId="0" applyFont="1" applyAlignment="1" applyProtection="1">
      <alignment vertical="center"/>
      <protection locked="0"/>
    </xf>
    <xf numFmtId="0" fontId="46" fillId="52" borderId="10" xfId="0" applyFont="1" applyFill="1" applyBorder="1" applyAlignment="1" applyProtection="1">
      <alignment vertical="center" wrapText="1"/>
      <protection locked="0"/>
    </xf>
    <xf numFmtId="0" fontId="46" fillId="52" borderId="10" xfId="0" applyFont="1" applyFill="1" applyBorder="1" applyAlignment="1" applyProtection="1">
      <alignment horizontal="left" vertical="center"/>
      <protection locked="0"/>
    </xf>
    <xf numFmtId="49" fontId="46" fillId="52" borderId="10" xfId="0" applyNumberFormat="1" applyFont="1" applyFill="1" applyBorder="1" applyAlignment="1">
      <alignment horizontal="left" vertical="center" wrapText="1"/>
    </xf>
    <xf numFmtId="0" fontId="46" fillId="33" borderId="10" xfId="0" applyFont="1" applyFill="1" applyBorder="1" applyAlignment="1">
      <alignment vertical="center"/>
    </xf>
    <xf numFmtId="1" fontId="18" fillId="52" borderId="57" xfId="0" applyNumberFormat="1" applyFont="1" applyFill="1" applyBorder="1" applyAlignment="1" applyProtection="1">
      <alignment vertical="center" wrapText="1"/>
      <protection locked="0"/>
    </xf>
    <xf numFmtId="0" fontId="45" fillId="52" borderId="13" xfId="0" applyFont="1" applyFill="1" applyBorder="1" applyAlignment="1">
      <alignment vertical="center"/>
    </xf>
    <xf numFmtId="0" fontId="0" fillId="52" borderId="38" xfId="0" applyFill="1" applyBorder="1" applyAlignment="1">
      <alignment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49" fillId="43" borderId="10" xfId="0" applyFont="1" applyFill="1" applyBorder="1" applyAlignment="1">
      <alignment vertical="center" wrapText="1"/>
    </xf>
    <xf numFmtId="0" fontId="50"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9" fillId="55" borderId="10" xfId="0" applyFont="1" applyFill="1" applyBorder="1" applyAlignment="1">
      <alignment vertical="center" wrapText="1"/>
    </xf>
    <xf numFmtId="0" fontId="51" fillId="55" borderId="10" xfId="0" applyFont="1" applyFill="1" applyBorder="1" applyAlignment="1">
      <alignment vertical="center"/>
    </xf>
    <xf numFmtId="0" fontId="51" fillId="43" borderId="10" xfId="0" applyFont="1" applyFill="1" applyBorder="1" applyAlignment="1">
      <alignment vertical="center"/>
    </xf>
    <xf numFmtId="0" fontId="52" fillId="55" borderId="10" xfId="0" applyFont="1" applyFill="1" applyBorder="1" applyAlignment="1">
      <alignment vertical="center"/>
    </xf>
    <xf numFmtId="0" fontId="51" fillId="56" borderId="10" xfId="0" applyFont="1" applyFill="1" applyBorder="1" applyAlignment="1">
      <alignment vertical="center"/>
    </xf>
    <xf numFmtId="0" fontId="53" fillId="0" borderId="10" xfId="0" applyFont="1" applyBorder="1" applyAlignment="1">
      <alignment vertical="center" wrapText="1"/>
    </xf>
    <xf numFmtId="0" fontId="53" fillId="0" borderId="10" xfId="0" applyFont="1" applyBorder="1" applyAlignment="1">
      <alignment vertical="center"/>
    </xf>
    <xf numFmtId="0" fontId="53" fillId="0" borderId="10" xfId="0" applyFont="1" applyBorder="1" applyAlignment="1">
      <alignment horizontal="center" vertical="center"/>
    </xf>
    <xf numFmtId="0" fontId="50" fillId="0" borderId="10" xfId="0" applyFont="1" applyBorder="1" applyAlignment="1">
      <alignment vertical="center"/>
    </xf>
    <xf numFmtId="0" fontId="16" fillId="52" borderId="0" xfId="0" applyFont="1" applyFill="1" applyAlignment="1">
      <alignment vertical="center"/>
    </xf>
    <xf numFmtId="0" fontId="52" fillId="56" borderId="10" xfId="0" applyFont="1" applyFill="1" applyBorder="1" applyAlignment="1">
      <alignment vertical="center"/>
    </xf>
    <xf numFmtId="9" fontId="53" fillId="0" borderId="10" xfId="0" applyNumberFormat="1" applyFont="1" applyBorder="1" applyAlignment="1">
      <alignment horizontal="center" vertical="center"/>
    </xf>
    <xf numFmtId="0" fontId="54" fillId="0" borderId="10" xfId="0" applyFont="1" applyBorder="1" applyAlignment="1">
      <alignment horizontal="center" vertical="center"/>
    </xf>
    <xf numFmtId="0" fontId="54" fillId="0" borderId="10" xfId="0" applyFont="1" applyBorder="1" applyAlignment="1">
      <alignment vertical="center"/>
    </xf>
    <xf numFmtId="164" fontId="0" fillId="0" borderId="28" xfId="0" applyNumberFormat="1" applyBorder="1" applyAlignment="1">
      <alignment horizontal="center" vertical="center"/>
    </xf>
    <xf numFmtId="0" fontId="0" fillId="0" borderId="66" xfId="0" applyBorder="1" applyAlignment="1">
      <alignment vertical="center" wrapText="1"/>
    </xf>
    <xf numFmtId="0" fontId="0" fillId="52" borderId="10" xfId="0" quotePrefix="1" applyFill="1" applyBorder="1" applyAlignment="1">
      <alignment vertical="center" wrapText="1"/>
    </xf>
    <xf numFmtId="0" fontId="0" fillId="52" borderId="0" xfId="0" applyFill="1" applyAlignment="1" applyProtection="1">
      <alignment horizontal="center"/>
      <protection locked="0"/>
    </xf>
    <xf numFmtId="0" fontId="18" fillId="52" borderId="19" xfId="42" applyNumberFormat="1" applyFont="1" applyFill="1" applyBorder="1" applyAlignment="1" applyProtection="1">
      <alignment horizontal="center" vertical="center"/>
      <protection locked="0"/>
    </xf>
    <xf numFmtId="0" fontId="0" fillId="35" borderId="84" xfId="0" applyFill="1" applyBorder="1"/>
    <xf numFmtId="0" fontId="42" fillId="35" borderId="32" xfId="0" applyFont="1" applyFill="1" applyBorder="1" applyAlignment="1">
      <alignment horizontal="center"/>
    </xf>
    <xf numFmtId="0" fontId="18" fillId="52" borderId="57" xfId="0" applyFont="1" applyFill="1" applyBorder="1" applyAlignment="1">
      <alignment horizontal="center" vertical="center"/>
    </xf>
    <xf numFmtId="1" fontId="55" fillId="52" borderId="57" xfId="45" applyNumberFormat="1" applyFill="1" applyBorder="1" applyAlignment="1" applyProtection="1">
      <alignment vertical="center"/>
      <protection locked="0"/>
    </xf>
    <xf numFmtId="9" fontId="46" fillId="52" borderId="13" xfId="0" applyNumberFormat="1" applyFont="1" applyFill="1" applyBorder="1" applyAlignment="1" applyProtection="1">
      <alignment horizontal="center" vertical="center"/>
      <protection locked="0"/>
    </xf>
    <xf numFmtId="0" fontId="46" fillId="52" borderId="17" xfId="42" applyNumberFormat="1" applyFont="1" applyFill="1" applyBorder="1" applyAlignment="1" applyProtection="1">
      <alignment horizontal="center" vertical="center"/>
      <protection locked="0"/>
    </xf>
    <xf numFmtId="0" fontId="46" fillId="52" borderId="13" xfId="0" applyFont="1" applyFill="1" applyBorder="1" applyAlignment="1" applyProtection="1">
      <alignment vertical="center" wrapText="1"/>
      <protection locked="0"/>
    </xf>
    <xf numFmtId="0" fontId="46" fillId="33" borderId="17" xfId="0" applyFont="1" applyFill="1" applyBorder="1" applyAlignment="1">
      <alignment vertical="center"/>
    </xf>
    <xf numFmtId="0" fontId="46" fillId="0" borderId="0" xfId="0" applyFont="1" applyAlignment="1" applyProtection="1">
      <alignment vertical="center"/>
      <protection locked="0"/>
    </xf>
    <xf numFmtId="0" fontId="18" fillId="52" borderId="17" xfId="0" applyFont="1" applyFill="1" applyBorder="1" applyAlignment="1" applyProtection="1">
      <alignment vertical="center" wrapText="1"/>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wrapText="1"/>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3"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3"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lignment horizontal="center" vertical="center"/>
    </xf>
    <xf numFmtId="0" fontId="0" fillId="52" borderId="68" xfId="0"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24">
                  <c:v>0.94</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0.02</c:v>
                </c:pt>
                <c:pt idx="27">
                  <c:v>0.06</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0.13</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mailto:diag_gpu_main@16b02e8fc0ef" TargetMode="External"/><Relationship Id="rId2" Type="http://schemas.openxmlformats.org/officeDocument/2006/relationships/hyperlink" Target="mailto:diag_gpu_main@16b02e8fc0ef" TargetMode="External"/><Relationship Id="rId1" Type="http://schemas.openxmlformats.org/officeDocument/2006/relationships/hyperlink" Target="mailto:diag_gpu_main@16b02e8fc0ef" TargetMode="External"/><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42578125" style="78" bestFit="1" customWidth="1"/>
    <col min="5" max="5" width="40.140625" style="81" bestFit="1" customWidth="1"/>
    <col min="6" max="6" width="35.42578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64" activePane="bottomRight" state="frozen"/>
      <selection pane="topRight" activeCell="D1" sqref="D1"/>
      <selection pane="bottomLeft" activeCell="A9" sqref="A9"/>
      <selection pane="bottomRight" activeCell="D70" sqref="D70"/>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42578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678" t="s">
        <v>49</v>
      </c>
      <c r="C1" s="679"/>
      <c r="D1" s="679"/>
      <c r="E1" s="167" t="s">
        <v>50</v>
      </c>
      <c r="F1" s="167" t="s">
        <v>51</v>
      </c>
      <c r="G1" s="110" t="s">
        <v>52</v>
      </c>
    </row>
    <row r="2" spans="1:7" x14ac:dyDescent="0.25">
      <c r="A2" s="116" t="s">
        <v>53</v>
      </c>
      <c r="B2" s="680" t="s">
        <v>54</v>
      </c>
      <c r="C2" s="681"/>
      <c r="D2" s="681"/>
      <c r="E2" s="279" t="s">
        <v>55</v>
      </c>
      <c r="F2" s="279" t="s">
        <v>56</v>
      </c>
      <c r="G2" s="311" t="s">
        <v>57</v>
      </c>
    </row>
    <row r="3" spans="1:7" s="81" customFormat="1" x14ac:dyDescent="0.25">
      <c r="A3" s="202" t="s">
        <v>58</v>
      </c>
      <c r="B3" s="687" t="s">
        <v>59</v>
      </c>
      <c r="C3" s="688"/>
      <c r="D3" s="689"/>
      <c r="E3" s="80" t="s">
        <v>55</v>
      </c>
      <c r="F3" s="80" t="s">
        <v>56</v>
      </c>
      <c r="G3" s="312" t="s">
        <v>57</v>
      </c>
    </row>
    <row r="4" spans="1:7" x14ac:dyDescent="0.25">
      <c r="A4" s="202" t="s">
        <v>60</v>
      </c>
      <c r="B4" s="684" t="s">
        <v>61</v>
      </c>
      <c r="C4" s="685"/>
      <c r="D4" s="686"/>
      <c r="E4" s="80" t="s">
        <v>62</v>
      </c>
      <c r="F4" s="80" t="s">
        <v>56</v>
      </c>
      <c r="G4" s="312" t="s">
        <v>57</v>
      </c>
    </row>
    <row r="5" spans="1:7" x14ac:dyDescent="0.25">
      <c r="A5" s="117" t="s">
        <v>63</v>
      </c>
      <c r="B5" s="684" t="s">
        <v>64</v>
      </c>
      <c r="C5" s="685"/>
      <c r="D5" s="686"/>
      <c r="E5" s="80" t="s">
        <v>62</v>
      </c>
      <c r="F5" s="80" t="s">
        <v>56</v>
      </c>
      <c r="G5" s="312" t="s">
        <v>57</v>
      </c>
    </row>
    <row r="6" spans="1:7" x14ac:dyDescent="0.25">
      <c r="A6" s="117" t="s">
        <v>65</v>
      </c>
      <c r="B6" s="684" t="s">
        <v>66</v>
      </c>
      <c r="C6" s="685"/>
      <c r="D6" s="686"/>
      <c r="E6" s="80" t="s">
        <v>67</v>
      </c>
      <c r="F6" s="80" t="s">
        <v>56</v>
      </c>
      <c r="G6" s="85"/>
    </row>
    <row r="7" spans="1:7" ht="15.75" thickBot="1" x14ac:dyDescent="0.3">
      <c r="A7" s="118" t="s">
        <v>68</v>
      </c>
      <c r="B7" s="682" t="s">
        <v>69</v>
      </c>
      <c r="C7" s="683"/>
      <c r="D7" s="683"/>
      <c r="E7" s="86" t="s">
        <v>67</v>
      </c>
      <c r="F7" s="86"/>
      <c r="G7" s="87"/>
    </row>
    <row r="8" spans="1:7" s="84" customFormat="1" ht="15.75" thickBot="1" x14ac:dyDescent="0.3">
      <c r="A8" s="115" t="s">
        <v>48</v>
      </c>
      <c r="B8" s="410" t="s">
        <v>1</v>
      </c>
      <c r="C8" s="167" t="s">
        <v>70</v>
      </c>
      <c r="D8" s="167" t="s">
        <v>49</v>
      </c>
      <c r="E8" s="167" t="s">
        <v>50</v>
      </c>
      <c r="F8" s="167" t="s">
        <v>51</v>
      </c>
      <c r="G8" s="110" t="s">
        <v>52</v>
      </c>
    </row>
    <row r="9" spans="1:7" ht="105" x14ac:dyDescent="0.25">
      <c r="A9" s="655" t="s">
        <v>53</v>
      </c>
      <c r="B9" s="652" t="s">
        <v>71</v>
      </c>
      <c r="C9" s="318" t="s">
        <v>72</v>
      </c>
      <c r="D9" s="94" t="s">
        <v>73</v>
      </c>
      <c r="E9" s="94" t="s">
        <v>55</v>
      </c>
      <c r="F9" s="94" t="s">
        <v>74</v>
      </c>
      <c r="G9" s="411" t="s">
        <v>75</v>
      </c>
    </row>
    <row r="10" spans="1:7" ht="75" x14ac:dyDescent="0.25">
      <c r="A10" s="656"/>
      <c r="B10" s="653"/>
      <c r="C10" s="314" t="s">
        <v>76</v>
      </c>
      <c r="D10" s="82" t="s">
        <v>77</v>
      </c>
      <c r="E10" s="82" t="s">
        <v>55</v>
      </c>
      <c r="F10" s="82" t="s">
        <v>74</v>
      </c>
      <c r="G10" s="306" t="s">
        <v>78</v>
      </c>
    </row>
    <row r="11" spans="1:7" ht="45" x14ac:dyDescent="0.25">
      <c r="A11" s="656"/>
      <c r="B11" s="653"/>
      <c r="C11" s="314" t="s">
        <v>79</v>
      </c>
      <c r="D11" s="82" t="s">
        <v>80</v>
      </c>
      <c r="E11" s="82" t="s">
        <v>81</v>
      </c>
      <c r="F11" s="82" t="s">
        <v>74</v>
      </c>
      <c r="G11" s="95" t="s">
        <v>82</v>
      </c>
    </row>
    <row r="12" spans="1:7" ht="120" x14ac:dyDescent="0.25">
      <c r="A12" s="656"/>
      <c r="B12" s="653"/>
      <c r="C12" s="314" t="s">
        <v>83</v>
      </c>
      <c r="D12" s="335" t="s">
        <v>84</v>
      </c>
      <c r="E12" s="82" t="s">
        <v>81</v>
      </c>
      <c r="F12" s="82" t="s">
        <v>74</v>
      </c>
      <c r="G12" s="306" t="s">
        <v>85</v>
      </c>
    </row>
    <row r="13" spans="1:7" ht="30" x14ac:dyDescent="0.25">
      <c r="A13" s="656"/>
      <c r="B13" s="653"/>
      <c r="C13" s="314" t="s">
        <v>86</v>
      </c>
      <c r="D13" s="82" t="s">
        <v>87</v>
      </c>
      <c r="E13" s="82" t="s">
        <v>81</v>
      </c>
      <c r="F13" s="82" t="s">
        <v>74</v>
      </c>
      <c r="G13" s="95" t="s">
        <v>88</v>
      </c>
    </row>
    <row r="14" spans="1:7" ht="30" x14ac:dyDescent="0.25">
      <c r="A14" s="656"/>
      <c r="B14" s="653"/>
      <c r="C14" s="314" t="s">
        <v>89</v>
      </c>
      <c r="D14" s="82" t="s">
        <v>90</v>
      </c>
      <c r="E14" s="82" t="s">
        <v>81</v>
      </c>
      <c r="F14" s="82" t="s">
        <v>74</v>
      </c>
      <c r="G14" s="95" t="s">
        <v>88</v>
      </c>
    </row>
    <row r="15" spans="1:7" ht="30" x14ac:dyDescent="0.25">
      <c r="A15" s="656"/>
      <c r="B15" s="653"/>
      <c r="C15" s="121" t="s">
        <v>91</v>
      </c>
      <c r="D15" s="82" t="s">
        <v>92</v>
      </c>
      <c r="E15" s="82" t="s">
        <v>55</v>
      </c>
      <c r="F15" s="82" t="s">
        <v>74</v>
      </c>
      <c r="G15" s="95" t="s">
        <v>93</v>
      </c>
    </row>
    <row r="16" spans="1:7" ht="60" x14ac:dyDescent="0.25">
      <c r="A16" s="656"/>
      <c r="B16" s="653"/>
      <c r="C16" s="314" t="s">
        <v>94</v>
      </c>
      <c r="D16" s="335" t="s">
        <v>95</v>
      </c>
      <c r="E16" s="82" t="s">
        <v>81</v>
      </c>
      <c r="F16" s="82" t="s">
        <v>74</v>
      </c>
      <c r="G16" s="306" t="s">
        <v>96</v>
      </c>
    </row>
    <row r="17" spans="1:7" ht="30" x14ac:dyDescent="0.25">
      <c r="A17" s="656"/>
      <c r="B17" s="653"/>
      <c r="C17" s="314" t="s">
        <v>97</v>
      </c>
      <c r="D17" s="82" t="s">
        <v>98</v>
      </c>
      <c r="E17" s="82" t="s">
        <v>81</v>
      </c>
      <c r="F17" s="82" t="s">
        <v>74</v>
      </c>
      <c r="G17" s="95" t="s">
        <v>99</v>
      </c>
    </row>
    <row r="18" spans="1:7" ht="45" x14ac:dyDescent="0.25">
      <c r="A18" s="656"/>
      <c r="B18" s="653"/>
      <c r="C18" s="314" t="s">
        <v>100</v>
      </c>
      <c r="D18" s="82" t="s">
        <v>101</v>
      </c>
      <c r="E18" s="82" t="s">
        <v>81</v>
      </c>
      <c r="F18" s="82" t="s">
        <v>74</v>
      </c>
      <c r="G18" s="95" t="s">
        <v>102</v>
      </c>
    </row>
    <row r="19" spans="1:7" x14ac:dyDescent="0.25">
      <c r="A19" s="656"/>
      <c r="B19" s="653"/>
      <c r="C19" s="314" t="s">
        <v>103</v>
      </c>
      <c r="D19" s="82" t="s">
        <v>104</v>
      </c>
      <c r="E19" s="82" t="s">
        <v>81</v>
      </c>
      <c r="F19" s="82" t="s">
        <v>74</v>
      </c>
      <c r="G19" s="95" t="s">
        <v>105</v>
      </c>
    </row>
    <row r="20" spans="1:7" ht="105.75" thickBot="1" x14ac:dyDescent="0.3">
      <c r="A20" s="656"/>
      <c r="B20" s="654"/>
      <c r="C20" s="412" t="s">
        <v>1</v>
      </c>
      <c r="D20" s="531" t="s">
        <v>106</v>
      </c>
      <c r="E20" s="368" t="s">
        <v>81</v>
      </c>
      <c r="F20" s="368" t="s">
        <v>74</v>
      </c>
      <c r="G20" s="413" t="s">
        <v>107</v>
      </c>
    </row>
    <row r="21" spans="1:7" ht="45" x14ac:dyDescent="0.25">
      <c r="A21" s="656"/>
      <c r="B21" s="669" t="s">
        <v>108</v>
      </c>
      <c r="C21" s="315" t="s">
        <v>109</v>
      </c>
      <c r="D21" s="105" t="s">
        <v>110</v>
      </c>
      <c r="E21" s="105" t="s">
        <v>81</v>
      </c>
      <c r="F21" s="105" t="s">
        <v>111</v>
      </c>
      <c r="G21" s="168" t="s">
        <v>112</v>
      </c>
    </row>
    <row r="22" spans="1:7" ht="30" x14ac:dyDescent="0.25">
      <c r="A22" s="656"/>
      <c r="B22" s="670"/>
      <c r="C22" s="316" t="s">
        <v>113</v>
      </c>
      <c r="D22" s="417" t="s">
        <v>114</v>
      </c>
      <c r="E22" s="417" t="s">
        <v>81</v>
      </c>
      <c r="F22" s="417" t="s">
        <v>111</v>
      </c>
      <c r="G22" s="418" t="s">
        <v>115</v>
      </c>
    </row>
    <row r="23" spans="1:7" ht="15.75" thickBot="1" x14ac:dyDescent="0.3">
      <c r="A23" s="656"/>
      <c r="B23" s="671"/>
      <c r="C23" s="419" t="s">
        <v>116</v>
      </c>
      <c r="D23" s="107" t="s">
        <v>117</v>
      </c>
      <c r="E23" s="107" t="s">
        <v>81</v>
      </c>
      <c r="F23" s="107" t="s">
        <v>111</v>
      </c>
      <c r="G23" s="108" t="s">
        <v>118</v>
      </c>
    </row>
    <row r="24" spans="1:7" ht="30" customHeight="1" x14ac:dyDescent="0.25">
      <c r="A24" s="656"/>
      <c r="B24" s="672" t="s">
        <v>119</v>
      </c>
      <c r="C24" s="414" t="s">
        <v>120</v>
      </c>
      <c r="D24" s="415" t="s">
        <v>121</v>
      </c>
      <c r="E24" s="415" t="s">
        <v>81</v>
      </c>
      <c r="F24" s="415" t="s">
        <v>74</v>
      </c>
      <c r="G24" s="416" t="s">
        <v>122</v>
      </c>
    </row>
    <row r="25" spans="1:7" ht="30" customHeight="1" x14ac:dyDescent="0.25">
      <c r="A25" s="656"/>
      <c r="B25" s="673"/>
      <c r="C25" s="316" t="s">
        <v>123</v>
      </c>
      <c r="D25" s="109" t="s">
        <v>124</v>
      </c>
      <c r="E25" s="109" t="s">
        <v>81</v>
      </c>
      <c r="F25" s="109" t="s">
        <v>125</v>
      </c>
      <c r="G25" s="690" t="s">
        <v>126</v>
      </c>
    </row>
    <row r="26" spans="1:7" ht="30" x14ac:dyDescent="0.25">
      <c r="A26" s="656"/>
      <c r="B26" s="673"/>
      <c r="C26" s="260" t="s">
        <v>127</v>
      </c>
      <c r="D26" s="109" t="s">
        <v>128</v>
      </c>
      <c r="E26" s="109" t="s">
        <v>81</v>
      </c>
      <c r="F26" s="109" t="s">
        <v>125</v>
      </c>
      <c r="G26" s="691"/>
    </row>
    <row r="27" spans="1:7" x14ac:dyDescent="0.25">
      <c r="A27" s="656"/>
      <c r="B27" s="673"/>
      <c r="C27" s="316" t="s">
        <v>30</v>
      </c>
      <c r="D27" s="109" t="s">
        <v>129</v>
      </c>
      <c r="E27" s="109" t="s">
        <v>81</v>
      </c>
      <c r="F27" s="109" t="s">
        <v>125</v>
      </c>
      <c r="G27" s="691"/>
    </row>
    <row r="28" spans="1:7" x14ac:dyDescent="0.25">
      <c r="A28" s="656"/>
      <c r="B28" s="673"/>
      <c r="C28" s="316" t="s">
        <v>130</v>
      </c>
      <c r="D28" s="109" t="s">
        <v>131</v>
      </c>
      <c r="E28" s="109" t="s">
        <v>81</v>
      </c>
      <c r="F28" s="109" t="s">
        <v>125</v>
      </c>
      <c r="G28" s="691"/>
    </row>
    <row r="29" spans="1:7" x14ac:dyDescent="0.25">
      <c r="A29" s="656"/>
      <c r="B29" s="673"/>
      <c r="C29" s="316" t="s">
        <v>35</v>
      </c>
      <c r="D29" s="109" t="s">
        <v>132</v>
      </c>
      <c r="E29" s="109" t="s">
        <v>81</v>
      </c>
      <c r="F29" s="109" t="s">
        <v>125</v>
      </c>
      <c r="G29" s="691"/>
    </row>
    <row r="30" spans="1:7" x14ac:dyDescent="0.25">
      <c r="A30" s="656"/>
      <c r="B30" s="673"/>
      <c r="C30" s="316" t="s">
        <v>133</v>
      </c>
      <c r="D30" s="109" t="s">
        <v>134</v>
      </c>
      <c r="E30" s="109" t="s">
        <v>81</v>
      </c>
      <c r="F30" s="109" t="s">
        <v>125</v>
      </c>
      <c r="G30" s="691"/>
    </row>
    <row r="31" spans="1:7" x14ac:dyDescent="0.25">
      <c r="A31" s="656"/>
      <c r="B31" s="673"/>
      <c r="C31" s="260" t="s">
        <v>135</v>
      </c>
      <c r="D31" s="109" t="s">
        <v>136</v>
      </c>
      <c r="E31" s="109" t="s">
        <v>81</v>
      </c>
      <c r="F31" s="109" t="s">
        <v>125</v>
      </c>
      <c r="G31" s="691"/>
    </row>
    <row r="32" spans="1:7" ht="30.75" thickBot="1" x14ac:dyDescent="0.3">
      <c r="A32" s="656"/>
      <c r="B32" s="674"/>
      <c r="C32" s="317" t="s">
        <v>137</v>
      </c>
      <c r="D32" s="104" t="s">
        <v>138</v>
      </c>
      <c r="E32" s="104" t="s">
        <v>81</v>
      </c>
      <c r="F32" s="104" t="s">
        <v>125</v>
      </c>
      <c r="G32" s="692"/>
    </row>
    <row r="33" spans="1:7" ht="30" x14ac:dyDescent="0.25">
      <c r="A33" s="656"/>
      <c r="B33" s="675" t="s">
        <v>139</v>
      </c>
      <c r="C33" s="295" t="s">
        <v>127</v>
      </c>
      <c r="D33" s="258" t="s">
        <v>140</v>
      </c>
      <c r="E33" s="258" t="s">
        <v>81</v>
      </c>
      <c r="F33" s="258" t="s">
        <v>141</v>
      </c>
      <c r="G33" s="259" t="s">
        <v>142</v>
      </c>
    </row>
    <row r="34" spans="1:7" x14ac:dyDescent="0.25">
      <c r="A34" s="656"/>
      <c r="B34" s="676"/>
      <c r="C34" s="314" t="s">
        <v>30</v>
      </c>
      <c r="D34" s="83" t="s">
        <v>143</v>
      </c>
      <c r="E34" s="83" t="s">
        <v>81</v>
      </c>
      <c r="F34" s="83" t="s">
        <v>141</v>
      </c>
      <c r="G34" s="99"/>
    </row>
    <row r="35" spans="1:7" x14ac:dyDescent="0.25">
      <c r="A35" s="656"/>
      <c r="B35" s="676"/>
      <c r="C35" s="314" t="s">
        <v>130</v>
      </c>
      <c r="D35" s="83" t="s">
        <v>144</v>
      </c>
      <c r="E35" s="83" t="s">
        <v>81</v>
      </c>
      <c r="F35" s="83" t="s">
        <v>141</v>
      </c>
      <c r="G35" s="99" t="s">
        <v>145</v>
      </c>
    </row>
    <row r="36" spans="1:7" x14ac:dyDescent="0.25">
      <c r="A36" s="656"/>
      <c r="B36" s="676"/>
      <c r="C36" s="314" t="s">
        <v>35</v>
      </c>
      <c r="D36" s="83" t="s">
        <v>146</v>
      </c>
      <c r="E36" s="83" t="s">
        <v>81</v>
      </c>
      <c r="F36" s="83" t="s">
        <v>141</v>
      </c>
      <c r="G36" s="113"/>
    </row>
    <row r="37" spans="1:7" x14ac:dyDescent="0.25">
      <c r="A37" s="656"/>
      <c r="B37" s="676"/>
      <c r="C37" s="314" t="s">
        <v>133</v>
      </c>
      <c r="D37" s="83" t="s">
        <v>147</v>
      </c>
      <c r="E37" s="83" t="s">
        <v>81</v>
      </c>
      <c r="F37" s="83" t="s">
        <v>141</v>
      </c>
      <c r="G37" s="99" t="s">
        <v>148</v>
      </c>
    </row>
    <row r="38" spans="1:7" x14ac:dyDescent="0.25">
      <c r="A38" s="656"/>
      <c r="B38" s="676"/>
      <c r="C38" s="261" t="s">
        <v>135</v>
      </c>
      <c r="D38" s="83" t="s">
        <v>149</v>
      </c>
      <c r="E38" s="83" t="s">
        <v>81</v>
      </c>
      <c r="F38" s="83" t="s">
        <v>141</v>
      </c>
      <c r="G38" s="99"/>
    </row>
    <row r="39" spans="1:7" ht="30" x14ac:dyDescent="0.25">
      <c r="A39" s="656"/>
      <c r="B39" s="676"/>
      <c r="C39" s="316" t="s">
        <v>150</v>
      </c>
      <c r="D39" s="83" t="s">
        <v>151</v>
      </c>
      <c r="E39" s="83" t="s">
        <v>81</v>
      </c>
      <c r="F39" s="83" t="s">
        <v>141</v>
      </c>
      <c r="G39" s="99"/>
    </row>
    <row r="40" spans="1:7" ht="30" x14ac:dyDescent="0.25">
      <c r="A40" s="656"/>
      <c r="B40" s="676"/>
      <c r="C40" s="261" t="s">
        <v>152</v>
      </c>
      <c r="D40" s="83" t="s">
        <v>153</v>
      </c>
      <c r="E40" s="83" t="s">
        <v>55</v>
      </c>
      <c r="F40" s="83" t="s">
        <v>141</v>
      </c>
      <c r="G40" s="99" t="s">
        <v>154</v>
      </c>
    </row>
    <row r="41" spans="1:7" ht="45.75" thickBot="1" x14ac:dyDescent="0.3">
      <c r="A41" s="656"/>
      <c r="B41" s="677"/>
      <c r="C41" s="313" t="s">
        <v>155</v>
      </c>
      <c r="D41" s="100" t="s">
        <v>156</v>
      </c>
      <c r="E41" s="100" t="s">
        <v>81</v>
      </c>
      <c r="F41" s="100" t="s">
        <v>141</v>
      </c>
      <c r="G41" s="101" t="s">
        <v>157</v>
      </c>
    </row>
    <row r="42" spans="1:7" ht="135.75" thickBot="1" x14ac:dyDescent="0.3">
      <c r="A42" s="655" t="s">
        <v>58</v>
      </c>
      <c r="B42" s="420" t="s">
        <v>158</v>
      </c>
      <c r="C42" s="318" t="s">
        <v>83</v>
      </c>
      <c r="D42" s="421" t="s">
        <v>159</v>
      </c>
      <c r="E42" s="421" t="s">
        <v>81</v>
      </c>
      <c r="F42" s="421" t="s">
        <v>74</v>
      </c>
      <c r="G42" s="422" t="s">
        <v>160</v>
      </c>
    </row>
    <row r="43" spans="1:7" ht="15" customHeight="1" x14ac:dyDescent="0.25">
      <c r="A43" s="656"/>
      <c r="B43" s="660" t="s">
        <v>161</v>
      </c>
      <c r="C43" s="292" t="s">
        <v>162</v>
      </c>
      <c r="D43" s="280" t="s">
        <v>163</v>
      </c>
      <c r="E43" s="280" t="s">
        <v>62</v>
      </c>
      <c r="F43" s="280" t="s">
        <v>74</v>
      </c>
      <c r="G43" s="263" t="s">
        <v>164</v>
      </c>
    </row>
    <row r="44" spans="1:7" ht="30" x14ac:dyDescent="0.25">
      <c r="A44" s="656"/>
      <c r="B44" s="661"/>
      <c r="C44" s="293" t="s">
        <v>123</v>
      </c>
      <c r="D44" s="281" t="s">
        <v>165</v>
      </c>
      <c r="E44" s="281" t="s">
        <v>62</v>
      </c>
      <c r="F44" s="281" t="s">
        <v>74</v>
      </c>
      <c r="G44" s="264" t="s">
        <v>164</v>
      </c>
    </row>
    <row r="45" spans="1:7" ht="30" x14ac:dyDescent="0.25">
      <c r="A45" s="656"/>
      <c r="B45" s="661"/>
      <c r="C45" s="293" t="s">
        <v>100</v>
      </c>
      <c r="D45" s="281" t="s">
        <v>166</v>
      </c>
      <c r="E45" s="281" t="s">
        <v>62</v>
      </c>
      <c r="F45" s="281" t="s">
        <v>74</v>
      </c>
      <c r="G45" s="264" t="s">
        <v>167</v>
      </c>
    </row>
    <row r="46" spans="1:7" x14ac:dyDescent="0.25">
      <c r="A46" s="656"/>
      <c r="B46" s="661"/>
      <c r="C46" s="293" t="s">
        <v>168</v>
      </c>
      <c r="D46" s="281" t="s">
        <v>169</v>
      </c>
      <c r="E46" s="281" t="s">
        <v>62</v>
      </c>
      <c r="F46" s="281" t="s">
        <v>74</v>
      </c>
      <c r="G46" s="264" t="s">
        <v>164</v>
      </c>
    </row>
    <row r="47" spans="1:7" ht="15.75" thickBot="1" x14ac:dyDescent="0.3">
      <c r="A47" s="656"/>
      <c r="B47" s="662"/>
      <c r="C47" s="294" t="s">
        <v>170</v>
      </c>
      <c r="D47" s="282" t="s">
        <v>171</v>
      </c>
      <c r="E47" s="281" t="s">
        <v>62</v>
      </c>
      <c r="F47" s="282" t="s">
        <v>74</v>
      </c>
      <c r="G47" s="265" t="s">
        <v>164</v>
      </c>
    </row>
    <row r="48" spans="1:7" ht="30" x14ac:dyDescent="0.25">
      <c r="A48" s="656"/>
      <c r="B48" s="663" t="s">
        <v>172</v>
      </c>
      <c r="C48" s="289" t="s">
        <v>127</v>
      </c>
      <c r="D48" s="283" t="s">
        <v>173</v>
      </c>
      <c r="E48" s="283" t="s">
        <v>62</v>
      </c>
      <c r="F48" s="283" t="s">
        <v>125</v>
      </c>
      <c r="G48" s="693" t="s">
        <v>174</v>
      </c>
    </row>
    <row r="49" spans="1:7" ht="30" x14ac:dyDescent="0.25">
      <c r="A49" s="656"/>
      <c r="B49" s="663"/>
      <c r="C49" s="290" t="s">
        <v>30</v>
      </c>
      <c r="D49" s="266" t="s">
        <v>175</v>
      </c>
      <c r="E49" s="266" t="s">
        <v>62</v>
      </c>
      <c r="F49" s="266" t="s">
        <v>125</v>
      </c>
      <c r="G49" s="694"/>
    </row>
    <row r="50" spans="1:7" ht="30" x14ac:dyDescent="0.25">
      <c r="A50" s="656"/>
      <c r="B50" s="663"/>
      <c r="C50" s="290" t="s">
        <v>130</v>
      </c>
      <c r="D50" s="266" t="s">
        <v>176</v>
      </c>
      <c r="E50" s="266" t="s">
        <v>62</v>
      </c>
      <c r="F50" s="266" t="s">
        <v>125</v>
      </c>
      <c r="G50" s="694"/>
    </row>
    <row r="51" spans="1:7" ht="30" x14ac:dyDescent="0.25">
      <c r="A51" s="656"/>
      <c r="B51" s="663"/>
      <c r="C51" s="290" t="s">
        <v>35</v>
      </c>
      <c r="D51" s="266" t="s">
        <v>177</v>
      </c>
      <c r="E51" s="266" t="s">
        <v>62</v>
      </c>
      <c r="F51" s="266" t="s">
        <v>125</v>
      </c>
      <c r="G51" s="694"/>
    </row>
    <row r="52" spans="1:7" ht="30" x14ac:dyDescent="0.25">
      <c r="A52" s="656"/>
      <c r="B52" s="663"/>
      <c r="C52" s="290" t="s">
        <v>133</v>
      </c>
      <c r="D52" s="266" t="s">
        <v>178</v>
      </c>
      <c r="E52" s="266" t="s">
        <v>62</v>
      </c>
      <c r="F52" s="266" t="s">
        <v>125</v>
      </c>
      <c r="G52" s="694"/>
    </row>
    <row r="53" spans="1:7" ht="30" x14ac:dyDescent="0.25">
      <c r="A53" s="656"/>
      <c r="B53" s="663"/>
      <c r="C53" s="290" t="s">
        <v>179</v>
      </c>
      <c r="D53" s="266" t="s">
        <v>180</v>
      </c>
      <c r="E53" s="266" t="s">
        <v>62</v>
      </c>
      <c r="F53" s="266" t="s">
        <v>125</v>
      </c>
      <c r="G53" s="694"/>
    </row>
    <row r="54" spans="1:7" x14ac:dyDescent="0.25">
      <c r="A54" s="656"/>
      <c r="B54" s="663"/>
      <c r="C54" s="290" t="s">
        <v>135</v>
      </c>
      <c r="D54" s="266" t="s">
        <v>181</v>
      </c>
      <c r="E54" s="266" t="s">
        <v>62</v>
      </c>
      <c r="F54" s="266" t="s">
        <v>125</v>
      </c>
      <c r="G54" s="694"/>
    </row>
    <row r="55" spans="1:7" ht="30.75" thickBot="1" x14ac:dyDescent="0.3">
      <c r="A55" s="656"/>
      <c r="B55" s="664"/>
      <c r="C55" s="291" t="s">
        <v>182</v>
      </c>
      <c r="D55" s="284" t="s">
        <v>183</v>
      </c>
      <c r="E55" s="284" t="s">
        <v>62</v>
      </c>
      <c r="F55" s="284" t="s">
        <v>125</v>
      </c>
      <c r="G55" s="695"/>
    </row>
    <row r="56" spans="1:7" ht="30" x14ac:dyDescent="0.25">
      <c r="A56" s="656"/>
      <c r="B56" s="665" t="s">
        <v>139</v>
      </c>
      <c r="C56" s="407" t="s">
        <v>127</v>
      </c>
      <c r="D56" s="408" t="s">
        <v>184</v>
      </c>
      <c r="E56" s="408" t="s">
        <v>62</v>
      </c>
      <c r="F56" s="408" t="s">
        <v>141</v>
      </c>
      <c r="G56" s="409" t="s">
        <v>164</v>
      </c>
    </row>
    <row r="57" spans="1:7" ht="30" x14ac:dyDescent="0.25">
      <c r="A57" s="656"/>
      <c r="B57" s="666"/>
      <c r="C57" s="287" t="s">
        <v>30</v>
      </c>
      <c r="D57" s="285" t="s">
        <v>185</v>
      </c>
      <c r="E57" s="285" t="s">
        <v>62</v>
      </c>
      <c r="F57" s="285" t="s">
        <v>141</v>
      </c>
      <c r="G57" s="262" t="s">
        <v>164</v>
      </c>
    </row>
    <row r="58" spans="1:7" ht="30" x14ac:dyDescent="0.25">
      <c r="A58" s="656"/>
      <c r="B58" s="666"/>
      <c r="C58" s="287" t="s">
        <v>130</v>
      </c>
      <c r="D58" s="285" t="s">
        <v>186</v>
      </c>
      <c r="E58" s="285" t="s">
        <v>62</v>
      </c>
      <c r="F58" s="285" t="s">
        <v>141</v>
      </c>
      <c r="G58" s="262" t="s">
        <v>164</v>
      </c>
    </row>
    <row r="59" spans="1:7" x14ac:dyDescent="0.25">
      <c r="A59" s="656"/>
      <c r="B59" s="666"/>
      <c r="C59" s="287" t="s">
        <v>35</v>
      </c>
      <c r="D59" s="285" t="s">
        <v>187</v>
      </c>
      <c r="E59" s="285" t="s">
        <v>62</v>
      </c>
      <c r="F59" s="285" t="s">
        <v>141</v>
      </c>
      <c r="G59" s="262" t="s">
        <v>164</v>
      </c>
    </row>
    <row r="60" spans="1:7" ht="30" x14ac:dyDescent="0.25">
      <c r="A60" s="656"/>
      <c r="B60" s="666"/>
      <c r="C60" s="287" t="s">
        <v>133</v>
      </c>
      <c r="D60" s="285" t="s">
        <v>188</v>
      </c>
      <c r="E60" s="285" t="s">
        <v>62</v>
      </c>
      <c r="F60" s="285" t="s">
        <v>141</v>
      </c>
      <c r="G60" s="262" t="s">
        <v>164</v>
      </c>
    </row>
    <row r="61" spans="1:7" x14ac:dyDescent="0.25">
      <c r="A61" s="656"/>
      <c r="B61" s="666"/>
      <c r="C61" s="287" t="s">
        <v>179</v>
      </c>
      <c r="D61" s="285" t="s">
        <v>189</v>
      </c>
      <c r="E61" s="285" t="s">
        <v>62</v>
      </c>
      <c r="F61" s="285" t="s">
        <v>141</v>
      </c>
      <c r="G61" s="262" t="s">
        <v>164</v>
      </c>
    </row>
    <row r="62" spans="1:7" x14ac:dyDescent="0.25">
      <c r="A62" s="656"/>
      <c r="B62" s="666"/>
      <c r="C62" s="287" t="s">
        <v>135</v>
      </c>
      <c r="D62" s="285" t="s">
        <v>190</v>
      </c>
      <c r="E62" s="285" t="s">
        <v>62</v>
      </c>
      <c r="F62" s="285" t="s">
        <v>141</v>
      </c>
      <c r="G62" s="262" t="s">
        <v>164</v>
      </c>
    </row>
    <row r="63" spans="1:7" ht="15.75" thickBot="1" x14ac:dyDescent="0.3">
      <c r="A63" s="668"/>
      <c r="B63" s="667"/>
      <c r="C63" s="288" t="s">
        <v>182</v>
      </c>
      <c r="D63" s="286" t="s">
        <v>191</v>
      </c>
      <c r="E63" s="286" t="s">
        <v>62</v>
      </c>
      <c r="F63" s="286" t="s">
        <v>141</v>
      </c>
      <c r="G63" s="267" t="s">
        <v>164</v>
      </c>
    </row>
    <row r="64" spans="1:7" ht="120" x14ac:dyDescent="0.25">
      <c r="A64" s="656" t="s">
        <v>60</v>
      </c>
      <c r="B64" s="657" t="s">
        <v>192</v>
      </c>
      <c r="C64" s="315" t="s">
        <v>72</v>
      </c>
      <c r="D64" s="269" t="s">
        <v>193</v>
      </c>
      <c r="E64" s="269" t="s">
        <v>55</v>
      </c>
      <c r="F64" s="269" t="s">
        <v>74</v>
      </c>
      <c r="G64" s="423" t="s">
        <v>194</v>
      </c>
    </row>
    <row r="65" spans="1:7" ht="60" x14ac:dyDescent="0.25">
      <c r="A65" s="656"/>
      <c r="B65" s="658"/>
      <c r="C65" s="316" t="s">
        <v>76</v>
      </c>
      <c r="D65" s="270" t="s">
        <v>77</v>
      </c>
      <c r="E65" s="270" t="s">
        <v>55</v>
      </c>
      <c r="F65" s="270" t="s">
        <v>74</v>
      </c>
      <c r="G65" s="425" t="s">
        <v>195</v>
      </c>
    </row>
    <row r="66" spans="1:7" ht="30" x14ac:dyDescent="0.25">
      <c r="A66" s="656"/>
      <c r="B66" s="658"/>
      <c r="C66" s="316" t="s">
        <v>91</v>
      </c>
      <c r="D66" s="270" t="s">
        <v>92</v>
      </c>
      <c r="E66" s="270" t="s">
        <v>55</v>
      </c>
      <c r="F66" s="270" t="s">
        <v>74</v>
      </c>
      <c r="G66" s="271" t="s">
        <v>196</v>
      </c>
    </row>
    <row r="67" spans="1:7" ht="30" x14ac:dyDescent="0.25">
      <c r="A67" s="656"/>
      <c r="B67" s="658"/>
      <c r="C67" s="316" t="s">
        <v>197</v>
      </c>
      <c r="D67" s="270" t="s">
        <v>198</v>
      </c>
      <c r="E67" s="270" t="s">
        <v>55</v>
      </c>
      <c r="F67" s="270" t="s">
        <v>74</v>
      </c>
      <c r="G67" s="271" t="s">
        <v>199</v>
      </c>
    </row>
    <row r="68" spans="1:7" x14ac:dyDescent="0.25">
      <c r="A68" s="656"/>
      <c r="B68" s="658"/>
      <c r="C68" s="316" t="s">
        <v>1</v>
      </c>
      <c r="D68" s="270" t="s">
        <v>200</v>
      </c>
      <c r="E68" s="270" t="s">
        <v>55</v>
      </c>
      <c r="F68" s="270" t="s">
        <v>74</v>
      </c>
      <c r="G68" s="271" t="s">
        <v>201</v>
      </c>
    </row>
    <row r="69" spans="1:7" ht="15.75" thickBot="1" x14ac:dyDescent="0.3">
      <c r="A69" s="656"/>
      <c r="B69" s="659"/>
      <c r="C69" s="317" t="s">
        <v>202</v>
      </c>
      <c r="D69" s="272" t="s">
        <v>203</v>
      </c>
      <c r="E69" s="272" t="s">
        <v>55</v>
      </c>
      <c r="F69" s="272" t="s">
        <v>74</v>
      </c>
      <c r="G69" s="273"/>
    </row>
    <row r="70" spans="1:7" ht="150" x14ac:dyDescent="0.25">
      <c r="A70" s="655" t="s">
        <v>63</v>
      </c>
      <c r="B70" s="652" t="s">
        <v>71</v>
      </c>
      <c r="C70" s="327" t="s">
        <v>72</v>
      </c>
      <c r="D70" s="268" t="s">
        <v>204</v>
      </c>
      <c r="E70" s="268" t="s">
        <v>55</v>
      </c>
      <c r="F70" s="268" t="s">
        <v>74</v>
      </c>
      <c r="G70" s="424" t="s">
        <v>205</v>
      </c>
    </row>
    <row r="71" spans="1:7" x14ac:dyDescent="0.25">
      <c r="A71" s="656"/>
      <c r="B71" s="653"/>
      <c r="C71" s="121" t="s">
        <v>76</v>
      </c>
      <c r="D71" s="82" t="s">
        <v>77</v>
      </c>
      <c r="E71" s="82" t="s">
        <v>55</v>
      </c>
      <c r="F71" s="82" t="s">
        <v>74</v>
      </c>
      <c r="G71" s="95" t="s">
        <v>164</v>
      </c>
    </row>
    <row r="72" spans="1:7" ht="30" x14ac:dyDescent="0.25">
      <c r="A72" s="656"/>
      <c r="B72" s="653"/>
      <c r="C72" s="121" t="s">
        <v>91</v>
      </c>
      <c r="D72" s="82" t="s">
        <v>92</v>
      </c>
      <c r="E72" s="82" t="s">
        <v>55</v>
      </c>
      <c r="F72" s="82" t="s">
        <v>74</v>
      </c>
      <c r="G72" s="95" t="s">
        <v>206</v>
      </c>
    </row>
    <row r="73" spans="1:7" x14ac:dyDescent="0.25">
      <c r="A73" s="656"/>
      <c r="B73" s="653"/>
      <c r="C73" s="121" t="s">
        <v>207</v>
      </c>
      <c r="D73" s="82" t="s">
        <v>208</v>
      </c>
      <c r="E73" s="82" t="s">
        <v>81</v>
      </c>
      <c r="F73" s="82" t="s">
        <v>74</v>
      </c>
      <c r="G73" s="95" t="s">
        <v>164</v>
      </c>
    </row>
    <row r="74" spans="1:7" ht="60" customHeight="1" x14ac:dyDescent="0.25">
      <c r="A74" s="656"/>
      <c r="B74" s="653"/>
      <c r="C74" s="121" t="s">
        <v>83</v>
      </c>
      <c r="D74" s="82" t="s">
        <v>209</v>
      </c>
      <c r="E74" s="82" t="s">
        <v>81</v>
      </c>
      <c r="F74" s="82" t="s">
        <v>74</v>
      </c>
      <c r="G74" s="95" t="s">
        <v>164</v>
      </c>
    </row>
    <row r="75" spans="1:7" x14ac:dyDescent="0.25">
      <c r="A75" s="656"/>
      <c r="B75" s="653"/>
      <c r="C75" s="121" t="s">
        <v>1</v>
      </c>
      <c r="D75" s="82" t="s">
        <v>200</v>
      </c>
      <c r="E75" s="82" t="s">
        <v>81</v>
      </c>
      <c r="F75" s="82" t="s">
        <v>74</v>
      </c>
      <c r="G75" s="95" t="s">
        <v>164</v>
      </c>
    </row>
    <row r="76" spans="1:7" ht="90" x14ac:dyDescent="0.25">
      <c r="A76" s="656"/>
      <c r="B76" s="653"/>
      <c r="C76" s="121" t="s">
        <v>210</v>
      </c>
      <c r="D76" s="82" t="s">
        <v>211</v>
      </c>
      <c r="E76" s="82" t="s">
        <v>55</v>
      </c>
      <c r="F76" s="82" t="s">
        <v>74</v>
      </c>
      <c r="G76" s="306" t="s">
        <v>212</v>
      </c>
    </row>
    <row r="77" spans="1:7" ht="90" x14ac:dyDescent="0.25">
      <c r="A77" s="656"/>
      <c r="B77" s="653"/>
      <c r="C77" s="121" t="s">
        <v>213</v>
      </c>
      <c r="D77" s="82" t="s">
        <v>214</v>
      </c>
      <c r="E77" s="82" t="s">
        <v>55</v>
      </c>
      <c r="F77" s="82" t="s">
        <v>74</v>
      </c>
      <c r="G77" s="306" t="s">
        <v>215</v>
      </c>
    </row>
    <row r="78" spans="1:7" ht="30" x14ac:dyDescent="0.25">
      <c r="A78" s="656"/>
      <c r="B78" s="653"/>
      <c r="C78" s="121" t="s">
        <v>100</v>
      </c>
      <c r="D78" s="82" t="s">
        <v>166</v>
      </c>
      <c r="E78" s="82" t="s">
        <v>81</v>
      </c>
      <c r="F78" s="82" t="s">
        <v>74</v>
      </c>
      <c r="G78" s="95" t="s">
        <v>167</v>
      </c>
    </row>
    <row r="79" spans="1:7" ht="30.75" thickBot="1" x14ac:dyDescent="0.3">
      <c r="A79" s="656"/>
      <c r="B79" s="654"/>
      <c r="C79" s="122" t="s">
        <v>216</v>
      </c>
      <c r="D79" s="96" t="s">
        <v>217</v>
      </c>
      <c r="E79" s="96" t="s">
        <v>55</v>
      </c>
      <c r="F79" s="96" t="s">
        <v>74</v>
      </c>
      <c r="G79" s="97" t="s">
        <v>218</v>
      </c>
    </row>
    <row r="80" spans="1:7" ht="30" x14ac:dyDescent="0.25">
      <c r="A80" s="656"/>
      <c r="B80" s="696" t="s">
        <v>108</v>
      </c>
      <c r="C80" s="123" t="s">
        <v>109</v>
      </c>
      <c r="D80" s="105" t="s">
        <v>219</v>
      </c>
      <c r="E80" s="105" t="s">
        <v>55</v>
      </c>
      <c r="F80" s="105" t="s">
        <v>220</v>
      </c>
      <c r="G80" s="106" t="s">
        <v>218</v>
      </c>
    </row>
    <row r="81" spans="1:7" ht="30.75" thickBot="1" x14ac:dyDescent="0.3">
      <c r="A81" s="656"/>
      <c r="B81" s="697"/>
      <c r="C81" s="124" t="s">
        <v>116</v>
      </c>
      <c r="D81" s="107" t="s">
        <v>221</v>
      </c>
      <c r="E81" s="107" t="s">
        <v>55</v>
      </c>
      <c r="F81" s="107" t="s">
        <v>220</v>
      </c>
      <c r="G81" s="108" t="s">
        <v>218</v>
      </c>
    </row>
    <row r="82" spans="1:7" ht="30" x14ac:dyDescent="0.25">
      <c r="A82" s="656"/>
      <c r="B82" s="698" t="s">
        <v>119</v>
      </c>
      <c r="C82" s="125" t="s">
        <v>222</v>
      </c>
      <c r="D82" s="102" t="s">
        <v>223</v>
      </c>
      <c r="E82" s="102" t="s">
        <v>55</v>
      </c>
      <c r="F82" s="102" t="s">
        <v>74</v>
      </c>
      <c r="G82" s="103" t="s">
        <v>218</v>
      </c>
    </row>
    <row r="83" spans="1:7" ht="30" x14ac:dyDescent="0.25">
      <c r="A83" s="656"/>
      <c r="B83" s="699"/>
      <c r="C83" s="127" t="s">
        <v>224</v>
      </c>
      <c r="D83" s="109" t="s">
        <v>225</v>
      </c>
      <c r="E83" s="109" t="s">
        <v>55</v>
      </c>
      <c r="F83" s="109" t="s">
        <v>220</v>
      </c>
      <c r="G83" s="114" t="s">
        <v>218</v>
      </c>
    </row>
    <row r="84" spans="1:7" ht="30.75" thickBot="1" x14ac:dyDescent="0.3">
      <c r="A84" s="656"/>
      <c r="B84" s="700"/>
      <c r="C84" s="128" t="s">
        <v>182</v>
      </c>
      <c r="D84" s="119" t="s">
        <v>226</v>
      </c>
      <c r="E84" s="119" t="s">
        <v>55</v>
      </c>
      <c r="F84" s="119" t="s">
        <v>220</v>
      </c>
      <c r="G84" s="120" t="s">
        <v>218</v>
      </c>
    </row>
    <row r="85" spans="1:7" ht="30" x14ac:dyDescent="0.25">
      <c r="A85" s="656"/>
      <c r="B85" s="701" t="s">
        <v>139</v>
      </c>
      <c r="C85" s="126" t="s">
        <v>227</v>
      </c>
      <c r="D85" s="111" t="s">
        <v>228</v>
      </c>
      <c r="E85" s="111" t="s">
        <v>55</v>
      </c>
      <c r="F85" s="111" t="s">
        <v>220</v>
      </c>
      <c r="G85" s="112" t="s">
        <v>218</v>
      </c>
    </row>
    <row r="86" spans="1:7" ht="30" x14ac:dyDescent="0.25">
      <c r="A86" s="656"/>
      <c r="B86" s="702"/>
      <c r="C86" s="98" t="s">
        <v>224</v>
      </c>
      <c r="D86" s="83" t="s">
        <v>229</v>
      </c>
      <c r="E86" s="83" t="s">
        <v>55</v>
      </c>
      <c r="F86" s="83" t="s">
        <v>220</v>
      </c>
      <c r="G86" s="99" t="s">
        <v>218</v>
      </c>
    </row>
    <row r="87" spans="1:7" ht="30" x14ac:dyDescent="0.25">
      <c r="A87" s="656"/>
      <c r="B87" s="702"/>
      <c r="C87" s="98" t="s">
        <v>179</v>
      </c>
      <c r="D87" s="83" t="s">
        <v>230</v>
      </c>
      <c r="E87" s="83" t="s">
        <v>55</v>
      </c>
      <c r="F87" s="83" t="s">
        <v>220</v>
      </c>
      <c r="G87" s="99" t="s">
        <v>218</v>
      </c>
    </row>
    <row r="88" spans="1:7" ht="30" x14ac:dyDescent="0.25">
      <c r="A88" s="656"/>
      <c r="B88" s="702"/>
      <c r="C88" s="98" t="s">
        <v>135</v>
      </c>
      <c r="D88" s="83" t="s">
        <v>231</v>
      </c>
      <c r="E88" s="83" t="s">
        <v>55</v>
      </c>
      <c r="F88" s="83" t="s">
        <v>220</v>
      </c>
      <c r="G88" s="99" t="s">
        <v>218</v>
      </c>
    </row>
    <row r="89" spans="1:7" ht="45" customHeight="1" x14ac:dyDescent="0.25">
      <c r="A89" s="656"/>
      <c r="B89" s="702"/>
      <c r="C89" s="98" t="s">
        <v>182</v>
      </c>
      <c r="D89" s="83" t="s">
        <v>232</v>
      </c>
      <c r="E89" s="83" t="s">
        <v>55</v>
      </c>
      <c r="F89" s="83" t="s">
        <v>220</v>
      </c>
      <c r="G89" s="99" t="s">
        <v>218</v>
      </c>
    </row>
    <row r="90" spans="1:7" ht="30.75" thickBot="1" x14ac:dyDescent="0.3">
      <c r="A90" s="668"/>
      <c r="B90" s="703"/>
      <c r="C90" s="313"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EC5CD-16F1-449E-81C5-35E660845E9A}">
  <dimension ref="A2:S17"/>
  <sheetViews>
    <sheetView topLeftCell="A3" workbookViewId="0">
      <selection activeCell="B19" sqref="B19"/>
    </sheetView>
  </sheetViews>
  <sheetFormatPr defaultRowHeight="15" x14ac:dyDescent="0.25"/>
  <cols>
    <col min="1" max="1" width="15.140625" customWidth="1"/>
    <col min="2" max="2" width="25.5703125" customWidth="1"/>
    <col min="3" max="3" width="12" customWidth="1"/>
    <col min="4" max="4" width="10.85546875" customWidth="1"/>
    <col min="5" max="5" width="22.7109375" customWidth="1"/>
    <col min="6" max="6" width="37.140625" customWidth="1"/>
    <col min="8" max="8" width="17.140625" customWidth="1"/>
  </cols>
  <sheetData>
    <row r="2" spans="1:19" ht="62.45" customHeight="1" x14ac:dyDescent="0.25">
      <c r="A2" s="704" t="s">
        <v>235</v>
      </c>
      <c r="B2" s="704"/>
      <c r="C2" s="704"/>
      <c r="D2" s="704"/>
      <c r="E2" s="704"/>
      <c r="F2" s="89"/>
      <c r="G2" s="89"/>
      <c r="H2" s="89"/>
      <c r="I2" s="89"/>
      <c r="J2" s="89"/>
      <c r="K2" s="89"/>
      <c r="L2" s="89"/>
      <c r="M2" s="89"/>
      <c r="N2" s="89"/>
      <c r="O2" s="89"/>
      <c r="P2" s="89"/>
      <c r="Q2" s="89"/>
      <c r="R2" s="89"/>
    </row>
    <row r="3" spans="1:19" ht="60" x14ac:dyDescent="0.25">
      <c r="A3" s="619" t="s">
        <v>236</v>
      </c>
      <c r="B3" s="619" t="s">
        <v>237</v>
      </c>
      <c r="C3" s="619" t="s">
        <v>238</v>
      </c>
      <c r="D3" s="619" t="s">
        <v>239</v>
      </c>
      <c r="E3" s="619" t="s">
        <v>240</v>
      </c>
    </row>
    <row r="4" spans="1:19" ht="15.6" customHeight="1" x14ac:dyDescent="0.25">
      <c r="A4" s="620" t="s">
        <v>241</v>
      </c>
      <c r="B4" s="620" t="s">
        <v>242</v>
      </c>
      <c r="C4" s="620" t="s">
        <v>243</v>
      </c>
      <c r="D4" s="620" t="s">
        <v>244</v>
      </c>
      <c r="E4" s="620" t="s">
        <v>243</v>
      </c>
    </row>
    <row r="5" spans="1:19" ht="14.1" customHeight="1" x14ac:dyDescent="0.25">
      <c r="A5" s="620" t="s">
        <v>245</v>
      </c>
      <c r="B5" s="620" t="s">
        <v>246</v>
      </c>
      <c r="C5" s="620" t="s">
        <v>247</v>
      </c>
      <c r="D5" s="620" t="s">
        <v>244</v>
      </c>
      <c r="E5" s="620" t="s">
        <v>243</v>
      </c>
    </row>
    <row r="6" spans="1:19" x14ac:dyDescent="0.25">
      <c r="A6" s="81"/>
    </row>
    <row r="7" spans="1:19" ht="57.6" customHeight="1" x14ac:dyDescent="0.25">
      <c r="A7" s="704" t="s">
        <v>248</v>
      </c>
      <c r="B7" s="705"/>
      <c r="C7" s="705"/>
      <c r="D7" s="705"/>
      <c r="E7" s="705"/>
      <c r="F7" s="705"/>
      <c r="G7" s="705"/>
      <c r="H7" s="705"/>
      <c r="I7" s="705"/>
      <c r="J7" s="705"/>
      <c r="K7" s="705"/>
      <c r="L7" s="705"/>
      <c r="M7" s="89"/>
      <c r="N7" s="89"/>
      <c r="O7" s="89"/>
      <c r="P7" s="89"/>
      <c r="Q7" s="89"/>
      <c r="R7" s="89"/>
      <c r="S7" s="89"/>
    </row>
    <row r="8" spans="1:19" ht="15.95" customHeight="1" x14ac:dyDescent="0.25">
      <c r="A8" s="621" t="s">
        <v>249</v>
      </c>
      <c r="B8" s="622"/>
      <c r="C8" s="622"/>
      <c r="D8" s="622"/>
      <c r="E8" s="622"/>
      <c r="F8" s="622"/>
      <c r="G8" s="622"/>
      <c r="H8" s="622"/>
      <c r="I8" s="622"/>
      <c r="J8" s="622"/>
      <c r="K8" s="622"/>
      <c r="L8" s="622"/>
      <c r="M8" s="89"/>
      <c r="N8" s="89"/>
      <c r="O8" s="89"/>
      <c r="P8" s="89"/>
      <c r="Q8" s="89"/>
      <c r="R8" s="89"/>
      <c r="S8" s="89"/>
    </row>
    <row r="9" spans="1:19" ht="12.6" customHeight="1" x14ac:dyDescent="0.25">
      <c r="A9" s="623" t="s">
        <v>72</v>
      </c>
      <c r="B9" s="624" t="s">
        <v>76</v>
      </c>
      <c r="C9" s="624" t="s">
        <v>79</v>
      </c>
      <c r="D9" s="625" t="s">
        <v>83</v>
      </c>
      <c r="E9" s="624" t="s">
        <v>86</v>
      </c>
      <c r="F9" s="624" t="s">
        <v>89</v>
      </c>
      <c r="G9" s="624" t="s">
        <v>91</v>
      </c>
      <c r="H9" s="624" t="s">
        <v>94</v>
      </c>
      <c r="I9" s="624" t="s">
        <v>97</v>
      </c>
      <c r="J9" s="626" t="s">
        <v>100</v>
      </c>
      <c r="K9" s="626" t="s">
        <v>103</v>
      </c>
      <c r="L9" s="627" t="s">
        <v>1</v>
      </c>
    </row>
    <row r="10" spans="1:19" ht="12.95" customHeight="1" x14ac:dyDescent="0.25">
      <c r="A10" s="628" t="s">
        <v>250</v>
      </c>
      <c r="B10" s="629" t="s">
        <v>251</v>
      </c>
      <c r="C10" s="629"/>
      <c r="D10" s="630" t="s">
        <v>252</v>
      </c>
      <c r="E10" s="631"/>
      <c r="F10" s="629" t="s">
        <v>253</v>
      </c>
      <c r="G10" s="630" t="s">
        <v>254</v>
      </c>
      <c r="H10" s="629" t="s">
        <v>255</v>
      </c>
      <c r="I10" s="629"/>
      <c r="J10" s="630">
        <v>1</v>
      </c>
      <c r="K10" s="630">
        <v>1</v>
      </c>
      <c r="L10" s="630" t="s">
        <v>256</v>
      </c>
    </row>
    <row r="11" spans="1:19" ht="17.45" customHeight="1" x14ac:dyDescent="0.25">
      <c r="A11" s="628" t="s">
        <v>257</v>
      </c>
      <c r="B11" s="629" t="s">
        <v>258</v>
      </c>
      <c r="C11" s="629"/>
      <c r="D11" s="630" t="s">
        <v>259</v>
      </c>
      <c r="E11" s="631"/>
      <c r="F11" s="629" t="s">
        <v>260</v>
      </c>
      <c r="G11" s="630" t="s">
        <v>254</v>
      </c>
      <c r="H11" s="629" t="s">
        <v>261</v>
      </c>
      <c r="I11" s="629"/>
      <c r="J11" s="630">
        <v>1</v>
      </c>
      <c r="K11" s="630">
        <v>1</v>
      </c>
      <c r="L11" s="630" t="s">
        <v>262</v>
      </c>
    </row>
    <row r="12" spans="1:19" ht="30.6" customHeight="1" x14ac:dyDescent="0.25">
      <c r="A12" s="628" t="s">
        <v>263</v>
      </c>
      <c r="B12" s="628" t="s">
        <v>264</v>
      </c>
      <c r="C12" s="629"/>
      <c r="D12" s="630" t="s">
        <v>242</v>
      </c>
      <c r="E12" s="631"/>
      <c r="F12" s="629" t="s">
        <v>265</v>
      </c>
      <c r="G12" s="630" t="e">
        <v>#N/A</v>
      </c>
      <c r="H12" s="629" t="s">
        <v>244</v>
      </c>
      <c r="I12" s="629"/>
      <c r="J12" s="630">
        <v>1</v>
      </c>
      <c r="K12" s="630">
        <v>1</v>
      </c>
      <c r="L12" s="630" t="s">
        <v>256</v>
      </c>
    </row>
    <row r="13" spans="1:19" x14ac:dyDescent="0.25">
      <c r="A13" s="632" t="s">
        <v>266</v>
      </c>
    </row>
    <row r="14" spans="1:19" ht="12.95" customHeight="1" x14ac:dyDescent="0.25">
      <c r="A14" s="623" t="s">
        <v>72</v>
      </c>
      <c r="B14" s="624" t="s">
        <v>76</v>
      </c>
      <c r="C14" s="624" t="s">
        <v>79</v>
      </c>
      <c r="D14" s="625" t="s">
        <v>83</v>
      </c>
      <c r="E14" s="624" t="s">
        <v>86</v>
      </c>
      <c r="F14" s="624" t="s">
        <v>89</v>
      </c>
      <c r="G14" s="624" t="s">
        <v>91</v>
      </c>
      <c r="H14" s="624" t="s">
        <v>94</v>
      </c>
      <c r="I14" s="624" t="s">
        <v>97</v>
      </c>
      <c r="J14" s="626" t="s">
        <v>100</v>
      </c>
      <c r="K14" s="626" t="s">
        <v>103</v>
      </c>
      <c r="L14" s="633" t="s">
        <v>1</v>
      </c>
      <c r="M14" s="626" t="s">
        <v>109</v>
      </c>
      <c r="N14" s="626" t="s">
        <v>113</v>
      </c>
      <c r="O14" s="626" t="s">
        <v>116</v>
      </c>
      <c r="P14" s="626" t="s">
        <v>120</v>
      </c>
      <c r="Q14" s="626" t="s">
        <v>123</v>
      </c>
      <c r="R14" s="626" t="s">
        <v>127</v>
      </c>
      <c r="S14" s="626" t="s">
        <v>152</v>
      </c>
    </row>
    <row r="15" spans="1:19" ht="15.95" customHeight="1" x14ac:dyDescent="0.25">
      <c r="A15" s="628" t="s">
        <v>267</v>
      </c>
      <c r="B15" s="629" t="s">
        <v>268</v>
      </c>
      <c r="C15" s="629"/>
      <c r="D15" s="630" t="s">
        <v>247</v>
      </c>
      <c r="E15" s="629"/>
      <c r="F15" s="629" t="s">
        <v>269</v>
      </c>
      <c r="G15" s="630" t="s">
        <v>254</v>
      </c>
      <c r="H15" s="629" t="s">
        <v>270</v>
      </c>
      <c r="I15" s="629"/>
      <c r="J15" s="630">
        <v>1</v>
      </c>
      <c r="K15" s="630">
        <v>1</v>
      </c>
      <c r="L15" s="630" t="s">
        <v>271</v>
      </c>
      <c r="M15" s="634">
        <v>0</v>
      </c>
      <c r="N15" s="630"/>
      <c r="O15" s="634">
        <v>0</v>
      </c>
      <c r="P15" s="629" t="s">
        <v>45</v>
      </c>
      <c r="Q15" s="630">
        <v>1</v>
      </c>
      <c r="R15" s="630">
        <v>0</v>
      </c>
      <c r="S15" s="629" t="s">
        <v>272</v>
      </c>
    </row>
    <row r="16" spans="1:19" ht="12.95" customHeight="1" x14ac:dyDescent="0.25">
      <c r="A16" s="628" t="s">
        <v>245</v>
      </c>
      <c r="B16" s="629" t="s">
        <v>273</v>
      </c>
      <c r="C16" s="629"/>
      <c r="D16" s="635" t="s">
        <v>242</v>
      </c>
      <c r="E16" s="629"/>
      <c r="F16" s="629" t="s">
        <v>274</v>
      </c>
      <c r="G16" s="630" t="s">
        <v>275</v>
      </c>
      <c r="H16" s="636" t="s">
        <v>244</v>
      </c>
      <c r="I16" s="629"/>
      <c r="J16" s="630">
        <v>1</v>
      </c>
      <c r="K16" s="630">
        <v>1</v>
      </c>
      <c r="L16" s="630" t="s">
        <v>256</v>
      </c>
      <c r="M16" s="634">
        <v>0</v>
      </c>
      <c r="N16" s="630"/>
      <c r="O16" s="634">
        <v>0</v>
      </c>
      <c r="P16" s="629" t="s">
        <v>45</v>
      </c>
      <c r="Q16" s="630">
        <v>1</v>
      </c>
      <c r="R16" s="630">
        <v>0</v>
      </c>
      <c r="S16" s="629" t="s">
        <v>272</v>
      </c>
    </row>
    <row r="17" spans="1:19" ht="15.6" customHeight="1" x14ac:dyDescent="0.25">
      <c r="A17" s="628" t="s">
        <v>276</v>
      </c>
      <c r="B17" s="629" t="s">
        <v>277</v>
      </c>
      <c r="C17" s="629"/>
      <c r="D17" s="630" t="s">
        <v>247</v>
      </c>
      <c r="E17" s="629"/>
      <c r="F17" s="629" t="s">
        <v>278</v>
      </c>
      <c r="G17" s="630" t="s">
        <v>279</v>
      </c>
      <c r="H17" s="629" t="s">
        <v>280</v>
      </c>
      <c r="I17" s="629"/>
      <c r="J17" s="630">
        <v>1</v>
      </c>
      <c r="K17" s="630">
        <v>1</v>
      </c>
      <c r="L17" s="630" t="s">
        <v>271</v>
      </c>
      <c r="M17" s="634">
        <v>0</v>
      </c>
      <c r="N17" s="630"/>
      <c r="O17" s="634">
        <v>0</v>
      </c>
      <c r="P17" s="629" t="s">
        <v>45</v>
      </c>
      <c r="Q17" s="630">
        <v>1</v>
      </c>
      <c r="R17" s="630">
        <v>0</v>
      </c>
      <c r="S17" s="629" t="s">
        <v>281</v>
      </c>
    </row>
  </sheetData>
  <mergeCells count="2">
    <mergeCell ref="A2:E2"/>
    <mergeCell ref="A7:L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2" activePane="bottomRight" state="frozen"/>
      <selection pane="topRight" activeCell="B1" sqref="B1"/>
      <selection pane="bottomLeft" activeCell="A2" sqref="A2"/>
      <selection pane="bottomRight" activeCell="B15" sqref="B15"/>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ht="15.75" thickBot="1" x14ac:dyDescent="0.3">
      <c r="A1" s="389" t="s">
        <v>0</v>
      </c>
      <c r="B1" s="394" t="s">
        <v>282</v>
      </c>
      <c r="C1" s="390" t="s">
        <v>283</v>
      </c>
    </row>
    <row r="2" spans="1:3" x14ac:dyDescent="0.25">
      <c r="A2" s="391">
        <v>43807</v>
      </c>
      <c r="B2" s="395" t="s">
        <v>284</v>
      </c>
      <c r="C2" s="399" t="s">
        <v>11</v>
      </c>
    </row>
    <row r="3" spans="1:3" ht="30" x14ac:dyDescent="0.25">
      <c r="A3" s="392">
        <v>43937</v>
      </c>
      <c r="B3" s="396" t="s">
        <v>285</v>
      </c>
      <c r="C3" s="326" t="s">
        <v>11</v>
      </c>
    </row>
    <row r="4" spans="1:3" x14ac:dyDescent="0.25">
      <c r="A4" s="392">
        <v>43941</v>
      </c>
      <c r="B4" s="397" t="s">
        <v>286</v>
      </c>
      <c r="C4" s="326" t="s">
        <v>11</v>
      </c>
    </row>
    <row r="5" spans="1:3" x14ac:dyDescent="0.25">
      <c r="A5" s="392">
        <v>43942</v>
      </c>
      <c r="B5" s="397" t="s">
        <v>287</v>
      </c>
      <c r="C5" s="326" t="s">
        <v>11</v>
      </c>
    </row>
    <row r="6" spans="1:3" x14ac:dyDescent="0.25">
      <c r="A6" s="392">
        <v>43963</v>
      </c>
      <c r="B6" s="397" t="s">
        <v>288</v>
      </c>
      <c r="C6" s="326" t="s">
        <v>11</v>
      </c>
    </row>
    <row r="7" spans="1:3" x14ac:dyDescent="0.25">
      <c r="A7" s="392">
        <v>43990</v>
      </c>
      <c r="B7" s="397" t="s">
        <v>289</v>
      </c>
      <c r="C7" s="326" t="s">
        <v>11</v>
      </c>
    </row>
    <row r="8" spans="1:3" ht="30" x14ac:dyDescent="0.25">
      <c r="A8" s="392">
        <v>44104</v>
      </c>
      <c r="B8" s="396" t="s">
        <v>290</v>
      </c>
      <c r="C8" s="326" t="s">
        <v>291</v>
      </c>
    </row>
    <row r="9" spans="1:3" ht="150.75" thickBot="1" x14ac:dyDescent="0.3">
      <c r="A9" s="637">
        <v>44128</v>
      </c>
      <c r="B9" s="638" t="s">
        <v>292</v>
      </c>
      <c r="C9" s="400" t="s">
        <v>291</v>
      </c>
    </row>
    <row r="10" spans="1:3" ht="15.75" thickBot="1" x14ac:dyDescent="0.3">
      <c r="A10" s="637">
        <v>44361</v>
      </c>
      <c r="B10" s="638" t="s">
        <v>293</v>
      </c>
      <c r="C10" s="400" t="s">
        <v>294</v>
      </c>
    </row>
    <row r="11" spans="1:3" ht="15.75" thickBot="1" x14ac:dyDescent="0.3">
      <c r="A11" s="393">
        <v>44813</v>
      </c>
      <c r="B11" s="398" t="s">
        <v>295</v>
      </c>
      <c r="C11" s="400" t="s">
        <v>291</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387"/>
  <sheetViews>
    <sheetView tabSelected="1" zoomScale="85" zoomScaleNormal="85" workbookViewId="0">
      <pane xSplit="8" ySplit="5" topLeftCell="T232" activePane="bottomRight" state="frozen"/>
      <selection pane="topRight" activeCell="I1" sqref="I1"/>
      <selection pane="bottomLeft" activeCell="A6" sqref="A6"/>
      <selection pane="bottomRight" activeCell="AG229" sqref="AG229"/>
    </sheetView>
  </sheetViews>
  <sheetFormatPr defaultColWidth="9.140625" defaultRowHeight="15" x14ac:dyDescent="0.25"/>
  <cols>
    <col min="1" max="1" width="25.5703125" style="172" customWidth="1"/>
    <col min="2" max="2" width="38.42578125" style="170" customWidth="1"/>
    <col min="3" max="3" width="13.28515625" style="170" customWidth="1"/>
    <col min="4" max="4" width="10" style="173" customWidth="1"/>
    <col min="5" max="5" width="10.140625" style="170" customWidth="1"/>
    <col min="6" max="6" width="16.42578125" style="172" customWidth="1"/>
    <col min="7" max="7" width="9.85546875" style="170" bestFit="1" customWidth="1"/>
    <col min="8" max="8" width="16.42578125" style="173" customWidth="1"/>
    <col min="9" max="9" width="12.140625" style="173" customWidth="1"/>
    <col min="10" max="10" width="22.5703125" style="172" customWidth="1"/>
    <col min="11" max="11" width="7.42578125" style="170" customWidth="1"/>
    <col min="12" max="12" width="9.7109375" style="170" customWidth="1"/>
    <col min="13" max="13" width="9.140625" style="170" customWidth="1"/>
    <col min="14" max="14" width="10" style="170" customWidth="1"/>
    <col min="15" max="15" width="9" style="170" customWidth="1"/>
    <col min="16" max="16" width="11.42578125" style="170" customWidth="1"/>
    <col min="17" max="17" width="10.42578125" style="170" customWidth="1"/>
    <col min="18" max="18" width="16.140625" style="175" customWidth="1"/>
    <col min="19" max="19" width="11.42578125" style="175" customWidth="1"/>
    <col min="20" max="20" width="7.140625" style="174" customWidth="1"/>
    <col min="21" max="22" width="7.85546875" style="174" customWidth="1"/>
    <col min="23" max="24" width="13.42578125" style="174" customWidth="1"/>
    <col min="25" max="25" width="45.7109375" style="175" customWidth="1"/>
    <col min="26" max="26" width="11.42578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42578125" style="174" bestFit="1" customWidth="1"/>
    <col min="32" max="32" width="45.7109375" style="170" customWidth="1"/>
    <col min="33" max="33" width="12.7109375" style="170" customWidth="1"/>
    <col min="34" max="34" width="62.140625" style="172" customWidth="1"/>
    <col min="35" max="16384" width="9.140625" style="170"/>
  </cols>
  <sheetData>
    <row r="1" spans="1:34" ht="19.5" thickBot="1" x14ac:dyDescent="0.3">
      <c r="A1" s="706" t="s">
        <v>296</v>
      </c>
      <c r="B1" s="707"/>
      <c r="C1" s="707"/>
      <c r="D1" s="707"/>
      <c r="E1" s="707"/>
      <c r="F1" s="707"/>
      <c r="G1" s="707"/>
      <c r="H1" s="707"/>
      <c r="I1" s="707"/>
      <c r="J1" s="707"/>
      <c r="K1" s="707"/>
      <c r="L1" s="707"/>
      <c r="M1" s="707"/>
      <c r="N1" s="707"/>
      <c r="O1" s="707"/>
      <c r="P1" s="707"/>
      <c r="Q1" s="707"/>
      <c r="R1" s="707"/>
      <c r="S1" s="707"/>
      <c r="T1" s="707"/>
      <c r="U1" s="707"/>
      <c r="V1" s="707"/>
      <c r="W1" s="707"/>
      <c r="X1" s="707"/>
      <c r="Y1" s="707"/>
      <c r="Z1" s="707"/>
      <c r="AA1" s="707"/>
      <c r="AB1" s="707"/>
      <c r="AC1" s="707"/>
      <c r="AD1" s="707"/>
      <c r="AE1" s="707"/>
      <c r="AF1" s="707"/>
      <c r="AG1" s="707"/>
      <c r="AH1" s="708"/>
    </row>
    <row r="2" spans="1:34" ht="19.5" thickBot="1" x14ac:dyDescent="0.3">
      <c r="A2" s="709" t="s">
        <v>297</v>
      </c>
      <c r="B2" s="710"/>
      <c r="C2" s="710"/>
      <c r="D2" s="710"/>
      <c r="E2" s="710"/>
      <c r="F2" s="710"/>
      <c r="G2" s="710"/>
      <c r="H2" s="710"/>
      <c r="I2" s="710"/>
      <c r="J2" s="711"/>
      <c r="K2" s="373">
        <f>SUM(K6:K381)</f>
        <v>472</v>
      </c>
      <c r="L2" s="373">
        <f>SUM(L6:L381)</f>
        <v>779</v>
      </c>
      <c r="M2" s="374"/>
      <c r="N2" s="453">
        <f>SUMPRODUCT(K6:K381,N6:N381)/K384</f>
        <v>1</v>
      </c>
      <c r="O2" s="454">
        <f>SUM(O6:O381)</f>
        <v>776</v>
      </c>
      <c r="P2" s="455">
        <f>SUMPRODUCT(L6:L381,P6:P381)/L384</f>
        <v>0.99614890885750962</v>
      </c>
      <c r="Q2" s="375"/>
      <c r="R2" s="376">
        <f t="shared" ref="R2:W2" si="0">SUM(R6:R381)</f>
        <v>651</v>
      </c>
      <c r="S2" s="456">
        <f t="shared" si="0"/>
        <v>640</v>
      </c>
      <c r="T2" s="456">
        <f t="shared" si="0"/>
        <v>609</v>
      </c>
      <c r="U2" s="456">
        <f t="shared" si="0"/>
        <v>31</v>
      </c>
      <c r="V2" s="456">
        <f t="shared" si="0"/>
        <v>0</v>
      </c>
      <c r="W2" s="456">
        <f t="shared" si="0"/>
        <v>0</v>
      </c>
      <c r="X2" s="457">
        <f>IF((S384=0),0,((T384+U384)/S384*100%))</f>
        <v>1</v>
      </c>
      <c r="Y2" s="377"/>
      <c r="Z2" s="473">
        <f>SUM(Z6:Z381)</f>
        <v>665</v>
      </c>
      <c r="AA2" s="474">
        <f>SUM(AA6:AA381)</f>
        <v>470</v>
      </c>
      <c r="AB2" s="474">
        <f>SUM(AB6:AB381)</f>
        <v>3</v>
      </c>
      <c r="AC2" s="474">
        <f>SUM(AC6:AC381)</f>
        <v>126</v>
      </c>
      <c r="AD2" s="474">
        <f>SUM(AD6:AD381)</f>
        <v>66</v>
      </c>
      <c r="AE2" s="460">
        <f>IF((Z384=0),0,((AA384+AB384)/Z384*100%))</f>
        <v>0.71127819548872184</v>
      </c>
      <c r="AF2" s="378"/>
      <c r="AG2" s="378"/>
      <c r="AH2" s="578"/>
    </row>
    <row r="3" spans="1:34" ht="33.6" customHeight="1" thickBot="1" x14ac:dyDescent="0.3">
      <c r="A3" s="706" t="s">
        <v>298</v>
      </c>
      <c r="B3" s="707"/>
      <c r="C3" s="707"/>
      <c r="D3" s="707"/>
      <c r="E3" s="707"/>
      <c r="F3" s="707"/>
      <c r="G3" s="707"/>
      <c r="H3" s="707"/>
      <c r="I3" s="707"/>
      <c r="J3" s="707"/>
      <c r="K3" s="707"/>
      <c r="L3" s="707"/>
      <c r="M3" s="707"/>
      <c r="N3" s="707"/>
      <c r="O3" s="707"/>
      <c r="P3" s="707"/>
      <c r="Q3" s="707"/>
      <c r="R3" s="707"/>
      <c r="S3" s="707"/>
      <c r="T3" s="707"/>
      <c r="U3" s="707"/>
      <c r="V3" s="707"/>
      <c r="W3" s="707"/>
      <c r="X3" s="707"/>
      <c r="Y3" s="707"/>
      <c r="Z3" s="707"/>
      <c r="AA3" s="707"/>
      <c r="AB3" s="707"/>
      <c r="AC3" s="707"/>
      <c r="AD3" s="707"/>
      <c r="AE3" s="707"/>
      <c r="AF3" s="707"/>
      <c r="AG3" s="707"/>
      <c r="AH3" s="708"/>
    </row>
    <row r="4" spans="1:34" ht="31.5" customHeight="1" thickBot="1" x14ac:dyDescent="0.3">
      <c r="A4" s="712" t="s">
        <v>71</v>
      </c>
      <c r="B4" s="713"/>
      <c r="C4" s="713"/>
      <c r="D4" s="713"/>
      <c r="E4" s="713"/>
      <c r="F4" s="713"/>
      <c r="G4" s="713"/>
      <c r="H4" s="713"/>
      <c r="I4" s="713"/>
      <c r="J4" s="713"/>
      <c r="K4" s="713"/>
      <c r="L4" s="713"/>
      <c r="M4" s="714"/>
      <c r="N4" s="715" t="s">
        <v>299</v>
      </c>
      <c r="O4" s="716"/>
      <c r="P4" s="717"/>
      <c r="Q4" s="722" t="s">
        <v>300</v>
      </c>
      <c r="R4" s="723"/>
      <c r="S4" s="723"/>
      <c r="T4" s="723"/>
      <c r="U4" s="723"/>
      <c r="V4" s="723"/>
      <c r="W4" s="723"/>
      <c r="X4" s="723"/>
      <c r="Y4" s="724"/>
      <c r="Z4" s="718" t="s">
        <v>301</v>
      </c>
      <c r="AA4" s="719"/>
      <c r="AB4" s="719"/>
      <c r="AC4" s="719"/>
      <c r="AD4" s="719"/>
      <c r="AE4" s="720"/>
      <c r="AF4" s="720"/>
      <c r="AG4" s="720"/>
      <c r="AH4" s="721"/>
    </row>
    <row r="5" spans="1:34" s="562" customFormat="1" ht="45.75" thickBot="1" x14ac:dyDescent="0.3">
      <c r="A5" s="336" t="s">
        <v>72</v>
      </c>
      <c r="B5" s="550" t="s">
        <v>76</v>
      </c>
      <c r="C5" s="550" t="s">
        <v>79</v>
      </c>
      <c r="D5" s="551" t="s">
        <v>83</v>
      </c>
      <c r="E5" s="550" t="s">
        <v>86</v>
      </c>
      <c r="F5" s="550" t="s">
        <v>89</v>
      </c>
      <c r="G5" s="550" t="s">
        <v>91</v>
      </c>
      <c r="H5" s="550" t="s">
        <v>94</v>
      </c>
      <c r="I5" s="550" t="s">
        <v>302</v>
      </c>
      <c r="J5" s="550" t="s">
        <v>97</v>
      </c>
      <c r="K5" s="364" t="s">
        <v>100</v>
      </c>
      <c r="L5" s="364" t="s">
        <v>103</v>
      </c>
      <c r="M5" s="552" t="s">
        <v>1</v>
      </c>
      <c r="N5" s="553" t="s">
        <v>109</v>
      </c>
      <c r="O5" s="554" t="s">
        <v>113</v>
      </c>
      <c r="P5" s="555" t="s">
        <v>116</v>
      </c>
      <c r="Q5" s="556" t="s">
        <v>120</v>
      </c>
      <c r="R5" s="557" t="s">
        <v>123</v>
      </c>
      <c r="S5" s="557" t="s">
        <v>127</v>
      </c>
      <c r="T5" s="558" t="s">
        <v>30</v>
      </c>
      <c r="U5" s="558" t="s">
        <v>130</v>
      </c>
      <c r="V5" s="558" t="s">
        <v>35</v>
      </c>
      <c r="W5" s="558" t="s">
        <v>133</v>
      </c>
      <c r="X5" s="558" t="s">
        <v>135</v>
      </c>
      <c r="Y5" s="559" t="s">
        <v>137</v>
      </c>
      <c r="Z5" s="560" t="s">
        <v>127</v>
      </c>
      <c r="AA5" s="558" t="s">
        <v>30</v>
      </c>
      <c r="AB5" s="558" t="s">
        <v>130</v>
      </c>
      <c r="AC5" s="558" t="s">
        <v>35</v>
      </c>
      <c r="AD5" s="558" t="s">
        <v>133</v>
      </c>
      <c r="AE5" s="558" t="s">
        <v>135</v>
      </c>
      <c r="AF5" s="550" t="s">
        <v>150</v>
      </c>
      <c r="AG5" s="550" t="s">
        <v>152</v>
      </c>
      <c r="AH5" s="561" t="s">
        <v>155</v>
      </c>
    </row>
    <row r="6" spans="1:34" ht="75.75" thickBot="1" x14ac:dyDescent="0.3">
      <c r="A6" s="316" t="s">
        <v>303</v>
      </c>
      <c r="B6" s="532" t="s">
        <v>304</v>
      </c>
      <c r="C6" s="426" t="s">
        <v>305</v>
      </c>
      <c r="D6" s="535" t="s">
        <v>306</v>
      </c>
      <c r="E6" s="426"/>
      <c r="F6" s="532" t="s">
        <v>307</v>
      </c>
      <c r="G6" s="230" t="e">
        <f>VLOOKUP(A6,'Feature Summary'!$A$7:$C$4104,3,FALSE)</f>
        <v>#N/A</v>
      </c>
      <c r="H6" s="538" t="s">
        <v>308</v>
      </c>
      <c r="I6" s="538" t="s">
        <v>309</v>
      </c>
      <c r="J6" s="539" t="s">
        <v>310</v>
      </c>
      <c r="K6" s="546">
        <v>1</v>
      </c>
      <c r="L6" s="547">
        <v>1</v>
      </c>
      <c r="M6" s="544" t="s">
        <v>38</v>
      </c>
      <c r="N6" s="445">
        <v>1</v>
      </c>
      <c r="O6" s="443">
        <v>1</v>
      </c>
      <c r="P6" s="444">
        <f>IF((O6=0),0,(O6/L6))</f>
        <v>1</v>
      </c>
      <c r="Q6" s="427" t="s">
        <v>45</v>
      </c>
      <c r="R6" s="337">
        <v>1</v>
      </c>
      <c r="S6" s="475">
        <f>SUM(T6:W6)</f>
        <v>1</v>
      </c>
      <c r="T6" s="465">
        <v>1</v>
      </c>
      <c r="U6" s="462"/>
      <c r="V6" s="462"/>
      <c r="W6" s="462"/>
      <c r="X6" s="476">
        <f t="shared" ref="X6:X72" si="1">IF((S6=0),0,((T6+U6)/S6*100%))</f>
        <v>1</v>
      </c>
      <c r="Y6" s="428"/>
      <c r="Z6" s="461">
        <f>SUM(AA6:AD6)</f>
        <v>1</v>
      </c>
      <c r="AA6" s="465">
        <v>1</v>
      </c>
      <c r="AB6" s="462"/>
      <c r="AC6" s="462"/>
      <c r="AD6" s="462"/>
      <c r="AE6" s="463">
        <f>IF((Z6=0),0,((AA6+AB6)/Z6*100%))</f>
        <v>1</v>
      </c>
      <c r="AF6" s="426" t="s">
        <v>311</v>
      </c>
      <c r="AG6" s="429" t="str">
        <f>VLOOKUP(LEFT(A6,(FIND(",",A6,1)-1)),'Feature Summary'!$A$7:$U$4035,21,FALSE)</f>
        <v>A/B + 4wks</v>
      </c>
      <c r="AH6" s="430"/>
    </row>
    <row r="7" spans="1:34" ht="75.75" thickBot="1" x14ac:dyDescent="0.3">
      <c r="A7" s="316" t="s">
        <v>303</v>
      </c>
      <c r="B7" s="533" t="s">
        <v>304</v>
      </c>
      <c r="C7" s="308" t="s">
        <v>305</v>
      </c>
      <c r="D7" s="536" t="s">
        <v>306</v>
      </c>
      <c r="E7" s="308"/>
      <c r="F7" s="533" t="s">
        <v>312</v>
      </c>
      <c r="G7" s="231" t="e">
        <f>VLOOKUP(A7,'Feature Summary'!$A$7:$C$4104,3,FALSE)</f>
        <v>#N/A</v>
      </c>
      <c r="H7" s="540" t="s">
        <v>313</v>
      </c>
      <c r="I7" s="538" t="s">
        <v>309</v>
      </c>
      <c r="J7" s="541" t="s">
        <v>310</v>
      </c>
      <c r="K7" s="548">
        <v>1</v>
      </c>
      <c r="L7" s="549">
        <v>1</v>
      </c>
      <c r="M7" s="544" t="s">
        <v>38</v>
      </c>
      <c r="N7" s="445">
        <v>1</v>
      </c>
      <c r="O7" s="443">
        <v>1</v>
      </c>
      <c r="P7" s="447">
        <f>IF((O7=0),0,(O7/L7))</f>
        <v>1</v>
      </c>
      <c r="Q7" s="431" t="s">
        <v>45</v>
      </c>
      <c r="R7" s="309">
        <v>1</v>
      </c>
      <c r="S7" s="477">
        <f t="shared" ref="S7:S73" si="2">SUM(T7:W7)</f>
        <v>1</v>
      </c>
      <c r="T7" s="465">
        <v>1</v>
      </c>
      <c r="U7" s="465"/>
      <c r="V7" s="465"/>
      <c r="W7" s="465"/>
      <c r="X7" s="478">
        <f>IF((S7=0),0,((T7+U7)/S7*100%))</f>
        <v>1</v>
      </c>
      <c r="Y7" s="432"/>
      <c r="Z7" s="464">
        <f t="shared" ref="Z7:Z73" si="3">SUM(AA7:AD7)</f>
        <v>1</v>
      </c>
      <c r="AA7" s="465">
        <v>1</v>
      </c>
      <c r="AB7" s="465"/>
      <c r="AC7" s="465"/>
      <c r="AD7" s="465"/>
      <c r="AE7" s="466">
        <f>IF((Z7=0),0,((AA7+AB7)/Z7*100%))</f>
        <v>1</v>
      </c>
      <c r="AF7" s="426" t="s">
        <v>311</v>
      </c>
      <c r="AG7" s="429" t="str">
        <f>VLOOKUP(LEFT(A7,(FIND(",",A7,1)-1)),'Feature Summary'!$A$7:$U$4035,21,FALSE)</f>
        <v>A/B + 4wks</v>
      </c>
      <c r="AH7" s="310"/>
    </row>
    <row r="8" spans="1:34" ht="60.75" thickBot="1" x14ac:dyDescent="0.3">
      <c r="A8" s="316" t="s">
        <v>314</v>
      </c>
      <c r="B8" s="533" t="s">
        <v>304</v>
      </c>
      <c r="C8" s="308" t="s">
        <v>305</v>
      </c>
      <c r="D8" s="536" t="s">
        <v>306</v>
      </c>
      <c r="E8" s="308"/>
      <c r="F8" s="533" t="s">
        <v>315</v>
      </c>
      <c r="G8" s="231" t="e">
        <f>VLOOKUP(A8,'Feature Summary'!$A$7:$C$4104,3,FALSE)</f>
        <v>#N/A</v>
      </c>
      <c r="H8" s="540" t="s">
        <v>316</v>
      </c>
      <c r="I8" s="538" t="s">
        <v>309</v>
      </c>
      <c r="J8" s="541" t="s">
        <v>310</v>
      </c>
      <c r="K8" s="548">
        <v>1</v>
      </c>
      <c r="L8" s="549">
        <v>1</v>
      </c>
      <c r="M8" s="544" t="s">
        <v>38</v>
      </c>
      <c r="N8" s="445">
        <v>1</v>
      </c>
      <c r="O8" s="443">
        <v>1</v>
      </c>
      <c r="P8" s="447">
        <f>IF((O8=0),0,(O8/L8))</f>
        <v>1</v>
      </c>
      <c r="Q8" s="431" t="s">
        <v>45</v>
      </c>
      <c r="R8" s="309">
        <v>1</v>
      </c>
      <c r="S8" s="477">
        <f>SUM(T8:W8)</f>
        <v>1</v>
      </c>
      <c r="T8" s="465">
        <v>1</v>
      </c>
      <c r="U8" s="465"/>
      <c r="V8" s="465"/>
      <c r="W8" s="465"/>
      <c r="X8" s="478">
        <f>IF((S8=0),0,((T8+U8)/S8*100%))</f>
        <v>1</v>
      </c>
      <c r="Y8" s="432"/>
      <c r="Z8" s="464">
        <f>SUM(AA8:AD8)</f>
        <v>1</v>
      </c>
      <c r="AA8" s="465">
        <v>1</v>
      </c>
      <c r="AB8" s="465"/>
      <c r="AC8" s="465"/>
      <c r="AD8" s="465"/>
      <c r="AE8" s="466">
        <f>IF((Z8=0),0,((AA8+AB8)/Z8*100%))</f>
        <v>1</v>
      </c>
      <c r="AF8" s="426" t="s">
        <v>311</v>
      </c>
      <c r="AG8" s="429" t="str">
        <f>VLOOKUP(LEFT(A8,(FIND(",",A8,1)-1)),'Feature Summary'!$A$7:$U$4035,21,FALSE)</f>
        <v>A/B + 4wks</v>
      </c>
      <c r="AH8" s="310"/>
    </row>
    <row r="9" spans="1:34" ht="60.75" thickBot="1" x14ac:dyDescent="0.3">
      <c r="A9" s="316" t="s">
        <v>314</v>
      </c>
      <c r="B9" s="533" t="s">
        <v>304</v>
      </c>
      <c r="C9" s="308" t="s">
        <v>305</v>
      </c>
      <c r="D9" s="536" t="s">
        <v>306</v>
      </c>
      <c r="E9" s="308"/>
      <c r="F9" s="533" t="s">
        <v>317</v>
      </c>
      <c r="G9" s="231" t="e">
        <f>VLOOKUP(A9,'Feature Summary'!$A$7:$C$4104,3,FALSE)</f>
        <v>#N/A</v>
      </c>
      <c r="H9" s="540" t="s">
        <v>318</v>
      </c>
      <c r="I9" s="538" t="s">
        <v>309</v>
      </c>
      <c r="J9" s="541" t="s">
        <v>310</v>
      </c>
      <c r="K9" s="548">
        <v>1</v>
      </c>
      <c r="L9" s="549">
        <v>1</v>
      </c>
      <c r="M9" s="544" t="s">
        <v>38</v>
      </c>
      <c r="N9" s="445">
        <v>1</v>
      </c>
      <c r="O9" s="443">
        <v>1</v>
      </c>
      <c r="P9" s="447">
        <f t="shared" ref="P9:P73" si="4">IF((O9=0),0,(O9/L9))</f>
        <v>1</v>
      </c>
      <c r="Q9" s="431" t="s">
        <v>45</v>
      </c>
      <c r="R9" s="309">
        <v>1</v>
      </c>
      <c r="S9" s="477">
        <f t="shared" si="2"/>
        <v>1</v>
      </c>
      <c r="T9" s="465">
        <v>1</v>
      </c>
      <c r="U9" s="465"/>
      <c r="V9" s="465"/>
      <c r="W9" s="465"/>
      <c r="X9" s="478">
        <f>IF((S9=0),0,((T9+U9)/S9*100%))</f>
        <v>1</v>
      </c>
      <c r="Y9" s="432"/>
      <c r="Z9" s="464">
        <f t="shared" si="3"/>
        <v>1</v>
      </c>
      <c r="AA9" s="465">
        <v>1</v>
      </c>
      <c r="AB9" s="465"/>
      <c r="AC9" s="465"/>
      <c r="AD9" s="465"/>
      <c r="AE9" s="466">
        <f t="shared" ref="AE9:AE73" si="5">IF((Z9=0),0,((AA9+AB9)/Z9*100%))</f>
        <v>1</v>
      </c>
      <c r="AF9" s="426" t="s">
        <v>311</v>
      </c>
      <c r="AG9" s="429" t="str">
        <f>VLOOKUP(LEFT(A9,(FIND(",",A9,1)-1)),'Feature Summary'!$A$7:$U$4035,21,FALSE)</f>
        <v>A/B + 4wks</v>
      </c>
      <c r="AH9" s="310"/>
    </row>
    <row r="10" spans="1:34" ht="60.75" thickBot="1" x14ac:dyDescent="0.3">
      <c r="A10" s="316" t="s">
        <v>314</v>
      </c>
      <c r="B10" s="533" t="s">
        <v>304</v>
      </c>
      <c r="C10" s="308" t="s">
        <v>305</v>
      </c>
      <c r="D10" s="536" t="s">
        <v>306</v>
      </c>
      <c r="E10" s="308"/>
      <c r="F10" s="533" t="s">
        <v>319</v>
      </c>
      <c r="G10" s="231" t="e">
        <f>VLOOKUP(A10,'Feature Summary'!$A$7:$C$4104,3,FALSE)</f>
        <v>#N/A</v>
      </c>
      <c r="H10" s="540" t="s">
        <v>320</v>
      </c>
      <c r="I10" s="538" t="s">
        <v>309</v>
      </c>
      <c r="J10" s="541" t="s">
        <v>310</v>
      </c>
      <c r="K10" s="548">
        <v>1</v>
      </c>
      <c r="L10" s="549">
        <v>1</v>
      </c>
      <c r="M10" s="544" t="s">
        <v>38</v>
      </c>
      <c r="N10" s="445">
        <v>1</v>
      </c>
      <c r="O10" s="443">
        <v>1</v>
      </c>
      <c r="P10" s="447">
        <f t="shared" si="4"/>
        <v>1</v>
      </c>
      <c r="Q10" s="431" t="s">
        <v>45</v>
      </c>
      <c r="R10" s="309">
        <v>1</v>
      </c>
      <c r="S10" s="477">
        <f t="shared" si="2"/>
        <v>1</v>
      </c>
      <c r="T10" s="465">
        <v>1</v>
      </c>
      <c r="U10" s="465"/>
      <c r="V10" s="465"/>
      <c r="W10" s="465"/>
      <c r="X10" s="478">
        <f t="shared" si="1"/>
        <v>1</v>
      </c>
      <c r="Y10" s="432"/>
      <c r="Z10" s="464">
        <f t="shared" si="3"/>
        <v>1</v>
      </c>
      <c r="AA10" s="465">
        <v>1</v>
      </c>
      <c r="AB10" s="465"/>
      <c r="AC10" s="465"/>
      <c r="AD10" s="465"/>
      <c r="AE10" s="466">
        <f>IF((Z10=0),0,((AA10+AB10)/Z10*100%))</f>
        <v>1</v>
      </c>
      <c r="AF10" s="426" t="s">
        <v>311</v>
      </c>
      <c r="AG10" s="429" t="str">
        <f>VLOOKUP(LEFT(A10,(FIND(",",A10,1)-1)),'Feature Summary'!$A$7:$U$4035,21,FALSE)</f>
        <v>A/B + 4wks</v>
      </c>
      <c r="AH10" s="310"/>
    </row>
    <row r="11" spans="1:34" ht="60.75" thickBot="1" x14ac:dyDescent="0.3">
      <c r="A11" s="316" t="s">
        <v>314</v>
      </c>
      <c r="B11" s="533" t="s">
        <v>304</v>
      </c>
      <c r="C11" s="308" t="s">
        <v>305</v>
      </c>
      <c r="D11" s="536" t="s">
        <v>306</v>
      </c>
      <c r="E11" s="308"/>
      <c r="F11" s="533" t="s">
        <v>321</v>
      </c>
      <c r="G11" s="231" t="e">
        <f>VLOOKUP(A11,'Feature Summary'!$A$7:$C$4104,3,FALSE)</f>
        <v>#N/A</v>
      </c>
      <c r="H11" s="540" t="s">
        <v>322</v>
      </c>
      <c r="I11" s="538" t="s">
        <v>309</v>
      </c>
      <c r="J11" s="541" t="s">
        <v>310</v>
      </c>
      <c r="K11" s="548">
        <v>1</v>
      </c>
      <c r="L11" s="549">
        <v>1</v>
      </c>
      <c r="M11" s="544" t="s">
        <v>38</v>
      </c>
      <c r="N11" s="445">
        <v>1</v>
      </c>
      <c r="O11" s="443">
        <v>1</v>
      </c>
      <c r="P11" s="447">
        <f>IF((O11=0),0,(O11/L11))</f>
        <v>1</v>
      </c>
      <c r="Q11" s="431" t="s">
        <v>45</v>
      </c>
      <c r="R11" s="309">
        <v>1</v>
      </c>
      <c r="S11" s="477">
        <f t="shared" si="2"/>
        <v>1</v>
      </c>
      <c r="T11" s="465">
        <v>1</v>
      </c>
      <c r="U11" s="465"/>
      <c r="V11" s="465"/>
      <c r="W11" s="465"/>
      <c r="X11" s="478">
        <f>IF((S11=0),0,((T11+U11)/S11*100%))</f>
        <v>1</v>
      </c>
      <c r="Y11" s="432"/>
      <c r="Z11" s="464">
        <f t="shared" si="3"/>
        <v>1</v>
      </c>
      <c r="AA11" s="465">
        <v>1</v>
      </c>
      <c r="AB11" s="465"/>
      <c r="AC11" s="465"/>
      <c r="AD11" s="465"/>
      <c r="AE11" s="466">
        <f>IF((Z11=0),0,((AA11+AB11)/Z11*100%))</f>
        <v>1</v>
      </c>
      <c r="AF11" s="426" t="s">
        <v>311</v>
      </c>
      <c r="AG11" s="429" t="str">
        <f>VLOOKUP(LEFT(A11,(FIND(",",A11,1)-1)),'Feature Summary'!$A$7:$U$4035,21,FALSE)</f>
        <v>A/B + 4wks</v>
      </c>
      <c r="AH11" s="310"/>
    </row>
    <row r="12" spans="1:34" ht="60.75" thickBot="1" x14ac:dyDescent="0.3">
      <c r="A12" s="316" t="s">
        <v>314</v>
      </c>
      <c r="B12" s="533" t="s">
        <v>304</v>
      </c>
      <c r="C12" s="308" t="s">
        <v>305</v>
      </c>
      <c r="D12" s="536" t="s">
        <v>306</v>
      </c>
      <c r="E12" s="308"/>
      <c r="F12" s="533" t="s">
        <v>323</v>
      </c>
      <c r="G12" s="231" t="e">
        <f>VLOOKUP(A12,'Feature Summary'!$A$7:$C$4104,3,FALSE)</f>
        <v>#N/A</v>
      </c>
      <c r="H12" s="540" t="s">
        <v>324</v>
      </c>
      <c r="I12" s="538" t="s">
        <v>309</v>
      </c>
      <c r="J12" s="541" t="s">
        <v>310</v>
      </c>
      <c r="K12" s="548">
        <v>1</v>
      </c>
      <c r="L12" s="549">
        <v>1</v>
      </c>
      <c r="M12" s="544" t="s">
        <v>38</v>
      </c>
      <c r="N12" s="445">
        <v>1</v>
      </c>
      <c r="O12" s="443">
        <v>1</v>
      </c>
      <c r="P12" s="447">
        <f t="shared" si="4"/>
        <v>1</v>
      </c>
      <c r="Q12" s="431" t="s">
        <v>45</v>
      </c>
      <c r="R12" s="309">
        <v>1</v>
      </c>
      <c r="S12" s="477">
        <f t="shared" si="2"/>
        <v>1</v>
      </c>
      <c r="T12" s="465">
        <v>1</v>
      </c>
      <c r="U12" s="465"/>
      <c r="V12" s="465"/>
      <c r="W12" s="465"/>
      <c r="X12" s="478">
        <f>IF((S12=0),0,((T12+U12)/S12*100%))</f>
        <v>1</v>
      </c>
      <c r="Y12" s="432"/>
      <c r="Z12" s="464">
        <f t="shared" si="3"/>
        <v>1</v>
      </c>
      <c r="AA12" s="465">
        <v>1</v>
      </c>
      <c r="AB12" s="465"/>
      <c r="AC12" s="465"/>
      <c r="AD12" s="465"/>
      <c r="AE12" s="466">
        <f t="shared" si="5"/>
        <v>1</v>
      </c>
      <c r="AF12" s="426" t="s">
        <v>311</v>
      </c>
      <c r="AG12" s="429" t="str">
        <f>VLOOKUP(LEFT(A12,(FIND(",",A12,1)-1)),'Feature Summary'!$A$7:$U$4035,21,FALSE)</f>
        <v>A/B + 4wks</v>
      </c>
      <c r="AH12" s="310"/>
    </row>
    <row r="13" spans="1:34" ht="75.75" thickBot="1" x14ac:dyDescent="0.3">
      <c r="A13" s="316" t="s">
        <v>303</v>
      </c>
      <c r="B13" s="533" t="s">
        <v>304</v>
      </c>
      <c r="C13" s="308" t="s">
        <v>305</v>
      </c>
      <c r="D13" s="536" t="s">
        <v>306</v>
      </c>
      <c r="E13" s="308"/>
      <c r="F13" s="533" t="s">
        <v>325</v>
      </c>
      <c r="G13" s="231" t="e">
        <f>VLOOKUP(A13,'Feature Summary'!$A$7:$C$4104,3,FALSE)</f>
        <v>#N/A</v>
      </c>
      <c r="H13" s="540" t="s">
        <v>326</v>
      </c>
      <c r="I13" s="538" t="s">
        <v>309</v>
      </c>
      <c r="J13" s="541" t="s">
        <v>327</v>
      </c>
      <c r="K13" s="548">
        <v>1</v>
      </c>
      <c r="L13" s="549">
        <v>1</v>
      </c>
      <c r="M13" s="544" t="s">
        <v>38</v>
      </c>
      <c r="N13" s="445">
        <v>1</v>
      </c>
      <c r="O13" s="443">
        <v>1</v>
      </c>
      <c r="P13" s="447">
        <f t="shared" si="4"/>
        <v>1</v>
      </c>
      <c r="Q13" s="431" t="s">
        <v>45</v>
      </c>
      <c r="R13" s="309">
        <v>1</v>
      </c>
      <c r="S13" s="477">
        <f t="shared" si="2"/>
        <v>1</v>
      </c>
      <c r="T13" s="465">
        <v>1</v>
      </c>
      <c r="U13" s="465"/>
      <c r="V13" s="465"/>
      <c r="W13" s="465"/>
      <c r="X13" s="478">
        <f t="shared" si="1"/>
        <v>1</v>
      </c>
      <c r="Y13" s="432"/>
      <c r="Z13" s="464">
        <f t="shared" si="3"/>
        <v>1</v>
      </c>
      <c r="AA13" s="465">
        <v>1</v>
      </c>
      <c r="AB13" s="465"/>
      <c r="AC13" s="465"/>
      <c r="AD13" s="465"/>
      <c r="AE13" s="466">
        <f>IF((Z13=0),0,((AA13+AB13)/Z13*100%))</f>
        <v>1</v>
      </c>
      <c r="AF13" s="426" t="s">
        <v>311</v>
      </c>
      <c r="AG13" s="429" t="str">
        <f>VLOOKUP(LEFT(A13,(FIND(",",A13,1)-1)),'Feature Summary'!$A$7:$U$4035,21,FALSE)</f>
        <v>A/B + 4wks</v>
      </c>
      <c r="AH13" s="310"/>
    </row>
    <row r="14" spans="1:34" ht="90.75" thickBot="1" x14ac:dyDescent="0.3">
      <c r="A14" s="316" t="s">
        <v>328</v>
      </c>
      <c r="B14" s="533" t="s">
        <v>304</v>
      </c>
      <c r="C14" s="308" t="s">
        <v>305</v>
      </c>
      <c r="D14" s="536" t="s">
        <v>306</v>
      </c>
      <c r="E14" s="308"/>
      <c r="F14" s="533" t="s">
        <v>329</v>
      </c>
      <c r="G14" s="231" t="e">
        <f>VLOOKUP(A14,'Feature Summary'!$A$7:$C$4104,3,FALSE)</f>
        <v>#N/A</v>
      </c>
      <c r="H14" s="540" t="s">
        <v>330</v>
      </c>
      <c r="I14" s="540" t="s">
        <v>309</v>
      </c>
      <c r="J14" s="541" t="s">
        <v>327</v>
      </c>
      <c r="K14" s="548">
        <v>1</v>
      </c>
      <c r="L14" s="549">
        <v>15</v>
      </c>
      <c r="M14" s="544" t="s">
        <v>38</v>
      </c>
      <c r="N14" s="445">
        <v>1</v>
      </c>
      <c r="O14" s="443">
        <v>15</v>
      </c>
      <c r="P14" s="447">
        <f t="shared" ref="P14" si="6">IF((O14=0),0,(O14/L14))</f>
        <v>1</v>
      </c>
      <c r="Q14" s="431" t="s">
        <v>46</v>
      </c>
      <c r="R14" s="309">
        <v>15</v>
      </c>
      <c r="S14" s="477">
        <f t="shared" ref="S14" si="7">SUM(T14:W14)</f>
        <v>15</v>
      </c>
      <c r="T14" s="465">
        <v>15</v>
      </c>
      <c r="U14" s="465"/>
      <c r="V14" s="465"/>
      <c r="W14" s="465"/>
      <c r="X14" s="478">
        <f>IF((S14=0),0,((T14+U14)/S14*100%))</f>
        <v>1</v>
      </c>
      <c r="Y14" s="432"/>
      <c r="Z14" s="464">
        <f t="shared" ref="Z14" si="8">SUM(AA14:AD14)</f>
        <v>15</v>
      </c>
      <c r="AA14" s="465">
        <v>15</v>
      </c>
      <c r="AB14" s="465"/>
      <c r="AC14" s="465"/>
      <c r="AD14" s="465"/>
      <c r="AE14" s="466">
        <f t="shared" ref="AE14" si="9">IF((Z14=0),0,((AA14+AB14)/Z14*100%))</f>
        <v>1</v>
      </c>
      <c r="AF14" s="426"/>
      <c r="AG14" s="429" t="str">
        <f>VLOOKUP(LEFT(A14,(FIND(",",A14,1)-1)),'Feature Summary'!$A$7:$U$4035,21,FALSE)</f>
        <v>A/B + 4wks</v>
      </c>
      <c r="AH14" s="310"/>
    </row>
    <row r="15" spans="1:34" ht="90.75" thickBot="1" x14ac:dyDescent="0.3">
      <c r="A15" s="316" t="s">
        <v>328</v>
      </c>
      <c r="B15" s="533" t="s">
        <v>304</v>
      </c>
      <c r="C15" s="308" t="s">
        <v>305</v>
      </c>
      <c r="D15" s="536" t="s">
        <v>306</v>
      </c>
      <c r="E15" s="308"/>
      <c r="F15" s="533" t="s">
        <v>329</v>
      </c>
      <c r="G15" s="231" t="e">
        <f>VLOOKUP(A15,'Feature Summary'!$A$7:$C$4104,3,FALSE)</f>
        <v>#N/A</v>
      </c>
      <c r="H15" s="540" t="s">
        <v>330</v>
      </c>
      <c r="I15" s="540" t="s">
        <v>331</v>
      </c>
      <c r="J15" s="541" t="s">
        <v>327</v>
      </c>
      <c r="K15" s="548">
        <v>1</v>
      </c>
      <c r="L15" s="549">
        <v>15</v>
      </c>
      <c r="M15" s="544" t="s">
        <v>38</v>
      </c>
      <c r="N15" s="445">
        <v>1</v>
      </c>
      <c r="O15" s="443">
        <v>15</v>
      </c>
      <c r="P15" s="447">
        <f t="shared" si="4"/>
        <v>1</v>
      </c>
      <c r="Q15" s="431" t="s">
        <v>45</v>
      </c>
      <c r="R15" s="309">
        <v>15</v>
      </c>
      <c r="S15" s="477">
        <f t="shared" si="2"/>
        <v>15</v>
      </c>
      <c r="T15" s="465">
        <v>15</v>
      </c>
      <c r="U15" s="465"/>
      <c r="V15" s="465"/>
      <c r="W15" s="465"/>
      <c r="X15" s="478">
        <f>IF((S15=0),0,((T15+U15)/S15*100%))</f>
        <v>1</v>
      </c>
      <c r="Y15" s="432"/>
      <c r="Z15" s="464">
        <f t="shared" si="3"/>
        <v>15</v>
      </c>
      <c r="AA15" s="465">
        <v>15</v>
      </c>
      <c r="AB15" s="465"/>
      <c r="AC15" s="465"/>
      <c r="AD15" s="465"/>
      <c r="AE15" s="466">
        <f t="shared" si="5"/>
        <v>1</v>
      </c>
      <c r="AF15" s="571" t="s">
        <v>332</v>
      </c>
      <c r="AG15" s="429" t="str">
        <f>VLOOKUP(LEFT(A15,(FIND(",",A15,1)-1)),'Feature Summary'!$A$7:$U$4035,21,FALSE)</f>
        <v>A/B + 4wks</v>
      </c>
      <c r="AH15" s="310"/>
    </row>
    <row r="16" spans="1:34" ht="90.75" thickBot="1" x14ac:dyDescent="0.3">
      <c r="A16" s="316" t="s">
        <v>328</v>
      </c>
      <c r="B16" s="533" t="s">
        <v>304</v>
      </c>
      <c r="C16" s="308" t="s">
        <v>305</v>
      </c>
      <c r="D16" s="536" t="s">
        <v>306</v>
      </c>
      <c r="E16" s="308"/>
      <c r="F16" s="533" t="s">
        <v>329</v>
      </c>
      <c r="G16" s="231" t="e">
        <f>VLOOKUP(A16,'Feature Summary'!$A$7:$C$4104,3,FALSE)</f>
        <v>#N/A</v>
      </c>
      <c r="H16" s="540" t="s">
        <v>333</v>
      </c>
      <c r="I16" s="540" t="s">
        <v>309</v>
      </c>
      <c r="J16" s="541" t="s">
        <v>327</v>
      </c>
      <c r="K16" s="548">
        <v>1</v>
      </c>
      <c r="L16" s="549">
        <v>1</v>
      </c>
      <c r="M16" s="544" t="s">
        <v>38</v>
      </c>
      <c r="N16" s="445">
        <v>1</v>
      </c>
      <c r="O16" s="443">
        <v>1</v>
      </c>
      <c r="P16" s="447">
        <f t="shared" si="4"/>
        <v>1</v>
      </c>
      <c r="Q16" s="431" t="s">
        <v>45</v>
      </c>
      <c r="R16" s="309">
        <v>1</v>
      </c>
      <c r="S16" s="477">
        <f t="shared" si="2"/>
        <v>1</v>
      </c>
      <c r="T16" s="465">
        <v>1</v>
      </c>
      <c r="U16" s="465"/>
      <c r="V16" s="465"/>
      <c r="W16" s="465"/>
      <c r="X16" s="478">
        <f>IF((S16=0),0,((T16+U16)/S16*100%))</f>
        <v>1</v>
      </c>
      <c r="Y16" s="432"/>
      <c r="Z16" s="464">
        <f t="shared" si="3"/>
        <v>1</v>
      </c>
      <c r="AA16" s="465">
        <v>1</v>
      </c>
      <c r="AB16" s="465"/>
      <c r="AC16" s="465"/>
      <c r="AD16" s="465"/>
      <c r="AE16" s="466">
        <f t="shared" si="5"/>
        <v>1</v>
      </c>
      <c r="AF16" s="426"/>
      <c r="AG16" s="429" t="str">
        <f>VLOOKUP(LEFT(A16,(FIND(",",A16,1)-1)),'Feature Summary'!$A$7:$U$4035,21,FALSE)</f>
        <v>A/B + 4wks</v>
      </c>
      <c r="AH16" s="310"/>
    </row>
    <row r="17" spans="1:34" ht="90.75" thickBot="1" x14ac:dyDescent="0.3">
      <c r="A17" s="316" t="s">
        <v>328</v>
      </c>
      <c r="B17" s="533" t="s">
        <v>304</v>
      </c>
      <c r="C17" s="308" t="s">
        <v>305</v>
      </c>
      <c r="D17" s="536" t="s">
        <v>306</v>
      </c>
      <c r="E17" s="308"/>
      <c r="F17" s="533" t="s">
        <v>329</v>
      </c>
      <c r="G17" s="231" t="e">
        <f>VLOOKUP(A17,'Feature Summary'!$A$7:$C$4104,3,FALSE)</f>
        <v>#N/A</v>
      </c>
      <c r="H17" s="540" t="s">
        <v>333</v>
      </c>
      <c r="I17" s="540" t="s">
        <v>331</v>
      </c>
      <c r="J17" s="541" t="s">
        <v>327</v>
      </c>
      <c r="K17" s="548">
        <v>1</v>
      </c>
      <c r="L17" s="549">
        <v>1</v>
      </c>
      <c r="M17" s="544" t="s">
        <v>38</v>
      </c>
      <c r="N17" s="445">
        <v>1</v>
      </c>
      <c r="O17" s="443">
        <v>1</v>
      </c>
      <c r="P17" s="447">
        <f t="shared" ref="P17" si="10">IF((O17=0),0,(O17/L17))</f>
        <v>1</v>
      </c>
      <c r="Q17" s="431"/>
      <c r="R17" s="309">
        <v>1</v>
      </c>
      <c r="S17" s="477">
        <f t="shared" ref="S17" si="11">SUM(T17:W17)</f>
        <v>1</v>
      </c>
      <c r="T17" s="465">
        <v>1</v>
      </c>
      <c r="U17" s="465"/>
      <c r="V17" s="465"/>
      <c r="W17" s="465"/>
      <c r="X17" s="478">
        <f>IF((S17=0),0,((T17+U17)/S17*100%))</f>
        <v>1</v>
      </c>
      <c r="Y17" s="432"/>
      <c r="Z17" s="464">
        <f t="shared" ref="Z17" si="12">SUM(AA17:AD17)</f>
        <v>1</v>
      </c>
      <c r="AA17" s="465">
        <v>1</v>
      </c>
      <c r="AB17" s="465"/>
      <c r="AC17" s="465"/>
      <c r="AD17" s="465"/>
      <c r="AE17" s="466">
        <f t="shared" ref="AE17" si="13">IF((Z17=0),0,((AA17+AB17)/Z17*100%))</f>
        <v>1</v>
      </c>
      <c r="AF17" s="426"/>
      <c r="AG17" s="429" t="str">
        <f>VLOOKUP(LEFT(A17,(FIND(",",A17,1)-1)),'Feature Summary'!$A$7:$U$4035,21,FALSE)</f>
        <v>A/B + 4wks</v>
      </c>
      <c r="AH17" s="310" t="s">
        <v>334</v>
      </c>
    </row>
    <row r="18" spans="1:34" ht="75.75" thickBot="1" x14ac:dyDescent="0.3">
      <c r="A18" s="316" t="s">
        <v>335</v>
      </c>
      <c r="B18" s="533" t="s">
        <v>304</v>
      </c>
      <c r="C18" s="308" t="s">
        <v>305</v>
      </c>
      <c r="D18" s="536" t="s">
        <v>306</v>
      </c>
      <c r="E18" s="308"/>
      <c r="F18" s="533" t="s">
        <v>336</v>
      </c>
      <c r="G18" s="231" t="e">
        <f>VLOOKUP(A18,'Feature Summary'!$A$7:$C$4104,3,FALSE)</f>
        <v>#N/A</v>
      </c>
      <c r="H18" s="540" t="s">
        <v>337</v>
      </c>
      <c r="I18" s="540" t="s">
        <v>309</v>
      </c>
      <c r="J18" s="541" t="s">
        <v>327</v>
      </c>
      <c r="K18" s="548">
        <v>1</v>
      </c>
      <c r="L18" s="549">
        <v>1</v>
      </c>
      <c r="M18" s="544" t="s">
        <v>38</v>
      </c>
      <c r="N18" s="445">
        <v>1</v>
      </c>
      <c r="O18" s="443">
        <v>1</v>
      </c>
      <c r="P18" s="447">
        <f t="shared" si="4"/>
        <v>1</v>
      </c>
      <c r="Q18" s="431" t="s">
        <v>45</v>
      </c>
      <c r="R18" s="309">
        <v>1</v>
      </c>
      <c r="S18" s="477">
        <f>SUM(T18:W18)</f>
        <v>1</v>
      </c>
      <c r="T18" s="465">
        <v>1</v>
      </c>
      <c r="U18" s="465"/>
      <c r="V18" s="465"/>
      <c r="W18" s="465"/>
      <c r="X18" s="478">
        <f t="shared" si="1"/>
        <v>1</v>
      </c>
      <c r="Y18" s="432"/>
      <c r="Z18" s="464">
        <f t="shared" si="3"/>
        <v>1</v>
      </c>
      <c r="AA18" s="465">
        <v>1</v>
      </c>
      <c r="AB18" s="465"/>
      <c r="AC18" s="465"/>
      <c r="AD18" s="465"/>
      <c r="AE18" s="466">
        <f t="shared" si="5"/>
        <v>1</v>
      </c>
      <c r="AF18" s="426"/>
      <c r="AG18" s="429" t="str">
        <f>VLOOKUP(LEFT(A18,(FIND(",",A18,1)-1)),'Feature Summary'!$A$7:$U$4035,21,FALSE)</f>
        <v>A/B + 4wks</v>
      </c>
      <c r="AH18" s="310"/>
    </row>
    <row r="19" spans="1:34" ht="60.75" thickBot="1" x14ac:dyDescent="0.3">
      <c r="A19" s="316" t="s">
        <v>335</v>
      </c>
      <c r="B19" s="533" t="s">
        <v>304</v>
      </c>
      <c r="C19" s="308" t="s">
        <v>305</v>
      </c>
      <c r="D19" s="536" t="s">
        <v>306</v>
      </c>
      <c r="E19" s="308"/>
      <c r="F19" s="533" t="s">
        <v>338</v>
      </c>
      <c r="G19" s="231" t="e">
        <f>VLOOKUP(A19,'Feature Summary'!$A$7:$C$4104,3,FALSE)</f>
        <v>#N/A</v>
      </c>
      <c r="H19" s="540" t="s">
        <v>339</v>
      </c>
      <c r="I19" s="540" t="s">
        <v>309</v>
      </c>
      <c r="J19" s="541" t="s">
        <v>327</v>
      </c>
      <c r="K19" s="548">
        <v>1</v>
      </c>
      <c r="L19" s="549">
        <v>1</v>
      </c>
      <c r="M19" s="544" t="s">
        <v>38</v>
      </c>
      <c r="N19" s="445">
        <v>1</v>
      </c>
      <c r="O19" s="443">
        <v>1</v>
      </c>
      <c r="P19" s="447">
        <f>IF((O19=0),0,(O19/L19))</f>
        <v>1</v>
      </c>
      <c r="Q19" s="431" t="s">
        <v>45</v>
      </c>
      <c r="R19" s="309">
        <v>1</v>
      </c>
      <c r="S19" s="477">
        <f>SUM(T19:W19)</f>
        <v>1</v>
      </c>
      <c r="T19" s="465">
        <v>1</v>
      </c>
      <c r="U19" s="465"/>
      <c r="V19" s="465"/>
      <c r="W19" s="465"/>
      <c r="X19" s="478">
        <f>IF((S19=0),0,((T19+U19)/S19*100%))</f>
        <v>1</v>
      </c>
      <c r="Y19" s="432"/>
      <c r="Z19" s="464">
        <f t="shared" si="3"/>
        <v>1</v>
      </c>
      <c r="AA19" s="465">
        <v>1</v>
      </c>
      <c r="AB19" s="465"/>
      <c r="AC19" s="465"/>
      <c r="AD19" s="465"/>
      <c r="AE19" s="466">
        <f t="shared" si="5"/>
        <v>1</v>
      </c>
      <c r="AF19" s="426" t="s">
        <v>340</v>
      </c>
      <c r="AG19" s="429" t="str">
        <f>VLOOKUP(LEFT(A19,(FIND(",",A19,1)-1)),'Feature Summary'!$A$7:$U$4035,21,FALSE)</f>
        <v>A/B + 4wks</v>
      </c>
      <c r="AH19" s="310"/>
    </row>
    <row r="20" spans="1:34" ht="30.75" thickBot="1" x14ac:dyDescent="0.3">
      <c r="A20" s="316"/>
      <c r="B20" s="533"/>
      <c r="C20" s="308" t="s">
        <v>341</v>
      </c>
      <c r="D20" s="536" t="s">
        <v>306</v>
      </c>
      <c r="E20" s="308"/>
      <c r="F20" s="533" t="s">
        <v>342</v>
      </c>
      <c r="G20" s="231" t="e">
        <f>VLOOKUP(A20,'Feature Summary'!$A$7:$C$4104,3,FALSE)</f>
        <v>#N/A</v>
      </c>
      <c r="H20" s="540" t="s">
        <v>343</v>
      </c>
      <c r="I20" s="540" t="s">
        <v>309</v>
      </c>
      <c r="J20" s="541" t="s">
        <v>344</v>
      </c>
      <c r="K20" s="548">
        <v>1</v>
      </c>
      <c r="L20" s="549">
        <v>1</v>
      </c>
      <c r="M20" s="545" t="s">
        <v>33</v>
      </c>
      <c r="N20" s="445">
        <v>1</v>
      </c>
      <c r="O20" s="443">
        <v>1</v>
      </c>
      <c r="P20" s="447">
        <f t="shared" si="4"/>
        <v>1</v>
      </c>
      <c r="Q20" s="431" t="s">
        <v>45</v>
      </c>
      <c r="R20" s="309">
        <v>1</v>
      </c>
      <c r="S20" s="477">
        <f t="shared" si="2"/>
        <v>1</v>
      </c>
      <c r="T20" s="465">
        <v>1</v>
      </c>
      <c r="U20" s="465"/>
      <c r="V20" s="465"/>
      <c r="W20" s="465"/>
      <c r="X20" s="478">
        <f t="shared" si="1"/>
        <v>1</v>
      </c>
      <c r="Y20" s="432"/>
      <c r="Z20" s="464">
        <f t="shared" si="3"/>
        <v>1</v>
      </c>
      <c r="AA20" s="465">
        <v>1</v>
      </c>
      <c r="AB20" s="465"/>
      <c r="AC20" s="465"/>
      <c r="AD20" s="465"/>
      <c r="AE20" s="466">
        <f t="shared" si="5"/>
        <v>1</v>
      </c>
      <c r="AF20" s="426" t="s">
        <v>311</v>
      </c>
      <c r="AG20" s="429" t="e">
        <f>VLOOKUP(LEFT(A20,(FIND(",",A20,1)-1)),'Feature Summary'!$A$7:$U$4035,21,FALSE)</f>
        <v>#VALUE!</v>
      </c>
      <c r="AH20" s="310"/>
    </row>
    <row r="21" spans="1:34" ht="60.75" thickBot="1" x14ac:dyDescent="0.3">
      <c r="A21" s="316" t="s">
        <v>345</v>
      </c>
      <c r="B21" s="533" t="s">
        <v>346</v>
      </c>
      <c r="C21" s="308" t="s">
        <v>305</v>
      </c>
      <c r="D21" s="536" t="s">
        <v>306</v>
      </c>
      <c r="E21" s="308"/>
      <c r="F21" s="533" t="s">
        <v>347</v>
      </c>
      <c r="G21" s="231" t="str">
        <f>VLOOKUP(A21,'Feature Summary'!$A$7:$C$4104,3,FALSE)</f>
        <v>P1</v>
      </c>
      <c r="H21" s="540" t="s">
        <v>348</v>
      </c>
      <c r="I21" s="540" t="s">
        <v>309</v>
      </c>
      <c r="J21" s="541" t="s">
        <v>349</v>
      </c>
      <c r="K21" s="548">
        <v>1</v>
      </c>
      <c r="L21" s="549">
        <v>1</v>
      </c>
      <c r="M21" s="545" t="s">
        <v>33</v>
      </c>
      <c r="N21" s="445">
        <v>1</v>
      </c>
      <c r="O21" s="443">
        <v>1</v>
      </c>
      <c r="P21" s="447">
        <f t="shared" si="4"/>
        <v>1</v>
      </c>
      <c r="Q21" s="431" t="s">
        <v>45</v>
      </c>
      <c r="R21" s="309">
        <v>1</v>
      </c>
      <c r="S21" s="477">
        <f t="shared" si="2"/>
        <v>1</v>
      </c>
      <c r="T21" s="465">
        <v>1</v>
      </c>
      <c r="U21" s="465"/>
      <c r="V21" s="465"/>
      <c r="W21" s="465"/>
      <c r="X21" s="478">
        <f t="shared" si="1"/>
        <v>1</v>
      </c>
      <c r="Y21" s="432"/>
      <c r="Z21" s="464">
        <f t="shared" si="3"/>
        <v>1</v>
      </c>
      <c r="AA21" s="465"/>
      <c r="AB21" s="465"/>
      <c r="AC21" s="465">
        <v>1</v>
      </c>
      <c r="AD21" s="465"/>
      <c r="AE21" s="466">
        <f t="shared" si="5"/>
        <v>0</v>
      </c>
      <c r="AF21" s="651" t="s">
        <v>350</v>
      </c>
      <c r="AG21" s="433" t="str">
        <f>VLOOKUP(A21,'Feature Summary'!$A$7:$U$4104,21,FALSE)</f>
        <v>A/B + 5wks</v>
      </c>
      <c r="AH21" s="310"/>
    </row>
    <row r="22" spans="1:34" ht="60.75" thickBot="1" x14ac:dyDescent="0.3">
      <c r="A22" s="316" t="s">
        <v>351</v>
      </c>
      <c r="B22" s="533" t="s">
        <v>352</v>
      </c>
      <c r="C22" s="308" t="s">
        <v>305</v>
      </c>
      <c r="D22" s="536" t="s">
        <v>306</v>
      </c>
      <c r="E22" s="308"/>
      <c r="F22" s="533" t="s">
        <v>353</v>
      </c>
      <c r="G22" s="231" t="str">
        <f>VLOOKUP(A22,'Feature Summary'!$A$7:$C$4104,3,FALSE)</f>
        <v>P2</v>
      </c>
      <c r="H22" s="540" t="s">
        <v>354</v>
      </c>
      <c r="I22" s="540" t="s">
        <v>309</v>
      </c>
      <c r="J22" s="541" t="s">
        <v>327</v>
      </c>
      <c r="K22" s="548">
        <v>1</v>
      </c>
      <c r="L22" s="549">
        <v>3</v>
      </c>
      <c r="M22" s="545" t="s">
        <v>33</v>
      </c>
      <c r="N22" s="445">
        <v>1</v>
      </c>
      <c r="O22" s="443">
        <v>3</v>
      </c>
      <c r="P22" s="447">
        <f t="shared" si="4"/>
        <v>1</v>
      </c>
      <c r="Q22" s="431" t="s">
        <v>45</v>
      </c>
      <c r="R22" s="309">
        <v>3</v>
      </c>
      <c r="S22" s="477">
        <f t="shared" si="2"/>
        <v>3</v>
      </c>
      <c r="T22" s="465">
        <v>3</v>
      </c>
      <c r="U22" s="465"/>
      <c r="V22" s="465"/>
      <c r="W22" s="465"/>
      <c r="X22" s="478">
        <f t="shared" si="1"/>
        <v>1</v>
      </c>
      <c r="Y22" s="432"/>
      <c r="Z22" s="464">
        <f t="shared" si="3"/>
        <v>3</v>
      </c>
      <c r="AA22" s="465">
        <v>3</v>
      </c>
      <c r="AB22" s="465"/>
      <c r="AC22" s="465"/>
      <c r="AD22" s="465"/>
      <c r="AE22" s="466">
        <f t="shared" si="5"/>
        <v>1</v>
      </c>
      <c r="AF22" s="426" t="s">
        <v>340</v>
      </c>
      <c r="AG22" s="433" t="str">
        <f>VLOOKUP(A22,'Feature Summary'!$A$7:$U$4104,21,FALSE)</f>
        <v>A/B + 5wks</v>
      </c>
      <c r="AH22" s="310"/>
    </row>
    <row r="23" spans="1:34" ht="15.75" thickBot="1" x14ac:dyDescent="0.3">
      <c r="A23" s="316" t="s">
        <v>351</v>
      </c>
      <c r="B23" s="533" t="s">
        <v>352</v>
      </c>
      <c r="C23" s="308" t="s">
        <v>305</v>
      </c>
      <c r="D23" s="536" t="s">
        <v>306</v>
      </c>
      <c r="E23" s="308"/>
      <c r="F23" s="533" t="s">
        <v>355</v>
      </c>
      <c r="G23" s="231" t="str">
        <f>VLOOKUP(A23,'Feature Summary'!$A$7:$C$4104,3,FALSE)</f>
        <v>P2</v>
      </c>
      <c r="H23" s="540" t="s">
        <v>356</v>
      </c>
      <c r="I23" s="540" t="s">
        <v>309</v>
      </c>
      <c r="J23" s="541" t="s">
        <v>327</v>
      </c>
      <c r="K23" s="548">
        <v>1</v>
      </c>
      <c r="L23" s="549">
        <v>1</v>
      </c>
      <c r="M23" s="545" t="s">
        <v>33</v>
      </c>
      <c r="N23" s="445">
        <v>1</v>
      </c>
      <c r="O23" s="443">
        <v>1</v>
      </c>
      <c r="P23" s="447">
        <f t="shared" si="4"/>
        <v>1</v>
      </c>
      <c r="Q23" s="431" t="s">
        <v>45</v>
      </c>
      <c r="R23" s="309">
        <v>1</v>
      </c>
      <c r="S23" s="477">
        <f t="shared" si="2"/>
        <v>1</v>
      </c>
      <c r="T23" s="465">
        <v>1</v>
      </c>
      <c r="U23" s="465"/>
      <c r="V23" s="465"/>
      <c r="W23" s="465"/>
      <c r="X23" s="478">
        <f t="shared" si="1"/>
        <v>1</v>
      </c>
      <c r="Y23" s="432"/>
      <c r="Z23" s="464">
        <f t="shared" si="3"/>
        <v>1</v>
      </c>
      <c r="AA23" s="465">
        <v>1</v>
      </c>
      <c r="AB23" s="465"/>
      <c r="AC23" s="465"/>
      <c r="AD23" s="465"/>
      <c r="AE23" s="466">
        <f t="shared" si="5"/>
        <v>1</v>
      </c>
      <c r="AF23" s="426" t="s">
        <v>340</v>
      </c>
      <c r="AG23" s="433" t="str">
        <f>VLOOKUP(A23,'Feature Summary'!$A$7:$U$4104,21,FALSE)</f>
        <v>A/B + 5wks</v>
      </c>
      <c r="AH23" s="310"/>
    </row>
    <row r="24" spans="1:34" ht="45.75" thickBot="1" x14ac:dyDescent="0.3">
      <c r="A24" s="316" t="s">
        <v>351</v>
      </c>
      <c r="B24" s="533" t="s">
        <v>352</v>
      </c>
      <c r="C24" s="308" t="s">
        <v>357</v>
      </c>
      <c r="D24" s="536" t="s">
        <v>306</v>
      </c>
      <c r="E24" s="308"/>
      <c r="F24" s="533" t="s">
        <v>358</v>
      </c>
      <c r="G24" s="231" t="str">
        <f>VLOOKUP(A24,'Feature Summary'!$A$7:$C$4104,3,FALSE)</f>
        <v>P2</v>
      </c>
      <c r="H24" s="540" t="s">
        <v>359</v>
      </c>
      <c r="I24" s="540" t="s">
        <v>309</v>
      </c>
      <c r="J24" s="541" t="s">
        <v>327</v>
      </c>
      <c r="K24" s="548">
        <v>1</v>
      </c>
      <c r="L24" s="549">
        <v>2</v>
      </c>
      <c r="M24" s="545" t="s">
        <v>33</v>
      </c>
      <c r="N24" s="445">
        <v>1</v>
      </c>
      <c r="O24" s="443">
        <v>2</v>
      </c>
      <c r="P24" s="447">
        <f t="shared" si="4"/>
        <v>1</v>
      </c>
      <c r="Q24" s="431" t="s">
        <v>45</v>
      </c>
      <c r="R24" s="309">
        <v>2</v>
      </c>
      <c r="S24" s="477">
        <f t="shared" si="2"/>
        <v>2</v>
      </c>
      <c r="T24" s="465">
        <v>2</v>
      </c>
      <c r="U24" s="465"/>
      <c r="V24" s="465"/>
      <c r="W24" s="465"/>
      <c r="X24" s="478">
        <f t="shared" si="1"/>
        <v>1</v>
      </c>
      <c r="Y24" s="432"/>
      <c r="Z24" s="464">
        <f t="shared" si="3"/>
        <v>2</v>
      </c>
      <c r="AA24" s="465">
        <v>2</v>
      </c>
      <c r="AB24" s="465"/>
      <c r="AC24" s="465"/>
      <c r="AD24" s="465"/>
      <c r="AE24" s="466">
        <f t="shared" si="5"/>
        <v>1</v>
      </c>
      <c r="AF24" s="426" t="s">
        <v>340</v>
      </c>
      <c r="AG24" s="433" t="str">
        <f>VLOOKUP(A24,'Feature Summary'!$A$7:$U$4104,21,FALSE)</f>
        <v>A/B + 5wks</v>
      </c>
      <c r="AH24" s="310"/>
    </row>
    <row r="25" spans="1:34" ht="120.75" thickBot="1" x14ac:dyDescent="0.3">
      <c r="A25" s="316" t="s">
        <v>360</v>
      </c>
      <c r="B25" s="533" t="s">
        <v>361</v>
      </c>
      <c r="C25" s="308" t="s">
        <v>305</v>
      </c>
      <c r="D25" s="536" t="s">
        <v>306</v>
      </c>
      <c r="E25" s="308"/>
      <c r="F25" s="533" t="s">
        <v>362</v>
      </c>
      <c r="G25" s="231" t="e">
        <f>VLOOKUP(A25,'Feature Summary'!$A$7:$C$4104,3,FALSE)</f>
        <v>#N/A</v>
      </c>
      <c r="H25" s="540" t="s">
        <v>363</v>
      </c>
      <c r="I25" s="540" t="s">
        <v>309</v>
      </c>
      <c r="J25" s="541" t="s">
        <v>327</v>
      </c>
      <c r="K25" s="548">
        <v>1</v>
      </c>
      <c r="L25" s="549">
        <v>2</v>
      </c>
      <c r="M25" s="545" t="s">
        <v>33</v>
      </c>
      <c r="N25" s="445">
        <v>1</v>
      </c>
      <c r="O25" s="443">
        <v>2</v>
      </c>
      <c r="P25" s="447">
        <f t="shared" si="4"/>
        <v>1</v>
      </c>
      <c r="Q25" s="431" t="s">
        <v>45</v>
      </c>
      <c r="R25" s="309">
        <v>2</v>
      </c>
      <c r="S25" s="477">
        <f t="shared" si="2"/>
        <v>2</v>
      </c>
      <c r="T25" s="465">
        <v>2</v>
      </c>
      <c r="U25" s="465"/>
      <c r="V25" s="465"/>
      <c r="W25" s="465"/>
      <c r="X25" s="478">
        <f t="shared" si="1"/>
        <v>1</v>
      </c>
      <c r="Y25" s="432"/>
      <c r="Z25" s="464">
        <f t="shared" si="3"/>
        <v>2</v>
      </c>
      <c r="AA25" s="465">
        <v>1</v>
      </c>
      <c r="AB25" s="465"/>
      <c r="AC25" s="465">
        <v>1</v>
      </c>
      <c r="AD25" s="465"/>
      <c r="AE25" s="466">
        <f t="shared" si="5"/>
        <v>0.5</v>
      </c>
      <c r="AF25" s="651" t="s">
        <v>364</v>
      </c>
      <c r="AG25" s="429" t="str">
        <f>VLOOKUP(LEFT(A25,(FIND(",",A25,1)-1)),'Feature Summary'!$A$7:$U$4035,21,FALSE)</f>
        <v>A/B + 5wks</v>
      </c>
      <c r="AH25" s="310"/>
    </row>
    <row r="26" spans="1:34" ht="60.75" thickBot="1" x14ac:dyDescent="0.3">
      <c r="A26" s="316" t="s">
        <v>365</v>
      </c>
      <c r="B26" s="533" t="s">
        <v>361</v>
      </c>
      <c r="C26" s="308" t="s">
        <v>366</v>
      </c>
      <c r="D26" s="536" t="s">
        <v>306</v>
      </c>
      <c r="E26" s="308"/>
      <c r="F26" s="533" t="s">
        <v>367</v>
      </c>
      <c r="G26" s="231" t="e">
        <f>VLOOKUP(A26,'Feature Summary'!$A$7:$C$4104,3,FALSE)</f>
        <v>#N/A</v>
      </c>
      <c r="H26" s="540" t="s">
        <v>368</v>
      </c>
      <c r="I26" s="540" t="s">
        <v>309</v>
      </c>
      <c r="J26" s="541" t="s">
        <v>327</v>
      </c>
      <c r="K26" s="548">
        <v>1</v>
      </c>
      <c r="L26" s="549">
        <v>1</v>
      </c>
      <c r="M26" s="545" t="s">
        <v>33</v>
      </c>
      <c r="N26" s="445">
        <v>1</v>
      </c>
      <c r="O26" s="443">
        <v>1</v>
      </c>
      <c r="P26" s="447">
        <f t="shared" si="4"/>
        <v>1</v>
      </c>
      <c r="Q26" s="431" t="s">
        <v>46</v>
      </c>
      <c r="R26" s="309">
        <v>1</v>
      </c>
      <c r="S26" s="477">
        <f>SUM(T26:W26)</f>
        <v>1</v>
      </c>
      <c r="T26" s="465">
        <v>1</v>
      </c>
      <c r="U26" s="465"/>
      <c r="V26" s="465"/>
      <c r="W26" s="465"/>
      <c r="X26" s="478">
        <f t="shared" si="1"/>
        <v>1</v>
      </c>
      <c r="Y26" s="432"/>
      <c r="Z26" s="464">
        <f t="shared" si="3"/>
        <v>1</v>
      </c>
      <c r="AA26" s="465">
        <v>1</v>
      </c>
      <c r="AB26" s="465"/>
      <c r="AC26" s="465"/>
      <c r="AD26" s="465"/>
      <c r="AE26" s="466">
        <f t="shared" si="5"/>
        <v>1</v>
      </c>
      <c r="AF26" s="426" t="s">
        <v>340</v>
      </c>
      <c r="AG26" s="429" t="str">
        <f>VLOOKUP(LEFT(A26,(FIND(",",A26,1)-1)),'Feature Summary'!$A$7:$U$4035,21,FALSE)</f>
        <v>A/B + 5wks</v>
      </c>
      <c r="AH26" s="310"/>
    </row>
    <row r="27" spans="1:34" ht="120.75" thickBot="1" x14ac:dyDescent="0.3">
      <c r="A27" s="316" t="s">
        <v>365</v>
      </c>
      <c r="B27" s="533" t="s">
        <v>361</v>
      </c>
      <c r="C27" s="308" t="s">
        <v>366</v>
      </c>
      <c r="D27" s="536" t="s">
        <v>306</v>
      </c>
      <c r="E27" s="308"/>
      <c r="F27" s="533" t="s">
        <v>369</v>
      </c>
      <c r="G27" s="231" t="e">
        <f>VLOOKUP(A27,'Feature Summary'!$A$7:$C$4104,3,FALSE)</f>
        <v>#N/A</v>
      </c>
      <c r="H27" s="540" t="s">
        <v>370</v>
      </c>
      <c r="I27" s="540" t="s">
        <v>309</v>
      </c>
      <c r="J27" s="541" t="s">
        <v>371</v>
      </c>
      <c r="K27" s="548">
        <v>1</v>
      </c>
      <c r="L27" s="549">
        <v>1</v>
      </c>
      <c r="M27" s="545" t="s">
        <v>33</v>
      </c>
      <c r="N27" s="445">
        <v>1</v>
      </c>
      <c r="O27" s="443">
        <v>1</v>
      </c>
      <c r="P27" s="447">
        <f t="shared" si="4"/>
        <v>1</v>
      </c>
      <c r="Q27" s="431" t="s">
        <v>45</v>
      </c>
      <c r="R27" s="309">
        <v>1</v>
      </c>
      <c r="S27" s="477">
        <f t="shared" si="2"/>
        <v>1</v>
      </c>
      <c r="T27" s="465">
        <v>1</v>
      </c>
      <c r="U27" s="465"/>
      <c r="V27" s="465"/>
      <c r="W27" s="465"/>
      <c r="X27" s="478">
        <f t="shared" si="1"/>
        <v>1</v>
      </c>
      <c r="Y27" s="432"/>
      <c r="Z27" s="464">
        <f t="shared" si="3"/>
        <v>1</v>
      </c>
      <c r="AA27" s="465">
        <v>1</v>
      </c>
      <c r="AB27" s="465"/>
      <c r="AC27" s="465"/>
      <c r="AD27" s="465"/>
      <c r="AE27" s="466">
        <f t="shared" si="5"/>
        <v>1</v>
      </c>
      <c r="AF27" s="426" t="s">
        <v>340</v>
      </c>
      <c r="AG27" s="429" t="str">
        <f>VLOOKUP(LEFT(A27,(FIND(",",A27,1)-1)),'Feature Summary'!$A$7:$U$4035,21,FALSE)</f>
        <v>A/B + 5wks</v>
      </c>
      <c r="AH27" s="310"/>
    </row>
    <row r="28" spans="1:34" ht="120.75" thickBot="1" x14ac:dyDescent="0.3">
      <c r="A28" s="316" t="s">
        <v>365</v>
      </c>
      <c r="B28" s="533" t="s">
        <v>361</v>
      </c>
      <c r="C28" s="308" t="s">
        <v>366</v>
      </c>
      <c r="D28" s="536" t="s">
        <v>306</v>
      </c>
      <c r="E28" s="308"/>
      <c r="F28" s="533" t="s">
        <v>372</v>
      </c>
      <c r="G28" s="231" t="e">
        <f>VLOOKUP(A28,'Feature Summary'!$A$7:$C$4104,3,FALSE)</f>
        <v>#N/A</v>
      </c>
      <c r="H28" s="540" t="s">
        <v>373</v>
      </c>
      <c r="I28" s="540" t="s">
        <v>309</v>
      </c>
      <c r="J28" s="541" t="s">
        <v>371</v>
      </c>
      <c r="K28" s="548">
        <v>1</v>
      </c>
      <c r="L28" s="549">
        <v>1</v>
      </c>
      <c r="M28" s="545" t="s">
        <v>33</v>
      </c>
      <c r="N28" s="445">
        <v>1</v>
      </c>
      <c r="O28" s="443">
        <v>1</v>
      </c>
      <c r="P28" s="447">
        <f t="shared" si="4"/>
        <v>1</v>
      </c>
      <c r="Q28" s="431" t="s">
        <v>45</v>
      </c>
      <c r="R28" s="309">
        <v>1</v>
      </c>
      <c r="S28" s="477">
        <f t="shared" si="2"/>
        <v>1</v>
      </c>
      <c r="T28" s="465">
        <v>1</v>
      </c>
      <c r="U28" s="465"/>
      <c r="V28" s="465"/>
      <c r="W28" s="465"/>
      <c r="X28" s="478">
        <f t="shared" si="1"/>
        <v>1</v>
      </c>
      <c r="Y28" s="432"/>
      <c r="Z28" s="464">
        <f t="shared" si="3"/>
        <v>1</v>
      </c>
      <c r="AA28" s="465">
        <v>1</v>
      </c>
      <c r="AB28" s="465"/>
      <c r="AC28" s="465"/>
      <c r="AD28" s="465"/>
      <c r="AE28" s="466">
        <f t="shared" si="5"/>
        <v>1</v>
      </c>
      <c r="AF28" s="426" t="s">
        <v>340</v>
      </c>
      <c r="AG28" s="429" t="str">
        <f>VLOOKUP(LEFT(A28,(FIND(",",A28,1)-1)),'Feature Summary'!$A$7:$U$4035,21,FALSE)</f>
        <v>A/B + 5wks</v>
      </c>
      <c r="AH28" s="310"/>
    </row>
    <row r="29" spans="1:34" ht="120.75" thickBot="1" x14ac:dyDescent="0.3">
      <c r="A29" s="316" t="s">
        <v>365</v>
      </c>
      <c r="B29" s="533" t="s">
        <v>361</v>
      </c>
      <c r="C29" s="308" t="s">
        <v>366</v>
      </c>
      <c r="D29" s="536" t="s">
        <v>306</v>
      </c>
      <c r="E29" s="308"/>
      <c r="F29" s="533" t="s">
        <v>374</v>
      </c>
      <c r="G29" s="231" t="e">
        <f>VLOOKUP(A29,'Feature Summary'!$A$7:$C$4104,3,FALSE)</f>
        <v>#N/A</v>
      </c>
      <c r="H29" s="540" t="s">
        <v>375</v>
      </c>
      <c r="I29" s="540" t="s">
        <v>309</v>
      </c>
      <c r="J29" s="541" t="s">
        <v>376</v>
      </c>
      <c r="K29" s="548">
        <v>1</v>
      </c>
      <c r="L29" s="549">
        <v>1</v>
      </c>
      <c r="M29" s="545" t="s">
        <v>33</v>
      </c>
      <c r="N29" s="445">
        <v>1</v>
      </c>
      <c r="O29" s="443">
        <v>1</v>
      </c>
      <c r="P29" s="447">
        <f t="shared" si="4"/>
        <v>1</v>
      </c>
      <c r="Q29" s="431" t="s">
        <v>45</v>
      </c>
      <c r="R29" s="309">
        <v>1</v>
      </c>
      <c r="S29" s="477">
        <f t="shared" si="2"/>
        <v>1</v>
      </c>
      <c r="T29" s="465">
        <v>1</v>
      </c>
      <c r="U29" s="465"/>
      <c r="V29" s="465"/>
      <c r="W29" s="465"/>
      <c r="X29" s="478">
        <f t="shared" si="1"/>
        <v>1</v>
      </c>
      <c r="Y29" s="432"/>
      <c r="Z29" s="464">
        <f t="shared" si="3"/>
        <v>1</v>
      </c>
      <c r="AA29" s="465">
        <v>1</v>
      </c>
      <c r="AB29" s="465"/>
      <c r="AC29" s="465"/>
      <c r="AD29" s="465"/>
      <c r="AE29" s="466">
        <f t="shared" si="5"/>
        <v>1</v>
      </c>
      <c r="AF29" s="426" t="s">
        <v>340</v>
      </c>
      <c r="AG29" s="429" t="str">
        <f>VLOOKUP(LEFT(A29,(FIND(",",A29,1)-1)),'Feature Summary'!$A$7:$U$4035,21,FALSE)</f>
        <v>A/B + 5wks</v>
      </c>
      <c r="AH29" s="310"/>
    </row>
    <row r="30" spans="1:34" ht="120.75" thickBot="1" x14ac:dyDescent="0.3">
      <c r="A30" s="316" t="s">
        <v>365</v>
      </c>
      <c r="B30" s="533" t="s">
        <v>361</v>
      </c>
      <c r="C30" s="308" t="s">
        <v>366</v>
      </c>
      <c r="D30" s="536" t="s">
        <v>306</v>
      </c>
      <c r="E30" s="308"/>
      <c r="F30" s="533" t="s">
        <v>377</v>
      </c>
      <c r="G30" s="231" t="e">
        <f>VLOOKUP(A30,'Feature Summary'!$A$7:$C$4104,3,FALSE)</f>
        <v>#N/A</v>
      </c>
      <c r="H30" s="540" t="s">
        <v>378</v>
      </c>
      <c r="I30" s="540" t="s">
        <v>309</v>
      </c>
      <c r="J30" s="541" t="s">
        <v>376</v>
      </c>
      <c r="K30" s="548">
        <v>1</v>
      </c>
      <c r="L30" s="549">
        <v>1</v>
      </c>
      <c r="M30" s="545" t="s">
        <v>33</v>
      </c>
      <c r="N30" s="445">
        <v>1</v>
      </c>
      <c r="O30" s="443">
        <v>1</v>
      </c>
      <c r="P30" s="447">
        <f t="shared" si="4"/>
        <v>1</v>
      </c>
      <c r="Q30" s="431" t="s">
        <v>45</v>
      </c>
      <c r="R30" s="309">
        <v>1</v>
      </c>
      <c r="S30" s="477">
        <f t="shared" si="2"/>
        <v>1</v>
      </c>
      <c r="T30" s="465">
        <v>1</v>
      </c>
      <c r="U30" s="465"/>
      <c r="V30" s="465"/>
      <c r="W30" s="465"/>
      <c r="X30" s="478">
        <f t="shared" si="1"/>
        <v>1</v>
      </c>
      <c r="Y30" s="432"/>
      <c r="Z30" s="464">
        <f t="shared" si="3"/>
        <v>1</v>
      </c>
      <c r="AA30" s="465">
        <v>1</v>
      </c>
      <c r="AB30" s="465"/>
      <c r="AC30" s="465"/>
      <c r="AD30" s="465"/>
      <c r="AE30" s="466">
        <f t="shared" si="5"/>
        <v>1</v>
      </c>
      <c r="AF30" s="426" t="s">
        <v>340</v>
      </c>
      <c r="AG30" s="429" t="str">
        <f>VLOOKUP(LEFT(A30,(FIND(",",A30,1)-1)),'Feature Summary'!$A$7:$U$4035,21,FALSE)</f>
        <v>A/B + 5wks</v>
      </c>
      <c r="AH30" s="310"/>
    </row>
    <row r="31" spans="1:34" ht="45.75" thickBot="1" x14ac:dyDescent="0.3">
      <c r="A31" s="316" t="s">
        <v>379</v>
      </c>
      <c r="B31" s="533" t="s">
        <v>352</v>
      </c>
      <c r="C31" s="308" t="s">
        <v>341</v>
      </c>
      <c r="D31" s="536" t="s">
        <v>306</v>
      </c>
      <c r="E31" s="308"/>
      <c r="F31" s="533" t="s">
        <v>380</v>
      </c>
      <c r="G31" s="231" t="e">
        <f>VLOOKUP(A31,'Feature Summary'!$A$7:$C$4104,3,FALSE)</f>
        <v>#N/A</v>
      </c>
      <c r="H31" s="540" t="s">
        <v>381</v>
      </c>
      <c r="I31" s="540" t="s">
        <v>309</v>
      </c>
      <c r="J31" s="541" t="s">
        <v>327</v>
      </c>
      <c r="K31" s="548">
        <v>1</v>
      </c>
      <c r="L31" s="549">
        <v>1</v>
      </c>
      <c r="M31" s="545" t="s">
        <v>33</v>
      </c>
      <c r="N31" s="445">
        <v>1</v>
      </c>
      <c r="O31" s="443">
        <v>1</v>
      </c>
      <c r="P31" s="447">
        <f t="shared" si="4"/>
        <v>1</v>
      </c>
      <c r="Q31" s="431" t="s">
        <v>45</v>
      </c>
      <c r="R31" s="309">
        <v>1</v>
      </c>
      <c r="S31" s="477">
        <f t="shared" si="2"/>
        <v>1</v>
      </c>
      <c r="T31" s="465">
        <v>1</v>
      </c>
      <c r="U31" s="465"/>
      <c r="V31" s="465"/>
      <c r="W31" s="465"/>
      <c r="X31" s="478">
        <f t="shared" si="1"/>
        <v>1</v>
      </c>
      <c r="Y31" s="432"/>
      <c r="Z31" s="464">
        <f t="shared" si="3"/>
        <v>1</v>
      </c>
      <c r="AA31" s="465">
        <v>1</v>
      </c>
      <c r="AB31" s="465"/>
      <c r="AC31" s="465"/>
      <c r="AD31" s="465"/>
      <c r="AE31" s="466">
        <f t="shared" si="5"/>
        <v>1</v>
      </c>
      <c r="AF31" s="426" t="s">
        <v>340</v>
      </c>
      <c r="AG31" s="429" t="str">
        <f>VLOOKUP(LEFT(A31,(FIND(",",A31,1)-1)),'Feature Summary'!$A$7:$U$4035,21,FALSE)</f>
        <v>A/B + 5wks</v>
      </c>
      <c r="AH31" s="310"/>
    </row>
    <row r="32" spans="1:34" ht="60.75" thickBot="1" x14ac:dyDescent="0.3">
      <c r="A32" s="316" t="s">
        <v>382</v>
      </c>
      <c r="B32" s="533" t="s">
        <v>352</v>
      </c>
      <c r="C32" s="308" t="s">
        <v>305</v>
      </c>
      <c r="D32" s="536" t="s">
        <v>306</v>
      </c>
      <c r="E32" s="308"/>
      <c r="F32" s="533" t="s">
        <v>383</v>
      </c>
      <c r="G32" s="231" t="e">
        <f>VLOOKUP(A32,'Feature Summary'!$A$7:$C$4104,3,FALSE)</f>
        <v>#N/A</v>
      </c>
      <c r="H32" s="540" t="s">
        <v>384</v>
      </c>
      <c r="I32" s="540" t="s">
        <v>309</v>
      </c>
      <c r="J32" s="541" t="s">
        <v>327</v>
      </c>
      <c r="K32" s="548">
        <v>1</v>
      </c>
      <c r="L32" s="549">
        <v>1</v>
      </c>
      <c r="M32" s="545" t="s">
        <v>33</v>
      </c>
      <c r="N32" s="445">
        <v>1</v>
      </c>
      <c r="O32" s="443">
        <v>1</v>
      </c>
      <c r="P32" s="447">
        <f t="shared" si="4"/>
        <v>1</v>
      </c>
      <c r="Q32" s="431" t="s">
        <v>45</v>
      </c>
      <c r="R32" s="309">
        <v>1</v>
      </c>
      <c r="S32" s="477">
        <f t="shared" si="2"/>
        <v>1</v>
      </c>
      <c r="T32" s="465">
        <v>1</v>
      </c>
      <c r="U32" s="465"/>
      <c r="V32" s="465"/>
      <c r="W32" s="465"/>
      <c r="X32" s="478">
        <f t="shared" si="1"/>
        <v>1</v>
      </c>
      <c r="Y32" s="432"/>
      <c r="Z32" s="464">
        <f t="shared" si="3"/>
        <v>1</v>
      </c>
      <c r="AA32" s="465">
        <v>1</v>
      </c>
      <c r="AB32" s="465"/>
      <c r="AC32" s="465"/>
      <c r="AD32" s="465"/>
      <c r="AE32" s="466">
        <f t="shared" si="5"/>
        <v>1</v>
      </c>
      <c r="AF32" s="426" t="s">
        <v>340</v>
      </c>
      <c r="AG32" s="429" t="str">
        <f>VLOOKUP(LEFT(A32,(FIND(",",A32,1)-1)),'Feature Summary'!$A$7:$U$4035,21,FALSE)</f>
        <v>A/B + 5wks</v>
      </c>
      <c r="AH32" s="310"/>
    </row>
    <row r="33" spans="1:34" ht="60.75" thickBot="1" x14ac:dyDescent="0.3">
      <c r="A33" s="316" t="s">
        <v>382</v>
      </c>
      <c r="B33" s="533" t="s">
        <v>352</v>
      </c>
      <c r="C33" s="308" t="s">
        <v>305</v>
      </c>
      <c r="D33" s="536" t="s">
        <v>306</v>
      </c>
      <c r="E33" s="308"/>
      <c r="F33" s="533" t="s">
        <v>383</v>
      </c>
      <c r="G33" s="231" t="e">
        <f>VLOOKUP(A33,'Feature Summary'!$A$7:$C$4104,3,FALSE)</f>
        <v>#N/A</v>
      </c>
      <c r="H33" s="540" t="s">
        <v>385</v>
      </c>
      <c r="I33" s="540" t="s">
        <v>309</v>
      </c>
      <c r="J33" s="541" t="s">
        <v>349</v>
      </c>
      <c r="K33" s="548">
        <v>1</v>
      </c>
      <c r="L33" s="549">
        <v>1</v>
      </c>
      <c r="M33" s="545" t="s">
        <v>33</v>
      </c>
      <c r="N33" s="445">
        <v>1</v>
      </c>
      <c r="O33" s="443">
        <v>1</v>
      </c>
      <c r="P33" s="447">
        <f t="shared" si="4"/>
        <v>1</v>
      </c>
      <c r="Q33" s="431" t="s">
        <v>45</v>
      </c>
      <c r="R33" s="309">
        <v>1</v>
      </c>
      <c r="S33" s="477">
        <f t="shared" si="2"/>
        <v>1</v>
      </c>
      <c r="T33" s="465">
        <v>1</v>
      </c>
      <c r="U33" s="465"/>
      <c r="V33" s="465"/>
      <c r="W33" s="465"/>
      <c r="X33" s="478">
        <f t="shared" si="1"/>
        <v>1</v>
      </c>
      <c r="Y33" s="432"/>
      <c r="Z33" s="464">
        <f t="shared" si="3"/>
        <v>1</v>
      </c>
      <c r="AA33" s="465">
        <v>1</v>
      </c>
      <c r="AB33" s="465"/>
      <c r="AC33" s="465"/>
      <c r="AD33" s="465"/>
      <c r="AE33" s="466">
        <f t="shared" si="5"/>
        <v>1</v>
      </c>
      <c r="AF33" s="426" t="s">
        <v>340</v>
      </c>
      <c r="AG33" s="429" t="str">
        <f>VLOOKUP(LEFT(A33,(FIND(",",A33,1)-1)),'Feature Summary'!$A$7:$U$4035,21,FALSE)</f>
        <v>A/B + 5wks</v>
      </c>
      <c r="AH33" s="310"/>
    </row>
    <row r="34" spans="1:34" ht="60.75" thickBot="1" x14ac:dyDescent="0.3">
      <c r="A34" s="316" t="s">
        <v>351</v>
      </c>
      <c r="B34" s="533" t="s">
        <v>352</v>
      </c>
      <c r="C34" s="308" t="s">
        <v>341</v>
      </c>
      <c r="D34" s="536" t="s">
        <v>306</v>
      </c>
      <c r="E34" s="308"/>
      <c r="F34" s="533" t="s">
        <v>386</v>
      </c>
      <c r="G34" s="231" t="str">
        <f>VLOOKUP(A34,'Feature Summary'!$A$7:$C$4104,3,FALSE)</f>
        <v>P2</v>
      </c>
      <c r="H34" s="540" t="s">
        <v>387</v>
      </c>
      <c r="I34" s="540" t="s">
        <v>309</v>
      </c>
      <c r="J34" s="541" t="s">
        <v>327</v>
      </c>
      <c r="K34" s="548">
        <v>1</v>
      </c>
      <c r="L34" s="549">
        <v>2</v>
      </c>
      <c r="M34" s="545" t="s">
        <v>33</v>
      </c>
      <c r="N34" s="445">
        <v>1</v>
      </c>
      <c r="O34" s="443">
        <v>2</v>
      </c>
      <c r="P34" s="447">
        <f t="shared" si="4"/>
        <v>1</v>
      </c>
      <c r="Q34" s="431" t="s">
        <v>45</v>
      </c>
      <c r="R34" s="309">
        <v>2</v>
      </c>
      <c r="S34" s="477">
        <f t="shared" si="2"/>
        <v>2</v>
      </c>
      <c r="T34" s="465">
        <v>2</v>
      </c>
      <c r="U34" s="465"/>
      <c r="V34" s="465"/>
      <c r="W34" s="465"/>
      <c r="X34" s="478">
        <f t="shared" si="1"/>
        <v>1</v>
      </c>
      <c r="Y34" s="432"/>
      <c r="Z34" s="464">
        <f t="shared" si="3"/>
        <v>2</v>
      </c>
      <c r="AA34" s="465">
        <v>2</v>
      </c>
      <c r="AB34" s="465"/>
      <c r="AC34" s="465"/>
      <c r="AD34" s="465"/>
      <c r="AE34" s="466">
        <f t="shared" si="5"/>
        <v>1</v>
      </c>
      <c r="AF34" s="426" t="s">
        <v>340</v>
      </c>
      <c r="AG34" s="433" t="str">
        <f>VLOOKUP(A34,'Feature Summary'!$A$7:$U$4104,21,FALSE)</f>
        <v>A/B + 5wks</v>
      </c>
      <c r="AH34" s="310"/>
    </row>
    <row r="35" spans="1:34" ht="30.75" thickBot="1" x14ac:dyDescent="0.3">
      <c r="A35" s="316"/>
      <c r="B35" s="533"/>
      <c r="C35" s="308" t="s">
        <v>341</v>
      </c>
      <c r="D35" s="536" t="s">
        <v>388</v>
      </c>
      <c r="E35" s="308"/>
      <c r="F35" s="533" t="s">
        <v>389</v>
      </c>
      <c r="G35" s="231" t="e">
        <f>VLOOKUP(A35,'Feature Summary'!$A$7:$C$4104,3,FALSE)</f>
        <v>#N/A</v>
      </c>
      <c r="H35" s="540" t="s">
        <v>390</v>
      </c>
      <c r="I35" s="540" t="s">
        <v>309</v>
      </c>
      <c r="J35" s="541" t="s">
        <v>327</v>
      </c>
      <c r="K35" s="548">
        <v>1</v>
      </c>
      <c r="L35" s="549">
        <v>2</v>
      </c>
      <c r="M35" s="545" t="s">
        <v>33</v>
      </c>
      <c r="N35" s="445">
        <v>1</v>
      </c>
      <c r="O35" s="443">
        <v>2</v>
      </c>
      <c r="P35" s="447">
        <f t="shared" si="4"/>
        <v>1</v>
      </c>
      <c r="Q35" s="431" t="s">
        <v>45</v>
      </c>
      <c r="R35" s="309">
        <v>2</v>
      </c>
      <c r="S35" s="477">
        <f t="shared" si="2"/>
        <v>2</v>
      </c>
      <c r="T35" s="465">
        <v>2</v>
      </c>
      <c r="U35" s="465"/>
      <c r="V35" s="465"/>
      <c r="W35" s="465"/>
      <c r="X35" s="478">
        <f t="shared" si="1"/>
        <v>1</v>
      </c>
      <c r="Y35" s="432"/>
      <c r="Z35" s="464">
        <f t="shared" si="3"/>
        <v>2</v>
      </c>
      <c r="AA35" s="465">
        <v>2</v>
      </c>
      <c r="AB35" s="465"/>
      <c r="AC35" s="465"/>
      <c r="AD35" s="465"/>
      <c r="AE35" s="466">
        <f t="shared" si="5"/>
        <v>1</v>
      </c>
      <c r="AF35" s="426" t="s">
        <v>340</v>
      </c>
      <c r="AG35" s="429" t="e">
        <f>VLOOKUP(LEFT(A35,(FIND(",",A35,1)-1)),'Feature Summary'!$A$7:$U$4035,21,FALSE)</f>
        <v>#VALUE!</v>
      </c>
      <c r="AH35" s="310"/>
    </row>
    <row r="36" spans="1:34" ht="60.75" thickBot="1" x14ac:dyDescent="0.3">
      <c r="A36" s="316"/>
      <c r="B36" s="533"/>
      <c r="C36" s="308" t="s">
        <v>341</v>
      </c>
      <c r="D36" s="536" t="s">
        <v>388</v>
      </c>
      <c r="E36" s="308"/>
      <c r="F36" s="533" t="s">
        <v>391</v>
      </c>
      <c r="G36" s="231" t="e">
        <f>VLOOKUP(A36,'Feature Summary'!$A$7:$C$4104,3,FALSE)</f>
        <v>#N/A</v>
      </c>
      <c r="H36" s="540" t="s">
        <v>392</v>
      </c>
      <c r="I36" s="540" t="s">
        <v>309</v>
      </c>
      <c r="J36" s="541" t="s">
        <v>327</v>
      </c>
      <c r="K36" s="548">
        <v>1</v>
      </c>
      <c r="L36" s="549">
        <v>4</v>
      </c>
      <c r="M36" s="545" t="s">
        <v>33</v>
      </c>
      <c r="N36" s="445">
        <v>1</v>
      </c>
      <c r="O36" s="443">
        <v>4</v>
      </c>
      <c r="P36" s="447">
        <f t="shared" si="4"/>
        <v>1</v>
      </c>
      <c r="Q36" s="431" t="s">
        <v>45</v>
      </c>
      <c r="R36" s="309">
        <v>4</v>
      </c>
      <c r="S36" s="477">
        <f t="shared" si="2"/>
        <v>4</v>
      </c>
      <c r="T36" s="465">
        <v>4</v>
      </c>
      <c r="U36" s="465"/>
      <c r="V36" s="465"/>
      <c r="W36" s="465"/>
      <c r="X36" s="478">
        <f t="shared" si="1"/>
        <v>1</v>
      </c>
      <c r="Y36" s="432"/>
      <c r="Z36" s="464">
        <f t="shared" si="3"/>
        <v>4</v>
      </c>
      <c r="AA36" s="465"/>
      <c r="AB36" s="465"/>
      <c r="AC36" s="465">
        <v>4</v>
      </c>
      <c r="AD36" s="465"/>
      <c r="AE36" s="466">
        <f t="shared" si="5"/>
        <v>0</v>
      </c>
      <c r="AF36" s="426" t="s">
        <v>393</v>
      </c>
      <c r="AG36" s="429" t="e">
        <f>VLOOKUP(LEFT(A36,(FIND(",",A36,1)-1)),'Feature Summary'!$A$7:$U$4035,21,FALSE)</f>
        <v>#VALUE!</v>
      </c>
      <c r="AH36" s="579" t="s">
        <v>394</v>
      </c>
    </row>
    <row r="37" spans="1:34" ht="30.75" thickBot="1" x14ac:dyDescent="0.3">
      <c r="A37" s="316" t="s">
        <v>395</v>
      </c>
      <c r="B37" s="533" t="s">
        <v>396</v>
      </c>
      <c r="C37" s="308" t="s">
        <v>357</v>
      </c>
      <c r="D37" s="536" t="s">
        <v>388</v>
      </c>
      <c r="E37" s="308"/>
      <c r="F37" s="533" t="s">
        <v>397</v>
      </c>
      <c r="G37" s="231" t="str">
        <f>VLOOKUP(A37,'Feature Summary'!$A$7:$C$4104,3,FALSE)</f>
        <v>P2</v>
      </c>
      <c r="H37" s="540" t="s">
        <v>398</v>
      </c>
      <c r="I37" s="540" t="s">
        <v>309</v>
      </c>
      <c r="J37" s="541" t="s">
        <v>327</v>
      </c>
      <c r="K37" s="548">
        <v>1</v>
      </c>
      <c r="L37" s="549">
        <v>2</v>
      </c>
      <c r="M37" s="545" t="s">
        <v>33</v>
      </c>
      <c r="N37" s="445">
        <v>1</v>
      </c>
      <c r="O37" s="443">
        <v>2</v>
      </c>
      <c r="P37" s="447">
        <f t="shared" si="4"/>
        <v>1</v>
      </c>
      <c r="Q37" s="431" t="s">
        <v>45</v>
      </c>
      <c r="R37" s="309">
        <v>2</v>
      </c>
      <c r="S37" s="477">
        <f t="shared" si="2"/>
        <v>2</v>
      </c>
      <c r="T37" s="465">
        <v>2</v>
      </c>
      <c r="U37" s="465"/>
      <c r="V37" s="465"/>
      <c r="W37" s="465"/>
      <c r="X37" s="478">
        <f t="shared" si="1"/>
        <v>1</v>
      </c>
      <c r="Y37" s="432"/>
      <c r="Z37" s="464">
        <f t="shared" si="3"/>
        <v>2</v>
      </c>
      <c r="AA37" s="465"/>
      <c r="AB37" s="465"/>
      <c r="AC37" s="465">
        <v>1</v>
      </c>
      <c r="AD37" s="465">
        <v>1</v>
      </c>
      <c r="AE37" s="466">
        <f t="shared" si="5"/>
        <v>0</v>
      </c>
      <c r="AF37" s="426" t="s">
        <v>399</v>
      </c>
      <c r="AG37" s="433" t="str">
        <f>VLOOKUP(A37,'Feature Summary'!$A$7:$U$4104,21,FALSE)</f>
        <v>A/B + 8wks</v>
      </c>
      <c r="AH37" s="310"/>
    </row>
    <row r="38" spans="1:34" ht="45.75" thickBot="1" x14ac:dyDescent="0.3">
      <c r="A38" s="316" t="s">
        <v>395</v>
      </c>
      <c r="B38" s="533" t="s">
        <v>396</v>
      </c>
      <c r="C38" s="308" t="s">
        <v>357</v>
      </c>
      <c r="D38" s="536" t="s">
        <v>388</v>
      </c>
      <c r="E38" s="308"/>
      <c r="F38" s="533" t="s">
        <v>400</v>
      </c>
      <c r="G38" s="231" t="str">
        <f>VLOOKUP(A38,'Feature Summary'!$A$7:$C$4104,3,FALSE)</f>
        <v>P2</v>
      </c>
      <c r="H38" s="540" t="s">
        <v>401</v>
      </c>
      <c r="I38" s="540" t="s">
        <v>309</v>
      </c>
      <c r="J38" s="541" t="s">
        <v>327</v>
      </c>
      <c r="K38" s="548">
        <v>1</v>
      </c>
      <c r="L38" s="549">
        <v>2</v>
      </c>
      <c r="M38" s="545" t="s">
        <v>33</v>
      </c>
      <c r="N38" s="445">
        <v>1</v>
      </c>
      <c r="O38" s="443">
        <v>2</v>
      </c>
      <c r="P38" s="447">
        <f t="shared" si="4"/>
        <v>1</v>
      </c>
      <c r="Q38" s="431" t="s">
        <v>45</v>
      </c>
      <c r="R38" s="309">
        <v>2</v>
      </c>
      <c r="S38" s="477">
        <f t="shared" si="2"/>
        <v>2</v>
      </c>
      <c r="T38" s="465">
        <v>2</v>
      </c>
      <c r="U38" s="465"/>
      <c r="V38" s="465"/>
      <c r="W38" s="465"/>
      <c r="X38" s="478">
        <f t="shared" si="1"/>
        <v>1</v>
      </c>
      <c r="Y38" s="432"/>
      <c r="Z38" s="464">
        <f t="shared" si="3"/>
        <v>2</v>
      </c>
      <c r="AA38" s="465"/>
      <c r="AB38" s="465"/>
      <c r="AC38" s="465">
        <v>1</v>
      </c>
      <c r="AD38" s="465">
        <v>1</v>
      </c>
      <c r="AE38" s="466">
        <f t="shared" si="5"/>
        <v>0</v>
      </c>
      <c r="AF38" s="426" t="s">
        <v>399</v>
      </c>
      <c r="AG38" s="433" t="str">
        <f>VLOOKUP(A38,'Feature Summary'!$A$7:$U$4104,21,FALSE)</f>
        <v>A/B + 8wks</v>
      </c>
      <c r="AH38" s="310"/>
    </row>
    <row r="39" spans="1:34" ht="60.75" thickBot="1" x14ac:dyDescent="0.3">
      <c r="A39" s="316" t="s">
        <v>395</v>
      </c>
      <c r="B39" s="533" t="s">
        <v>396</v>
      </c>
      <c r="C39" s="308" t="s">
        <v>357</v>
      </c>
      <c r="D39" s="536" t="s">
        <v>388</v>
      </c>
      <c r="E39" s="308"/>
      <c r="F39" s="533" t="s">
        <v>402</v>
      </c>
      <c r="G39" s="231" t="str">
        <f>VLOOKUP(A39,'Feature Summary'!$A$7:$C$4104,3,FALSE)</f>
        <v>P2</v>
      </c>
      <c r="H39" s="540" t="s">
        <v>403</v>
      </c>
      <c r="I39" s="540" t="s">
        <v>309</v>
      </c>
      <c r="J39" s="541" t="s">
        <v>327</v>
      </c>
      <c r="K39" s="548">
        <v>1</v>
      </c>
      <c r="L39" s="549">
        <v>2</v>
      </c>
      <c r="M39" s="545" t="s">
        <v>33</v>
      </c>
      <c r="N39" s="445">
        <v>1</v>
      </c>
      <c r="O39" s="443">
        <v>2</v>
      </c>
      <c r="P39" s="447">
        <f t="shared" si="4"/>
        <v>1</v>
      </c>
      <c r="Q39" s="431" t="s">
        <v>45</v>
      </c>
      <c r="R39" s="309">
        <v>2</v>
      </c>
      <c r="S39" s="477">
        <f t="shared" si="2"/>
        <v>2</v>
      </c>
      <c r="T39" s="465">
        <v>2</v>
      </c>
      <c r="U39" s="465"/>
      <c r="V39" s="465"/>
      <c r="W39" s="465"/>
      <c r="X39" s="478">
        <f t="shared" si="1"/>
        <v>1</v>
      </c>
      <c r="Y39" s="432"/>
      <c r="Z39" s="464">
        <f t="shared" si="3"/>
        <v>2</v>
      </c>
      <c r="AA39" s="465"/>
      <c r="AB39" s="465"/>
      <c r="AC39" s="465">
        <v>1</v>
      </c>
      <c r="AD39" s="465">
        <v>1</v>
      </c>
      <c r="AE39" s="466">
        <f t="shared" si="5"/>
        <v>0</v>
      </c>
      <c r="AF39" s="426" t="s">
        <v>399</v>
      </c>
      <c r="AG39" s="433" t="str">
        <f>VLOOKUP(A39,'Feature Summary'!$A$7:$U$4104,21,FALSE)</f>
        <v>A/B + 8wks</v>
      </c>
      <c r="AH39" s="310"/>
    </row>
    <row r="40" spans="1:34" ht="30.75" hidden="1" thickBot="1" x14ac:dyDescent="0.3">
      <c r="A40" s="585" t="s">
        <v>404</v>
      </c>
      <c r="B40" s="586" t="s">
        <v>405</v>
      </c>
      <c r="C40" s="587" t="s">
        <v>406</v>
      </c>
      <c r="D40" s="588" t="s">
        <v>306</v>
      </c>
      <c r="E40" s="587"/>
      <c r="F40" s="586" t="s">
        <v>407</v>
      </c>
      <c r="G40" s="589" t="e">
        <f>VLOOKUP(A40,'Feature Summary'!$A$7:$C$4104,3,FALSE)</f>
        <v>#N/A</v>
      </c>
      <c r="H40" s="590" t="s">
        <v>408</v>
      </c>
      <c r="I40" s="540" t="s">
        <v>309</v>
      </c>
      <c r="J40" s="591" t="s">
        <v>327</v>
      </c>
      <c r="K40" s="592"/>
      <c r="L40" s="593"/>
      <c r="M40" s="545" t="s">
        <v>33</v>
      </c>
      <c r="N40" s="445">
        <v>1</v>
      </c>
      <c r="O40" s="443"/>
      <c r="P40" s="595">
        <f t="shared" si="4"/>
        <v>0</v>
      </c>
      <c r="Q40" s="596" t="s">
        <v>45</v>
      </c>
      <c r="R40" s="597"/>
      <c r="S40" s="598">
        <f t="shared" si="2"/>
        <v>0</v>
      </c>
      <c r="T40" s="465"/>
      <c r="U40" s="599"/>
      <c r="V40" s="599"/>
      <c r="W40" s="465"/>
      <c r="X40" s="600">
        <f t="shared" si="1"/>
        <v>0</v>
      </c>
      <c r="Y40" s="601"/>
      <c r="Z40" s="602">
        <f t="shared" si="3"/>
        <v>0</v>
      </c>
      <c r="AA40" s="465"/>
      <c r="AB40" s="465"/>
      <c r="AC40" s="599"/>
      <c r="AD40" s="599"/>
      <c r="AE40" s="603">
        <f t="shared" si="5"/>
        <v>0</v>
      </c>
      <c r="AF40" s="426"/>
      <c r="AG40" s="429" t="str">
        <f>VLOOKUP(LEFT(A40,(FIND(",",A40,1)-1)),'Feature Summary'!$A$7:$U$4035,21,FALSE)</f>
        <v>A/B + 8wks</v>
      </c>
      <c r="AH40" s="580" t="s">
        <v>409</v>
      </c>
    </row>
    <row r="41" spans="1:34" ht="180.75" thickBot="1" x14ac:dyDescent="0.3">
      <c r="A41" s="316" t="s">
        <v>404</v>
      </c>
      <c r="B41" s="533" t="s">
        <v>405</v>
      </c>
      <c r="C41" s="308" t="s">
        <v>406</v>
      </c>
      <c r="D41" s="536" t="s">
        <v>306</v>
      </c>
      <c r="E41" s="308"/>
      <c r="F41" s="533" t="s">
        <v>410</v>
      </c>
      <c r="G41" s="231" t="e">
        <f>VLOOKUP(A41,'Feature Summary'!$A$7:$C$4104,3,FALSE)</f>
        <v>#N/A</v>
      </c>
      <c r="H41" s="540" t="s">
        <v>411</v>
      </c>
      <c r="I41" s="540" t="s">
        <v>309</v>
      </c>
      <c r="J41" s="541" t="s">
        <v>327</v>
      </c>
      <c r="K41" s="548">
        <v>9</v>
      </c>
      <c r="L41" s="549">
        <v>2</v>
      </c>
      <c r="M41" s="545" t="s">
        <v>33</v>
      </c>
      <c r="N41" s="445">
        <v>1</v>
      </c>
      <c r="O41" s="443">
        <v>2</v>
      </c>
      <c r="P41" s="447">
        <f t="shared" si="4"/>
        <v>1</v>
      </c>
      <c r="Q41" s="431" t="s">
        <v>45</v>
      </c>
      <c r="R41" s="309">
        <v>2</v>
      </c>
      <c r="S41" s="477">
        <f t="shared" si="2"/>
        <v>2</v>
      </c>
      <c r="T41" s="465">
        <v>2</v>
      </c>
      <c r="U41" s="465"/>
      <c r="V41" s="465"/>
      <c r="W41" s="465"/>
      <c r="X41" s="478">
        <f t="shared" si="1"/>
        <v>1</v>
      </c>
      <c r="Y41" s="432"/>
      <c r="Z41" s="464">
        <f t="shared" si="3"/>
        <v>2</v>
      </c>
      <c r="AA41" s="465">
        <v>2</v>
      </c>
      <c r="AB41" s="465"/>
      <c r="AC41" s="465"/>
      <c r="AD41" s="465"/>
      <c r="AE41" s="466">
        <f t="shared" si="5"/>
        <v>1</v>
      </c>
      <c r="AF41" s="426" t="s">
        <v>340</v>
      </c>
      <c r="AG41" s="429" t="str">
        <f>VLOOKUP(LEFT(A41,(FIND(",",A41,1)-1)),'Feature Summary'!$A$7:$U$4035,21,FALSE)</f>
        <v>A/B + 8wks</v>
      </c>
      <c r="AH41" s="580" t="s">
        <v>412</v>
      </c>
    </row>
    <row r="42" spans="1:34" ht="45.75" thickBot="1" x14ac:dyDescent="0.3">
      <c r="A42" s="316" t="s">
        <v>404</v>
      </c>
      <c r="B42" s="533" t="s">
        <v>405</v>
      </c>
      <c r="C42" s="308" t="s">
        <v>406</v>
      </c>
      <c r="D42" s="536" t="s">
        <v>306</v>
      </c>
      <c r="E42" s="308"/>
      <c r="F42" s="533" t="s">
        <v>413</v>
      </c>
      <c r="G42" s="231" t="e">
        <f>VLOOKUP(A42,'Feature Summary'!$A$7:$C$4104,3,FALSE)</f>
        <v>#N/A</v>
      </c>
      <c r="H42" s="540" t="s">
        <v>414</v>
      </c>
      <c r="I42" s="540" t="s">
        <v>309</v>
      </c>
      <c r="J42" s="541" t="s">
        <v>344</v>
      </c>
      <c r="K42" s="548">
        <v>2</v>
      </c>
      <c r="L42" s="549">
        <v>2</v>
      </c>
      <c r="M42" s="545" t="s">
        <v>33</v>
      </c>
      <c r="N42" s="445">
        <v>1</v>
      </c>
      <c r="O42" s="443">
        <v>2</v>
      </c>
      <c r="P42" s="447">
        <f t="shared" si="4"/>
        <v>1</v>
      </c>
      <c r="Q42" s="431" t="s">
        <v>45</v>
      </c>
      <c r="R42" s="309">
        <v>2</v>
      </c>
      <c r="S42" s="477">
        <f t="shared" si="2"/>
        <v>2</v>
      </c>
      <c r="T42" s="465">
        <v>2</v>
      </c>
      <c r="U42" s="465"/>
      <c r="V42" s="465"/>
      <c r="W42" s="465"/>
      <c r="X42" s="478">
        <f t="shared" si="1"/>
        <v>1</v>
      </c>
      <c r="Y42" s="432"/>
      <c r="Z42" s="464">
        <f t="shared" si="3"/>
        <v>2</v>
      </c>
      <c r="AA42" s="465">
        <v>2</v>
      </c>
      <c r="AB42" s="465"/>
      <c r="AC42" s="465"/>
      <c r="AD42" s="465"/>
      <c r="AE42" s="466">
        <f t="shared" si="5"/>
        <v>1</v>
      </c>
      <c r="AF42" s="651" t="s">
        <v>415</v>
      </c>
      <c r="AG42" s="429" t="str">
        <f>VLOOKUP(LEFT(A42,(FIND(",",A42,1)-1)),'Feature Summary'!$A$7:$U$4035,21,FALSE)</f>
        <v>A/B + 8wks</v>
      </c>
      <c r="AH42" s="580"/>
    </row>
    <row r="43" spans="1:34" ht="30.75" thickBot="1" x14ac:dyDescent="0.3">
      <c r="A43" s="316" t="s">
        <v>404</v>
      </c>
      <c r="B43" s="533" t="s">
        <v>405</v>
      </c>
      <c r="C43" s="308" t="s">
        <v>406</v>
      </c>
      <c r="D43" s="536" t="s">
        <v>306</v>
      </c>
      <c r="E43" s="308"/>
      <c r="F43" s="533" t="s">
        <v>416</v>
      </c>
      <c r="G43" s="231" t="e">
        <f>VLOOKUP(A43,'Feature Summary'!$A$7:$C$4104,3,FALSE)</f>
        <v>#N/A</v>
      </c>
      <c r="H43" s="540" t="s">
        <v>417</v>
      </c>
      <c r="I43" s="540" t="s">
        <v>309</v>
      </c>
      <c r="J43" s="541" t="s">
        <v>327</v>
      </c>
      <c r="K43" s="548">
        <v>1</v>
      </c>
      <c r="L43" s="549">
        <v>3</v>
      </c>
      <c r="M43" s="545" t="s">
        <v>33</v>
      </c>
      <c r="N43" s="445">
        <v>1</v>
      </c>
      <c r="O43" s="443">
        <v>3</v>
      </c>
      <c r="P43" s="447">
        <f>IF((O43=0),0,(O43/L43))</f>
        <v>1</v>
      </c>
      <c r="Q43" s="431" t="s">
        <v>45</v>
      </c>
      <c r="R43" s="309">
        <v>3</v>
      </c>
      <c r="S43" s="477">
        <f t="shared" si="2"/>
        <v>3</v>
      </c>
      <c r="T43" s="465">
        <v>3</v>
      </c>
      <c r="U43" s="465"/>
      <c r="V43" s="465"/>
      <c r="W43" s="465"/>
      <c r="X43" s="478">
        <f t="shared" si="1"/>
        <v>1</v>
      </c>
      <c r="Y43" s="432"/>
      <c r="Z43" s="464">
        <f t="shared" si="3"/>
        <v>3</v>
      </c>
      <c r="AA43" s="465">
        <v>3</v>
      </c>
      <c r="AB43" s="465"/>
      <c r="AC43" s="465"/>
      <c r="AD43" s="465"/>
      <c r="AE43" s="466">
        <f t="shared" si="5"/>
        <v>1</v>
      </c>
      <c r="AF43" s="426" t="s">
        <v>340</v>
      </c>
      <c r="AG43" s="429" t="str">
        <f>VLOOKUP(LEFT(A43,(FIND(",",A43,1)-1)),'Feature Summary'!$A$7:$U$4035,21,FALSE)</f>
        <v>A/B + 8wks</v>
      </c>
      <c r="AH43" s="310"/>
    </row>
    <row r="44" spans="1:34" ht="90.75" thickBot="1" x14ac:dyDescent="0.3">
      <c r="A44" s="316" t="s">
        <v>418</v>
      </c>
      <c r="B44" s="533" t="s">
        <v>419</v>
      </c>
      <c r="C44" s="308" t="s">
        <v>406</v>
      </c>
      <c r="D44" s="536" t="s">
        <v>306</v>
      </c>
      <c r="E44" s="308"/>
      <c r="F44" s="533" t="s">
        <v>420</v>
      </c>
      <c r="G44" s="231" t="e">
        <f>VLOOKUP(A44,'Feature Summary'!$A$7:$C$4104,3,FALSE)</f>
        <v>#N/A</v>
      </c>
      <c r="H44" s="540" t="s">
        <v>421</v>
      </c>
      <c r="I44" s="540" t="s">
        <v>309</v>
      </c>
      <c r="J44" s="541" t="s">
        <v>327</v>
      </c>
      <c r="K44" s="548">
        <v>9</v>
      </c>
      <c r="L44" s="549">
        <v>1</v>
      </c>
      <c r="M44" s="545" t="s">
        <v>33</v>
      </c>
      <c r="N44" s="445">
        <v>1</v>
      </c>
      <c r="O44" s="443">
        <v>1</v>
      </c>
      <c r="P44" s="447">
        <f t="shared" si="4"/>
        <v>1</v>
      </c>
      <c r="Q44" s="431" t="s">
        <v>45</v>
      </c>
      <c r="R44" s="309">
        <v>1</v>
      </c>
      <c r="S44" s="477">
        <f t="shared" si="2"/>
        <v>1</v>
      </c>
      <c r="T44" s="465">
        <v>1</v>
      </c>
      <c r="U44" s="465"/>
      <c r="V44" s="465"/>
      <c r="W44" s="465"/>
      <c r="X44" s="478">
        <f t="shared" si="1"/>
        <v>1</v>
      </c>
      <c r="Y44" s="432"/>
      <c r="Z44" s="464">
        <f t="shared" si="3"/>
        <v>1</v>
      </c>
      <c r="AA44" s="465">
        <v>1</v>
      </c>
      <c r="AB44" s="465"/>
      <c r="AC44" s="465"/>
      <c r="AD44" s="465"/>
      <c r="AE44" s="466">
        <f t="shared" si="5"/>
        <v>1</v>
      </c>
      <c r="AF44" s="426" t="s">
        <v>340</v>
      </c>
      <c r="AG44" s="429" t="str">
        <f>VLOOKUP(LEFT(A44,(FIND(",",A44,1)-1)),'Feature Summary'!$A$7:$U$4035,21,FALSE)</f>
        <v>A/B + 8wks</v>
      </c>
      <c r="AH44" s="579" t="s">
        <v>422</v>
      </c>
    </row>
    <row r="45" spans="1:34" ht="90.75" thickBot="1" x14ac:dyDescent="0.3">
      <c r="A45" s="316" t="s">
        <v>423</v>
      </c>
      <c r="B45" s="533" t="s">
        <v>419</v>
      </c>
      <c r="C45" s="308" t="s">
        <v>406</v>
      </c>
      <c r="D45" s="536" t="s">
        <v>306</v>
      </c>
      <c r="E45" s="308"/>
      <c r="F45" s="533" t="s">
        <v>420</v>
      </c>
      <c r="G45" s="231" t="e">
        <f>VLOOKUP(A45,'Feature Summary'!$A$7:$C$4104,3,FALSE)</f>
        <v>#N/A</v>
      </c>
      <c r="H45" s="540" t="s">
        <v>424</v>
      </c>
      <c r="I45" s="540" t="s">
        <v>309</v>
      </c>
      <c r="J45" s="541" t="s">
        <v>327</v>
      </c>
      <c r="K45" s="548">
        <v>1</v>
      </c>
      <c r="L45" s="549">
        <v>3</v>
      </c>
      <c r="M45" s="545" t="s">
        <v>33</v>
      </c>
      <c r="N45" s="445">
        <v>1</v>
      </c>
      <c r="O45" s="443">
        <v>3</v>
      </c>
      <c r="P45" s="447">
        <f t="shared" si="4"/>
        <v>1</v>
      </c>
      <c r="Q45" s="431" t="s">
        <v>45</v>
      </c>
      <c r="R45" s="309">
        <v>3</v>
      </c>
      <c r="S45" s="477">
        <f t="shared" si="2"/>
        <v>3</v>
      </c>
      <c r="T45" s="465">
        <v>3</v>
      </c>
      <c r="U45" s="465"/>
      <c r="V45" s="465"/>
      <c r="W45" s="465"/>
      <c r="X45" s="478">
        <f t="shared" si="1"/>
        <v>1</v>
      </c>
      <c r="Y45" s="432"/>
      <c r="Z45" s="464">
        <f t="shared" si="3"/>
        <v>3</v>
      </c>
      <c r="AA45" s="465">
        <v>3</v>
      </c>
      <c r="AB45" s="465"/>
      <c r="AC45" s="465"/>
      <c r="AD45" s="465"/>
      <c r="AE45" s="466">
        <f t="shared" si="5"/>
        <v>1</v>
      </c>
      <c r="AF45" s="426" t="s">
        <v>311</v>
      </c>
      <c r="AG45" s="429" t="str">
        <f>VLOOKUP(LEFT(A45,(FIND(",",A45,1)-1)),'Feature Summary'!$A$7:$U$4035,21,FALSE)</f>
        <v>A/B + 8wks</v>
      </c>
      <c r="AH45" s="310"/>
    </row>
    <row r="46" spans="1:34" ht="90.75" thickBot="1" x14ac:dyDescent="0.3">
      <c r="A46" s="316" t="s">
        <v>425</v>
      </c>
      <c r="B46" s="533" t="s">
        <v>419</v>
      </c>
      <c r="C46" s="308" t="s">
        <v>406</v>
      </c>
      <c r="D46" s="536" t="s">
        <v>306</v>
      </c>
      <c r="E46" s="308"/>
      <c r="F46" s="533" t="s">
        <v>420</v>
      </c>
      <c r="G46" s="231" t="e">
        <f>VLOOKUP(A46,'Feature Summary'!$A$7:$C$4104,3,FALSE)</f>
        <v>#N/A</v>
      </c>
      <c r="H46" s="540" t="s">
        <v>426</v>
      </c>
      <c r="I46" s="540" t="s">
        <v>309</v>
      </c>
      <c r="J46" s="541" t="s">
        <v>427</v>
      </c>
      <c r="K46" s="548">
        <v>1</v>
      </c>
      <c r="L46" s="549">
        <v>1</v>
      </c>
      <c r="M46" s="545" t="s">
        <v>33</v>
      </c>
      <c r="N46" s="445">
        <v>1</v>
      </c>
      <c r="O46" s="443">
        <v>1</v>
      </c>
      <c r="P46" s="447">
        <f t="shared" si="4"/>
        <v>1</v>
      </c>
      <c r="Q46" s="431" t="s">
        <v>45</v>
      </c>
      <c r="R46" s="309">
        <v>1</v>
      </c>
      <c r="S46" s="477">
        <f t="shared" si="2"/>
        <v>1</v>
      </c>
      <c r="T46" s="465">
        <v>1</v>
      </c>
      <c r="U46" s="465"/>
      <c r="V46" s="465"/>
      <c r="W46" s="465"/>
      <c r="X46" s="478">
        <f t="shared" si="1"/>
        <v>1</v>
      </c>
      <c r="Y46" s="432"/>
      <c r="Z46" s="464">
        <f t="shared" si="3"/>
        <v>1</v>
      </c>
      <c r="AA46" s="465">
        <v>1</v>
      </c>
      <c r="AB46" s="465"/>
      <c r="AC46" s="465"/>
      <c r="AD46" s="465"/>
      <c r="AE46" s="466">
        <f t="shared" si="5"/>
        <v>1</v>
      </c>
      <c r="AF46" s="426" t="s">
        <v>311</v>
      </c>
      <c r="AG46" s="429" t="str">
        <f>VLOOKUP(LEFT(A46,(FIND(",",A46,1)-1)),'Feature Summary'!$A$7:$U$4035,21,FALSE)</f>
        <v>A/B + 8wks</v>
      </c>
      <c r="AH46" s="310"/>
    </row>
    <row r="47" spans="1:34" ht="90.75" thickBot="1" x14ac:dyDescent="0.3">
      <c r="A47" s="316" t="s">
        <v>425</v>
      </c>
      <c r="B47" s="533" t="s">
        <v>419</v>
      </c>
      <c r="C47" s="308" t="s">
        <v>406</v>
      </c>
      <c r="D47" s="536" t="s">
        <v>306</v>
      </c>
      <c r="E47" s="308"/>
      <c r="F47" s="533" t="s">
        <v>420</v>
      </c>
      <c r="G47" s="231" t="e">
        <f>VLOOKUP(A47,'Feature Summary'!$A$7:$C$4104,3,FALSE)</f>
        <v>#N/A</v>
      </c>
      <c r="H47" s="540" t="s">
        <v>428</v>
      </c>
      <c r="I47" s="540" t="s">
        <v>309</v>
      </c>
      <c r="J47" s="541" t="s">
        <v>327</v>
      </c>
      <c r="K47" s="548">
        <v>1</v>
      </c>
      <c r="L47" s="549">
        <v>4</v>
      </c>
      <c r="M47" s="545" t="s">
        <v>33</v>
      </c>
      <c r="N47" s="445">
        <v>1</v>
      </c>
      <c r="O47" s="443">
        <v>4</v>
      </c>
      <c r="P47" s="447">
        <f t="shared" si="4"/>
        <v>1</v>
      </c>
      <c r="Q47" s="431" t="s">
        <v>45</v>
      </c>
      <c r="R47" s="309">
        <v>4</v>
      </c>
      <c r="S47" s="477">
        <f t="shared" si="2"/>
        <v>4</v>
      </c>
      <c r="T47" s="465">
        <v>4</v>
      </c>
      <c r="U47" s="465"/>
      <c r="V47" s="465"/>
      <c r="W47" s="465"/>
      <c r="X47" s="478">
        <f t="shared" si="1"/>
        <v>1</v>
      </c>
      <c r="Y47" s="432"/>
      <c r="Z47" s="464">
        <f t="shared" si="3"/>
        <v>4</v>
      </c>
      <c r="AA47" s="465">
        <v>4</v>
      </c>
      <c r="AB47" s="465"/>
      <c r="AC47" s="465"/>
      <c r="AD47" s="465"/>
      <c r="AE47" s="466">
        <f t="shared" si="5"/>
        <v>1</v>
      </c>
      <c r="AF47" s="426" t="s">
        <v>311</v>
      </c>
      <c r="AG47" s="429" t="str">
        <f>VLOOKUP(LEFT(A47,(FIND(",",A47,1)-1)),'Feature Summary'!$A$7:$U$4035,21,FALSE)</f>
        <v>A/B + 8wks</v>
      </c>
      <c r="AH47" s="310"/>
    </row>
    <row r="48" spans="1:34" ht="75.75" thickBot="1" x14ac:dyDescent="0.3">
      <c r="A48" s="316" t="s">
        <v>429</v>
      </c>
      <c r="B48" s="533" t="s">
        <v>430</v>
      </c>
      <c r="C48" s="308" t="s">
        <v>406</v>
      </c>
      <c r="D48" s="536" t="s">
        <v>306</v>
      </c>
      <c r="E48" s="308"/>
      <c r="F48" s="533" t="s">
        <v>431</v>
      </c>
      <c r="G48" s="231" t="str">
        <f>VLOOKUP(A48,'Feature Summary'!$A$7:$C$4104,3,FALSE)</f>
        <v>P2</v>
      </c>
      <c r="H48" s="540" t="s">
        <v>432</v>
      </c>
      <c r="I48" s="540" t="s">
        <v>309</v>
      </c>
      <c r="J48" s="541" t="s">
        <v>433</v>
      </c>
      <c r="K48" s="548">
        <v>1</v>
      </c>
      <c r="L48" s="549">
        <v>1</v>
      </c>
      <c r="M48" s="545" t="s">
        <v>33</v>
      </c>
      <c r="N48" s="445">
        <v>1</v>
      </c>
      <c r="O48" s="443">
        <v>1</v>
      </c>
      <c r="P48" s="447">
        <f t="shared" si="4"/>
        <v>1</v>
      </c>
      <c r="Q48" s="431" t="s">
        <v>45</v>
      </c>
      <c r="R48" s="309">
        <v>1</v>
      </c>
      <c r="S48" s="477">
        <f t="shared" si="2"/>
        <v>1</v>
      </c>
      <c r="T48" s="465">
        <v>1</v>
      </c>
      <c r="U48" s="465"/>
      <c r="V48" s="465"/>
      <c r="W48" s="465"/>
      <c r="X48" s="478">
        <f t="shared" si="1"/>
        <v>1</v>
      </c>
      <c r="Y48" s="432"/>
      <c r="Z48" s="464">
        <f t="shared" si="3"/>
        <v>1</v>
      </c>
      <c r="AA48" s="465">
        <v>1</v>
      </c>
      <c r="AB48" s="465"/>
      <c r="AC48" s="465"/>
      <c r="AD48" s="465"/>
      <c r="AE48" s="466">
        <f t="shared" si="5"/>
        <v>1</v>
      </c>
      <c r="AF48" s="426" t="s">
        <v>311</v>
      </c>
      <c r="AG48" s="433" t="str">
        <f>VLOOKUP(A48,'Feature Summary'!$A$7:$U$4104,21,FALSE)</f>
        <v>A/B + 8wks</v>
      </c>
      <c r="AH48" s="310"/>
    </row>
    <row r="49" spans="1:34" ht="105.75" thickBot="1" x14ac:dyDescent="0.3">
      <c r="A49" s="316" t="s">
        <v>429</v>
      </c>
      <c r="B49" s="533" t="s">
        <v>430</v>
      </c>
      <c r="C49" s="308" t="s">
        <v>406</v>
      </c>
      <c r="D49" s="536" t="s">
        <v>306</v>
      </c>
      <c r="E49" s="308"/>
      <c r="F49" s="533" t="s">
        <v>434</v>
      </c>
      <c r="G49" s="231" t="str">
        <f>VLOOKUP(A49,'Feature Summary'!$A$7:$C$4104,3,FALSE)</f>
        <v>P2</v>
      </c>
      <c r="H49" s="540" t="s">
        <v>435</v>
      </c>
      <c r="I49" s="540" t="s">
        <v>309</v>
      </c>
      <c r="J49" s="541" t="s">
        <v>436</v>
      </c>
      <c r="K49" s="548">
        <v>1</v>
      </c>
      <c r="L49" s="549">
        <v>1</v>
      </c>
      <c r="M49" s="545" t="s">
        <v>33</v>
      </c>
      <c r="N49" s="445">
        <v>1</v>
      </c>
      <c r="O49" s="443">
        <v>1</v>
      </c>
      <c r="P49" s="447">
        <f t="shared" si="4"/>
        <v>1</v>
      </c>
      <c r="Q49" s="431" t="s">
        <v>45</v>
      </c>
      <c r="R49" s="309">
        <v>1</v>
      </c>
      <c r="S49" s="477">
        <f t="shared" si="2"/>
        <v>1</v>
      </c>
      <c r="T49" s="465">
        <v>1</v>
      </c>
      <c r="U49" s="465"/>
      <c r="V49" s="465"/>
      <c r="W49" s="465"/>
      <c r="X49" s="478">
        <f t="shared" si="1"/>
        <v>1</v>
      </c>
      <c r="Y49" s="432"/>
      <c r="Z49" s="464">
        <f t="shared" si="3"/>
        <v>1</v>
      </c>
      <c r="AA49" s="465"/>
      <c r="AB49" s="465"/>
      <c r="AC49" s="465">
        <v>1</v>
      </c>
      <c r="AD49" s="465"/>
      <c r="AE49" s="466">
        <f t="shared" si="5"/>
        <v>0</v>
      </c>
      <c r="AF49" s="651" t="s">
        <v>437</v>
      </c>
      <c r="AG49" s="433" t="str">
        <f>VLOOKUP(A49,'Feature Summary'!$A$7:$U$4104,21,FALSE)</f>
        <v>A/B + 8wks</v>
      </c>
      <c r="AH49" s="310"/>
    </row>
    <row r="50" spans="1:34" ht="105.75" thickBot="1" x14ac:dyDescent="0.3">
      <c r="A50" s="316" t="s">
        <v>429</v>
      </c>
      <c r="B50" s="533" t="s">
        <v>430</v>
      </c>
      <c r="C50" s="308" t="s">
        <v>406</v>
      </c>
      <c r="D50" s="536" t="s">
        <v>306</v>
      </c>
      <c r="E50" s="308"/>
      <c r="F50" s="533" t="s">
        <v>438</v>
      </c>
      <c r="G50" s="231" t="str">
        <f>VLOOKUP(A50,'Feature Summary'!$A$7:$C$4104,3,FALSE)</f>
        <v>P2</v>
      </c>
      <c r="H50" s="540" t="s">
        <v>439</v>
      </c>
      <c r="I50" s="540" t="s">
        <v>309</v>
      </c>
      <c r="J50" s="541" t="s">
        <v>436</v>
      </c>
      <c r="K50" s="548">
        <v>1</v>
      </c>
      <c r="L50" s="549">
        <v>1</v>
      </c>
      <c r="M50" s="545" t="s">
        <v>33</v>
      </c>
      <c r="N50" s="445">
        <v>1</v>
      </c>
      <c r="O50" s="443">
        <v>1</v>
      </c>
      <c r="P50" s="447">
        <f t="shared" si="4"/>
        <v>1</v>
      </c>
      <c r="Q50" s="431" t="s">
        <v>45</v>
      </c>
      <c r="R50" s="309">
        <v>1</v>
      </c>
      <c r="S50" s="477">
        <f t="shared" si="2"/>
        <v>1</v>
      </c>
      <c r="T50" s="465">
        <v>1</v>
      </c>
      <c r="U50" s="465"/>
      <c r="V50" s="465"/>
      <c r="W50" s="465"/>
      <c r="X50" s="478">
        <f t="shared" si="1"/>
        <v>1</v>
      </c>
      <c r="Y50" s="432"/>
      <c r="Z50" s="464">
        <f t="shared" si="3"/>
        <v>1</v>
      </c>
      <c r="AA50" s="465">
        <v>1</v>
      </c>
      <c r="AB50" s="465"/>
      <c r="AC50" s="465"/>
      <c r="AD50" s="465"/>
      <c r="AE50" s="466">
        <f t="shared" si="5"/>
        <v>1</v>
      </c>
      <c r="AF50" s="426" t="s">
        <v>311</v>
      </c>
      <c r="AG50" s="433" t="str">
        <f>VLOOKUP(A50,'Feature Summary'!$A$7:$U$4104,21,FALSE)</f>
        <v>A/B + 8wks</v>
      </c>
      <c r="AH50" s="310"/>
    </row>
    <row r="51" spans="1:34" ht="75.75" thickBot="1" x14ac:dyDescent="0.3">
      <c r="A51" s="316" t="s">
        <v>429</v>
      </c>
      <c r="B51" s="533" t="s">
        <v>430</v>
      </c>
      <c r="C51" s="308" t="s">
        <v>406</v>
      </c>
      <c r="D51" s="536" t="s">
        <v>306</v>
      </c>
      <c r="E51" s="308"/>
      <c r="F51" s="533" t="s">
        <v>440</v>
      </c>
      <c r="G51" s="231" t="str">
        <f>VLOOKUP(A51,'Feature Summary'!$A$7:$C$4104,3,FALSE)</f>
        <v>P2</v>
      </c>
      <c r="H51" s="540" t="s">
        <v>441</v>
      </c>
      <c r="I51" s="540" t="s">
        <v>309</v>
      </c>
      <c r="J51" s="541" t="s">
        <v>442</v>
      </c>
      <c r="K51" s="548">
        <v>1</v>
      </c>
      <c r="L51" s="549">
        <v>1</v>
      </c>
      <c r="M51" s="545" t="s">
        <v>33</v>
      </c>
      <c r="N51" s="445">
        <v>1</v>
      </c>
      <c r="O51" s="443">
        <v>1</v>
      </c>
      <c r="P51" s="447">
        <f t="shared" si="4"/>
        <v>1</v>
      </c>
      <c r="Q51" s="431" t="s">
        <v>45</v>
      </c>
      <c r="R51" s="309">
        <v>1</v>
      </c>
      <c r="S51" s="477">
        <f t="shared" si="2"/>
        <v>1</v>
      </c>
      <c r="T51" s="465">
        <v>1</v>
      </c>
      <c r="U51" s="465"/>
      <c r="V51" s="465"/>
      <c r="W51" s="465"/>
      <c r="X51" s="478">
        <f t="shared" si="1"/>
        <v>1</v>
      </c>
      <c r="Y51" s="432"/>
      <c r="Z51" s="464">
        <f t="shared" si="3"/>
        <v>1</v>
      </c>
      <c r="AA51" s="465">
        <v>1</v>
      </c>
      <c r="AB51" s="465"/>
      <c r="AC51" s="465"/>
      <c r="AD51" s="465"/>
      <c r="AE51" s="466">
        <f t="shared" si="5"/>
        <v>1</v>
      </c>
      <c r="AF51" s="426" t="s">
        <v>311</v>
      </c>
      <c r="AG51" s="433" t="str">
        <f>VLOOKUP(A51,'Feature Summary'!$A$7:$U$4104,21,FALSE)</f>
        <v>A/B + 8wks</v>
      </c>
      <c r="AH51" s="310"/>
    </row>
    <row r="52" spans="1:34" ht="45.75" thickBot="1" x14ac:dyDescent="0.3">
      <c r="A52" s="316" t="s">
        <v>429</v>
      </c>
      <c r="B52" s="533" t="s">
        <v>430</v>
      </c>
      <c r="C52" s="308" t="s">
        <v>406</v>
      </c>
      <c r="D52" s="536" t="s">
        <v>306</v>
      </c>
      <c r="E52" s="308"/>
      <c r="F52" s="533" t="s">
        <v>443</v>
      </c>
      <c r="G52" s="231" t="str">
        <f>VLOOKUP(A52,'Feature Summary'!$A$7:$C$4104,3,FALSE)</f>
        <v>P2</v>
      </c>
      <c r="H52" s="540" t="s">
        <v>444</v>
      </c>
      <c r="I52" s="540" t="s">
        <v>309</v>
      </c>
      <c r="J52" s="541" t="s">
        <v>376</v>
      </c>
      <c r="K52" s="548">
        <v>1</v>
      </c>
      <c r="L52" s="549">
        <v>1</v>
      </c>
      <c r="M52" s="545" t="s">
        <v>33</v>
      </c>
      <c r="N52" s="445">
        <v>1</v>
      </c>
      <c r="O52" s="443">
        <v>1</v>
      </c>
      <c r="P52" s="447">
        <f t="shared" si="4"/>
        <v>1</v>
      </c>
      <c r="Q52" s="431" t="s">
        <v>45</v>
      </c>
      <c r="R52" s="309">
        <v>1</v>
      </c>
      <c r="S52" s="477">
        <f t="shared" si="2"/>
        <v>1</v>
      </c>
      <c r="T52" s="465">
        <v>1</v>
      </c>
      <c r="U52" s="465"/>
      <c r="V52" s="465"/>
      <c r="W52" s="465"/>
      <c r="X52" s="478">
        <f t="shared" si="1"/>
        <v>1</v>
      </c>
      <c r="Y52" s="432"/>
      <c r="Z52" s="464">
        <f t="shared" si="3"/>
        <v>1</v>
      </c>
      <c r="AA52" s="465">
        <v>1</v>
      </c>
      <c r="AB52" s="465"/>
      <c r="AC52" s="465"/>
      <c r="AD52" s="465"/>
      <c r="AE52" s="466">
        <f t="shared" si="5"/>
        <v>1</v>
      </c>
      <c r="AF52" s="426" t="s">
        <v>311</v>
      </c>
      <c r="AG52" s="433" t="str">
        <f>VLOOKUP(A52,'Feature Summary'!$A$7:$U$4104,21,FALSE)</f>
        <v>A/B + 8wks</v>
      </c>
      <c r="AH52" s="310"/>
    </row>
    <row r="53" spans="1:34" ht="75.75" thickBot="1" x14ac:dyDescent="0.3">
      <c r="A53" s="316" t="s">
        <v>429</v>
      </c>
      <c r="B53" s="533" t="s">
        <v>430</v>
      </c>
      <c r="C53" s="308" t="s">
        <v>406</v>
      </c>
      <c r="D53" s="536" t="s">
        <v>306</v>
      </c>
      <c r="E53" s="308"/>
      <c r="F53" s="533" t="s">
        <v>445</v>
      </c>
      <c r="G53" s="231" t="str">
        <f>VLOOKUP(A53,'Feature Summary'!$A$7:$C$4104,3,FALSE)</f>
        <v>P2</v>
      </c>
      <c r="H53" s="540" t="s">
        <v>446</v>
      </c>
      <c r="I53" s="540" t="s">
        <v>309</v>
      </c>
      <c r="J53" s="541" t="s">
        <v>447</v>
      </c>
      <c r="K53" s="548">
        <v>1</v>
      </c>
      <c r="L53" s="549">
        <v>1</v>
      </c>
      <c r="M53" s="545" t="s">
        <v>33</v>
      </c>
      <c r="N53" s="445">
        <v>1</v>
      </c>
      <c r="O53" s="443">
        <v>1</v>
      </c>
      <c r="P53" s="447">
        <f t="shared" si="4"/>
        <v>1</v>
      </c>
      <c r="Q53" s="431" t="s">
        <v>45</v>
      </c>
      <c r="R53" s="309">
        <v>1</v>
      </c>
      <c r="S53" s="477">
        <f t="shared" si="2"/>
        <v>1</v>
      </c>
      <c r="T53" s="465">
        <v>1</v>
      </c>
      <c r="U53" s="465"/>
      <c r="V53" s="465"/>
      <c r="W53" s="465"/>
      <c r="X53" s="478">
        <f t="shared" si="1"/>
        <v>1</v>
      </c>
      <c r="Y53" s="432"/>
      <c r="Z53" s="464">
        <f t="shared" si="3"/>
        <v>1</v>
      </c>
      <c r="AA53" s="465"/>
      <c r="AB53" s="465"/>
      <c r="AC53" s="465"/>
      <c r="AD53" s="465">
        <v>1</v>
      </c>
      <c r="AE53" s="466">
        <f t="shared" si="5"/>
        <v>0</v>
      </c>
      <c r="AF53" s="426" t="s">
        <v>448</v>
      </c>
      <c r="AG53" s="433" t="str">
        <f>VLOOKUP(A53,'Feature Summary'!$A$7:$U$4104,21,FALSE)</f>
        <v>A/B + 8wks</v>
      </c>
      <c r="AH53" s="310"/>
    </row>
    <row r="54" spans="1:34" ht="75.75" thickBot="1" x14ac:dyDescent="0.3">
      <c r="A54" s="316" t="s">
        <v>429</v>
      </c>
      <c r="B54" s="533" t="s">
        <v>430</v>
      </c>
      <c r="C54" s="308" t="s">
        <v>406</v>
      </c>
      <c r="D54" s="536" t="s">
        <v>306</v>
      </c>
      <c r="E54" s="308"/>
      <c r="F54" s="533" t="s">
        <v>431</v>
      </c>
      <c r="G54" s="231" t="str">
        <f>VLOOKUP(A54,'Feature Summary'!$A$7:$C$4104,3,FALSE)</f>
        <v>P2</v>
      </c>
      <c r="H54" s="540" t="s">
        <v>449</v>
      </c>
      <c r="I54" s="540" t="s">
        <v>309</v>
      </c>
      <c r="J54" s="541" t="s">
        <v>450</v>
      </c>
      <c r="K54" s="548">
        <v>1</v>
      </c>
      <c r="L54" s="549">
        <v>1</v>
      </c>
      <c r="M54" s="545" t="s">
        <v>33</v>
      </c>
      <c r="N54" s="445">
        <v>1</v>
      </c>
      <c r="O54" s="443">
        <v>1</v>
      </c>
      <c r="P54" s="447">
        <f t="shared" si="4"/>
        <v>1</v>
      </c>
      <c r="Q54" s="431" t="s">
        <v>45</v>
      </c>
      <c r="R54" s="309">
        <v>1</v>
      </c>
      <c r="S54" s="477">
        <f t="shared" si="2"/>
        <v>1</v>
      </c>
      <c r="T54" s="465">
        <v>1</v>
      </c>
      <c r="U54" s="465"/>
      <c r="V54" s="465"/>
      <c r="W54" s="465"/>
      <c r="X54" s="478">
        <f t="shared" si="1"/>
        <v>1</v>
      </c>
      <c r="Y54" s="432"/>
      <c r="Z54" s="464">
        <f t="shared" si="3"/>
        <v>1</v>
      </c>
      <c r="AA54" s="465">
        <v>1</v>
      </c>
      <c r="AB54" s="465"/>
      <c r="AC54" s="465"/>
      <c r="AD54" s="465"/>
      <c r="AE54" s="466">
        <f t="shared" si="5"/>
        <v>1</v>
      </c>
      <c r="AF54" s="426" t="s">
        <v>311</v>
      </c>
      <c r="AG54" s="433" t="str">
        <f>VLOOKUP(A54,'Feature Summary'!$A$7:$U$4104,21,FALSE)</f>
        <v>A/B + 8wks</v>
      </c>
      <c r="AH54" s="310"/>
    </row>
    <row r="55" spans="1:34" ht="105.75" thickBot="1" x14ac:dyDescent="0.3">
      <c r="A55" s="316" t="s">
        <v>429</v>
      </c>
      <c r="B55" s="533" t="s">
        <v>430</v>
      </c>
      <c r="C55" s="308" t="s">
        <v>406</v>
      </c>
      <c r="D55" s="536" t="s">
        <v>306</v>
      </c>
      <c r="E55" s="308"/>
      <c r="F55" s="533" t="s">
        <v>451</v>
      </c>
      <c r="G55" s="231" t="str">
        <f>VLOOKUP(A55,'Feature Summary'!$A$7:$C$4104,3,FALSE)</f>
        <v>P2</v>
      </c>
      <c r="H55" s="540" t="s">
        <v>452</v>
      </c>
      <c r="I55" s="540" t="s">
        <v>309</v>
      </c>
      <c r="J55" s="541" t="s">
        <v>453</v>
      </c>
      <c r="K55" s="548">
        <v>1</v>
      </c>
      <c r="L55" s="549">
        <v>1</v>
      </c>
      <c r="M55" s="545" t="s">
        <v>33</v>
      </c>
      <c r="N55" s="445">
        <v>1</v>
      </c>
      <c r="O55" s="443">
        <v>1</v>
      </c>
      <c r="P55" s="447">
        <f t="shared" si="4"/>
        <v>1</v>
      </c>
      <c r="Q55" s="431" t="s">
        <v>45</v>
      </c>
      <c r="R55" s="309">
        <v>1</v>
      </c>
      <c r="S55" s="477">
        <f t="shared" si="2"/>
        <v>1</v>
      </c>
      <c r="T55" s="465">
        <v>1</v>
      </c>
      <c r="U55" s="465"/>
      <c r="V55" s="465"/>
      <c r="W55" s="465"/>
      <c r="X55" s="478">
        <f t="shared" si="1"/>
        <v>1</v>
      </c>
      <c r="Y55" s="432"/>
      <c r="Z55" s="464">
        <f t="shared" si="3"/>
        <v>1</v>
      </c>
      <c r="AA55" s="465"/>
      <c r="AB55" s="465"/>
      <c r="AC55" s="465"/>
      <c r="AD55" s="465">
        <v>1</v>
      </c>
      <c r="AE55" s="466">
        <f t="shared" si="5"/>
        <v>0</v>
      </c>
      <c r="AF55" s="426" t="s">
        <v>448</v>
      </c>
      <c r="AG55" s="433" t="str">
        <f>VLOOKUP(A55,'Feature Summary'!$A$7:$U$4104,21,FALSE)</f>
        <v>A/B + 8wks</v>
      </c>
      <c r="AH55" s="310"/>
    </row>
    <row r="56" spans="1:34" ht="105.75" thickBot="1" x14ac:dyDescent="0.3">
      <c r="A56" s="316" t="s">
        <v>429</v>
      </c>
      <c r="B56" s="533" t="s">
        <v>430</v>
      </c>
      <c r="C56" s="308" t="s">
        <v>406</v>
      </c>
      <c r="D56" s="536" t="s">
        <v>306</v>
      </c>
      <c r="E56" s="308"/>
      <c r="F56" s="533" t="s">
        <v>438</v>
      </c>
      <c r="G56" s="231" t="str">
        <f>VLOOKUP(A56,'Feature Summary'!$A$7:$C$4104,3,FALSE)</f>
        <v>P2</v>
      </c>
      <c r="H56" s="540" t="s">
        <v>454</v>
      </c>
      <c r="I56" s="540" t="s">
        <v>309</v>
      </c>
      <c r="J56" s="541" t="s">
        <v>453</v>
      </c>
      <c r="K56" s="548">
        <v>1</v>
      </c>
      <c r="L56" s="549">
        <v>1</v>
      </c>
      <c r="M56" s="545" t="s">
        <v>33</v>
      </c>
      <c r="N56" s="445">
        <v>1</v>
      </c>
      <c r="O56" s="443">
        <v>1</v>
      </c>
      <c r="P56" s="447">
        <f t="shared" si="4"/>
        <v>1</v>
      </c>
      <c r="Q56" s="431" t="s">
        <v>45</v>
      </c>
      <c r="R56" s="309">
        <v>1</v>
      </c>
      <c r="S56" s="477">
        <f t="shared" si="2"/>
        <v>1</v>
      </c>
      <c r="T56" s="465">
        <v>1</v>
      </c>
      <c r="U56" s="465"/>
      <c r="V56" s="465"/>
      <c r="W56" s="465"/>
      <c r="X56" s="478">
        <f t="shared" si="1"/>
        <v>1</v>
      </c>
      <c r="Y56" s="432"/>
      <c r="Z56" s="464">
        <f t="shared" si="3"/>
        <v>1</v>
      </c>
      <c r="AA56" s="465">
        <v>1</v>
      </c>
      <c r="AB56" s="465"/>
      <c r="AC56" s="465"/>
      <c r="AD56" s="465"/>
      <c r="AE56" s="466">
        <f t="shared" si="5"/>
        <v>1</v>
      </c>
      <c r="AF56" s="426" t="s">
        <v>311</v>
      </c>
      <c r="AG56" s="433" t="str">
        <f>VLOOKUP(A56,'Feature Summary'!$A$7:$U$4104,21,FALSE)</f>
        <v>A/B + 8wks</v>
      </c>
      <c r="AH56" s="310"/>
    </row>
    <row r="57" spans="1:34" ht="75.75" thickBot="1" x14ac:dyDescent="0.3">
      <c r="A57" s="316" t="s">
        <v>429</v>
      </c>
      <c r="B57" s="533" t="s">
        <v>430</v>
      </c>
      <c r="C57" s="308" t="s">
        <v>406</v>
      </c>
      <c r="D57" s="536" t="s">
        <v>306</v>
      </c>
      <c r="E57" s="308"/>
      <c r="F57" s="533" t="s">
        <v>455</v>
      </c>
      <c r="G57" s="231" t="str">
        <f>VLOOKUP(A57,'Feature Summary'!$A$7:$C$4104,3,FALSE)</f>
        <v>P2</v>
      </c>
      <c r="H57" s="540" t="s">
        <v>456</v>
      </c>
      <c r="I57" s="540" t="s">
        <v>309</v>
      </c>
      <c r="J57" s="541" t="s">
        <v>457</v>
      </c>
      <c r="K57" s="548">
        <v>1</v>
      </c>
      <c r="L57" s="549">
        <v>2</v>
      </c>
      <c r="M57" s="545" t="s">
        <v>33</v>
      </c>
      <c r="N57" s="445">
        <v>1</v>
      </c>
      <c r="O57" s="443">
        <v>2</v>
      </c>
      <c r="P57" s="447">
        <f t="shared" si="4"/>
        <v>1</v>
      </c>
      <c r="Q57" s="431" t="s">
        <v>45</v>
      </c>
      <c r="R57" s="309">
        <v>2</v>
      </c>
      <c r="S57" s="477">
        <f t="shared" si="2"/>
        <v>2</v>
      </c>
      <c r="T57" s="465">
        <v>2</v>
      </c>
      <c r="U57" s="465"/>
      <c r="V57" s="465"/>
      <c r="W57" s="465"/>
      <c r="X57" s="478">
        <f t="shared" si="1"/>
        <v>1</v>
      </c>
      <c r="Y57" s="432"/>
      <c r="Z57" s="464">
        <f t="shared" si="3"/>
        <v>1</v>
      </c>
      <c r="AA57" s="465"/>
      <c r="AB57" s="465"/>
      <c r="AC57" s="465"/>
      <c r="AD57" s="465">
        <v>1</v>
      </c>
      <c r="AE57" s="466">
        <f t="shared" si="5"/>
        <v>0</v>
      </c>
      <c r="AF57" s="426" t="s">
        <v>448</v>
      </c>
      <c r="AG57" s="433" t="str">
        <f>VLOOKUP(A57,'Feature Summary'!$A$7:$U$4104,21,FALSE)</f>
        <v>A/B + 8wks</v>
      </c>
      <c r="AH57" s="310"/>
    </row>
    <row r="58" spans="1:34" ht="75.75" thickBot="1" x14ac:dyDescent="0.3">
      <c r="A58" s="316" t="s">
        <v>429</v>
      </c>
      <c r="B58" s="533" t="s">
        <v>430</v>
      </c>
      <c r="C58" s="308" t="s">
        <v>406</v>
      </c>
      <c r="D58" s="536" t="s">
        <v>306</v>
      </c>
      <c r="E58" s="308"/>
      <c r="F58" s="533" t="s">
        <v>458</v>
      </c>
      <c r="G58" s="231" t="str">
        <f>VLOOKUP(A58,'Feature Summary'!$A$7:$C$4104,3,FALSE)</f>
        <v>P2</v>
      </c>
      <c r="H58" s="540" t="s">
        <v>459</v>
      </c>
      <c r="I58" s="540" t="s">
        <v>309</v>
      </c>
      <c r="J58" s="541" t="s">
        <v>460</v>
      </c>
      <c r="K58" s="548">
        <v>1</v>
      </c>
      <c r="L58" s="549">
        <v>1</v>
      </c>
      <c r="M58" s="545" t="s">
        <v>33</v>
      </c>
      <c r="N58" s="445">
        <v>1</v>
      </c>
      <c r="O58" s="443">
        <v>1</v>
      </c>
      <c r="P58" s="447">
        <f t="shared" si="4"/>
        <v>1</v>
      </c>
      <c r="Q58" s="431" t="s">
        <v>45</v>
      </c>
      <c r="R58" s="309">
        <v>1</v>
      </c>
      <c r="S58" s="477">
        <f t="shared" si="2"/>
        <v>1</v>
      </c>
      <c r="T58" s="465">
        <v>1</v>
      </c>
      <c r="U58" s="465"/>
      <c r="V58" s="465"/>
      <c r="W58" s="465"/>
      <c r="X58" s="478">
        <f t="shared" si="1"/>
        <v>1</v>
      </c>
      <c r="Y58" s="432"/>
      <c r="Z58" s="464">
        <f t="shared" si="3"/>
        <v>1</v>
      </c>
      <c r="AA58" s="465"/>
      <c r="AB58" s="465"/>
      <c r="AC58" s="465"/>
      <c r="AD58" s="465">
        <v>1</v>
      </c>
      <c r="AE58" s="466">
        <f t="shared" si="5"/>
        <v>0</v>
      </c>
      <c r="AF58" s="426" t="s">
        <v>448</v>
      </c>
      <c r="AG58" s="433" t="str">
        <f>VLOOKUP(A58,'Feature Summary'!$A$7:$U$4104,21,FALSE)</f>
        <v>A/B + 8wks</v>
      </c>
      <c r="AH58" s="310"/>
    </row>
    <row r="59" spans="1:34" ht="30.75" thickBot="1" x14ac:dyDescent="0.3">
      <c r="A59" s="316" t="s">
        <v>461</v>
      </c>
      <c r="B59" s="533" t="s">
        <v>419</v>
      </c>
      <c r="C59" s="308" t="s">
        <v>406</v>
      </c>
      <c r="D59" s="536" t="s">
        <v>306</v>
      </c>
      <c r="E59" s="308"/>
      <c r="F59" s="533" t="s">
        <v>462</v>
      </c>
      <c r="G59" s="231" t="str">
        <f>VLOOKUP(A59,'Feature Summary'!$A$7:$C$4104,3,FALSE)</f>
        <v>P1</v>
      </c>
      <c r="H59" s="540" t="s">
        <v>463</v>
      </c>
      <c r="I59" s="540" t="s">
        <v>309</v>
      </c>
      <c r="J59" s="541" t="s">
        <v>371</v>
      </c>
      <c r="K59" s="548">
        <v>3</v>
      </c>
      <c r="L59" s="549">
        <v>3</v>
      </c>
      <c r="M59" s="545" t="s">
        <v>33</v>
      </c>
      <c r="N59" s="445">
        <v>1</v>
      </c>
      <c r="O59" s="443">
        <v>3</v>
      </c>
      <c r="P59" s="447">
        <f t="shared" si="4"/>
        <v>1</v>
      </c>
      <c r="Q59" s="431" t="s">
        <v>45</v>
      </c>
      <c r="R59" s="309">
        <v>3</v>
      </c>
      <c r="S59" s="477">
        <f t="shared" si="2"/>
        <v>3</v>
      </c>
      <c r="T59" s="465">
        <v>3</v>
      </c>
      <c r="U59" s="465"/>
      <c r="V59" s="465"/>
      <c r="W59" s="465"/>
      <c r="X59" s="478">
        <f t="shared" si="1"/>
        <v>1</v>
      </c>
      <c r="Y59" s="432"/>
      <c r="Z59" s="464">
        <f t="shared" si="3"/>
        <v>3</v>
      </c>
      <c r="AA59" s="465">
        <v>2</v>
      </c>
      <c r="AB59" s="465"/>
      <c r="AC59" s="465">
        <v>1</v>
      </c>
      <c r="AD59" s="465"/>
      <c r="AE59" s="466">
        <f t="shared" si="5"/>
        <v>0.66666666666666663</v>
      </c>
      <c r="AF59" s="426" t="s">
        <v>311</v>
      </c>
      <c r="AG59" s="433" t="str">
        <f>VLOOKUP(A59,'Feature Summary'!$A$7:$U$4104,21,FALSE)</f>
        <v>A/B + 8wks</v>
      </c>
      <c r="AH59" s="310"/>
    </row>
    <row r="60" spans="1:34" ht="60.75" thickBot="1" x14ac:dyDescent="0.3">
      <c r="A60" s="316" t="s">
        <v>464</v>
      </c>
      <c r="B60" s="533" t="s">
        <v>430</v>
      </c>
      <c r="C60" s="308" t="s">
        <v>366</v>
      </c>
      <c r="D60" s="536" t="s">
        <v>306</v>
      </c>
      <c r="E60" s="308"/>
      <c r="F60" s="533" t="s">
        <v>465</v>
      </c>
      <c r="G60" s="231" t="e">
        <f>VLOOKUP(A60,'Feature Summary'!$A$7:$C$4104,3,FALSE)</f>
        <v>#N/A</v>
      </c>
      <c r="H60" s="540" t="s">
        <v>466</v>
      </c>
      <c r="I60" s="540" t="s">
        <v>309</v>
      </c>
      <c r="J60" s="541" t="s">
        <v>467</v>
      </c>
      <c r="K60" s="548">
        <v>1</v>
      </c>
      <c r="L60" s="549">
        <v>1</v>
      </c>
      <c r="M60" s="545" t="s">
        <v>33</v>
      </c>
      <c r="N60" s="445">
        <v>1</v>
      </c>
      <c r="O60" s="443">
        <v>1</v>
      </c>
      <c r="P60" s="447">
        <f t="shared" si="4"/>
        <v>1</v>
      </c>
      <c r="Q60" s="431" t="s">
        <v>45</v>
      </c>
      <c r="R60" s="309">
        <v>1</v>
      </c>
      <c r="S60" s="477">
        <f t="shared" si="2"/>
        <v>1</v>
      </c>
      <c r="T60" s="465">
        <v>1</v>
      </c>
      <c r="U60" s="465"/>
      <c r="V60" s="465"/>
      <c r="W60" s="465"/>
      <c r="X60" s="478">
        <f t="shared" si="1"/>
        <v>1</v>
      </c>
      <c r="Y60" s="432"/>
      <c r="Z60" s="464">
        <f t="shared" si="3"/>
        <v>1</v>
      </c>
      <c r="AA60" s="465">
        <v>1</v>
      </c>
      <c r="AB60" s="465"/>
      <c r="AC60" s="465"/>
      <c r="AD60" s="465"/>
      <c r="AE60" s="466">
        <f t="shared" si="5"/>
        <v>1</v>
      </c>
      <c r="AF60" s="426" t="s">
        <v>340</v>
      </c>
      <c r="AG60" s="429" t="str">
        <f>VLOOKUP(LEFT(A60,(FIND(",",A60,1)-1)),'Feature Summary'!$A$7:$U$4035,21,FALSE)</f>
        <v>A/B + 8wks</v>
      </c>
      <c r="AH60" s="310"/>
    </row>
    <row r="61" spans="1:34" ht="60.75" thickBot="1" x14ac:dyDescent="0.3">
      <c r="A61" s="316" t="s">
        <v>464</v>
      </c>
      <c r="B61" s="533" t="s">
        <v>430</v>
      </c>
      <c r="C61" s="308" t="s">
        <v>366</v>
      </c>
      <c r="D61" s="536" t="s">
        <v>306</v>
      </c>
      <c r="E61" s="308"/>
      <c r="F61" s="533" t="s">
        <v>465</v>
      </c>
      <c r="G61" s="231" t="e">
        <f>VLOOKUP(A61,'Feature Summary'!$A$7:$C$4104,3,FALSE)</f>
        <v>#N/A</v>
      </c>
      <c r="H61" s="540" t="s">
        <v>468</v>
      </c>
      <c r="I61" s="540" t="s">
        <v>309</v>
      </c>
      <c r="J61" s="541" t="s">
        <v>469</v>
      </c>
      <c r="K61" s="548">
        <v>1</v>
      </c>
      <c r="L61" s="549">
        <v>1</v>
      </c>
      <c r="M61" s="545" t="s">
        <v>33</v>
      </c>
      <c r="N61" s="445">
        <v>1</v>
      </c>
      <c r="O61" s="443">
        <v>1</v>
      </c>
      <c r="P61" s="447">
        <f t="shared" si="4"/>
        <v>1</v>
      </c>
      <c r="Q61" s="431" t="s">
        <v>45</v>
      </c>
      <c r="R61" s="309">
        <v>1</v>
      </c>
      <c r="S61" s="477">
        <f t="shared" si="2"/>
        <v>1</v>
      </c>
      <c r="T61" s="465">
        <v>1</v>
      </c>
      <c r="U61" s="465"/>
      <c r="V61" s="465"/>
      <c r="W61" s="465"/>
      <c r="X61" s="478">
        <f t="shared" si="1"/>
        <v>1</v>
      </c>
      <c r="Y61" s="432"/>
      <c r="Z61" s="464">
        <f t="shared" si="3"/>
        <v>1</v>
      </c>
      <c r="AA61" s="465">
        <v>1</v>
      </c>
      <c r="AB61" s="465"/>
      <c r="AC61" s="465"/>
      <c r="AD61" s="465"/>
      <c r="AE61" s="466">
        <f t="shared" si="5"/>
        <v>1</v>
      </c>
      <c r="AF61" s="426" t="s">
        <v>340</v>
      </c>
      <c r="AG61" s="429" t="str">
        <f>VLOOKUP(LEFT(A61,(FIND(",",A61,1)-1)),'Feature Summary'!$A$7:$U$4035,21,FALSE)</f>
        <v>A/B + 8wks</v>
      </c>
      <c r="AH61" s="310"/>
    </row>
    <row r="62" spans="1:34" ht="60.75" thickBot="1" x14ac:dyDescent="0.3">
      <c r="A62" s="316" t="s">
        <v>464</v>
      </c>
      <c r="B62" s="533" t="s">
        <v>430</v>
      </c>
      <c r="C62" s="308" t="s">
        <v>366</v>
      </c>
      <c r="D62" s="536" t="s">
        <v>306</v>
      </c>
      <c r="E62" s="308"/>
      <c r="F62" s="533" t="s">
        <v>470</v>
      </c>
      <c r="G62" s="231" t="e">
        <f>VLOOKUP(A62,'Feature Summary'!$A$7:$C$4104,3,FALSE)</f>
        <v>#N/A</v>
      </c>
      <c r="H62" s="540" t="s">
        <v>471</v>
      </c>
      <c r="I62" s="540" t="s">
        <v>309</v>
      </c>
      <c r="J62" s="541" t="s">
        <v>472</v>
      </c>
      <c r="K62" s="548">
        <v>1</v>
      </c>
      <c r="L62" s="549">
        <v>1</v>
      </c>
      <c r="M62" s="545" t="s">
        <v>33</v>
      </c>
      <c r="N62" s="445">
        <v>1</v>
      </c>
      <c r="O62" s="443">
        <v>1</v>
      </c>
      <c r="P62" s="447">
        <f t="shared" si="4"/>
        <v>1</v>
      </c>
      <c r="Q62" s="431" t="s">
        <v>45</v>
      </c>
      <c r="R62" s="309">
        <v>1</v>
      </c>
      <c r="S62" s="477">
        <f t="shared" si="2"/>
        <v>1</v>
      </c>
      <c r="T62" s="465">
        <v>1</v>
      </c>
      <c r="U62" s="465"/>
      <c r="V62" s="465"/>
      <c r="W62" s="465"/>
      <c r="X62" s="478">
        <f t="shared" si="1"/>
        <v>1</v>
      </c>
      <c r="Y62" s="432"/>
      <c r="Z62" s="464">
        <f t="shared" si="3"/>
        <v>1</v>
      </c>
      <c r="AA62" s="465">
        <v>1</v>
      </c>
      <c r="AB62" s="465"/>
      <c r="AC62" s="465"/>
      <c r="AD62" s="465"/>
      <c r="AE62" s="466">
        <f t="shared" si="5"/>
        <v>1</v>
      </c>
      <c r="AF62" s="426" t="s">
        <v>340</v>
      </c>
      <c r="AG62" s="429" t="str">
        <f>VLOOKUP(LEFT(A62,(FIND(",",A62,1)-1)),'Feature Summary'!$A$7:$U$4035,21,FALSE)</f>
        <v>A/B + 8wks</v>
      </c>
      <c r="AH62" s="310"/>
    </row>
    <row r="63" spans="1:34" ht="60.75" thickBot="1" x14ac:dyDescent="0.3">
      <c r="A63" s="316" t="s">
        <v>464</v>
      </c>
      <c r="B63" s="533" t="s">
        <v>430</v>
      </c>
      <c r="C63" s="308" t="s">
        <v>366</v>
      </c>
      <c r="D63" s="536" t="s">
        <v>306</v>
      </c>
      <c r="E63" s="308"/>
      <c r="F63" s="533" t="s">
        <v>470</v>
      </c>
      <c r="G63" s="231" t="e">
        <f>VLOOKUP(A63,'Feature Summary'!$A$7:$C$4104,3,FALSE)</f>
        <v>#N/A</v>
      </c>
      <c r="H63" s="540" t="s">
        <v>473</v>
      </c>
      <c r="I63" s="540" t="s">
        <v>309</v>
      </c>
      <c r="J63" s="541" t="s">
        <v>474</v>
      </c>
      <c r="K63" s="548">
        <v>1</v>
      </c>
      <c r="L63" s="549">
        <v>1</v>
      </c>
      <c r="M63" s="545" t="s">
        <v>33</v>
      </c>
      <c r="N63" s="445">
        <v>1</v>
      </c>
      <c r="O63" s="443">
        <v>1</v>
      </c>
      <c r="P63" s="447">
        <f t="shared" si="4"/>
        <v>1</v>
      </c>
      <c r="Q63" s="431" t="s">
        <v>45</v>
      </c>
      <c r="R63" s="309">
        <v>1</v>
      </c>
      <c r="S63" s="477">
        <f t="shared" si="2"/>
        <v>1</v>
      </c>
      <c r="T63" s="465">
        <v>1</v>
      </c>
      <c r="U63" s="465"/>
      <c r="V63" s="465"/>
      <c r="W63" s="465"/>
      <c r="X63" s="478">
        <f t="shared" si="1"/>
        <v>1</v>
      </c>
      <c r="Y63" s="432"/>
      <c r="Z63" s="464">
        <f t="shared" si="3"/>
        <v>1</v>
      </c>
      <c r="AA63" s="465">
        <v>1</v>
      </c>
      <c r="AB63" s="465"/>
      <c r="AC63" s="465"/>
      <c r="AD63" s="465"/>
      <c r="AE63" s="466">
        <f t="shared" si="5"/>
        <v>1</v>
      </c>
      <c r="AF63" s="426" t="s">
        <v>340</v>
      </c>
      <c r="AG63" s="429" t="str">
        <f>VLOOKUP(LEFT(A63,(FIND(",",A63,1)-1)),'Feature Summary'!$A$7:$U$4035,21,FALSE)</f>
        <v>A/B + 8wks</v>
      </c>
      <c r="AH63" s="310"/>
    </row>
    <row r="64" spans="1:34" ht="15.75" hidden="1" thickBot="1" x14ac:dyDescent="0.3">
      <c r="A64" s="316"/>
      <c r="B64" s="533"/>
      <c r="C64" s="308"/>
      <c r="D64" s="536"/>
      <c r="E64" s="308"/>
      <c r="F64" s="533"/>
      <c r="G64" s="231"/>
      <c r="H64" s="540"/>
      <c r="I64" s="540"/>
      <c r="J64" s="541"/>
      <c r="K64" s="548"/>
      <c r="L64" s="549"/>
      <c r="M64" s="545"/>
      <c r="N64" s="445"/>
      <c r="O64" s="443"/>
      <c r="P64" s="447"/>
      <c r="Q64" s="431"/>
      <c r="R64" s="309"/>
      <c r="S64" s="477"/>
      <c r="T64" s="465"/>
      <c r="U64" s="465"/>
      <c r="V64" s="465"/>
      <c r="W64" s="465"/>
      <c r="X64" s="478"/>
      <c r="Y64" s="432"/>
      <c r="Z64" s="464"/>
      <c r="AA64" s="465"/>
      <c r="AB64" s="465"/>
      <c r="AC64" s="465"/>
      <c r="AD64" s="465"/>
      <c r="AE64" s="466"/>
      <c r="AF64" s="426"/>
      <c r="AG64" s="433"/>
      <c r="AH64" s="310"/>
    </row>
    <row r="65" spans="1:34" ht="60.75" thickBot="1" x14ac:dyDescent="0.3">
      <c r="A65" s="316" t="s">
        <v>475</v>
      </c>
      <c r="B65" s="533" t="s">
        <v>476</v>
      </c>
      <c r="C65" s="308" t="s">
        <v>357</v>
      </c>
      <c r="D65" s="536" t="s">
        <v>306</v>
      </c>
      <c r="E65" s="308"/>
      <c r="F65" s="533" t="s">
        <v>477</v>
      </c>
      <c r="G65" s="231" t="str">
        <f>VLOOKUP(A65,'Feature Summary'!$A$7:$C$4104,3,FALSE)</f>
        <v>P2</v>
      </c>
      <c r="H65" s="540" t="s">
        <v>478</v>
      </c>
      <c r="I65" s="540" t="s">
        <v>309</v>
      </c>
      <c r="J65" s="541" t="s">
        <v>327</v>
      </c>
      <c r="K65" s="548">
        <v>1</v>
      </c>
      <c r="L65" s="549">
        <v>3</v>
      </c>
      <c r="M65" s="545" t="s">
        <v>33</v>
      </c>
      <c r="N65" s="445">
        <v>1</v>
      </c>
      <c r="O65" s="443">
        <v>3</v>
      </c>
      <c r="P65" s="447">
        <f t="shared" si="4"/>
        <v>1</v>
      </c>
      <c r="Q65" s="431" t="s">
        <v>45</v>
      </c>
      <c r="R65" s="309">
        <v>3</v>
      </c>
      <c r="S65" s="477">
        <f t="shared" si="2"/>
        <v>3</v>
      </c>
      <c r="T65" s="465">
        <v>3</v>
      </c>
      <c r="U65" s="465"/>
      <c r="V65" s="465"/>
      <c r="W65" s="465"/>
      <c r="X65" s="478">
        <f t="shared" si="1"/>
        <v>1</v>
      </c>
      <c r="Y65" s="432"/>
      <c r="Z65" s="464">
        <f t="shared" si="3"/>
        <v>3</v>
      </c>
      <c r="AA65" s="465">
        <v>3</v>
      </c>
      <c r="AB65" s="465"/>
      <c r="AC65" s="465"/>
      <c r="AD65" s="465"/>
      <c r="AE65" s="466">
        <f t="shared" si="5"/>
        <v>1</v>
      </c>
      <c r="AF65" s="426" t="s">
        <v>340</v>
      </c>
      <c r="AG65" s="433" t="str">
        <f>VLOOKUP(A65,'Feature Summary'!$A$7:$U$4104,21,FALSE)</f>
        <v>A/B + 5wks</v>
      </c>
      <c r="AH65" s="310"/>
    </row>
    <row r="66" spans="1:34" ht="60.75" thickBot="1" x14ac:dyDescent="0.3">
      <c r="A66" s="316" t="s">
        <v>475</v>
      </c>
      <c r="B66" s="533" t="s">
        <v>476</v>
      </c>
      <c r="C66" s="308" t="s">
        <v>357</v>
      </c>
      <c r="D66" s="536" t="s">
        <v>306</v>
      </c>
      <c r="E66" s="308"/>
      <c r="F66" s="533" t="s">
        <v>479</v>
      </c>
      <c r="G66" s="231" t="str">
        <f>VLOOKUP(A66,'Feature Summary'!$A$7:$C$4104,3,FALSE)</f>
        <v>P2</v>
      </c>
      <c r="H66" s="540" t="s">
        <v>480</v>
      </c>
      <c r="I66" s="540" t="s">
        <v>309</v>
      </c>
      <c r="J66" s="541" t="s">
        <v>327</v>
      </c>
      <c r="K66" s="548">
        <v>1</v>
      </c>
      <c r="L66" s="549">
        <v>1</v>
      </c>
      <c r="M66" s="545" t="s">
        <v>33</v>
      </c>
      <c r="N66" s="445">
        <v>1</v>
      </c>
      <c r="O66" s="443">
        <v>1</v>
      </c>
      <c r="P66" s="447">
        <f t="shared" si="4"/>
        <v>1</v>
      </c>
      <c r="Q66" s="431" t="s">
        <v>45</v>
      </c>
      <c r="R66" s="309">
        <v>1</v>
      </c>
      <c r="S66" s="477">
        <f t="shared" si="2"/>
        <v>1</v>
      </c>
      <c r="T66" s="465">
        <v>1</v>
      </c>
      <c r="U66" s="465"/>
      <c r="V66" s="465"/>
      <c r="W66" s="465"/>
      <c r="X66" s="478">
        <f t="shared" si="1"/>
        <v>1</v>
      </c>
      <c r="Y66" s="432"/>
      <c r="Z66" s="464">
        <f t="shared" si="3"/>
        <v>1</v>
      </c>
      <c r="AA66" s="465">
        <v>1</v>
      </c>
      <c r="AB66" s="465"/>
      <c r="AC66" s="465"/>
      <c r="AD66" s="465"/>
      <c r="AE66" s="466">
        <f t="shared" si="5"/>
        <v>1</v>
      </c>
      <c r="AF66" s="426" t="s">
        <v>340</v>
      </c>
      <c r="AG66" s="433" t="str">
        <f>VLOOKUP(A66,'Feature Summary'!$A$7:$U$4104,21,FALSE)</f>
        <v>A/B + 5wks</v>
      </c>
      <c r="AH66" s="310"/>
    </row>
    <row r="67" spans="1:34" ht="75.75" thickBot="1" x14ac:dyDescent="0.3">
      <c r="A67" s="316" t="s">
        <v>481</v>
      </c>
      <c r="B67" s="533" t="s">
        <v>482</v>
      </c>
      <c r="C67" s="308" t="s">
        <v>305</v>
      </c>
      <c r="D67" s="536" t="s">
        <v>306</v>
      </c>
      <c r="E67" s="308"/>
      <c r="F67" s="533" t="s">
        <v>483</v>
      </c>
      <c r="G67" s="231" t="e">
        <f>VLOOKUP(A67,'Feature Summary'!$A$7:$C$4104,3,FALSE)</f>
        <v>#N/A</v>
      </c>
      <c r="H67" s="540" t="s">
        <v>484</v>
      </c>
      <c r="I67" s="540" t="s">
        <v>309</v>
      </c>
      <c r="J67" s="541" t="s">
        <v>327</v>
      </c>
      <c r="K67" s="548">
        <v>3</v>
      </c>
      <c r="L67" s="549">
        <v>1</v>
      </c>
      <c r="M67" s="545" t="s">
        <v>33</v>
      </c>
      <c r="N67" s="445">
        <v>1</v>
      </c>
      <c r="O67" s="443">
        <v>1</v>
      </c>
      <c r="P67" s="447">
        <f t="shared" si="4"/>
        <v>1</v>
      </c>
      <c r="Q67" s="431" t="s">
        <v>45</v>
      </c>
      <c r="R67" s="309">
        <v>1</v>
      </c>
      <c r="S67" s="477">
        <f t="shared" si="2"/>
        <v>1</v>
      </c>
      <c r="T67" s="465">
        <v>1</v>
      </c>
      <c r="U67" s="465"/>
      <c r="V67" s="465"/>
      <c r="W67" s="465"/>
      <c r="X67" s="478">
        <f t="shared" si="1"/>
        <v>1</v>
      </c>
      <c r="Y67" s="432"/>
      <c r="Z67" s="464">
        <f t="shared" si="3"/>
        <v>1</v>
      </c>
      <c r="AA67" s="465">
        <v>1</v>
      </c>
      <c r="AB67" s="465"/>
      <c r="AC67" s="465"/>
      <c r="AD67" s="465"/>
      <c r="AE67" s="466">
        <f t="shared" si="5"/>
        <v>1</v>
      </c>
      <c r="AF67" s="426" t="s">
        <v>340</v>
      </c>
      <c r="AG67" s="429" t="str">
        <f>VLOOKUP(LEFT(A67,(FIND(",",A67,1)-1)),'Feature Summary'!$A$7:$U$4035,21,FALSE)</f>
        <v>A/B + 5wks</v>
      </c>
      <c r="AH67" s="310"/>
    </row>
    <row r="68" spans="1:34" ht="75.75" thickBot="1" x14ac:dyDescent="0.3">
      <c r="A68" s="316" t="s">
        <v>485</v>
      </c>
      <c r="B68" s="533" t="s">
        <v>486</v>
      </c>
      <c r="C68" s="308" t="s">
        <v>305</v>
      </c>
      <c r="D68" s="536" t="s">
        <v>306</v>
      </c>
      <c r="E68" s="308"/>
      <c r="F68" s="533" t="s">
        <v>487</v>
      </c>
      <c r="G68" s="231" t="str">
        <f>VLOOKUP(A68,'Feature Summary'!$A$7:$C$4104,3,FALSE)</f>
        <v>P1</v>
      </c>
      <c r="H68" s="540" t="s">
        <v>488</v>
      </c>
      <c r="I68" s="540" t="s">
        <v>309</v>
      </c>
      <c r="J68" s="541" t="s">
        <v>327</v>
      </c>
      <c r="K68" s="548">
        <v>1</v>
      </c>
      <c r="L68" s="549">
        <v>4</v>
      </c>
      <c r="M68" s="545" t="s">
        <v>33</v>
      </c>
      <c r="N68" s="445">
        <v>1</v>
      </c>
      <c r="O68" s="443">
        <v>4</v>
      </c>
      <c r="P68" s="447">
        <f t="shared" si="4"/>
        <v>1</v>
      </c>
      <c r="Q68" s="431" t="s">
        <v>45</v>
      </c>
      <c r="R68" s="309">
        <v>4</v>
      </c>
      <c r="S68" s="477">
        <f t="shared" si="2"/>
        <v>4</v>
      </c>
      <c r="T68" s="465">
        <v>4</v>
      </c>
      <c r="U68" s="465"/>
      <c r="V68" s="465"/>
      <c r="W68" s="465"/>
      <c r="X68" s="478">
        <f t="shared" si="1"/>
        <v>1</v>
      </c>
      <c r="Y68" s="432"/>
      <c r="Z68" s="464">
        <f t="shared" si="3"/>
        <v>4</v>
      </c>
      <c r="AA68" s="465">
        <v>4</v>
      </c>
      <c r="AB68" s="465"/>
      <c r="AC68" s="465"/>
      <c r="AD68" s="465"/>
      <c r="AE68" s="466">
        <f t="shared" si="5"/>
        <v>1</v>
      </c>
      <c r="AF68" s="426" t="s">
        <v>311</v>
      </c>
      <c r="AG68" s="433" t="str">
        <f>VLOOKUP(A68,'Feature Summary'!$A$7:$U$4104,21,FALSE)</f>
        <v>A/B + 8wks</v>
      </c>
      <c r="AH68" s="310"/>
    </row>
    <row r="69" spans="1:34" ht="45.75" thickBot="1" x14ac:dyDescent="0.3">
      <c r="A69" s="316" t="s">
        <v>489</v>
      </c>
      <c r="B69" s="533" t="s">
        <v>490</v>
      </c>
      <c r="C69" s="308" t="s">
        <v>305</v>
      </c>
      <c r="D69" s="536" t="s">
        <v>306</v>
      </c>
      <c r="E69" s="308"/>
      <c r="F69" s="533" t="s">
        <v>491</v>
      </c>
      <c r="G69" s="231" t="e">
        <f>VLOOKUP(A69,'Feature Summary'!$A$7:$C$4104,3,FALSE)</f>
        <v>#N/A</v>
      </c>
      <c r="H69" s="540" t="s">
        <v>492</v>
      </c>
      <c r="I69" s="540" t="s">
        <v>309</v>
      </c>
      <c r="J69" s="541" t="s">
        <v>327</v>
      </c>
      <c r="K69" s="548">
        <v>4</v>
      </c>
      <c r="L69" s="549">
        <v>1</v>
      </c>
      <c r="M69" s="545" t="s">
        <v>33</v>
      </c>
      <c r="N69" s="445">
        <v>1</v>
      </c>
      <c r="O69" s="443">
        <v>1</v>
      </c>
      <c r="P69" s="447">
        <f t="shared" si="4"/>
        <v>1</v>
      </c>
      <c r="Q69" s="431" t="s">
        <v>45</v>
      </c>
      <c r="R69" s="309">
        <v>1</v>
      </c>
      <c r="S69" s="477">
        <f t="shared" si="2"/>
        <v>1</v>
      </c>
      <c r="T69" s="465">
        <v>1</v>
      </c>
      <c r="U69" s="465"/>
      <c r="V69" s="465"/>
      <c r="W69" s="465"/>
      <c r="X69" s="478">
        <f t="shared" si="1"/>
        <v>1</v>
      </c>
      <c r="Y69" s="432"/>
      <c r="Z69" s="464">
        <f t="shared" si="3"/>
        <v>1</v>
      </c>
      <c r="AA69" s="465">
        <v>1</v>
      </c>
      <c r="AB69" s="465"/>
      <c r="AC69" s="465"/>
      <c r="AD69" s="465"/>
      <c r="AE69" s="466">
        <f t="shared" si="5"/>
        <v>1</v>
      </c>
      <c r="AF69" s="426" t="s">
        <v>340</v>
      </c>
      <c r="AG69" s="429" t="str">
        <f>VLOOKUP(LEFT(A69,(FIND(",",A69,1)-1)),'Feature Summary'!$A$7:$U$4035,21,FALSE)</f>
        <v>A/B + 8wks</v>
      </c>
      <c r="AH69" s="310" t="s">
        <v>493</v>
      </c>
    </row>
    <row r="70" spans="1:34" ht="45.75" thickBot="1" x14ac:dyDescent="0.3">
      <c r="A70" s="316" t="s">
        <v>494</v>
      </c>
      <c r="B70" s="533" t="s">
        <v>495</v>
      </c>
      <c r="C70" s="308" t="s">
        <v>357</v>
      </c>
      <c r="D70" s="536" t="s">
        <v>306</v>
      </c>
      <c r="E70" s="308"/>
      <c r="F70" s="533" t="s">
        <v>496</v>
      </c>
      <c r="G70" s="231" t="e">
        <f>VLOOKUP(A70,'Feature Summary'!$A$7:$C$4104,3,FALSE)</f>
        <v>#N/A</v>
      </c>
      <c r="H70" s="540" t="s">
        <v>497</v>
      </c>
      <c r="I70" s="540" t="s">
        <v>309</v>
      </c>
      <c r="J70" s="541" t="s">
        <v>327</v>
      </c>
      <c r="K70" s="548">
        <v>1</v>
      </c>
      <c r="L70" s="549">
        <v>3</v>
      </c>
      <c r="M70" s="545" t="s">
        <v>33</v>
      </c>
      <c r="N70" s="445">
        <v>1</v>
      </c>
      <c r="O70" s="443">
        <v>3</v>
      </c>
      <c r="P70" s="447">
        <f t="shared" si="4"/>
        <v>1</v>
      </c>
      <c r="Q70" s="431" t="s">
        <v>45</v>
      </c>
      <c r="R70" s="309">
        <v>3</v>
      </c>
      <c r="S70" s="477">
        <f>SUM(T70:W70)</f>
        <v>3</v>
      </c>
      <c r="T70" s="465">
        <v>3</v>
      </c>
      <c r="U70" s="465"/>
      <c r="V70" s="465"/>
      <c r="W70" s="465"/>
      <c r="X70" s="478">
        <f>IF((S70=0),0,((T70+U70)/S70*100%))</f>
        <v>1</v>
      </c>
      <c r="Y70" s="432"/>
      <c r="Z70" s="464">
        <f t="shared" si="3"/>
        <v>3</v>
      </c>
      <c r="AA70" s="465">
        <v>3</v>
      </c>
      <c r="AB70" s="465"/>
      <c r="AC70" s="465"/>
      <c r="AD70" s="465"/>
      <c r="AE70" s="466">
        <f t="shared" si="5"/>
        <v>1</v>
      </c>
      <c r="AF70" s="426" t="s">
        <v>340</v>
      </c>
      <c r="AG70" s="429" t="str">
        <f>VLOOKUP(LEFT(A70,(FIND(",",A70,1)-1)),'Feature Summary'!$A$7:$U$4035,21,FALSE)</f>
        <v>A/B + 5wks</v>
      </c>
      <c r="AH70" s="310"/>
    </row>
    <row r="71" spans="1:34" ht="45.75" thickBot="1" x14ac:dyDescent="0.3">
      <c r="A71" s="316" t="s">
        <v>494</v>
      </c>
      <c r="B71" s="533" t="s">
        <v>495</v>
      </c>
      <c r="C71" s="308" t="s">
        <v>357</v>
      </c>
      <c r="D71" s="536" t="s">
        <v>306</v>
      </c>
      <c r="E71" s="308"/>
      <c r="F71" s="533" t="s">
        <v>496</v>
      </c>
      <c r="G71" s="231" t="e">
        <f>VLOOKUP(A71,'Feature Summary'!$A$7:$C$4104,3,FALSE)</f>
        <v>#N/A</v>
      </c>
      <c r="H71" s="540" t="s">
        <v>498</v>
      </c>
      <c r="I71" s="540" t="s">
        <v>331</v>
      </c>
      <c r="J71" s="541" t="s">
        <v>327</v>
      </c>
      <c r="K71" s="548">
        <v>1</v>
      </c>
      <c r="L71" s="549">
        <v>1</v>
      </c>
      <c r="M71" s="545" t="s">
        <v>33</v>
      </c>
      <c r="N71" s="445">
        <v>1</v>
      </c>
      <c r="O71" s="443">
        <v>1</v>
      </c>
      <c r="P71" s="447">
        <f t="shared" si="4"/>
        <v>1</v>
      </c>
      <c r="Q71" s="431" t="s">
        <v>45</v>
      </c>
      <c r="R71" s="309">
        <v>1</v>
      </c>
      <c r="S71" s="477">
        <f>SUM(T71:W71)</f>
        <v>1</v>
      </c>
      <c r="T71" s="465">
        <v>1</v>
      </c>
      <c r="U71" s="465"/>
      <c r="V71" s="465"/>
      <c r="W71" s="465"/>
      <c r="X71" s="478">
        <f t="shared" si="1"/>
        <v>1</v>
      </c>
      <c r="Y71" s="432"/>
      <c r="Z71" s="464">
        <f t="shared" si="3"/>
        <v>1</v>
      </c>
      <c r="AA71" s="465">
        <v>1</v>
      </c>
      <c r="AB71" s="465"/>
      <c r="AC71" s="465"/>
      <c r="AD71" s="465"/>
      <c r="AE71" s="466">
        <f t="shared" si="5"/>
        <v>1</v>
      </c>
      <c r="AF71" s="426" t="s">
        <v>340</v>
      </c>
      <c r="AG71" s="429" t="str">
        <f>VLOOKUP(LEFT(A71,(FIND(",",A71,1)-1)),'Feature Summary'!$A$7:$U$4035,21,FALSE)</f>
        <v>A/B + 5wks</v>
      </c>
      <c r="AH71" s="310" t="s">
        <v>334</v>
      </c>
    </row>
    <row r="72" spans="1:34" ht="75.75" thickBot="1" x14ac:dyDescent="0.3">
      <c r="A72" s="316" t="s">
        <v>461</v>
      </c>
      <c r="B72" s="533" t="s">
        <v>419</v>
      </c>
      <c r="C72" s="308" t="s">
        <v>499</v>
      </c>
      <c r="D72" s="536" t="s">
        <v>306</v>
      </c>
      <c r="E72" s="308"/>
      <c r="F72" s="533" t="s">
        <v>500</v>
      </c>
      <c r="G72" s="231" t="str">
        <f>VLOOKUP(A72,'Feature Summary'!$A$7:$C$4104,3,FALSE)</f>
        <v>P1</v>
      </c>
      <c r="H72" s="540" t="s">
        <v>501</v>
      </c>
      <c r="I72" s="540" t="s">
        <v>309</v>
      </c>
      <c r="J72" s="541" t="s">
        <v>327</v>
      </c>
      <c r="K72" s="548">
        <v>1</v>
      </c>
      <c r="L72" s="549">
        <v>2</v>
      </c>
      <c r="M72" s="545" t="s">
        <v>33</v>
      </c>
      <c r="N72" s="445">
        <v>1</v>
      </c>
      <c r="O72" s="443">
        <v>2</v>
      </c>
      <c r="P72" s="447">
        <f t="shared" si="4"/>
        <v>1</v>
      </c>
      <c r="Q72" s="431" t="s">
        <v>45</v>
      </c>
      <c r="R72" s="309">
        <v>2</v>
      </c>
      <c r="S72" s="477">
        <f t="shared" si="2"/>
        <v>2</v>
      </c>
      <c r="T72" s="465">
        <v>2</v>
      </c>
      <c r="U72" s="465"/>
      <c r="V72" s="465"/>
      <c r="W72" s="465"/>
      <c r="X72" s="478">
        <f t="shared" si="1"/>
        <v>1</v>
      </c>
      <c r="Y72" s="432"/>
      <c r="Z72" s="464">
        <f t="shared" si="3"/>
        <v>2</v>
      </c>
      <c r="AA72" s="465">
        <v>2</v>
      </c>
      <c r="AB72" s="465"/>
      <c r="AC72" s="465"/>
      <c r="AD72" s="465"/>
      <c r="AE72" s="466">
        <f t="shared" si="5"/>
        <v>1</v>
      </c>
      <c r="AF72" s="426" t="s">
        <v>311</v>
      </c>
      <c r="AG72" s="433" t="str">
        <f>VLOOKUP(A72,'Feature Summary'!$A$7:$U$4104,21,FALSE)</f>
        <v>A/B + 8wks</v>
      </c>
      <c r="AH72" s="310"/>
    </row>
    <row r="73" spans="1:34" ht="60.75" thickBot="1" x14ac:dyDescent="0.3">
      <c r="A73" s="316" t="s">
        <v>502</v>
      </c>
      <c r="B73" s="533" t="s">
        <v>419</v>
      </c>
      <c r="C73" s="308" t="s">
        <v>499</v>
      </c>
      <c r="D73" s="536" t="s">
        <v>306</v>
      </c>
      <c r="E73" s="308"/>
      <c r="F73" s="533" t="s">
        <v>503</v>
      </c>
      <c r="G73" s="231" t="e">
        <f>VLOOKUP(A73,'Feature Summary'!$A$7:$C$4104,3,FALSE)</f>
        <v>#N/A</v>
      </c>
      <c r="H73" s="540" t="s">
        <v>504</v>
      </c>
      <c r="I73" s="540" t="s">
        <v>309</v>
      </c>
      <c r="J73" s="541" t="s">
        <v>327</v>
      </c>
      <c r="K73" s="548">
        <v>1</v>
      </c>
      <c r="L73" s="549">
        <v>1</v>
      </c>
      <c r="M73" s="545" t="s">
        <v>33</v>
      </c>
      <c r="N73" s="445">
        <v>1</v>
      </c>
      <c r="O73" s="443">
        <v>1</v>
      </c>
      <c r="P73" s="447">
        <f t="shared" si="4"/>
        <v>1</v>
      </c>
      <c r="Q73" s="431" t="s">
        <v>45</v>
      </c>
      <c r="R73" s="309">
        <v>1</v>
      </c>
      <c r="S73" s="477">
        <f t="shared" si="2"/>
        <v>1</v>
      </c>
      <c r="T73" s="465">
        <v>1</v>
      </c>
      <c r="U73" s="465"/>
      <c r="V73" s="465"/>
      <c r="W73" s="465"/>
      <c r="X73" s="478">
        <f t="shared" ref="X73:X136" si="14">IF((S73=0),0,((T73+U73)/S73*100%))</f>
        <v>1</v>
      </c>
      <c r="Y73" s="432"/>
      <c r="Z73" s="464">
        <f t="shared" si="3"/>
        <v>1</v>
      </c>
      <c r="AA73" s="465">
        <v>1</v>
      </c>
      <c r="AB73" s="465"/>
      <c r="AC73" s="465"/>
      <c r="AD73" s="465"/>
      <c r="AE73" s="466">
        <f t="shared" si="5"/>
        <v>1</v>
      </c>
      <c r="AF73" s="426" t="s">
        <v>311</v>
      </c>
      <c r="AG73" s="429" t="str">
        <f>VLOOKUP(LEFT(A73,(FIND(",",A73,1)-1)),'Feature Summary'!$A$7:$U$4035,21,FALSE)</f>
        <v>A/B + 8wks</v>
      </c>
      <c r="AH73" s="310"/>
    </row>
    <row r="74" spans="1:34" ht="60.75" thickBot="1" x14ac:dyDescent="0.3">
      <c r="A74" s="316" t="s">
        <v>461</v>
      </c>
      <c r="B74" s="533" t="s">
        <v>419</v>
      </c>
      <c r="C74" s="308" t="s">
        <v>499</v>
      </c>
      <c r="D74" s="536" t="s">
        <v>306</v>
      </c>
      <c r="E74" s="308"/>
      <c r="F74" s="533" t="s">
        <v>505</v>
      </c>
      <c r="G74" s="231" t="str">
        <f>VLOOKUP(A74,'Feature Summary'!$A$7:$C$4104,3,FALSE)</f>
        <v>P1</v>
      </c>
      <c r="H74" s="540" t="s">
        <v>506</v>
      </c>
      <c r="I74" s="540" t="s">
        <v>309</v>
      </c>
      <c r="J74" s="541" t="s">
        <v>327</v>
      </c>
      <c r="K74" s="548">
        <v>1</v>
      </c>
      <c r="L74" s="549">
        <v>1</v>
      </c>
      <c r="M74" s="545" t="s">
        <v>33</v>
      </c>
      <c r="N74" s="445">
        <v>1</v>
      </c>
      <c r="O74" s="443">
        <v>1</v>
      </c>
      <c r="P74" s="447">
        <f t="shared" ref="P74:P137" si="15">IF((O74=0),0,(O74/L74))</f>
        <v>1</v>
      </c>
      <c r="Q74" s="431" t="s">
        <v>45</v>
      </c>
      <c r="R74" s="309">
        <v>1</v>
      </c>
      <c r="S74" s="477">
        <f t="shared" ref="S74:S137" si="16">SUM(T74:W74)</f>
        <v>1</v>
      </c>
      <c r="T74" s="465">
        <v>1</v>
      </c>
      <c r="U74" s="465"/>
      <c r="V74" s="465"/>
      <c r="W74" s="465"/>
      <c r="X74" s="478">
        <f t="shared" si="14"/>
        <v>1</v>
      </c>
      <c r="Y74" s="432"/>
      <c r="Z74" s="464">
        <f>SUM(AA74:AD74)</f>
        <v>1</v>
      </c>
      <c r="AA74" s="465">
        <v>1</v>
      </c>
      <c r="AB74" s="465"/>
      <c r="AC74" s="465"/>
      <c r="AD74" s="465"/>
      <c r="AE74" s="466">
        <f>IF((Z74=0),0,((AA74+AB74)/Z74*100%))</f>
        <v>1</v>
      </c>
      <c r="AF74" s="426" t="s">
        <v>311</v>
      </c>
      <c r="AG74" s="433" t="str">
        <f>VLOOKUP(A74,'Feature Summary'!$A$7:$U$4104,21,FALSE)</f>
        <v>A/B + 8wks</v>
      </c>
      <c r="AH74" s="310"/>
    </row>
    <row r="75" spans="1:34" ht="75.75" thickBot="1" x14ac:dyDescent="0.3">
      <c r="A75" s="316" t="s">
        <v>461</v>
      </c>
      <c r="B75" s="533" t="s">
        <v>419</v>
      </c>
      <c r="C75" s="308" t="s">
        <v>499</v>
      </c>
      <c r="D75" s="536" t="s">
        <v>306</v>
      </c>
      <c r="E75" s="308"/>
      <c r="F75" s="533" t="s">
        <v>507</v>
      </c>
      <c r="G75" s="231" t="str">
        <f>VLOOKUP(A75,'Feature Summary'!$A$7:$C$4104,3,FALSE)</f>
        <v>P1</v>
      </c>
      <c r="H75" s="540" t="s">
        <v>508</v>
      </c>
      <c r="I75" s="540" t="s">
        <v>309</v>
      </c>
      <c r="J75" s="541" t="s">
        <v>327</v>
      </c>
      <c r="K75" s="548">
        <v>1</v>
      </c>
      <c r="L75" s="549">
        <v>2</v>
      </c>
      <c r="M75" s="545" t="s">
        <v>33</v>
      </c>
      <c r="N75" s="445">
        <v>1</v>
      </c>
      <c r="O75" s="443">
        <v>2</v>
      </c>
      <c r="P75" s="447">
        <f t="shared" si="15"/>
        <v>1</v>
      </c>
      <c r="Q75" s="431" t="s">
        <v>45</v>
      </c>
      <c r="R75" s="309">
        <v>2</v>
      </c>
      <c r="S75" s="477">
        <f t="shared" si="16"/>
        <v>2</v>
      </c>
      <c r="T75" s="465">
        <v>2</v>
      </c>
      <c r="U75" s="465"/>
      <c r="V75" s="465"/>
      <c r="W75" s="465"/>
      <c r="X75" s="478">
        <f t="shared" si="14"/>
        <v>1</v>
      </c>
      <c r="Y75" s="432"/>
      <c r="Z75" s="464">
        <f t="shared" ref="Z75:Z137" si="17">SUM(AA75:AD75)</f>
        <v>2</v>
      </c>
      <c r="AA75" s="465">
        <v>2</v>
      </c>
      <c r="AB75" s="465"/>
      <c r="AC75" s="465"/>
      <c r="AD75" s="465"/>
      <c r="AE75" s="466">
        <f t="shared" ref="AE75:AE137" si="18">IF((Z75=0),0,((AA75+AB75)/Z75*100%))</f>
        <v>1</v>
      </c>
      <c r="AF75" s="426" t="s">
        <v>311</v>
      </c>
      <c r="AG75" s="433" t="str">
        <f>VLOOKUP(A75,'Feature Summary'!$A$7:$U$4104,21,FALSE)</f>
        <v>A/B + 8wks</v>
      </c>
      <c r="AH75" s="310"/>
    </row>
    <row r="76" spans="1:34" ht="60.75" thickBot="1" x14ac:dyDescent="0.3">
      <c r="A76" s="316" t="s">
        <v>461</v>
      </c>
      <c r="B76" s="533" t="s">
        <v>419</v>
      </c>
      <c r="C76" s="308" t="s">
        <v>499</v>
      </c>
      <c r="D76" s="536" t="s">
        <v>306</v>
      </c>
      <c r="E76" s="308"/>
      <c r="F76" s="533" t="s">
        <v>509</v>
      </c>
      <c r="G76" s="231" t="str">
        <f>VLOOKUP(A76,'Feature Summary'!$A$7:$C$4104,3,FALSE)</f>
        <v>P1</v>
      </c>
      <c r="H76" s="540" t="s">
        <v>510</v>
      </c>
      <c r="I76" s="540" t="s">
        <v>309</v>
      </c>
      <c r="J76" s="541" t="s">
        <v>327</v>
      </c>
      <c r="K76" s="548">
        <v>1</v>
      </c>
      <c r="L76" s="549">
        <v>1</v>
      </c>
      <c r="M76" s="545" t="s">
        <v>33</v>
      </c>
      <c r="N76" s="445">
        <v>1</v>
      </c>
      <c r="O76" s="443">
        <v>1</v>
      </c>
      <c r="P76" s="447">
        <f t="shared" si="15"/>
        <v>1</v>
      </c>
      <c r="Q76" s="431" t="s">
        <v>45</v>
      </c>
      <c r="R76" s="309">
        <v>1</v>
      </c>
      <c r="S76" s="477">
        <f t="shared" si="16"/>
        <v>1</v>
      </c>
      <c r="T76" s="465">
        <v>1</v>
      </c>
      <c r="U76" s="465"/>
      <c r="V76" s="465"/>
      <c r="W76" s="465"/>
      <c r="X76" s="478">
        <f t="shared" si="14"/>
        <v>1</v>
      </c>
      <c r="Y76" s="432"/>
      <c r="Z76" s="464">
        <f t="shared" si="17"/>
        <v>1</v>
      </c>
      <c r="AA76" s="465"/>
      <c r="AB76" s="465"/>
      <c r="AC76" s="465"/>
      <c r="AD76" s="465">
        <v>1</v>
      </c>
      <c r="AE76" s="466">
        <f t="shared" si="18"/>
        <v>0</v>
      </c>
      <c r="AF76" s="426" t="s">
        <v>511</v>
      </c>
      <c r="AG76" s="433" t="str">
        <f>VLOOKUP(A76,'Feature Summary'!$A$7:$U$4104,21,FALSE)</f>
        <v>A/B + 8wks</v>
      </c>
      <c r="AH76" s="310"/>
    </row>
    <row r="77" spans="1:34" ht="60.75" thickBot="1" x14ac:dyDescent="0.3">
      <c r="A77" s="316" t="s">
        <v>512</v>
      </c>
      <c r="B77" s="533" t="s">
        <v>419</v>
      </c>
      <c r="C77" s="308" t="s">
        <v>499</v>
      </c>
      <c r="D77" s="536" t="s">
        <v>306</v>
      </c>
      <c r="E77" s="308"/>
      <c r="F77" s="533" t="s">
        <v>513</v>
      </c>
      <c r="G77" s="231" t="e">
        <f>VLOOKUP(A77,'Feature Summary'!$A$7:$C$4104,3,FALSE)</f>
        <v>#N/A</v>
      </c>
      <c r="H77" s="540" t="s">
        <v>514</v>
      </c>
      <c r="I77" s="540" t="s">
        <v>309</v>
      </c>
      <c r="J77" s="541" t="s">
        <v>327</v>
      </c>
      <c r="K77" s="548">
        <v>1</v>
      </c>
      <c r="L77" s="549">
        <v>2</v>
      </c>
      <c r="M77" s="545" t="s">
        <v>33</v>
      </c>
      <c r="N77" s="445">
        <v>1</v>
      </c>
      <c r="O77" s="443">
        <v>2</v>
      </c>
      <c r="P77" s="447">
        <f t="shared" si="15"/>
        <v>1</v>
      </c>
      <c r="Q77" s="431" t="s">
        <v>45</v>
      </c>
      <c r="R77" s="309">
        <v>2</v>
      </c>
      <c r="S77" s="477">
        <f t="shared" si="16"/>
        <v>2</v>
      </c>
      <c r="T77" s="465">
        <v>2</v>
      </c>
      <c r="U77" s="465"/>
      <c r="V77" s="465"/>
      <c r="W77" s="465"/>
      <c r="X77" s="478">
        <f t="shared" si="14"/>
        <v>1</v>
      </c>
      <c r="Y77" s="432"/>
      <c r="Z77" s="464">
        <f t="shared" si="17"/>
        <v>2</v>
      </c>
      <c r="AA77" s="465">
        <v>1</v>
      </c>
      <c r="AB77" s="465"/>
      <c r="AC77" s="465">
        <v>1</v>
      </c>
      <c r="AD77" s="465"/>
      <c r="AE77" s="466">
        <f t="shared" si="18"/>
        <v>0.5</v>
      </c>
      <c r="AF77" s="651" t="s">
        <v>515</v>
      </c>
      <c r="AG77" s="429" t="str">
        <f>VLOOKUP(LEFT(A77,(FIND(",",A77,1)-1)),'Feature Summary'!$A$7:$U$4035,21,FALSE)</f>
        <v>A/B + 8wks</v>
      </c>
      <c r="AH77" s="310"/>
    </row>
    <row r="78" spans="1:34" ht="30.75" thickBot="1" x14ac:dyDescent="0.3">
      <c r="A78" s="316" t="s">
        <v>461</v>
      </c>
      <c r="B78" s="533" t="s">
        <v>419</v>
      </c>
      <c r="C78" s="308" t="s">
        <v>499</v>
      </c>
      <c r="D78" s="536" t="s">
        <v>306</v>
      </c>
      <c r="E78" s="308"/>
      <c r="F78" s="533" t="s">
        <v>516</v>
      </c>
      <c r="G78" s="231" t="str">
        <f>VLOOKUP(A78,'Feature Summary'!$A$7:$C$4104,3,FALSE)</f>
        <v>P1</v>
      </c>
      <c r="H78" s="540" t="s">
        <v>517</v>
      </c>
      <c r="I78" s="540" t="s">
        <v>309</v>
      </c>
      <c r="J78" s="541" t="s">
        <v>327</v>
      </c>
      <c r="K78" s="548">
        <v>1</v>
      </c>
      <c r="L78" s="549">
        <v>1</v>
      </c>
      <c r="M78" s="545" t="s">
        <v>33</v>
      </c>
      <c r="N78" s="445">
        <v>1</v>
      </c>
      <c r="O78" s="443">
        <v>1</v>
      </c>
      <c r="P78" s="447">
        <f t="shared" si="15"/>
        <v>1</v>
      </c>
      <c r="Q78" s="431" t="s">
        <v>45</v>
      </c>
      <c r="R78" s="309">
        <v>1</v>
      </c>
      <c r="S78" s="477">
        <f t="shared" si="16"/>
        <v>1</v>
      </c>
      <c r="T78" s="465">
        <v>1</v>
      </c>
      <c r="U78" s="465"/>
      <c r="V78" s="465"/>
      <c r="W78" s="465"/>
      <c r="X78" s="478">
        <f t="shared" si="14"/>
        <v>1</v>
      </c>
      <c r="Y78" s="432"/>
      <c r="Z78" s="464">
        <f t="shared" si="17"/>
        <v>1</v>
      </c>
      <c r="AA78" s="465">
        <v>1</v>
      </c>
      <c r="AB78" s="465"/>
      <c r="AC78" s="465"/>
      <c r="AD78" s="465"/>
      <c r="AE78" s="466">
        <f t="shared" si="18"/>
        <v>1</v>
      </c>
      <c r="AF78" s="426" t="s">
        <v>311</v>
      </c>
      <c r="AG78" s="433" t="str">
        <f>VLOOKUP(A78,'Feature Summary'!$A$7:$U$4104,21,FALSE)</f>
        <v>A/B + 8wks</v>
      </c>
      <c r="AH78" s="310"/>
    </row>
    <row r="79" spans="1:34" ht="60.75" thickBot="1" x14ac:dyDescent="0.3">
      <c r="A79" s="316" t="s">
        <v>461</v>
      </c>
      <c r="B79" s="533" t="s">
        <v>419</v>
      </c>
      <c r="C79" s="308" t="s">
        <v>499</v>
      </c>
      <c r="D79" s="536" t="s">
        <v>306</v>
      </c>
      <c r="E79" s="308"/>
      <c r="F79" s="533" t="s">
        <v>518</v>
      </c>
      <c r="G79" s="231" t="str">
        <f>VLOOKUP(A79,'Feature Summary'!$A$7:$C$4104,3,FALSE)</f>
        <v>P1</v>
      </c>
      <c r="H79" s="540" t="s">
        <v>519</v>
      </c>
      <c r="I79" s="540" t="s">
        <v>309</v>
      </c>
      <c r="J79" s="541" t="s">
        <v>327</v>
      </c>
      <c r="K79" s="548">
        <v>1</v>
      </c>
      <c r="L79" s="549">
        <v>1</v>
      </c>
      <c r="M79" s="545" t="s">
        <v>33</v>
      </c>
      <c r="N79" s="445">
        <v>1</v>
      </c>
      <c r="O79" s="443">
        <v>1</v>
      </c>
      <c r="P79" s="447">
        <f t="shared" si="15"/>
        <v>1</v>
      </c>
      <c r="Q79" s="431"/>
      <c r="R79" s="309">
        <v>1</v>
      </c>
      <c r="S79" s="477">
        <f t="shared" si="16"/>
        <v>1</v>
      </c>
      <c r="T79" s="465">
        <v>1</v>
      </c>
      <c r="U79" s="465"/>
      <c r="V79" s="465"/>
      <c r="W79" s="465"/>
      <c r="X79" s="478">
        <f t="shared" si="14"/>
        <v>1</v>
      </c>
      <c r="Y79" s="432"/>
      <c r="Z79" s="464">
        <f t="shared" si="17"/>
        <v>1</v>
      </c>
      <c r="AA79" s="465">
        <v>1</v>
      </c>
      <c r="AB79" s="465"/>
      <c r="AC79" s="465"/>
      <c r="AD79" s="465"/>
      <c r="AE79" s="466">
        <f t="shared" si="18"/>
        <v>1</v>
      </c>
      <c r="AF79" s="426" t="s">
        <v>311</v>
      </c>
      <c r="AG79" s="433" t="str">
        <f>VLOOKUP(A79,'Feature Summary'!$A$7:$U$4104,21,FALSE)</f>
        <v>A/B + 8wks</v>
      </c>
      <c r="AH79" s="310"/>
    </row>
    <row r="80" spans="1:34" ht="15.75" thickBot="1" x14ac:dyDescent="0.3">
      <c r="A80" s="316" t="s">
        <v>461</v>
      </c>
      <c r="B80" s="533" t="s">
        <v>419</v>
      </c>
      <c r="C80" s="308" t="s">
        <v>305</v>
      </c>
      <c r="D80" s="536" t="s">
        <v>306</v>
      </c>
      <c r="E80" s="308"/>
      <c r="F80" s="533" t="s">
        <v>520</v>
      </c>
      <c r="G80" s="231" t="str">
        <f>VLOOKUP(A80,'Feature Summary'!$A$7:$C$4104,3,FALSE)</f>
        <v>P1</v>
      </c>
      <c r="H80" s="540" t="s">
        <v>521</v>
      </c>
      <c r="I80" s="540" t="s">
        <v>309</v>
      </c>
      <c r="J80" s="541" t="s">
        <v>327</v>
      </c>
      <c r="K80" s="548">
        <v>1</v>
      </c>
      <c r="L80" s="549">
        <v>1</v>
      </c>
      <c r="M80" s="545" t="s">
        <v>33</v>
      </c>
      <c r="N80" s="445">
        <v>1</v>
      </c>
      <c r="O80" s="443">
        <v>1</v>
      </c>
      <c r="P80" s="447">
        <f t="shared" si="15"/>
        <v>1</v>
      </c>
      <c r="Q80" s="431" t="s">
        <v>45</v>
      </c>
      <c r="R80" s="309">
        <v>1</v>
      </c>
      <c r="S80" s="477">
        <f t="shared" si="16"/>
        <v>1</v>
      </c>
      <c r="T80" s="465">
        <v>1</v>
      </c>
      <c r="U80" s="465"/>
      <c r="V80" s="465"/>
      <c r="W80" s="465"/>
      <c r="X80" s="478">
        <f t="shared" si="14"/>
        <v>1</v>
      </c>
      <c r="Y80" s="432"/>
      <c r="Z80" s="464">
        <f t="shared" si="17"/>
        <v>1</v>
      </c>
      <c r="AA80" s="465">
        <v>1</v>
      </c>
      <c r="AB80" s="465"/>
      <c r="AC80" s="465"/>
      <c r="AD80" s="465"/>
      <c r="AE80" s="466">
        <f t="shared" si="18"/>
        <v>1</v>
      </c>
      <c r="AF80" s="426" t="s">
        <v>311</v>
      </c>
      <c r="AG80" s="433" t="str">
        <f>VLOOKUP(A80,'Feature Summary'!$A$7:$U$4104,21,FALSE)</f>
        <v>A/B + 8wks</v>
      </c>
      <c r="AH80" s="310"/>
    </row>
    <row r="81" spans="1:34" ht="60.75" thickBot="1" x14ac:dyDescent="0.3">
      <c r="A81" s="316" t="s">
        <v>522</v>
      </c>
      <c r="B81" s="533" t="s">
        <v>523</v>
      </c>
      <c r="C81" s="308" t="s">
        <v>305</v>
      </c>
      <c r="D81" s="536" t="s">
        <v>306</v>
      </c>
      <c r="E81" s="308"/>
      <c r="F81" s="533" t="s">
        <v>524</v>
      </c>
      <c r="G81" s="231" t="str">
        <f>VLOOKUP(A81,'Feature Summary'!$A$7:$C$4104,3,FALSE)</f>
        <v>P2</v>
      </c>
      <c r="H81" s="540" t="s">
        <v>525</v>
      </c>
      <c r="I81" s="540" t="s">
        <v>331</v>
      </c>
      <c r="J81" s="541" t="s">
        <v>327</v>
      </c>
      <c r="K81" s="548">
        <v>1</v>
      </c>
      <c r="L81" s="549">
        <v>1</v>
      </c>
      <c r="M81" s="545" t="s">
        <v>33</v>
      </c>
      <c r="N81" s="445">
        <v>1</v>
      </c>
      <c r="O81" s="443">
        <v>1</v>
      </c>
      <c r="P81" s="447">
        <f t="shared" si="15"/>
        <v>1</v>
      </c>
      <c r="Q81" s="431" t="s">
        <v>45</v>
      </c>
      <c r="R81" s="309">
        <v>1</v>
      </c>
      <c r="S81" s="477">
        <f t="shared" si="16"/>
        <v>1</v>
      </c>
      <c r="T81" s="465">
        <v>1</v>
      </c>
      <c r="U81" s="465"/>
      <c r="V81" s="465"/>
      <c r="W81" s="465"/>
      <c r="X81" s="478">
        <f t="shared" si="14"/>
        <v>1</v>
      </c>
      <c r="Y81" s="432"/>
      <c r="Z81" s="464">
        <f t="shared" si="17"/>
        <v>1</v>
      </c>
      <c r="AA81" s="465">
        <v>1</v>
      </c>
      <c r="AB81" s="465"/>
      <c r="AC81" s="465"/>
      <c r="AD81" s="465"/>
      <c r="AE81" s="466">
        <f t="shared" si="18"/>
        <v>1</v>
      </c>
      <c r="AF81" s="426"/>
      <c r="AG81" s="433" t="str">
        <f>VLOOKUP(A81,'Feature Summary'!$A$7:$U$4104,21,FALSE)</f>
        <v>A/B + 5wks</v>
      </c>
      <c r="AH81" s="310" t="s">
        <v>334</v>
      </c>
    </row>
    <row r="82" spans="1:34" ht="30.75" thickBot="1" x14ac:dyDescent="0.3">
      <c r="A82" s="316" t="s">
        <v>526</v>
      </c>
      <c r="B82" s="533" t="s">
        <v>527</v>
      </c>
      <c r="C82" s="308" t="s">
        <v>357</v>
      </c>
      <c r="D82" s="536" t="s">
        <v>306</v>
      </c>
      <c r="E82" s="308"/>
      <c r="F82" s="533" t="s">
        <v>528</v>
      </c>
      <c r="G82" s="231" t="str">
        <f>VLOOKUP(A82,'Feature Summary'!$A$7:$C$4104,3,FALSE)</f>
        <v>P2</v>
      </c>
      <c r="H82" s="540" t="s">
        <v>529</v>
      </c>
      <c r="I82" s="540" t="s">
        <v>309</v>
      </c>
      <c r="J82" s="541" t="s">
        <v>327</v>
      </c>
      <c r="K82" s="548">
        <v>1</v>
      </c>
      <c r="L82" s="549">
        <v>1</v>
      </c>
      <c r="M82" s="545" t="s">
        <v>33</v>
      </c>
      <c r="N82" s="445">
        <v>1</v>
      </c>
      <c r="O82" s="443">
        <v>1</v>
      </c>
      <c r="P82" s="447">
        <f t="shared" si="15"/>
        <v>1</v>
      </c>
      <c r="Q82" s="431" t="s">
        <v>45</v>
      </c>
      <c r="R82" s="309">
        <v>1</v>
      </c>
      <c r="S82" s="477">
        <f t="shared" si="16"/>
        <v>1</v>
      </c>
      <c r="T82" s="465">
        <v>1</v>
      </c>
      <c r="U82" s="465"/>
      <c r="V82" s="465"/>
      <c r="W82" s="465"/>
      <c r="X82" s="478">
        <f t="shared" si="14"/>
        <v>1</v>
      </c>
      <c r="Y82" s="432"/>
      <c r="Z82" s="464">
        <f t="shared" si="17"/>
        <v>1</v>
      </c>
      <c r="AA82" s="465"/>
      <c r="AB82" s="465"/>
      <c r="AC82" s="465">
        <v>1</v>
      </c>
      <c r="AD82" s="465"/>
      <c r="AE82" s="466">
        <f t="shared" si="18"/>
        <v>0</v>
      </c>
      <c r="AF82" s="426" t="s">
        <v>530</v>
      </c>
      <c r="AG82" s="433" t="str">
        <f>VLOOKUP(A82,'Feature Summary'!$A$7:$U$4104,21,FALSE)</f>
        <v>A/B + 8wks</v>
      </c>
      <c r="AH82" s="310"/>
    </row>
    <row r="83" spans="1:34" ht="30.75" thickBot="1" x14ac:dyDescent="0.3">
      <c r="A83" s="316" t="s">
        <v>526</v>
      </c>
      <c r="B83" s="533" t="s">
        <v>527</v>
      </c>
      <c r="C83" s="308" t="s">
        <v>357</v>
      </c>
      <c r="D83" s="536" t="s">
        <v>306</v>
      </c>
      <c r="E83" s="308"/>
      <c r="F83" s="533" t="s">
        <v>531</v>
      </c>
      <c r="G83" s="231" t="str">
        <f>VLOOKUP(A83,'Feature Summary'!$A$7:$C$4104,3,FALSE)</f>
        <v>P2</v>
      </c>
      <c r="H83" s="540" t="s">
        <v>532</v>
      </c>
      <c r="I83" s="540" t="s">
        <v>309</v>
      </c>
      <c r="J83" s="541" t="s">
        <v>327</v>
      </c>
      <c r="K83" s="548">
        <v>1</v>
      </c>
      <c r="L83" s="549">
        <v>1</v>
      </c>
      <c r="M83" s="545" t="s">
        <v>33</v>
      </c>
      <c r="N83" s="445">
        <v>1</v>
      </c>
      <c r="O83" s="443">
        <v>1</v>
      </c>
      <c r="P83" s="447">
        <f t="shared" si="15"/>
        <v>1</v>
      </c>
      <c r="Q83" s="431" t="s">
        <v>45</v>
      </c>
      <c r="R83" s="309">
        <v>1</v>
      </c>
      <c r="S83" s="477">
        <f t="shared" si="16"/>
        <v>1</v>
      </c>
      <c r="T83" s="465">
        <v>1</v>
      </c>
      <c r="U83" s="465"/>
      <c r="V83" s="465"/>
      <c r="W83" s="465"/>
      <c r="X83" s="478">
        <f t="shared" si="14"/>
        <v>1</v>
      </c>
      <c r="Y83" s="432"/>
      <c r="Z83" s="464">
        <f t="shared" si="17"/>
        <v>1</v>
      </c>
      <c r="AA83" s="465"/>
      <c r="AB83" s="465"/>
      <c r="AC83" s="465">
        <v>1</v>
      </c>
      <c r="AD83" s="465"/>
      <c r="AE83" s="466">
        <f t="shared" si="18"/>
        <v>0</v>
      </c>
      <c r="AF83" s="426" t="s">
        <v>530</v>
      </c>
      <c r="AG83" s="433" t="str">
        <f>VLOOKUP(A83,'Feature Summary'!$A$7:$U$4104,21,FALSE)</f>
        <v>A/B + 8wks</v>
      </c>
      <c r="AH83" s="310"/>
    </row>
    <row r="84" spans="1:34" ht="45.75" thickBot="1" x14ac:dyDescent="0.3">
      <c r="A84" s="316" t="s">
        <v>533</v>
      </c>
      <c r="B84" s="533" t="s">
        <v>534</v>
      </c>
      <c r="C84" s="308" t="s">
        <v>357</v>
      </c>
      <c r="D84" s="536" t="s">
        <v>306</v>
      </c>
      <c r="E84" s="308"/>
      <c r="F84" s="533" t="s">
        <v>535</v>
      </c>
      <c r="G84" s="231" t="str">
        <f>VLOOKUP(A84,'Feature Summary'!$A$7:$C$4104,3,FALSE)</f>
        <v>P2</v>
      </c>
      <c r="H84" s="540" t="s">
        <v>536</v>
      </c>
      <c r="I84" s="540" t="s">
        <v>309</v>
      </c>
      <c r="J84" s="541" t="s">
        <v>327</v>
      </c>
      <c r="K84" s="548">
        <v>2</v>
      </c>
      <c r="L84" s="549">
        <v>1</v>
      </c>
      <c r="M84" s="545" t="s">
        <v>33</v>
      </c>
      <c r="N84" s="445">
        <v>1</v>
      </c>
      <c r="O84" s="443">
        <v>1</v>
      </c>
      <c r="P84" s="447">
        <f t="shared" si="15"/>
        <v>1</v>
      </c>
      <c r="Q84" s="431" t="s">
        <v>45</v>
      </c>
      <c r="R84" s="309">
        <v>1</v>
      </c>
      <c r="S84" s="477">
        <f t="shared" si="16"/>
        <v>1</v>
      </c>
      <c r="T84" s="465">
        <v>1</v>
      </c>
      <c r="U84" s="465"/>
      <c r="V84" s="465"/>
      <c r="W84" s="465"/>
      <c r="X84" s="478">
        <f t="shared" si="14"/>
        <v>1</v>
      </c>
      <c r="Y84" s="432"/>
      <c r="Z84" s="464">
        <f t="shared" si="17"/>
        <v>1</v>
      </c>
      <c r="AA84" s="465"/>
      <c r="AB84" s="465"/>
      <c r="AC84" s="465">
        <v>1</v>
      </c>
      <c r="AD84" s="465"/>
      <c r="AE84" s="466">
        <f t="shared" si="18"/>
        <v>0</v>
      </c>
      <c r="AF84" s="426" t="s">
        <v>537</v>
      </c>
      <c r="AG84" s="433" t="str">
        <f>VLOOKUP(A84,'Feature Summary'!$A$7:$U$4104,21,FALSE)</f>
        <v>A/B + 8wks</v>
      </c>
      <c r="AH84" s="580" t="s">
        <v>538</v>
      </c>
    </row>
    <row r="85" spans="1:34" ht="45.75" thickBot="1" x14ac:dyDescent="0.3">
      <c r="A85" s="316" t="s">
        <v>533</v>
      </c>
      <c r="B85" s="533" t="s">
        <v>534</v>
      </c>
      <c r="C85" s="308" t="s">
        <v>357</v>
      </c>
      <c r="D85" s="536" t="s">
        <v>306</v>
      </c>
      <c r="E85" s="308"/>
      <c r="F85" s="533" t="s">
        <v>539</v>
      </c>
      <c r="G85" s="231" t="str">
        <f>VLOOKUP(A85,'Feature Summary'!$A$7:$C$4104,3,FALSE)</f>
        <v>P2</v>
      </c>
      <c r="H85" s="540" t="s">
        <v>540</v>
      </c>
      <c r="I85" s="540" t="s">
        <v>309</v>
      </c>
      <c r="J85" s="541" t="s">
        <v>327</v>
      </c>
      <c r="K85" s="548">
        <v>2</v>
      </c>
      <c r="L85" s="549">
        <v>1</v>
      </c>
      <c r="M85" s="545" t="s">
        <v>33</v>
      </c>
      <c r="N85" s="445">
        <v>1</v>
      </c>
      <c r="O85" s="443">
        <v>1</v>
      </c>
      <c r="P85" s="447">
        <f t="shared" si="15"/>
        <v>1</v>
      </c>
      <c r="Q85" s="431" t="s">
        <v>45</v>
      </c>
      <c r="R85" s="309">
        <v>1</v>
      </c>
      <c r="S85" s="477">
        <f t="shared" si="16"/>
        <v>1</v>
      </c>
      <c r="T85" s="465">
        <v>1</v>
      </c>
      <c r="U85" s="465"/>
      <c r="V85" s="465"/>
      <c r="W85" s="465"/>
      <c r="X85" s="478">
        <f t="shared" si="14"/>
        <v>1</v>
      </c>
      <c r="Y85" s="432"/>
      <c r="Z85" s="464">
        <f t="shared" si="17"/>
        <v>1</v>
      </c>
      <c r="AA85" s="465"/>
      <c r="AB85" s="465"/>
      <c r="AC85" s="465">
        <v>1</v>
      </c>
      <c r="AD85" s="465"/>
      <c r="AE85" s="466">
        <f t="shared" si="18"/>
        <v>0</v>
      </c>
      <c r="AF85" s="426" t="s">
        <v>537</v>
      </c>
      <c r="AG85" s="433" t="str">
        <f>VLOOKUP(A85,'Feature Summary'!$A$7:$U$4104,21,FALSE)</f>
        <v>A/B + 8wks</v>
      </c>
      <c r="AH85" s="580" t="s">
        <v>538</v>
      </c>
    </row>
    <row r="86" spans="1:34" ht="45.75" thickBot="1" x14ac:dyDescent="0.3">
      <c r="A86" s="316" t="s">
        <v>541</v>
      </c>
      <c r="B86" s="533" t="s">
        <v>542</v>
      </c>
      <c r="C86" s="308" t="s">
        <v>406</v>
      </c>
      <c r="D86" s="536" t="s">
        <v>306</v>
      </c>
      <c r="E86" s="308"/>
      <c r="F86" s="533" t="s">
        <v>543</v>
      </c>
      <c r="G86" s="231" t="str">
        <f>VLOOKUP(A86,'Feature Summary'!$A$7:$C$4104,3,FALSE)</f>
        <v>P2</v>
      </c>
      <c r="H86" s="540" t="s">
        <v>544</v>
      </c>
      <c r="I86" s="540" t="s">
        <v>309</v>
      </c>
      <c r="J86" s="541" t="s">
        <v>327</v>
      </c>
      <c r="K86" s="548">
        <v>1</v>
      </c>
      <c r="L86" s="549">
        <v>2</v>
      </c>
      <c r="M86" s="545" t="s">
        <v>33</v>
      </c>
      <c r="N86" s="445">
        <v>1</v>
      </c>
      <c r="O86" s="443">
        <v>2</v>
      </c>
      <c r="P86" s="447">
        <f t="shared" si="15"/>
        <v>1</v>
      </c>
      <c r="Q86" s="431" t="s">
        <v>45</v>
      </c>
      <c r="R86" s="309">
        <v>2</v>
      </c>
      <c r="S86" s="477">
        <f t="shared" si="16"/>
        <v>2</v>
      </c>
      <c r="T86" s="465">
        <v>2</v>
      </c>
      <c r="U86" s="465"/>
      <c r="V86" s="465"/>
      <c r="W86" s="465"/>
      <c r="X86" s="478">
        <f t="shared" si="14"/>
        <v>1</v>
      </c>
      <c r="Y86" s="432"/>
      <c r="Z86" s="464">
        <f t="shared" si="17"/>
        <v>2</v>
      </c>
      <c r="AA86" s="465">
        <v>1</v>
      </c>
      <c r="AB86" s="465"/>
      <c r="AC86" s="465"/>
      <c r="AD86" s="465">
        <v>1</v>
      </c>
      <c r="AE86" s="466">
        <f t="shared" si="18"/>
        <v>0.5</v>
      </c>
      <c r="AF86" s="426" t="s">
        <v>545</v>
      </c>
      <c r="AG86" s="433" t="str">
        <f>VLOOKUP(A86,'Feature Summary'!$A$7:$U$4104,21,FALSE)</f>
        <v>A/B + 5wks</v>
      </c>
      <c r="AH86" s="310"/>
    </row>
    <row r="87" spans="1:34" ht="75.75" thickBot="1" x14ac:dyDescent="0.3">
      <c r="A87" s="316" t="s">
        <v>546</v>
      </c>
      <c r="B87" s="533" t="s">
        <v>547</v>
      </c>
      <c r="C87" s="308" t="s">
        <v>406</v>
      </c>
      <c r="D87" s="536" t="s">
        <v>306</v>
      </c>
      <c r="E87" s="308"/>
      <c r="F87" s="533" t="s">
        <v>548</v>
      </c>
      <c r="G87" s="231" t="str">
        <f>VLOOKUP(A87,'Feature Summary'!$A$7:$C$4104,3,FALSE)</f>
        <v>P2</v>
      </c>
      <c r="H87" s="540" t="s">
        <v>549</v>
      </c>
      <c r="I87" s="540" t="s">
        <v>309</v>
      </c>
      <c r="J87" s="541" t="s">
        <v>327</v>
      </c>
      <c r="K87" s="548">
        <v>1</v>
      </c>
      <c r="L87" s="549">
        <v>2</v>
      </c>
      <c r="M87" s="545" t="s">
        <v>33</v>
      </c>
      <c r="N87" s="445">
        <v>1</v>
      </c>
      <c r="O87" s="443">
        <v>2</v>
      </c>
      <c r="P87" s="447">
        <f t="shared" si="15"/>
        <v>1</v>
      </c>
      <c r="Q87" s="431" t="s">
        <v>45</v>
      </c>
      <c r="R87" s="309">
        <v>2</v>
      </c>
      <c r="S87" s="477">
        <f t="shared" si="16"/>
        <v>2</v>
      </c>
      <c r="T87" s="465">
        <v>2</v>
      </c>
      <c r="U87" s="465"/>
      <c r="V87" s="465"/>
      <c r="W87" s="465"/>
      <c r="X87" s="478">
        <f t="shared" si="14"/>
        <v>1</v>
      </c>
      <c r="Y87" s="432"/>
      <c r="Z87" s="464">
        <f t="shared" si="17"/>
        <v>2</v>
      </c>
      <c r="AA87" s="465"/>
      <c r="AB87" s="465"/>
      <c r="AC87" s="465"/>
      <c r="AD87" s="465">
        <v>2</v>
      </c>
      <c r="AE87" s="466">
        <f t="shared" si="18"/>
        <v>0</v>
      </c>
      <c r="AF87" s="426"/>
      <c r="AG87" s="433" t="str">
        <f>VLOOKUP(A87,'Feature Summary'!$A$7:$U$4104,21,FALSE)</f>
        <v>A/B + 5wks</v>
      </c>
      <c r="AH87" s="310"/>
    </row>
    <row r="88" spans="1:34" ht="60.75" thickBot="1" x14ac:dyDescent="0.3">
      <c r="A88" s="316"/>
      <c r="B88" s="533"/>
      <c r="C88" s="308" t="s">
        <v>341</v>
      </c>
      <c r="D88" s="536" t="s">
        <v>388</v>
      </c>
      <c r="E88" s="308"/>
      <c r="F88" s="533" t="s">
        <v>550</v>
      </c>
      <c r="G88" s="231" t="e">
        <f>VLOOKUP(A88,'Feature Summary'!$A$7:$C$4104,3,FALSE)</f>
        <v>#N/A</v>
      </c>
      <c r="H88" s="540" t="s">
        <v>551</v>
      </c>
      <c r="I88" s="540" t="s">
        <v>309</v>
      </c>
      <c r="J88" s="541" t="s">
        <v>552</v>
      </c>
      <c r="K88" s="548">
        <v>1</v>
      </c>
      <c r="L88" s="549">
        <v>1</v>
      </c>
      <c r="M88" s="545" t="s">
        <v>33</v>
      </c>
      <c r="N88" s="445">
        <v>1</v>
      </c>
      <c r="O88" s="443">
        <v>1</v>
      </c>
      <c r="P88" s="447">
        <f t="shared" si="15"/>
        <v>1</v>
      </c>
      <c r="Q88" s="431" t="s">
        <v>45</v>
      </c>
      <c r="R88" s="309">
        <v>1</v>
      </c>
      <c r="S88" s="477">
        <f t="shared" si="16"/>
        <v>1</v>
      </c>
      <c r="T88" s="465">
        <v>1</v>
      </c>
      <c r="U88" s="465"/>
      <c r="V88" s="465"/>
      <c r="W88" s="465"/>
      <c r="X88" s="478">
        <f t="shared" si="14"/>
        <v>1</v>
      </c>
      <c r="Y88" s="432"/>
      <c r="Z88" s="464">
        <f t="shared" si="17"/>
        <v>1</v>
      </c>
      <c r="AA88" s="465">
        <v>1</v>
      </c>
      <c r="AB88" s="465"/>
      <c r="AC88" s="465"/>
      <c r="AD88" s="465"/>
      <c r="AE88" s="466">
        <f t="shared" si="18"/>
        <v>1</v>
      </c>
      <c r="AF88" s="426" t="s">
        <v>311</v>
      </c>
      <c r="AG88" s="429" t="e">
        <f>VLOOKUP(LEFT(A88,(FIND(",",A88,1)-1)),'Feature Summary'!$A$7:$U$4035,21,FALSE)</f>
        <v>#VALUE!</v>
      </c>
      <c r="AH88" s="310"/>
    </row>
    <row r="89" spans="1:34" ht="60.75" thickBot="1" x14ac:dyDescent="0.3">
      <c r="A89" s="316"/>
      <c r="B89" s="533"/>
      <c r="C89" s="308" t="s">
        <v>341</v>
      </c>
      <c r="D89" s="536" t="s">
        <v>388</v>
      </c>
      <c r="E89" s="308"/>
      <c r="F89" s="533" t="s">
        <v>553</v>
      </c>
      <c r="G89" s="231" t="e">
        <f>VLOOKUP(A89,'Feature Summary'!$A$7:$C$4104,3,FALSE)</f>
        <v>#N/A</v>
      </c>
      <c r="H89" s="540" t="s">
        <v>554</v>
      </c>
      <c r="I89" s="540" t="s">
        <v>309</v>
      </c>
      <c r="J89" s="541" t="s">
        <v>552</v>
      </c>
      <c r="K89" s="548">
        <v>1</v>
      </c>
      <c r="L89" s="549">
        <v>1</v>
      </c>
      <c r="M89" s="545" t="s">
        <v>33</v>
      </c>
      <c r="N89" s="445">
        <v>1</v>
      </c>
      <c r="O89" s="443">
        <v>1</v>
      </c>
      <c r="P89" s="447">
        <f t="shared" si="15"/>
        <v>1</v>
      </c>
      <c r="Q89" s="431" t="s">
        <v>45</v>
      </c>
      <c r="R89" s="309">
        <v>1</v>
      </c>
      <c r="S89" s="477">
        <f t="shared" si="16"/>
        <v>1</v>
      </c>
      <c r="T89" s="465">
        <v>1</v>
      </c>
      <c r="U89" s="465"/>
      <c r="V89" s="465"/>
      <c r="W89" s="465"/>
      <c r="X89" s="478">
        <f t="shared" si="14"/>
        <v>1</v>
      </c>
      <c r="Y89" s="432"/>
      <c r="Z89" s="464">
        <f t="shared" si="17"/>
        <v>1</v>
      </c>
      <c r="AA89" s="465">
        <v>1</v>
      </c>
      <c r="AB89" s="465"/>
      <c r="AC89" s="465"/>
      <c r="AD89" s="465"/>
      <c r="AE89" s="466">
        <f t="shared" si="18"/>
        <v>1</v>
      </c>
      <c r="AF89" s="426" t="s">
        <v>311</v>
      </c>
      <c r="AG89" s="429" t="e">
        <f>VLOOKUP(LEFT(A89,(FIND(",",A89,1)-1)),'Feature Summary'!$A$7:$U$4035,21,FALSE)</f>
        <v>#VALUE!</v>
      </c>
      <c r="AH89" s="310"/>
    </row>
    <row r="90" spans="1:34" ht="45.75" thickBot="1" x14ac:dyDescent="0.3">
      <c r="A90" s="316"/>
      <c r="B90" s="533"/>
      <c r="C90" s="308" t="s">
        <v>341</v>
      </c>
      <c r="D90" s="536" t="s">
        <v>388</v>
      </c>
      <c r="E90" s="308"/>
      <c r="F90" s="533" t="s">
        <v>555</v>
      </c>
      <c r="G90" s="231" t="e">
        <f>VLOOKUP(A90,'Feature Summary'!$A$7:$C$4104,3,FALSE)</f>
        <v>#N/A</v>
      </c>
      <c r="H90" s="540" t="s">
        <v>556</v>
      </c>
      <c r="I90" s="540" t="s">
        <v>309</v>
      </c>
      <c r="J90" s="541" t="s">
        <v>552</v>
      </c>
      <c r="K90" s="548">
        <v>1</v>
      </c>
      <c r="L90" s="549">
        <v>1</v>
      </c>
      <c r="M90" s="545" t="s">
        <v>33</v>
      </c>
      <c r="N90" s="445">
        <v>1</v>
      </c>
      <c r="O90" s="443">
        <v>1</v>
      </c>
      <c r="P90" s="447">
        <f t="shared" si="15"/>
        <v>1</v>
      </c>
      <c r="Q90" s="431" t="s">
        <v>45</v>
      </c>
      <c r="R90" s="309">
        <v>1</v>
      </c>
      <c r="S90" s="477">
        <f t="shared" si="16"/>
        <v>1</v>
      </c>
      <c r="T90" s="465">
        <v>1</v>
      </c>
      <c r="U90" s="465"/>
      <c r="V90" s="465"/>
      <c r="W90" s="465"/>
      <c r="X90" s="478">
        <f t="shared" si="14"/>
        <v>1</v>
      </c>
      <c r="Y90" s="432"/>
      <c r="Z90" s="464">
        <f t="shared" si="17"/>
        <v>1</v>
      </c>
      <c r="AA90" s="465">
        <v>1</v>
      </c>
      <c r="AB90" s="465"/>
      <c r="AC90" s="465"/>
      <c r="AD90" s="465"/>
      <c r="AE90" s="466">
        <f t="shared" si="18"/>
        <v>1</v>
      </c>
      <c r="AF90" s="426" t="s">
        <v>311</v>
      </c>
      <c r="AG90" s="429" t="e">
        <f>VLOOKUP(LEFT(A90,(FIND(",",A90,1)-1)),'Feature Summary'!$A$7:$U$4035,21,FALSE)</f>
        <v>#VALUE!</v>
      </c>
      <c r="AH90" s="310"/>
    </row>
    <row r="91" spans="1:34" ht="45.75" thickBot="1" x14ac:dyDescent="0.3">
      <c r="A91" s="316"/>
      <c r="B91" s="533"/>
      <c r="C91" s="308" t="s">
        <v>341</v>
      </c>
      <c r="D91" s="536" t="s">
        <v>388</v>
      </c>
      <c r="E91" s="308"/>
      <c r="F91" s="533" t="s">
        <v>557</v>
      </c>
      <c r="G91" s="231" t="e">
        <f>VLOOKUP(A91,'Feature Summary'!$A$7:$C$4104,3,FALSE)</f>
        <v>#N/A</v>
      </c>
      <c r="H91" s="540" t="s">
        <v>558</v>
      </c>
      <c r="I91" s="540" t="s">
        <v>309</v>
      </c>
      <c r="J91" s="541" t="s">
        <v>552</v>
      </c>
      <c r="K91" s="548">
        <v>1</v>
      </c>
      <c r="L91" s="549">
        <v>1</v>
      </c>
      <c r="M91" s="545" t="s">
        <v>33</v>
      </c>
      <c r="N91" s="445">
        <v>1</v>
      </c>
      <c r="O91" s="443">
        <v>1</v>
      </c>
      <c r="P91" s="447">
        <f t="shared" si="15"/>
        <v>1</v>
      </c>
      <c r="Q91" s="431" t="s">
        <v>45</v>
      </c>
      <c r="R91" s="309">
        <v>1</v>
      </c>
      <c r="S91" s="477">
        <f t="shared" si="16"/>
        <v>1</v>
      </c>
      <c r="T91" s="465">
        <v>1</v>
      </c>
      <c r="U91" s="465"/>
      <c r="V91" s="465"/>
      <c r="W91" s="465"/>
      <c r="X91" s="478">
        <f t="shared" si="14"/>
        <v>1</v>
      </c>
      <c r="Y91" s="432"/>
      <c r="Z91" s="464">
        <f t="shared" si="17"/>
        <v>1</v>
      </c>
      <c r="AA91" s="465">
        <v>1</v>
      </c>
      <c r="AB91" s="465"/>
      <c r="AC91" s="465"/>
      <c r="AD91" s="465"/>
      <c r="AE91" s="466">
        <f t="shared" si="18"/>
        <v>1</v>
      </c>
      <c r="AF91" s="426" t="s">
        <v>311</v>
      </c>
      <c r="AG91" s="429" t="e">
        <f>VLOOKUP(LEFT(A91,(FIND(",",A91,1)-1)),'Feature Summary'!$A$7:$U$4035,21,FALSE)</f>
        <v>#VALUE!</v>
      </c>
      <c r="AH91" s="310"/>
    </row>
    <row r="92" spans="1:34" ht="60.75" thickBot="1" x14ac:dyDescent="0.3">
      <c r="A92" s="316"/>
      <c r="B92" s="533"/>
      <c r="C92" s="308" t="s">
        <v>341</v>
      </c>
      <c r="D92" s="536" t="s">
        <v>388</v>
      </c>
      <c r="E92" s="308"/>
      <c r="F92" s="533" t="s">
        <v>559</v>
      </c>
      <c r="G92" s="231" t="e">
        <f>VLOOKUP(A92,'Feature Summary'!$A$7:$C$4104,3,FALSE)</f>
        <v>#N/A</v>
      </c>
      <c r="H92" s="540" t="s">
        <v>560</v>
      </c>
      <c r="I92" s="540" t="s">
        <v>309</v>
      </c>
      <c r="J92" s="541" t="s">
        <v>552</v>
      </c>
      <c r="K92" s="548">
        <v>1</v>
      </c>
      <c r="L92" s="549">
        <v>1</v>
      </c>
      <c r="M92" s="545" t="s">
        <v>33</v>
      </c>
      <c r="N92" s="445">
        <v>1</v>
      </c>
      <c r="O92" s="443">
        <v>1</v>
      </c>
      <c r="P92" s="447">
        <f t="shared" si="15"/>
        <v>1</v>
      </c>
      <c r="Q92" s="431" t="s">
        <v>45</v>
      </c>
      <c r="R92" s="309">
        <v>1</v>
      </c>
      <c r="S92" s="477">
        <f t="shared" si="16"/>
        <v>1</v>
      </c>
      <c r="T92" s="465">
        <v>1</v>
      </c>
      <c r="U92" s="465"/>
      <c r="V92" s="465"/>
      <c r="W92" s="465"/>
      <c r="X92" s="478">
        <f t="shared" si="14"/>
        <v>1</v>
      </c>
      <c r="Y92" s="432"/>
      <c r="Z92" s="464">
        <f t="shared" si="17"/>
        <v>1</v>
      </c>
      <c r="AA92" s="465">
        <v>1</v>
      </c>
      <c r="AB92" s="465"/>
      <c r="AC92" s="465"/>
      <c r="AD92" s="465"/>
      <c r="AE92" s="466">
        <f t="shared" si="18"/>
        <v>1</v>
      </c>
      <c r="AF92" s="426" t="s">
        <v>311</v>
      </c>
      <c r="AG92" s="429" t="e">
        <f>VLOOKUP(LEFT(A92,(FIND(",",A92,1)-1)),'Feature Summary'!$A$7:$U$4035,21,FALSE)</f>
        <v>#VALUE!</v>
      </c>
      <c r="AH92" s="310"/>
    </row>
    <row r="93" spans="1:34" ht="45.75" thickBot="1" x14ac:dyDescent="0.3">
      <c r="A93" s="316"/>
      <c r="B93" s="533"/>
      <c r="C93" s="308" t="s">
        <v>341</v>
      </c>
      <c r="D93" s="536" t="s">
        <v>388</v>
      </c>
      <c r="E93" s="308"/>
      <c r="F93" s="533" t="s">
        <v>561</v>
      </c>
      <c r="G93" s="231" t="e">
        <f>VLOOKUP(A93,'Feature Summary'!$A$7:$C$4104,3,FALSE)</f>
        <v>#N/A</v>
      </c>
      <c r="H93" s="540" t="s">
        <v>562</v>
      </c>
      <c r="I93" s="540" t="s">
        <v>309</v>
      </c>
      <c r="J93" s="541" t="s">
        <v>552</v>
      </c>
      <c r="K93" s="548">
        <v>1</v>
      </c>
      <c r="L93" s="549">
        <v>1</v>
      </c>
      <c r="M93" s="545" t="s">
        <v>33</v>
      </c>
      <c r="N93" s="445">
        <v>1</v>
      </c>
      <c r="O93" s="443">
        <v>1</v>
      </c>
      <c r="P93" s="447">
        <f t="shared" si="15"/>
        <v>1</v>
      </c>
      <c r="Q93" s="431" t="s">
        <v>45</v>
      </c>
      <c r="R93" s="309">
        <v>1</v>
      </c>
      <c r="S93" s="477">
        <f t="shared" si="16"/>
        <v>1</v>
      </c>
      <c r="T93" s="465">
        <v>1</v>
      </c>
      <c r="U93" s="465"/>
      <c r="V93" s="465"/>
      <c r="W93" s="465"/>
      <c r="X93" s="478">
        <f t="shared" si="14"/>
        <v>1</v>
      </c>
      <c r="Y93" s="432"/>
      <c r="Z93" s="464">
        <f t="shared" si="17"/>
        <v>1</v>
      </c>
      <c r="AA93" s="465">
        <v>1</v>
      </c>
      <c r="AB93" s="465"/>
      <c r="AC93" s="465"/>
      <c r="AD93" s="465"/>
      <c r="AE93" s="466">
        <f t="shared" si="18"/>
        <v>1</v>
      </c>
      <c r="AF93" s="426" t="s">
        <v>311</v>
      </c>
      <c r="AG93" s="429" t="e">
        <f>VLOOKUP(LEFT(A93,(FIND(",",A93,1)-1)),'Feature Summary'!$A$7:$U$4035,21,FALSE)</f>
        <v>#VALUE!</v>
      </c>
      <c r="AH93" s="310"/>
    </row>
    <row r="94" spans="1:34" ht="45.75" thickBot="1" x14ac:dyDescent="0.3">
      <c r="A94" s="316"/>
      <c r="B94" s="533"/>
      <c r="C94" s="308" t="s">
        <v>341</v>
      </c>
      <c r="D94" s="536" t="s">
        <v>388</v>
      </c>
      <c r="E94" s="308"/>
      <c r="F94" s="533" t="s">
        <v>563</v>
      </c>
      <c r="G94" s="231" t="e">
        <f>VLOOKUP(A94,'Feature Summary'!$A$7:$C$4104,3,FALSE)</f>
        <v>#N/A</v>
      </c>
      <c r="H94" s="540" t="s">
        <v>564</v>
      </c>
      <c r="I94" s="540" t="s">
        <v>309</v>
      </c>
      <c r="J94" s="541" t="s">
        <v>552</v>
      </c>
      <c r="K94" s="548">
        <v>1</v>
      </c>
      <c r="L94" s="549">
        <v>1</v>
      </c>
      <c r="M94" s="545" t="s">
        <v>33</v>
      </c>
      <c r="N94" s="445">
        <v>1</v>
      </c>
      <c r="O94" s="443">
        <v>1</v>
      </c>
      <c r="P94" s="447">
        <f t="shared" si="15"/>
        <v>1</v>
      </c>
      <c r="Q94" s="431" t="s">
        <v>45</v>
      </c>
      <c r="R94" s="309">
        <v>1</v>
      </c>
      <c r="S94" s="477">
        <f t="shared" si="16"/>
        <v>1</v>
      </c>
      <c r="T94" s="465">
        <v>1</v>
      </c>
      <c r="U94" s="465"/>
      <c r="V94" s="465"/>
      <c r="W94" s="465"/>
      <c r="X94" s="478">
        <f t="shared" si="14"/>
        <v>1</v>
      </c>
      <c r="Y94" s="432"/>
      <c r="Z94" s="464">
        <f t="shared" si="17"/>
        <v>1</v>
      </c>
      <c r="AA94" s="465">
        <v>1</v>
      </c>
      <c r="AB94" s="465"/>
      <c r="AC94" s="465"/>
      <c r="AD94" s="465"/>
      <c r="AE94" s="466">
        <f t="shared" si="18"/>
        <v>1</v>
      </c>
      <c r="AF94" s="426" t="s">
        <v>311</v>
      </c>
      <c r="AG94" s="429" t="e">
        <f>VLOOKUP(LEFT(A94,(FIND(",",A94,1)-1)),'Feature Summary'!$A$7:$U$4035,21,FALSE)</f>
        <v>#VALUE!</v>
      </c>
      <c r="AH94" s="310"/>
    </row>
    <row r="95" spans="1:34" ht="45.75" thickBot="1" x14ac:dyDescent="0.3">
      <c r="A95" s="316"/>
      <c r="B95" s="533"/>
      <c r="C95" s="308" t="s">
        <v>341</v>
      </c>
      <c r="D95" s="536" t="s">
        <v>388</v>
      </c>
      <c r="E95" s="308"/>
      <c r="F95" s="533" t="s">
        <v>565</v>
      </c>
      <c r="G95" s="231" t="e">
        <f>VLOOKUP(A95,'Feature Summary'!$A$7:$C$4104,3,FALSE)</f>
        <v>#N/A</v>
      </c>
      <c r="H95" s="540" t="s">
        <v>566</v>
      </c>
      <c r="I95" s="540" t="s">
        <v>309</v>
      </c>
      <c r="J95" s="541" t="s">
        <v>567</v>
      </c>
      <c r="K95" s="548">
        <v>1</v>
      </c>
      <c r="L95" s="549">
        <v>1</v>
      </c>
      <c r="M95" s="545" t="s">
        <v>33</v>
      </c>
      <c r="N95" s="445">
        <v>1</v>
      </c>
      <c r="O95" s="443">
        <v>1</v>
      </c>
      <c r="P95" s="447">
        <f t="shared" si="15"/>
        <v>1</v>
      </c>
      <c r="Q95" s="431" t="s">
        <v>45</v>
      </c>
      <c r="R95" s="309">
        <v>1</v>
      </c>
      <c r="S95" s="477">
        <f t="shared" si="16"/>
        <v>1</v>
      </c>
      <c r="T95" s="465">
        <v>1</v>
      </c>
      <c r="U95" s="465"/>
      <c r="V95" s="465"/>
      <c r="W95" s="465"/>
      <c r="X95" s="478">
        <f t="shared" si="14"/>
        <v>1</v>
      </c>
      <c r="Y95" s="432"/>
      <c r="Z95" s="464">
        <f t="shared" si="17"/>
        <v>1</v>
      </c>
      <c r="AA95" s="465">
        <v>1</v>
      </c>
      <c r="AB95" s="465"/>
      <c r="AC95" s="465"/>
      <c r="AD95" s="465"/>
      <c r="AE95" s="466">
        <f t="shared" si="18"/>
        <v>1</v>
      </c>
      <c r="AF95" s="426" t="s">
        <v>311</v>
      </c>
      <c r="AG95" s="429" t="e">
        <f>VLOOKUP(LEFT(A95,(FIND(",",A95,1)-1)),'Feature Summary'!$A$7:$U$4035,21,FALSE)</f>
        <v>#VALUE!</v>
      </c>
      <c r="AH95" s="310"/>
    </row>
    <row r="96" spans="1:34" ht="90.75" thickBot="1" x14ac:dyDescent="0.3">
      <c r="A96" s="316" t="s">
        <v>568</v>
      </c>
      <c r="B96" s="533"/>
      <c r="C96" s="308" t="s">
        <v>366</v>
      </c>
      <c r="D96" s="536" t="s">
        <v>388</v>
      </c>
      <c r="E96" s="308"/>
      <c r="F96" s="533" t="s">
        <v>569</v>
      </c>
      <c r="G96" s="231" t="e">
        <f>VLOOKUP(A96,'Feature Summary'!$A$7:$C$4104,3,FALSE)</f>
        <v>#N/A</v>
      </c>
      <c r="H96" s="540" t="s">
        <v>570</v>
      </c>
      <c r="I96" s="540" t="s">
        <v>309</v>
      </c>
      <c r="J96" s="541" t="s">
        <v>571</v>
      </c>
      <c r="K96" s="548">
        <v>5</v>
      </c>
      <c r="L96" s="549">
        <v>1</v>
      </c>
      <c r="M96" s="545" t="s">
        <v>33</v>
      </c>
      <c r="N96" s="445">
        <v>1</v>
      </c>
      <c r="O96" s="443">
        <v>1</v>
      </c>
      <c r="P96" s="447">
        <f t="shared" si="15"/>
        <v>1</v>
      </c>
      <c r="Q96" s="431"/>
      <c r="R96" s="309">
        <v>1</v>
      </c>
      <c r="S96" s="477">
        <f t="shared" si="16"/>
        <v>1</v>
      </c>
      <c r="T96" s="465">
        <v>1</v>
      </c>
      <c r="U96" s="465"/>
      <c r="V96" s="465"/>
      <c r="W96" s="465"/>
      <c r="X96" s="478">
        <f t="shared" si="14"/>
        <v>1</v>
      </c>
      <c r="Y96" s="432"/>
      <c r="Z96" s="464">
        <f t="shared" si="17"/>
        <v>1</v>
      </c>
      <c r="AA96" s="465"/>
      <c r="AB96" s="465"/>
      <c r="AC96" s="465">
        <v>1</v>
      </c>
      <c r="AD96" s="465"/>
      <c r="AE96" s="466">
        <f t="shared" si="18"/>
        <v>0</v>
      </c>
      <c r="AF96" s="426" t="s">
        <v>530</v>
      </c>
      <c r="AG96" s="433" t="e">
        <f>VLOOKUP(A96,'Feature Summary'!$A$7:$U$4104,21,FALSE)</f>
        <v>#N/A</v>
      </c>
      <c r="AH96" s="580" t="s">
        <v>572</v>
      </c>
    </row>
    <row r="97" spans="1:34" ht="45.75" thickBot="1" x14ac:dyDescent="0.3">
      <c r="A97" s="316" t="s">
        <v>568</v>
      </c>
      <c r="B97" s="533"/>
      <c r="C97" s="308" t="s">
        <v>366</v>
      </c>
      <c r="D97" s="536" t="s">
        <v>388</v>
      </c>
      <c r="E97" s="308"/>
      <c r="F97" s="533" t="s">
        <v>573</v>
      </c>
      <c r="G97" s="231" t="e">
        <f>VLOOKUP(A97,'Feature Summary'!$A$7:$C$4104,3,FALSE)</f>
        <v>#N/A</v>
      </c>
      <c r="H97" s="540" t="s">
        <v>574</v>
      </c>
      <c r="I97" s="540" t="s">
        <v>309</v>
      </c>
      <c r="J97" s="541" t="s">
        <v>575</v>
      </c>
      <c r="K97" s="548">
        <v>3</v>
      </c>
      <c r="L97" s="549">
        <v>1</v>
      </c>
      <c r="M97" s="545" t="s">
        <v>33</v>
      </c>
      <c r="N97" s="445">
        <v>1</v>
      </c>
      <c r="O97" s="443">
        <v>1</v>
      </c>
      <c r="P97" s="447">
        <f t="shared" si="15"/>
        <v>1</v>
      </c>
      <c r="Q97" s="431"/>
      <c r="R97" s="309">
        <v>1</v>
      </c>
      <c r="S97" s="477">
        <f t="shared" si="16"/>
        <v>1</v>
      </c>
      <c r="T97" s="465">
        <v>1</v>
      </c>
      <c r="U97" s="465"/>
      <c r="V97" s="465"/>
      <c r="W97" s="465"/>
      <c r="X97" s="478">
        <f t="shared" si="14"/>
        <v>1</v>
      </c>
      <c r="Y97" s="432"/>
      <c r="Z97" s="464">
        <f t="shared" si="17"/>
        <v>1</v>
      </c>
      <c r="AA97" s="465"/>
      <c r="AB97" s="465"/>
      <c r="AC97" s="465">
        <v>1</v>
      </c>
      <c r="AD97" s="465"/>
      <c r="AE97" s="466">
        <f t="shared" si="18"/>
        <v>0</v>
      </c>
      <c r="AF97" s="426" t="s">
        <v>530</v>
      </c>
      <c r="AG97" s="433" t="e">
        <f>VLOOKUP(A97,'Feature Summary'!$A$7:$U$4104,21,FALSE)</f>
        <v>#N/A</v>
      </c>
      <c r="AH97" s="580" t="s">
        <v>576</v>
      </c>
    </row>
    <row r="98" spans="1:34" ht="90.75" thickBot="1" x14ac:dyDescent="0.3">
      <c r="A98" s="564" t="s">
        <v>577</v>
      </c>
      <c r="B98" s="533" t="s">
        <v>578</v>
      </c>
      <c r="C98" s="308" t="s">
        <v>305</v>
      </c>
      <c r="D98" s="536" t="s">
        <v>388</v>
      </c>
      <c r="E98" s="308"/>
      <c r="F98" s="533" t="s">
        <v>579</v>
      </c>
      <c r="G98" s="231" t="str">
        <f>VLOOKUP(A98,'Feature Summary'!$A$7:$C$4104,3,FALSE)</f>
        <v>P1</v>
      </c>
      <c r="H98" s="540" t="s">
        <v>580</v>
      </c>
      <c r="I98" s="540" t="s">
        <v>331</v>
      </c>
      <c r="J98" s="541" t="s">
        <v>327</v>
      </c>
      <c r="K98" s="548">
        <v>1</v>
      </c>
      <c r="L98" s="549">
        <v>15</v>
      </c>
      <c r="M98" s="545" t="s">
        <v>33</v>
      </c>
      <c r="N98" s="445">
        <v>1</v>
      </c>
      <c r="O98" s="443">
        <v>15</v>
      </c>
      <c r="P98" s="447">
        <f t="shared" si="15"/>
        <v>1</v>
      </c>
      <c r="Q98" s="431" t="s">
        <v>45</v>
      </c>
      <c r="R98" s="309">
        <v>15</v>
      </c>
      <c r="S98" s="477">
        <f t="shared" si="16"/>
        <v>15</v>
      </c>
      <c r="T98" s="465">
        <v>15</v>
      </c>
      <c r="U98" s="465"/>
      <c r="V98" s="465"/>
      <c r="W98" s="465"/>
      <c r="X98" s="478">
        <f t="shared" si="14"/>
        <v>1</v>
      </c>
      <c r="Y98" s="432"/>
      <c r="Z98" s="464">
        <f t="shared" si="17"/>
        <v>15</v>
      </c>
      <c r="AA98" s="465">
        <v>15</v>
      </c>
      <c r="AB98" s="465"/>
      <c r="AC98" s="465"/>
      <c r="AD98" s="465"/>
      <c r="AE98" s="466">
        <f t="shared" si="18"/>
        <v>1</v>
      </c>
      <c r="AF98" s="571" t="s">
        <v>332</v>
      </c>
      <c r="AG98" s="433" t="str">
        <f>VLOOKUP(A98,'Feature Summary'!$A$7:$U$4104,21,FALSE)</f>
        <v>A/B + 8wks</v>
      </c>
      <c r="AH98" s="310"/>
    </row>
    <row r="99" spans="1:34" ht="90.75" thickBot="1" x14ac:dyDescent="0.3">
      <c r="A99" s="564" t="s">
        <v>577</v>
      </c>
      <c r="B99" s="533" t="s">
        <v>578</v>
      </c>
      <c r="C99" s="308" t="s">
        <v>305</v>
      </c>
      <c r="D99" s="536" t="s">
        <v>388</v>
      </c>
      <c r="E99" s="308"/>
      <c r="F99" s="533" t="s">
        <v>579</v>
      </c>
      <c r="G99" s="231" t="str">
        <f>VLOOKUP(A99,'Feature Summary'!$A$7:$C$4104,3,FALSE)</f>
        <v>P1</v>
      </c>
      <c r="H99" s="540" t="s">
        <v>581</v>
      </c>
      <c r="I99" s="540" t="s">
        <v>331</v>
      </c>
      <c r="J99" s="541" t="s">
        <v>327</v>
      </c>
      <c r="K99" s="548">
        <v>1</v>
      </c>
      <c r="L99" s="549">
        <v>1</v>
      </c>
      <c r="M99" s="545" t="s">
        <v>33</v>
      </c>
      <c r="N99" s="445">
        <v>1</v>
      </c>
      <c r="O99" s="443">
        <v>1</v>
      </c>
      <c r="P99" s="447">
        <f t="shared" si="15"/>
        <v>1</v>
      </c>
      <c r="Q99" s="431" t="s">
        <v>45</v>
      </c>
      <c r="R99" s="309">
        <v>1</v>
      </c>
      <c r="S99" s="477">
        <f t="shared" ref="S99" si="19">SUM(T99:W99)</f>
        <v>1</v>
      </c>
      <c r="T99" s="465">
        <v>1</v>
      </c>
      <c r="U99" s="465"/>
      <c r="V99" s="465"/>
      <c r="W99" s="465"/>
      <c r="X99" s="478">
        <f t="shared" ref="X99" si="20">IF((S99=0),0,((T99+U99)/S99*100%))</f>
        <v>1</v>
      </c>
      <c r="Y99" s="432"/>
      <c r="Z99" s="464">
        <f t="shared" si="17"/>
        <v>1</v>
      </c>
      <c r="AA99" s="465">
        <v>1</v>
      </c>
      <c r="AB99" s="465"/>
      <c r="AC99" s="465"/>
      <c r="AD99" s="465"/>
      <c r="AE99" s="466">
        <f t="shared" ref="AE99" si="21">IF((Z99=0),0,((AA99+AB99)/Z99*100%))</f>
        <v>1</v>
      </c>
      <c r="AF99" s="426"/>
      <c r="AG99" s="433" t="str">
        <f>VLOOKUP(A99,'Feature Summary'!$A$7:$U$4104,21,FALSE)</f>
        <v>A/B + 8wks</v>
      </c>
      <c r="AH99" s="310" t="s">
        <v>334</v>
      </c>
    </row>
    <row r="100" spans="1:34" ht="75.75" thickBot="1" x14ac:dyDescent="0.3">
      <c r="A100" s="564" t="s">
        <v>577</v>
      </c>
      <c r="B100" s="533" t="s">
        <v>578</v>
      </c>
      <c r="C100" s="308" t="s">
        <v>305</v>
      </c>
      <c r="D100" s="536" t="s">
        <v>388</v>
      </c>
      <c r="E100" s="308"/>
      <c r="F100" s="533" t="s">
        <v>582</v>
      </c>
      <c r="G100" s="231" t="str">
        <f>VLOOKUP(A100,'Feature Summary'!$A$7:$C$4104,3,FALSE)</f>
        <v>P1</v>
      </c>
      <c r="H100" s="540" t="s">
        <v>583</v>
      </c>
      <c r="I100" s="540" t="s">
        <v>309</v>
      </c>
      <c r="J100" s="541" t="s">
        <v>327</v>
      </c>
      <c r="K100" s="548">
        <v>1</v>
      </c>
      <c r="L100" s="549">
        <v>1</v>
      </c>
      <c r="M100" s="545" t="s">
        <v>33</v>
      </c>
      <c r="N100" s="445">
        <v>1</v>
      </c>
      <c r="O100" s="443">
        <v>1</v>
      </c>
      <c r="P100" s="447">
        <f t="shared" si="15"/>
        <v>1</v>
      </c>
      <c r="Q100" s="431" t="s">
        <v>45</v>
      </c>
      <c r="R100" s="309">
        <v>1</v>
      </c>
      <c r="S100" s="477">
        <f t="shared" si="16"/>
        <v>1</v>
      </c>
      <c r="T100" s="465">
        <v>1</v>
      </c>
      <c r="U100" s="465"/>
      <c r="V100" s="465"/>
      <c r="W100" s="465"/>
      <c r="X100" s="478">
        <f t="shared" si="14"/>
        <v>1</v>
      </c>
      <c r="Y100" s="432"/>
      <c r="Z100" s="464">
        <f t="shared" si="17"/>
        <v>1</v>
      </c>
      <c r="AA100" s="465">
        <v>1</v>
      </c>
      <c r="AB100" s="465"/>
      <c r="AC100" s="465"/>
      <c r="AD100" s="465"/>
      <c r="AE100" s="466">
        <f t="shared" si="18"/>
        <v>1</v>
      </c>
      <c r="AF100" s="426" t="s">
        <v>311</v>
      </c>
      <c r="AG100" s="433" t="str">
        <f>VLOOKUP(A100,'Feature Summary'!$A$7:$U$4104,21,FALSE)</f>
        <v>A/B + 8wks</v>
      </c>
      <c r="AH100" s="310"/>
    </row>
    <row r="101" spans="1:34" ht="60.75" thickBot="1" x14ac:dyDescent="0.3">
      <c r="A101" s="316" t="s">
        <v>584</v>
      </c>
      <c r="B101" s="533" t="s">
        <v>585</v>
      </c>
      <c r="C101" s="308" t="s">
        <v>305</v>
      </c>
      <c r="D101" s="536" t="s">
        <v>388</v>
      </c>
      <c r="E101" s="308"/>
      <c r="F101" s="533" t="s">
        <v>586</v>
      </c>
      <c r="G101" s="231" t="str">
        <f>VLOOKUP(A101,'Feature Summary'!$A$7:$C$4104,3,FALSE)</f>
        <v>P1</v>
      </c>
      <c r="H101" s="540" t="s">
        <v>587</v>
      </c>
      <c r="I101" s="540" t="s">
        <v>309</v>
      </c>
      <c r="J101" s="541" t="s">
        <v>349</v>
      </c>
      <c r="K101" s="548">
        <v>1</v>
      </c>
      <c r="L101" s="549">
        <v>1</v>
      </c>
      <c r="M101" s="545" t="s">
        <v>33</v>
      </c>
      <c r="N101" s="445">
        <v>1</v>
      </c>
      <c r="O101" s="443">
        <v>1</v>
      </c>
      <c r="P101" s="447">
        <f t="shared" si="15"/>
        <v>1</v>
      </c>
      <c r="Q101" s="431" t="s">
        <v>45</v>
      </c>
      <c r="R101" s="309">
        <v>1</v>
      </c>
      <c r="S101" s="477">
        <f t="shared" si="16"/>
        <v>1</v>
      </c>
      <c r="T101" s="465">
        <v>1</v>
      </c>
      <c r="U101" s="465"/>
      <c r="V101" s="465"/>
      <c r="W101" s="465"/>
      <c r="X101" s="478">
        <f t="shared" si="14"/>
        <v>1</v>
      </c>
      <c r="Y101" s="432"/>
      <c r="Z101" s="464">
        <f t="shared" si="17"/>
        <v>1</v>
      </c>
      <c r="AA101" s="465"/>
      <c r="AB101" s="465"/>
      <c r="AC101" s="465">
        <v>1</v>
      </c>
      <c r="AD101" s="465"/>
      <c r="AE101" s="466">
        <f t="shared" si="18"/>
        <v>0</v>
      </c>
      <c r="AF101" s="651" t="s">
        <v>350</v>
      </c>
      <c r="AG101" s="433" t="str">
        <f>VLOOKUP(A101,'Feature Summary'!$A$7:$U$4104,21,FALSE)</f>
        <v>A/B + 5wks</v>
      </c>
      <c r="AH101" s="310"/>
    </row>
    <row r="102" spans="1:34" ht="60.75" thickBot="1" x14ac:dyDescent="0.3">
      <c r="A102" s="316" t="s">
        <v>588</v>
      </c>
      <c r="B102" s="533" t="s">
        <v>589</v>
      </c>
      <c r="C102" s="308" t="s">
        <v>305</v>
      </c>
      <c r="D102" s="536" t="s">
        <v>388</v>
      </c>
      <c r="E102" s="308"/>
      <c r="F102" s="533" t="s">
        <v>590</v>
      </c>
      <c r="G102" s="231" t="str">
        <f>VLOOKUP(A102,'Feature Summary'!$A$7:$C$4104,3,FALSE)</f>
        <v>P2</v>
      </c>
      <c r="H102" s="540" t="s">
        <v>591</v>
      </c>
      <c r="I102" s="540" t="s">
        <v>309</v>
      </c>
      <c r="J102" s="541" t="s">
        <v>327</v>
      </c>
      <c r="K102" s="548">
        <v>1</v>
      </c>
      <c r="L102" s="549">
        <v>3</v>
      </c>
      <c r="M102" s="545" t="s">
        <v>33</v>
      </c>
      <c r="N102" s="445">
        <v>1</v>
      </c>
      <c r="O102" s="443">
        <v>3</v>
      </c>
      <c r="P102" s="447">
        <f t="shared" si="15"/>
        <v>1</v>
      </c>
      <c r="Q102" s="431" t="s">
        <v>45</v>
      </c>
      <c r="R102" s="309">
        <v>3</v>
      </c>
      <c r="S102" s="477">
        <f t="shared" si="16"/>
        <v>3</v>
      </c>
      <c r="T102" s="465">
        <v>3</v>
      </c>
      <c r="U102" s="465"/>
      <c r="V102" s="465"/>
      <c r="W102" s="465"/>
      <c r="X102" s="478">
        <f t="shared" si="14"/>
        <v>1</v>
      </c>
      <c r="Y102" s="432"/>
      <c r="Z102" s="464">
        <f t="shared" si="17"/>
        <v>3</v>
      </c>
      <c r="AA102" s="465">
        <v>3</v>
      </c>
      <c r="AB102" s="465"/>
      <c r="AC102" s="465"/>
      <c r="AD102" s="465"/>
      <c r="AE102" s="466">
        <f t="shared" si="18"/>
        <v>1</v>
      </c>
      <c r="AF102" s="426"/>
      <c r="AG102" s="433" t="str">
        <f>VLOOKUP(A102,'Feature Summary'!$A$7:$U$4104,21,FALSE)</f>
        <v>A/B + 5wks</v>
      </c>
      <c r="AH102" s="310"/>
    </row>
    <row r="103" spans="1:34" ht="30.75" thickBot="1" x14ac:dyDescent="0.3">
      <c r="A103" s="316" t="s">
        <v>588</v>
      </c>
      <c r="B103" s="533" t="s">
        <v>589</v>
      </c>
      <c r="C103" s="308" t="s">
        <v>305</v>
      </c>
      <c r="D103" s="536" t="s">
        <v>388</v>
      </c>
      <c r="E103" s="308"/>
      <c r="F103" s="533" t="s">
        <v>592</v>
      </c>
      <c r="G103" s="231" t="str">
        <f>VLOOKUP(A103,'Feature Summary'!$A$7:$C$4104,3,FALSE)</f>
        <v>P2</v>
      </c>
      <c r="H103" s="540" t="s">
        <v>593</v>
      </c>
      <c r="I103" s="540" t="s">
        <v>309</v>
      </c>
      <c r="J103" s="541" t="s">
        <v>327</v>
      </c>
      <c r="K103" s="548">
        <v>1</v>
      </c>
      <c r="L103" s="549">
        <v>1</v>
      </c>
      <c r="M103" s="545" t="s">
        <v>33</v>
      </c>
      <c r="N103" s="445">
        <v>1</v>
      </c>
      <c r="O103" s="443">
        <v>1</v>
      </c>
      <c r="P103" s="447">
        <f t="shared" si="15"/>
        <v>1</v>
      </c>
      <c r="Q103" s="431" t="s">
        <v>45</v>
      </c>
      <c r="R103" s="309">
        <v>1</v>
      </c>
      <c r="S103" s="477">
        <f t="shared" si="16"/>
        <v>1</v>
      </c>
      <c r="T103" s="465">
        <v>1</v>
      </c>
      <c r="U103" s="465"/>
      <c r="V103" s="465"/>
      <c r="W103" s="465"/>
      <c r="X103" s="478">
        <f t="shared" si="14"/>
        <v>1</v>
      </c>
      <c r="Y103" s="432"/>
      <c r="Z103" s="464">
        <f t="shared" si="17"/>
        <v>1</v>
      </c>
      <c r="AA103" s="465">
        <v>1</v>
      </c>
      <c r="AB103" s="465"/>
      <c r="AC103" s="465"/>
      <c r="AD103" s="465"/>
      <c r="AE103" s="466">
        <f t="shared" si="18"/>
        <v>1</v>
      </c>
      <c r="AF103" s="426"/>
      <c r="AG103" s="433" t="str">
        <f>VLOOKUP(A103,'Feature Summary'!$A$7:$U$4104,21,FALSE)</f>
        <v>A/B + 5wks</v>
      </c>
      <c r="AH103" s="310"/>
    </row>
    <row r="104" spans="1:34" ht="45.75" thickBot="1" x14ac:dyDescent="0.3">
      <c r="A104" s="316" t="s">
        <v>588</v>
      </c>
      <c r="B104" s="533" t="s">
        <v>589</v>
      </c>
      <c r="C104" s="308" t="s">
        <v>357</v>
      </c>
      <c r="D104" s="536" t="s">
        <v>388</v>
      </c>
      <c r="E104" s="308"/>
      <c r="F104" s="533" t="s">
        <v>594</v>
      </c>
      <c r="G104" s="231" t="str">
        <f>VLOOKUP(A104,'Feature Summary'!$A$7:$C$4104,3,FALSE)</f>
        <v>P2</v>
      </c>
      <c r="H104" s="540" t="s">
        <v>595</v>
      </c>
      <c r="I104" s="540" t="s">
        <v>309</v>
      </c>
      <c r="J104" s="541" t="s">
        <v>327</v>
      </c>
      <c r="K104" s="548">
        <v>1</v>
      </c>
      <c r="L104" s="549">
        <v>2</v>
      </c>
      <c r="M104" s="545" t="s">
        <v>33</v>
      </c>
      <c r="N104" s="445">
        <v>1</v>
      </c>
      <c r="O104" s="443">
        <v>2</v>
      </c>
      <c r="P104" s="447">
        <f t="shared" si="15"/>
        <v>1</v>
      </c>
      <c r="Q104" s="431" t="s">
        <v>45</v>
      </c>
      <c r="R104" s="309">
        <v>2</v>
      </c>
      <c r="S104" s="477">
        <f t="shared" si="16"/>
        <v>2</v>
      </c>
      <c r="T104" s="465">
        <v>2</v>
      </c>
      <c r="U104" s="465"/>
      <c r="V104" s="465"/>
      <c r="W104" s="465"/>
      <c r="X104" s="478">
        <f t="shared" si="14"/>
        <v>1</v>
      </c>
      <c r="Y104" s="432"/>
      <c r="Z104" s="464">
        <f t="shared" si="17"/>
        <v>2</v>
      </c>
      <c r="AA104" s="465">
        <v>2</v>
      </c>
      <c r="AB104" s="465"/>
      <c r="AC104" s="465"/>
      <c r="AD104" s="465"/>
      <c r="AE104" s="466">
        <f t="shared" si="18"/>
        <v>1</v>
      </c>
      <c r="AF104" s="426"/>
      <c r="AG104" s="433" t="str">
        <f>VLOOKUP(A104,'Feature Summary'!$A$7:$U$4104,21,FALSE)</f>
        <v>A/B + 5wks</v>
      </c>
      <c r="AH104" s="310"/>
    </row>
    <row r="105" spans="1:34" ht="45.75" thickBot="1" x14ac:dyDescent="0.3">
      <c r="A105" s="316" t="s">
        <v>596</v>
      </c>
      <c r="B105" s="533" t="s">
        <v>589</v>
      </c>
      <c r="C105" s="308" t="s">
        <v>357</v>
      </c>
      <c r="D105" s="536" t="s">
        <v>388</v>
      </c>
      <c r="E105" s="308"/>
      <c r="F105" s="533" t="s">
        <v>594</v>
      </c>
      <c r="G105" s="231" t="e">
        <f>VLOOKUP(A105,'Feature Summary'!$A$7:$C$4104,3,FALSE)</f>
        <v>#N/A</v>
      </c>
      <c r="H105" s="540" t="s">
        <v>597</v>
      </c>
      <c r="I105" s="540" t="s">
        <v>309</v>
      </c>
      <c r="J105" s="541" t="s">
        <v>598</v>
      </c>
      <c r="K105" s="548">
        <v>1</v>
      </c>
      <c r="L105" s="549">
        <v>1</v>
      </c>
      <c r="M105" s="545" t="s">
        <v>33</v>
      </c>
      <c r="N105" s="445">
        <v>1</v>
      </c>
      <c r="O105" s="443">
        <v>1</v>
      </c>
      <c r="P105" s="447">
        <f t="shared" si="15"/>
        <v>1</v>
      </c>
      <c r="Q105" s="431" t="s">
        <v>45</v>
      </c>
      <c r="R105" s="309">
        <v>1</v>
      </c>
      <c r="S105" s="477">
        <f t="shared" si="16"/>
        <v>1</v>
      </c>
      <c r="T105" s="465">
        <v>1</v>
      </c>
      <c r="U105" s="465"/>
      <c r="V105" s="465"/>
      <c r="W105" s="465"/>
      <c r="X105" s="478">
        <f t="shared" si="14"/>
        <v>1</v>
      </c>
      <c r="Y105" s="432"/>
      <c r="Z105" s="464">
        <f t="shared" si="17"/>
        <v>0</v>
      </c>
      <c r="AA105" s="465"/>
      <c r="AB105" s="465"/>
      <c r="AC105" s="465"/>
      <c r="AD105" s="465"/>
      <c r="AE105" s="466">
        <f t="shared" si="18"/>
        <v>0</v>
      </c>
      <c r="AF105" s="426"/>
      <c r="AG105" s="429" t="str">
        <f>VLOOKUP(LEFT(A105,(FIND(",",A105,1)-1)),'Feature Summary'!$A$7:$U$4035,21,FALSE)</f>
        <v>A/B + 5wks</v>
      </c>
      <c r="AH105" s="310"/>
    </row>
    <row r="106" spans="1:34" ht="60.75" thickBot="1" x14ac:dyDescent="0.3">
      <c r="A106" s="316" t="s">
        <v>599</v>
      </c>
      <c r="B106" s="533" t="s">
        <v>600</v>
      </c>
      <c r="C106" s="308" t="s">
        <v>357</v>
      </c>
      <c r="D106" s="536" t="s">
        <v>388</v>
      </c>
      <c r="E106" s="308"/>
      <c r="F106" s="533" t="s">
        <v>601</v>
      </c>
      <c r="G106" s="231" t="e">
        <f>VLOOKUP(A106,'Feature Summary'!$A$7:$C$4104,3,FALSE)</f>
        <v>#N/A</v>
      </c>
      <c r="H106" s="540" t="s">
        <v>602</v>
      </c>
      <c r="I106" s="540" t="s">
        <v>309</v>
      </c>
      <c r="J106" s="541" t="s">
        <v>327</v>
      </c>
      <c r="K106" s="548">
        <v>1</v>
      </c>
      <c r="L106" s="549">
        <v>1</v>
      </c>
      <c r="M106" s="545" t="s">
        <v>33</v>
      </c>
      <c r="N106" s="445">
        <v>1</v>
      </c>
      <c r="O106" s="443">
        <v>1</v>
      </c>
      <c r="P106" s="447">
        <f t="shared" si="15"/>
        <v>1</v>
      </c>
      <c r="Q106" s="431" t="s">
        <v>45</v>
      </c>
      <c r="R106" s="309">
        <v>1</v>
      </c>
      <c r="S106" s="477">
        <f t="shared" si="16"/>
        <v>1</v>
      </c>
      <c r="T106" s="465">
        <v>1</v>
      </c>
      <c r="U106" s="465"/>
      <c r="V106" s="465"/>
      <c r="W106" s="465"/>
      <c r="X106" s="478">
        <f t="shared" si="14"/>
        <v>1</v>
      </c>
      <c r="Y106" s="432"/>
      <c r="Z106" s="464">
        <f t="shared" si="17"/>
        <v>1</v>
      </c>
      <c r="AA106" s="465"/>
      <c r="AB106" s="465"/>
      <c r="AC106" s="465"/>
      <c r="AD106" s="465">
        <v>1</v>
      </c>
      <c r="AE106" s="466">
        <f t="shared" si="18"/>
        <v>0</v>
      </c>
      <c r="AF106" s="426" t="s">
        <v>603</v>
      </c>
      <c r="AG106" s="429" t="str">
        <f>VLOOKUP(LEFT(A106,(FIND(",",A106,1)-1)),'Feature Summary'!$A$7:$U$4035,21,FALSE)</f>
        <v>A/B + 5wks</v>
      </c>
      <c r="AH106" s="310"/>
    </row>
    <row r="107" spans="1:34" ht="60.75" thickBot="1" x14ac:dyDescent="0.3">
      <c r="A107" s="316" t="s">
        <v>599</v>
      </c>
      <c r="B107" s="533" t="s">
        <v>600</v>
      </c>
      <c r="C107" s="308" t="s">
        <v>357</v>
      </c>
      <c r="D107" s="536" t="s">
        <v>388</v>
      </c>
      <c r="E107" s="308"/>
      <c r="F107" s="533" t="s">
        <v>604</v>
      </c>
      <c r="G107" s="231" t="e">
        <f>VLOOKUP(A107,'Feature Summary'!$A$7:$C$4104,3,FALSE)</f>
        <v>#N/A</v>
      </c>
      <c r="H107" s="540" t="s">
        <v>605</v>
      </c>
      <c r="I107" s="540" t="s">
        <v>309</v>
      </c>
      <c r="J107" s="541" t="s">
        <v>327</v>
      </c>
      <c r="K107" s="548">
        <v>1</v>
      </c>
      <c r="L107" s="549">
        <v>1</v>
      </c>
      <c r="M107" s="545" t="s">
        <v>33</v>
      </c>
      <c r="N107" s="445">
        <v>1</v>
      </c>
      <c r="O107" s="443">
        <v>1</v>
      </c>
      <c r="P107" s="447">
        <f t="shared" si="15"/>
        <v>1</v>
      </c>
      <c r="Q107" s="431" t="s">
        <v>45</v>
      </c>
      <c r="R107" s="309">
        <v>1</v>
      </c>
      <c r="S107" s="477">
        <f t="shared" si="16"/>
        <v>1</v>
      </c>
      <c r="T107" s="465">
        <v>1</v>
      </c>
      <c r="U107" s="465"/>
      <c r="V107" s="465"/>
      <c r="W107" s="465"/>
      <c r="X107" s="478">
        <f t="shared" si="14"/>
        <v>1</v>
      </c>
      <c r="Y107" s="432"/>
      <c r="Z107" s="464">
        <f t="shared" si="17"/>
        <v>1</v>
      </c>
      <c r="AA107" s="465"/>
      <c r="AB107" s="465"/>
      <c r="AC107" s="465"/>
      <c r="AD107" s="465">
        <v>1</v>
      </c>
      <c r="AE107" s="466">
        <f t="shared" si="18"/>
        <v>0</v>
      </c>
      <c r="AF107" s="426" t="s">
        <v>603</v>
      </c>
      <c r="AG107" s="429" t="str">
        <f>VLOOKUP(LEFT(A107,(FIND(",",A107,1)-1)),'Feature Summary'!$A$7:$U$4035,21,FALSE)</f>
        <v>A/B + 5wks</v>
      </c>
      <c r="AH107" s="310"/>
    </row>
    <row r="108" spans="1:34" ht="60.75" thickBot="1" x14ac:dyDescent="0.3">
      <c r="A108" s="316" t="s">
        <v>599</v>
      </c>
      <c r="B108" s="533" t="s">
        <v>600</v>
      </c>
      <c r="C108" s="308" t="s">
        <v>357</v>
      </c>
      <c r="D108" s="536" t="s">
        <v>388</v>
      </c>
      <c r="E108" s="308"/>
      <c r="F108" s="533" t="s">
        <v>606</v>
      </c>
      <c r="G108" s="231" t="e">
        <f>VLOOKUP(A108,'Feature Summary'!$A$7:$C$4104,3,FALSE)</f>
        <v>#N/A</v>
      </c>
      <c r="H108" s="540" t="s">
        <v>607</v>
      </c>
      <c r="I108" s="540" t="s">
        <v>309</v>
      </c>
      <c r="J108" s="541" t="s">
        <v>327</v>
      </c>
      <c r="K108" s="548">
        <v>1</v>
      </c>
      <c r="L108" s="549">
        <v>1</v>
      </c>
      <c r="M108" s="545" t="s">
        <v>33</v>
      </c>
      <c r="N108" s="445">
        <v>1</v>
      </c>
      <c r="O108" s="443">
        <v>1</v>
      </c>
      <c r="P108" s="447">
        <f t="shared" si="15"/>
        <v>1</v>
      </c>
      <c r="Q108" s="431" t="s">
        <v>45</v>
      </c>
      <c r="R108" s="309">
        <v>1</v>
      </c>
      <c r="S108" s="477">
        <f t="shared" si="16"/>
        <v>1</v>
      </c>
      <c r="T108" s="465">
        <v>1</v>
      </c>
      <c r="U108" s="465"/>
      <c r="V108" s="465"/>
      <c r="W108" s="465"/>
      <c r="X108" s="478">
        <f t="shared" si="14"/>
        <v>1</v>
      </c>
      <c r="Y108" s="432"/>
      <c r="Z108" s="464">
        <f t="shared" si="17"/>
        <v>1</v>
      </c>
      <c r="AA108" s="465"/>
      <c r="AB108" s="465"/>
      <c r="AC108" s="465"/>
      <c r="AD108" s="465">
        <v>1</v>
      </c>
      <c r="AE108" s="466">
        <f t="shared" si="18"/>
        <v>0</v>
      </c>
      <c r="AF108" s="308" t="s">
        <v>603</v>
      </c>
      <c r="AG108" s="429" t="str">
        <f>VLOOKUP(LEFT(A108,(FIND(",",A108,1)-1)),'Feature Summary'!$A$7:$U$4035,21,FALSE)</f>
        <v>A/B + 5wks</v>
      </c>
      <c r="AH108" s="310"/>
    </row>
    <row r="109" spans="1:34" ht="60.75" thickBot="1" x14ac:dyDescent="0.3">
      <c r="A109" s="316" t="s">
        <v>599</v>
      </c>
      <c r="B109" s="533" t="s">
        <v>600</v>
      </c>
      <c r="C109" s="308" t="s">
        <v>357</v>
      </c>
      <c r="D109" s="536" t="s">
        <v>388</v>
      </c>
      <c r="E109" s="308"/>
      <c r="F109" s="533" t="s">
        <v>608</v>
      </c>
      <c r="G109" s="231" t="e">
        <f>VLOOKUP(A109,'Feature Summary'!$A$7:$C$4104,3,FALSE)</f>
        <v>#N/A</v>
      </c>
      <c r="H109" s="540" t="s">
        <v>609</v>
      </c>
      <c r="I109" s="540" t="s">
        <v>309</v>
      </c>
      <c r="J109" s="541" t="s">
        <v>327</v>
      </c>
      <c r="K109" s="548">
        <v>1</v>
      </c>
      <c r="L109" s="549">
        <v>1</v>
      </c>
      <c r="M109" s="545" t="s">
        <v>33</v>
      </c>
      <c r="N109" s="445">
        <v>1</v>
      </c>
      <c r="O109" s="443">
        <v>1</v>
      </c>
      <c r="P109" s="447">
        <f t="shared" si="15"/>
        <v>1</v>
      </c>
      <c r="Q109" s="431" t="s">
        <v>45</v>
      </c>
      <c r="R109" s="309">
        <v>1</v>
      </c>
      <c r="S109" s="477">
        <f t="shared" si="16"/>
        <v>1</v>
      </c>
      <c r="T109" s="465">
        <v>1</v>
      </c>
      <c r="U109" s="465"/>
      <c r="V109" s="465"/>
      <c r="W109" s="465"/>
      <c r="X109" s="478">
        <f t="shared" si="14"/>
        <v>1</v>
      </c>
      <c r="Y109" s="432"/>
      <c r="Z109" s="464">
        <f t="shared" si="17"/>
        <v>1</v>
      </c>
      <c r="AA109" s="465"/>
      <c r="AB109" s="465"/>
      <c r="AC109" s="465"/>
      <c r="AD109" s="465">
        <v>1</v>
      </c>
      <c r="AE109" s="466">
        <f t="shared" si="18"/>
        <v>0</v>
      </c>
      <c r="AF109" s="426" t="s">
        <v>610</v>
      </c>
      <c r="AG109" s="429" t="str">
        <f>VLOOKUP(LEFT(A109,(FIND(",",A109,1)-1)),'Feature Summary'!$A$7:$U$4035,21,FALSE)</f>
        <v>A/B + 5wks</v>
      </c>
      <c r="AH109" s="310"/>
    </row>
    <row r="110" spans="1:34" ht="105.75" thickBot="1" x14ac:dyDescent="0.3">
      <c r="A110" s="316" t="s">
        <v>611</v>
      </c>
      <c r="B110" s="533" t="s">
        <v>612</v>
      </c>
      <c r="C110" s="308" t="s">
        <v>305</v>
      </c>
      <c r="D110" s="536" t="s">
        <v>388</v>
      </c>
      <c r="E110" s="308"/>
      <c r="F110" s="533" t="s">
        <v>613</v>
      </c>
      <c r="G110" s="231" t="e">
        <f>VLOOKUP(A110,'Feature Summary'!$A$7:$C$4104,3,FALSE)</f>
        <v>#N/A</v>
      </c>
      <c r="H110" s="540" t="s">
        <v>614</v>
      </c>
      <c r="I110" s="540" t="s">
        <v>309</v>
      </c>
      <c r="J110" s="541" t="s">
        <v>327</v>
      </c>
      <c r="K110" s="548">
        <v>1</v>
      </c>
      <c r="L110" s="549">
        <v>2</v>
      </c>
      <c r="M110" s="545" t="s">
        <v>33</v>
      </c>
      <c r="N110" s="445">
        <v>1</v>
      </c>
      <c r="O110" s="443">
        <v>2</v>
      </c>
      <c r="P110" s="447">
        <f t="shared" si="15"/>
        <v>1</v>
      </c>
      <c r="Q110" s="431" t="s">
        <v>45</v>
      </c>
      <c r="R110" s="309">
        <v>2</v>
      </c>
      <c r="S110" s="477">
        <f t="shared" si="16"/>
        <v>2</v>
      </c>
      <c r="T110" s="465">
        <v>2</v>
      </c>
      <c r="U110" s="465"/>
      <c r="V110" s="465"/>
      <c r="W110" s="465"/>
      <c r="X110" s="478">
        <f t="shared" si="14"/>
        <v>1</v>
      </c>
      <c r="Y110" s="432"/>
      <c r="Z110" s="464">
        <f t="shared" si="17"/>
        <v>1</v>
      </c>
      <c r="AA110" s="465"/>
      <c r="AB110" s="465"/>
      <c r="AC110" s="465"/>
      <c r="AD110" s="465">
        <v>1</v>
      </c>
      <c r="AE110" s="466">
        <f t="shared" si="18"/>
        <v>0</v>
      </c>
      <c r="AF110" s="651" t="s">
        <v>615</v>
      </c>
      <c r="AG110" s="429" t="str">
        <f>VLOOKUP(LEFT(A110,(FIND(",",A110,1)-1)),'Feature Summary'!$A$7:$U$4035,21,FALSE)</f>
        <v>A/B + 5wks</v>
      </c>
      <c r="AH110" s="310"/>
    </row>
    <row r="111" spans="1:34" ht="60.75" thickBot="1" x14ac:dyDescent="0.3">
      <c r="A111" s="316" t="s">
        <v>616</v>
      </c>
      <c r="B111" s="533" t="s">
        <v>612</v>
      </c>
      <c r="C111" s="308" t="s">
        <v>366</v>
      </c>
      <c r="D111" s="536" t="s">
        <v>388</v>
      </c>
      <c r="E111" s="308"/>
      <c r="F111" s="533" t="s">
        <v>617</v>
      </c>
      <c r="G111" s="231" t="e">
        <f>VLOOKUP(A111,'Feature Summary'!$A$7:$C$4104,3,FALSE)</f>
        <v>#N/A</v>
      </c>
      <c r="H111" s="540" t="s">
        <v>618</v>
      </c>
      <c r="I111" s="540" t="s">
        <v>309</v>
      </c>
      <c r="J111" s="541" t="s">
        <v>327</v>
      </c>
      <c r="K111" s="548">
        <v>1</v>
      </c>
      <c r="L111" s="549">
        <v>1</v>
      </c>
      <c r="M111" s="545" t="s">
        <v>33</v>
      </c>
      <c r="N111" s="445">
        <v>1</v>
      </c>
      <c r="O111" s="443">
        <v>1</v>
      </c>
      <c r="P111" s="447">
        <f t="shared" si="15"/>
        <v>1</v>
      </c>
      <c r="Q111" s="431" t="s">
        <v>46</v>
      </c>
      <c r="R111" s="309">
        <v>1</v>
      </c>
      <c r="S111" s="477">
        <f t="shared" si="16"/>
        <v>1</v>
      </c>
      <c r="T111" s="465">
        <v>1</v>
      </c>
      <c r="U111" s="465"/>
      <c r="V111" s="465"/>
      <c r="W111" s="465"/>
      <c r="X111" s="478">
        <f t="shared" si="14"/>
        <v>1</v>
      </c>
      <c r="Y111" s="432"/>
      <c r="Z111" s="464">
        <f t="shared" si="17"/>
        <v>1</v>
      </c>
      <c r="AA111" s="465">
        <v>1</v>
      </c>
      <c r="AB111" s="465"/>
      <c r="AC111" s="465"/>
      <c r="AD111" s="465"/>
      <c r="AE111" s="466">
        <f t="shared" si="18"/>
        <v>1</v>
      </c>
      <c r="AF111" s="308" t="s">
        <v>311</v>
      </c>
      <c r="AG111" s="429" t="str">
        <f>VLOOKUP(LEFT(A111,(FIND(",",A111,1)-1)),'Feature Summary'!$A$7:$U$4035,21,FALSE)</f>
        <v>A/B + 5wks</v>
      </c>
      <c r="AH111" s="310"/>
    </row>
    <row r="112" spans="1:34" ht="105.75" thickBot="1" x14ac:dyDescent="0.3">
      <c r="A112" s="316" t="s">
        <v>619</v>
      </c>
      <c r="B112" s="533" t="s">
        <v>612</v>
      </c>
      <c r="C112" s="308" t="s">
        <v>366</v>
      </c>
      <c r="D112" s="536" t="s">
        <v>388</v>
      </c>
      <c r="E112" s="308"/>
      <c r="F112" s="533" t="s">
        <v>620</v>
      </c>
      <c r="G112" s="231" t="e">
        <f>VLOOKUP(A112,'Feature Summary'!$A$7:$C$4104,3,FALSE)</f>
        <v>#N/A</v>
      </c>
      <c r="H112" s="540" t="s">
        <v>621</v>
      </c>
      <c r="I112" s="540" t="s">
        <v>309</v>
      </c>
      <c r="J112" s="541" t="s">
        <v>371</v>
      </c>
      <c r="K112" s="548">
        <v>1</v>
      </c>
      <c r="L112" s="549">
        <v>1</v>
      </c>
      <c r="M112" s="545" t="s">
        <v>33</v>
      </c>
      <c r="N112" s="445">
        <v>1</v>
      </c>
      <c r="O112" s="443">
        <v>1</v>
      </c>
      <c r="P112" s="447">
        <f t="shared" si="15"/>
        <v>1</v>
      </c>
      <c r="Q112" s="431" t="s">
        <v>45</v>
      </c>
      <c r="R112" s="309">
        <v>1</v>
      </c>
      <c r="S112" s="477">
        <f t="shared" si="16"/>
        <v>1</v>
      </c>
      <c r="T112" s="465">
        <v>1</v>
      </c>
      <c r="U112" s="465"/>
      <c r="V112" s="465"/>
      <c r="W112" s="465"/>
      <c r="X112" s="478">
        <f t="shared" si="14"/>
        <v>1</v>
      </c>
      <c r="Y112" s="432"/>
      <c r="Z112" s="464">
        <f t="shared" si="17"/>
        <v>1</v>
      </c>
      <c r="AA112" s="465">
        <v>1</v>
      </c>
      <c r="AB112" s="465"/>
      <c r="AC112" s="465" t="s">
        <v>622</v>
      </c>
      <c r="AD112" s="465"/>
      <c r="AE112" s="466">
        <f t="shared" si="18"/>
        <v>1</v>
      </c>
      <c r="AF112" s="308" t="s">
        <v>311</v>
      </c>
      <c r="AG112" s="429" t="str">
        <f>VLOOKUP(LEFT(A112,(FIND(",",A112,1)-1)),'Feature Summary'!$A$7:$U$4035,21,FALSE)</f>
        <v>A/B + 5wks</v>
      </c>
      <c r="AH112" s="310"/>
    </row>
    <row r="113" spans="1:34" ht="105.75" thickBot="1" x14ac:dyDescent="0.3">
      <c r="A113" s="316" t="s">
        <v>619</v>
      </c>
      <c r="B113" s="533" t="s">
        <v>612</v>
      </c>
      <c r="C113" s="308" t="s">
        <v>366</v>
      </c>
      <c r="D113" s="536" t="s">
        <v>388</v>
      </c>
      <c r="E113" s="308"/>
      <c r="F113" s="533" t="s">
        <v>623</v>
      </c>
      <c r="G113" s="231" t="e">
        <f>VLOOKUP(A113,'Feature Summary'!$A$7:$C$4104,3,FALSE)</f>
        <v>#N/A</v>
      </c>
      <c r="H113" s="540" t="s">
        <v>624</v>
      </c>
      <c r="I113" s="540" t="s">
        <v>309</v>
      </c>
      <c r="J113" s="541" t="s">
        <v>376</v>
      </c>
      <c r="K113" s="548">
        <v>1</v>
      </c>
      <c r="L113" s="549">
        <v>1</v>
      </c>
      <c r="M113" s="545" t="s">
        <v>33</v>
      </c>
      <c r="N113" s="445">
        <v>1</v>
      </c>
      <c r="O113" s="443">
        <v>1</v>
      </c>
      <c r="P113" s="447">
        <f t="shared" si="15"/>
        <v>1</v>
      </c>
      <c r="Q113" s="431" t="s">
        <v>45</v>
      </c>
      <c r="R113" s="309">
        <v>1</v>
      </c>
      <c r="S113" s="477">
        <f t="shared" si="16"/>
        <v>1</v>
      </c>
      <c r="T113" s="465">
        <v>1</v>
      </c>
      <c r="U113" s="465"/>
      <c r="V113" s="465"/>
      <c r="W113" s="465"/>
      <c r="X113" s="478">
        <f t="shared" si="14"/>
        <v>1</v>
      </c>
      <c r="Y113" s="432"/>
      <c r="Z113" s="464">
        <f t="shared" si="17"/>
        <v>1</v>
      </c>
      <c r="AA113" s="465">
        <v>1</v>
      </c>
      <c r="AB113" s="465"/>
      <c r="AC113" s="465" t="s">
        <v>622</v>
      </c>
      <c r="AD113" s="465"/>
      <c r="AE113" s="466">
        <f t="shared" si="18"/>
        <v>1</v>
      </c>
      <c r="AF113" s="308" t="s">
        <v>311</v>
      </c>
      <c r="AG113" s="429" t="str">
        <f>VLOOKUP(LEFT(A113,(FIND(",",A113,1)-1)),'Feature Summary'!$A$7:$U$4035,21,FALSE)</f>
        <v>A/B + 5wks</v>
      </c>
      <c r="AH113" s="310"/>
    </row>
    <row r="114" spans="1:34" ht="60.75" thickBot="1" x14ac:dyDescent="0.3">
      <c r="A114" s="316" t="s">
        <v>625</v>
      </c>
      <c r="B114" s="533" t="s">
        <v>612</v>
      </c>
      <c r="C114" s="308" t="s">
        <v>341</v>
      </c>
      <c r="D114" s="536" t="s">
        <v>388</v>
      </c>
      <c r="E114" s="308"/>
      <c r="F114" s="533" t="s">
        <v>626</v>
      </c>
      <c r="G114" s="231" t="e">
        <f>VLOOKUP(A114,'Feature Summary'!$A$7:$C$4104,3,FALSE)</f>
        <v>#N/A</v>
      </c>
      <c r="H114" s="540" t="s">
        <v>627</v>
      </c>
      <c r="I114" s="540" t="s">
        <v>309</v>
      </c>
      <c r="J114" s="541" t="s">
        <v>327</v>
      </c>
      <c r="K114" s="548">
        <v>1</v>
      </c>
      <c r="L114" s="549">
        <v>1</v>
      </c>
      <c r="M114" s="545" t="s">
        <v>33</v>
      </c>
      <c r="N114" s="445">
        <v>1</v>
      </c>
      <c r="O114" s="443">
        <v>1</v>
      </c>
      <c r="P114" s="447">
        <f t="shared" si="15"/>
        <v>1</v>
      </c>
      <c r="Q114" s="431" t="s">
        <v>45</v>
      </c>
      <c r="R114" s="309">
        <v>1</v>
      </c>
      <c r="S114" s="477">
        <f t="shared" si="16"/>
        <v>1</v>
      </c>
      <c r="T114" s="465">
        <v>1</v>
      </c>
      <c r="U114" s="465"/>
      <c r="V114" s="465"/>
      <c r="W114" s="465"/>
      <c r="X114" s="478">
        <f t="shared" si="14"/>
        <v>1</v>
      </c>
      <c r="Y114" s="432"/>
      <c r="Z114" s="464">
        <f t="shared" si="17"/>
        <v>1</v>
      </c>
      <c r="AA114" s="465">
        <v>1</v>
      </c>
      <c r="AB114" s="465"/>
      <c r="AC114" s="465"/>
      <c r="AD114" s="465"/>
      <c r="AE114" s="466">
        <f t="shared" si="18"/>
        <v>1</v>
      </c>
      <c r="AF114" s="651" t="s">
        <v>628</v>
      </c>
      <c r="AG114" s="429" t="str">
        <f>VLOOKUP(LEFT(A114,(FIND(",",A114,1)-1)),'Feature Summary'!$A$7:$U$4035,21,FALSE)</f>
        <v>A/B + 5wks</v>
      </c>
      <c r="AH114" s="310"/>
    </row>
    <row r="115" spans="1:34" ht="60.75" thickBot="1" x14ac:dyDescent="0.3">
      <c r="A115" s="316"/>
      <c r="B115" s="533"/>
      <c r="C115" s="308" t="s">
        <v>305</v>
      </c>
      <c r="D115" s="536" t="s">
        <v>388</v>
      </c>
      <c r="E115" s="308"/>
      <c r="F115" s="533" t="s">
        <v>629</v>
      </c>
      <c r="G115" s="231" t="e">
        <f>VLOOKUP(A115,'Feature Summary'!$A$7:$C$4104,3,FALSE)</f>
        <v>#N/A</v>
      </c>
      <c r="H115" s="540" t="s">
        <v>630</v>
      </c>
      <c r="I115" s="540" t="s">
        <v>309</v>
      </c>
      <c r="J115" s="541" t="s">
        <v>327</v>
      </c>
      <c r="K115" s="548">
        <v>1</v>
      </c>
      <c r="L115" s="549">
        <v>1</v>
      </c>
      <c r="M115" s="545" t="s">
        <v>33</v>
      </c>
      <c r="N115" s="445">
        <v>1</v>
      </c>
      <c r="O115" s="443">
        <v>1</v>
      </c>
      <c r="P115" s="447">
        <f t="shared" si="15"/>
        <v>1</v>
      </c>
      <c r="Q115" s="431" t="s">
        <v>45</v>
      </c>
      <c r="R115" s="309">
        <v>1</v>
      </c>
      <c r="S115" s="477">
        <f t="shared" si="16"/>
        <v>1</v>
      </c>
      <c r="T115" s="465">
        <v>1</v>
      </c>
      <c r="U115" s="465"/>
      <c r="V115" s="465"/>
      <c r="W115" s="465"/>
      <c r="X115" s="478">
        <f t="shared" si="14"/>
        <v>1</v>
      </c>
      <c r="Y115" s="432"/>
      <c r="Z115" s="464">
        <f t="shared" si="17"/>
        <v>1</v>
      </c>
      <c r="AA115" s="465">
        <v>1</v>
      </c>
      <c r="AB115" s="465"/>
      <c r="AC115" s="465"/>
      <c r="AD115" s="465"/>
      <c r="AE115" s="466">
        <f t="shared" si="18"/>
        <v>1</v>
      </c>
      <c r="AF115" s="426" t="s">
        <v>311</v>
      </c>
      <c r="AG115" s="429" t="e">
        <f>VLOOKUP(LEFT(A115,(FIND(",",A115,1)-1)),'Feature Summary'!$A$7:$U$4035,21,FALSE)</f>
        <v>#VALUE!</v>
      </c>
      <c r="AH115" s="310"/>
    </row>
    <row r="116" spans="1:34" ht="60.75" thickBot="1" x14ac:dyDescent="0.3">
      <c r="A116" s="316"/>
      <c r="B116" s="533"/>
      <c r="C116" s="308" t="s">
        <v>305</v>
      </c>
      <c r="D116" s="536" t="s">
        <v>388</v>
      </c>
      <c r="E116" s="308"/>
      <c r="F116" s="533" t="s">
        <v>629</v>
      </c>
      <c r="G116" s="231" t="e">
        <f>VLOOKUP(A116,'Feature Summary'!$A$7:$C$4104,3,FALSE)</f>
        <v>#N/A</v>
      </c>
      <c r="H116" s="540" t="s">
        <v>631</v>
      </c>
      <c r="I116" s="540" t="s">
        <v>309</v>
      </c>
      <c r="J116" s="541" t="s">
        <v>632</v>
      </c>
      <c r="K116" s="548">
        <v>1</v>
      </c>
      <c r="L116" s="549">
        <v>1</v>
      </c>
      <c r="M116" s="545" t="s">
        <v>33</v>
      </c>
      <c r="N116" s="445">
        <v>1</v>
      </c>
      <c r="O116" s="443">
        <v>1</v>
      </c>
      <c r="P116" s="447">
        <f t="shared" si="15"/>
        <v>1</v>
      </c>
      <c r="Q116" s="431" t="s">
        <v>45</v>
      </c>
      <c r="R116" s="309">
        <v>1</v>
      </c>
      <c r="S116" s="477">
        <f t="shared" si="16"/>
        <v>1</v>
      </c>
      <c r="T116" s="465">
        <v>1</v>
      </c>
      <c r="U116" s="465"/>
      <c r="V116" s="465"/>
      <c r="W116" s="465"/>
      <c r="X116" s="478">
        <f t="shared" si="14"/>
        <v>1</v>
      </c>
      <c r="Y116" s="432"/>
      <c r="Z116" s="464">
        <f t="shared" si="17"/>
        <v>1</v>
      </c>
      <c r="AA116" s="465">
        <v>1</v>
      </c>
      <c r="AB116" s="465"/>
      <c r="AC116" s="465"/>
      <c r="AD116" s="465"/>
      <c r="AE116" s="466">
        <f t="shared" si="18"/>
        <v>1</v>
      </c>
      <c r="AF116" s="426" t="s">
        <v>311</v>
      </c>
      <c r="AG116" s="429" t="e">
        <f>VLOOKUP(LEFT(A116,(FIND(",",A116,1)-1)),'Feature Summary'!$A$7:$U$4035,21,FALSE)</f>
        <v>#VALUE!</v>
      </c>
      <c r="AH116" s="310"/>
    </row>
    <row r="117" spans="1:34" ht="60.75" thickBot="1" x14ac:dyDescent="0.3">
      <c r="A117" s="316"/>
      <c r="B117" s="533"/>
      <c r="C117" s="308" t="s">
        <v>341</v>
      </c>
      <c r="D117" s="536" t="s">
        <v>388</v>
      </c>
      <c r="E117" s="308"/>
      <c r="F117" s="533" t="s">
        <v>633</v>
      </c>
      <c r="G117" s="231" t="e">
        <f>VLOOKUP(A117,'Feature Summary'!$A$7:$C$4104,3,FALSE)</f>
        <v>#N/A</v>
      </c>
      <c r="H117" s="540" t="s">
        <v>634</v>
      </c>
      <c r="I117" s="540" t="s">
        <v>309</v>
      </c>
      <c r="J117" s="541" t="s">
        <v>327</v>
      </c>
      <c r="K117" s="548">
        <v>1</v>
      </c>
      <c r="L117" s="549">
        <v>2</v>
      </c>
      <c r="M117" s="545" t="s">
        <v>33</v>
      </c>
      <c r="N117" s="445">
        <v>1</v>
      </c>
      <c r="O117" s="443">
        <v>2</v>
      </c>
      <c r="P117" s="447">
        <f t="shared" si="15"/>
        <v>1</v>
      </c>
      <c r="Q117" s="431" t="s">
        <v>45</v>
      </c>
      <c r="R117" s="309">
        <v>2</v>
      </c>
      <c r="S117" s="477">
        <f t="shared" si="16"/>
        <v>2</v>
      </c>
      <c r="T117" s="465">
        <v>2</v>
      </c>
      <c r="U117" s="465"/>
      <c r="V117" s="465"/>
      <c r="W117" s="465"/>
      <c r="X117" s="478">
        <f t="shared" si="14"/>
        <v>1</v>
      </c>
      <c r="Y117" s="432"/>
      <c r="Z117" s="464">
        <f t="shared" si="17"/>
        <v>2</v>
      </c>
      <c r="AA117" s="465">
        <v>2</v>
      </c>
      <c r="AB117" s="465"/>
      <c r="AC117" s="465"/>
      <c r="AD117" s="465"/>
      <c r="AE117" s="466">
        <f t="shared" si="18"/>
        <v>1</v>
      </c>
      <c r="AF117" s="426" t="s">
        <v>311</v>
      </c>
      <c r="AG117" s="429" t="e">
        <f>VLOOKUP(LEFT(A117,(FIND(",",A117,1)-1)),'Feature Summary'!$A$7:$U$4035,21,FALSE)</f>
        <v>#VALUE!</v>
      </c>
      <c r="AH117" s="310"/>
    </row>
    <row r="118" spans="1:34" ht="45.75" thickBot="1" x14ac:dyDescent="0.3">
      <c r="A118" s="564" t="s">
        <v>577</v>
      </c>
      <c r="B118" s="533" t="s">
        <v>578</v>
      </c>
      <c r="C118" s="308" t="s">
        <v>341</v>
      </c>
      <c r="D118" s="536" t="s">
        <v>388</v>
      </c>
      <c r="E118" s="308"/>
      <c r="F118" s="533" t="s">
        <v>635</v>
      </c>
      <c r="G118" s="231" t="str">
        <f>VLOOKUP(A118,'Feature Summary'!$A$7:$C$4104,3,FALSE)</f>
        <v>P1</v>
      </c>
      <c r="H118" s="540" t="s">
        <v>636</v>
      </c>
      <c r="I118" s="540" t="s">
        <v>309</v>
      </c>
      <c r="J118" s="541" t="s">
        <v>637</v>
      </c>
      <c r="K118" s="548">
        <v>1</v>
      </c>
      <c r="L118" s="549">
        <v>2</v>
      </c>
      <c r="M118" s="545" t="s">
        <v>33</v>
      </c>
      <c r="N118" s="445">
        <v>1</v>
      </c>
      <c r="O118" s="443">
        <v>2</v>
      </c>
      <c r="P118" s="447">
        <f t="shared" si="15"/>
        <v>1</v>
      </c>
      <c r="Q118" s="431" t="s">
        <v>45</v>
      </c>
      <c r="R118" s="309">
        <v>2</v>
      </c>
      <c r="S118" s="477">
        <f t="shared" si="16"/>
        <v>2</v>
      </c>
      <c r="T118" s="465">
        <v>2</v>
      </c>
      <c r="U118" s="465"/>
      <c r="V118" s="465"/>
      <c r="W118" s="465"/>
      <c r="X118" s="478">
        <f t="shared" si="14"/>
        <v>1</v>
      </c>
      <c r="Y118" s="432"/>
      <c r="Z118" s="464">
        <f t="shared" si="17"/>
        <v>2</v>
      </c>
      <c r="AA118" s="465"/>
      <c r="AB118" s="465"/>
      <c r="AC118" s="465">
        <v>2</v>
      </c>
      <c r="AD118" s="465"/>
      <c r="AE118" s="466">
        <f t="shared" si="18"/>
        <v>0</v>
      </c>
      <c r="AF118" s="426" t="s">
        <v>530</v>
      </c>
      <c r="AG118" s="433" t="str">
        <f>VLOOKUP(A118,'Feature Summary'!$A$7:$U$4104,21,FALSE)</f>
        <v>A/B + 8wks</v>
      </c>
      <c r="AH118" s="310"/>
    </row>
    <row r="119" spans="1:34" ht="30.75" thickBot="1" x14ac:dyDescent="0.3">
      <c r="A119" s="316" t="s">
        <v>395</v>
      </c>
      <c r="B119" s="533" t="s">
        <v>396</v>
      </c>
      <c r="C119" s="308" t="s">
        <v>357</v>
      </c>
      <c r="D119" s="536" t="s">
        <v>388</v>
      </c>
      <c r="E119" s="308"/>
      <c r="F119" s="533" t="s">
        <v>638</v>
      </c>
      <c r="G119" s="231" t="str">
        <f>VLOOKUP(A119,'Feature Summary'!$A$7:$C$4104,3,FALSE)</f>
        <v>P2</v>
      </c>
      <c r="H119" s="540" t="s">
        <v>639</v>
      </c>
      <c r="I119" s="540" t="s">
        <v>309</v>
      </c>
      <c r="J119" s="541" t="s">
        <v>327</v>
      </c>
      <c r="K119" s="548">
        <v>1</v>
      </c>
      <c r="L119" s="549">
        <v>1</v>
      </c>
      <c r="M119" s="545" t="s">
        <v>33</v>
      </c>
      <c r="N119" s="445">
        <v>1</v>
      </c>
      <c r="O119" s="443">
        <v>1</v>
      </c>
      <c r="P119" s="447">
        <f t="shared" si="15"/>
        <v>1</v>
      </c>
      <c r="Q119" s="431" t="s">
        <v>45</v>
      </c>
      <c r="R119" s="309">
        <v>1</v>
      </c>
      <c r="S119" s="477">
        <f t="shared" si="16"/>
        <v>1</v>
      </c>
      <c r="T119" s="465">
        <v>1</v>
      </c>
      <c r="U119" s="465"/>
      <c r="V119" s="465"/>
      <c r="W119" s="465"/>
      <c r="X119" s="478">
        <f t="shared" si="14"/>
        <v>1</v>
      </c>
      <c r="Y119" s="432"/>
      <c r="Z119" s="464">
        <f t="shared" si="17"/>
        <v>1</v>
      </c>
      <c r="AA119" s="465">
        <v>1</v>
      </c>
      <c r="AB119" s="465"/>
      <c r="AC119" s="465"/>
      <c r="AD119" s="465"/>
      <c r="AE119" s="466">
        <f t="shared" si="18"/>
        <v>1</v>
      </c>
      <c r="AF119" s="426" t="s">
        <v>311</v>
      </c>
      <c r="AG119" s="433" t="str">
        <f>VLOOKUP(A119,'Feature Summary'!$A$7:$U$4104,21,FALSE)</f>
        <v>A/B + 8wks</v>
      </c>
      <c r="AH119" s="310"/>
    </row>
    <row r="120" spans="1:34" ht="30.75" thickBot="1" x14ac:dyDescent="0.3">
      <c r="A120" s="316" t="s">
        <v>395</v>
      </c>
      <c r="B120" s="533" t="s">
        <v>396</v>
      </c>
      <c r="C120" s="308" t="s">
        <v>357</v>
      </c>
      <c r="D120" s="536" t="s">
        <v>388</v>
      </c>
      <c r="E120" s="308"/>
      <c r="F120" s="533" t="s">
        <v>640</v>
      </c>
      <c r="G120" s="231" t="str">
        <f>VLOOKUP(A120,'Feature Summary'!$A$7:$C$4104,3,FALSE)</f>
        <v>P2</v>
      </c>
      <c r="H120" s="540" t="s">
        <v>641</v>
      </c>
      <c r="I120" s="540" t="s">
        <v>309</v>
      </c>
      <c r="J120" s="541" t="s">
        <v>327</v>
      </c>
      <c r="K120" s="548">
        <v>1</v>
      </c>
      <c r="L120" s="549">
        <v>1</v>
      </c>
      <c r="M120" s="545" t="s">
        <v>33</v>
      </c>
      <c r="N120" s="445">
        <v>1</v>
      </c>
      <c r="O120" s="443">
        <v>1</v>
      </c>
      <c r="P120" s="447">
        <f t="shared" si="15"/>
        <v>1</v>
      </c>
      <c r="Q120" s="431" t="s">
        <v>45</v>
      </c>
      <c r="R120" s="309">
        <v>1</v>
      </c>
      <c r="S120" s="477">
        <f t="shared" si="16"/>
        <v>1</v>
      </c>
      <c r="T120" s="465">
        <v>1</v>
      </c>
      <c r="U120" s="465"/>
      <c r="V120" s="465"/>
      <c r="W120" s="465"/>
      <c r="X120" s="478">
        <f t="shared" si="14"/>
        <v>1</v>
      </c>
      <c r="Y120" s="432"/>
      <c r="Z120" s="464">
        <f t="shared" si="17"/>
        <v>1</v>
      </c>
      <c r="AA120" s="465"/>
      <c r="AB120" s="465"/>
      <c r="AC120" s="465">
        <v>1</v>
      </c>
      <c r="AD120" s="465"/>
      <c r="AE120" s="466">
        <f t="shared" si="18"/>
        <v>0</v>
      </c>
      <c r="AF120" s="426" t="s">
        <v>642</v>
      </c>
      <c r="AG120" s="433" t="str">
        <f>VLOOKUP(A120,'Feature Summary'!$A$7:$U$4104,21,FALSE)</f>
        <v>A/B + 8wks</v>
      </c>
      <c r="AH120" s="310"/>
    </row>
    <row r="121" spans="1:34" ht="30.75" thickBot="1" x14ac:dyDescent="0.3">
      <c r="A121" s="316" t="s">
        <v>395</v>
      </c>
      <c r="B121" s="533" t="s">
        <v>396</v>
      </c>
      <c r="C121" s="308" t="s">
        <v>357</v>
      </c>
      <c r="D121" s="536" t="s">
        <v>388</v>
      </c>
      <c r="E121" s="308"/>
      <c r="F121" s="533" t="s">
        <v>643</v>
      </c>
      <c r="G121" s="231" t="str">
        <f>VLOOKUP(A121,'Feature Summary'!$A$7:$C$4104,3,FALSE)</f>
        <v>P2</v>
      </c>
      <c r="H121" s="540" t="s">
        <v>644</v>
      </c>
      <c r="I121" s="540" t="s">
        <v>309</v>
      </c>
      <c r="J121" s="541" t="s">
        <v>327</v>
      </c>
      <c r="K121" s="548">
        <v>1</v>
      </c>
      <c r="L121" s="549">
        <v>1</v>
      </c>
      <c r="M121" s="545" t="s">
        <v>33</v>
      </c>
      <c r="N121" s="445">
        <v>1</v>
      </c>
      <c r="O121" s="443">
        <v>1</v>
      </c>
      <c r="P121" s="447">
        <f t="shared" si="15"/>
        <v>1</v>
      </c>
      <c r="Q121" s="431" t="s">
        <v>45</v>
      </c>
      <c r="R121" s="309">
        <v>1</v>
      </c>
      <c r="S121" s="477">
        <f t="shared" si="16"/>
        <v>1</v>
      </c>
      <c r="T121" s="465">
        <v>1</v>
      </c>
      <c r="U121" s="465"/>
      <c r="V121" s="465"/>
      <c r="W121" s="465"/>
      <c r="X121" s="478">
        <f t="shared" si="14"/>
        <v>1</v>
      </c>
      <c r="Y121" s="432"/>
      <c r="Z121" s="464">
        <f t="shared" si="17"/>
        <v>1</v>
      </c>
      <c r="AA121" s="465">
        <v>1</v>
      </c>
      <c r="AB121" s="465"/>
      <c r="AC121" s="465"/>
      <c r="AD121" s="465"/>
      <c r="AE121" s="466">
        <f t="shared" si="18"/>
        <v>1</v>
      </c>
      <c r="AF121" s="426" t="s">
        <v>311</v>
      </c>
      <c r="AG121" s="433" t="str">
        <f>VLOOKUP(A121,'Feature Summary'!$A$7:$U$4104,21,FALSE)</f>
        <v>A/B + 8wks</v>
      </c>
      <c r="AH121" s="310"/>
    </row>
    <row r="122" spans="1:34" ht="90.75" thickBot="1" x14ac:dyDescent="0.3">
      <c r="A122" s="316" t="s">
        <v>577</v>
      </c>
      <c r="B122" s="533" t="s">
        <v>578</v>
      </c>
      <c r="C122" s="308" t="s">
        <v>406</v>
      </c>
      <c r="D122" s="536" t="s">
        <v>388</v>
      </c>
      <c r="E122" s="308"/>
      <c r="F122" s="533" t="s">
        <v>645</v>
      </c>
      <c r="G122" s="231" t="str">
        <f>VLOOKUP(A122,'Feature Summary'!$A$7:$C$4104,3,FALSE)</f>
        <v>P1</v>
      </c>
      <c r="H122" s="540" t="s">
        <v>646</v>
      </c>
      <c r="I122" s="540" t="s">
        <v>309</v>
      </c>
      <c r="J122" s="541" t="s">
        <v>327</v>
      </c>
      <c r="K122" s="548">
        <v>6</v>
      </c>
      <c r="L122" s="549">
        <v>4</v>
      </c>
      <c r="M122" s="545" t="s">
        <v>33</v>
      </c>
      <c r="N122" s="445">
        <v>1</v>
      </c>
      <c r="O122" s="443">
        <v>4</v>
      </c>
      <c r="P122" s="447">
        <f t="shared" si="15"/>
        <v>1</v>
      </c>
      <c r="Q122" s="431" t="s">
        <v>45</v>
      </c>
      <c r="R122" s="309">
        <v>4</v>
      </c>
      <c r="S122" s="477">
        <f t="shared" si="16"/>
        <v>4</v>
      </c>
      <c r="T122" s="465">
        <v>4</v>
      </c>
      <c r="U122" s="465"/>
      <c r="V122" s="465"/>
      <c r="W122" s="465"/>
      <c r="X122" s="478">
        <f t="shared" si="14"/>
        <v>1</v>
      </c>
      <c r="Y122" s="432"/>
      <c r="Z122" s="464">
        <f t="shared" si="17"/>
        <v>4</v>
      </c>
      <c r="AA122" s="465">
        <v>4</v>
      </c>
      <c r="AB122" s="465"/>
      <c r="AC122" s="465"/>
      <c r="AD122" s="465"/>
      <c r="AE122" s="466">
        <f t="shared" si="18"/>
        <v>1</v>
      </c>
      <c r="AF122" s="426" t="s">
        <v>647</v>
      </c>
      <c r="AG122" s="433" t="str">
        <f>VLOOKUP(A122,'Feature Summary'!$A$7:$U$4104,21,FALSE)</f>
        <v>A/B + 8wks</v>
      </c>
      <c r="AH122" s="579" t="s">
        <v>648</v>
      </c>
    </row>
    <row r="123" spans="1:34" ht="90.75" thickBot="1" x14ac:dyDescent="0.3">
      <c r="A123" s="316" t="s">
        <v>649</v>
      </c>
      <c r="B123" s="533" t="s">
        <v>578</v>
      </c>
      <c r="C123" s="308" t="s">
        <v>406</v>
      </c>
      <c r="D123" s="536" t="s">
        <v>388</v>
      </c>
      <c r="E123" s="308"/>
      <c r="F123" s="533" t="s">
        <v>650</v>
      </c>
      <c r="G123" s="231" t="e">
        <f>VLOOKUP(A123,'Feature Summary'!$A$7:$C$4104,3,FALSE)</f>
        <v>#N/A</v>
      </c>
      <c r="H123" s="540" t="s">
        <v>651</v>
      </c>
      <c r="I123" s="540" t="s">
        <v>309</v>
      </c>
      <c r="J123" s="541" t="s">
        <v>652</v>
      </c>
      <c r="K123" s="548">
        <v>1</v>
      </c>
      <c r="L123" s="549">
        <v>1</v>
      </c>
      <c r="M123" s="545" t="s">
        <v>33</v>
      </c>
      <c r="N123" s="445">
        <v>1</v>
      </c>
      <c r="O123" s="443">
        <v>1</v>
      </c>
      <c r="P123" s="447">
        <f t="shared" si="15"/>
        <v>1</v>
      </c>
      <c r="Q123" s="431" t="s">
        <v>45</v>
      </c>
      <c r="R123" s="309">
        <v>1</v>
      </c>
      <c r="S123" s="477">
        <f t="shared" si="16"/>
        <v>1</v>
      </c>
      <c r="T123" s="465">
        <v>1</v>
      </c>
      <c r="U123" s="465"/>
      <c r="V123" s="465"/>
      <c r="W123" s="465"/>
      <c r="X123" s="478">
        <f t="shared" si="14"/>
        <v>1</v>
      </c>
      <c r="Y123" s="432"/>
      <c r="Z123" s="464">
        <f t="shared" si="17"/>
        <v>1</v>
      </c>
      <c r="AA123" s="465"/>
      <c r="AB123" s="465"/>
      <c r="AC123" s="465">
        <v>1</v>
      </c>
      <c r="AD123" s="465"/>
      <c r="AE123" s="466">
        <f t="shared" si="18"/>
        <v>0</v>
      </c>
      <c r="AF123" s="426" t="s">
        <v>530</v>
      </c>
      <c r="AG123" s="429" t="str">
        <f>VLOOKUP(LEFT(A123,(FIND(",",A123,1)-1)),'Feature Summary'!$A$7:$U$4035,21,FALSE)</f>
        <v>A/B + 8wks</v>
      </c>
      <c r="AH123" s="310"/>
    </row>
    <row r="124" spans="1:34" ht="75.75" thickBot="1" x14ac:dyDescent="0.3">
      <c r="A124" s="316" t="s">
        <v>649</v>
      </c>
      <c r="B124" s="533" t="s">
        <v>578</v>
      </c>
      <c r="C124" s="308" t="s">
        <v>406</v>
      </c>
      <c r="D124" s="536" t="s">
        <v>388</v>
      </c>
      <c r="E124" s="308"/>
      <c r="F124" s="533" t="s">
        <v>653</v>
      </c>
      <c r="G124" s="231" t="e">
        <f>VLOOKUP(A124,'Feature Summary'!$A$7:$C$4104,3,FALSE)</f>
        <v>#N/A</v>
      </c>
      <c r="H124" s="540" t="s">
        <v>654</v>
      </c>
      <c r="I124" s="540" t="s">
        <v>309</v>
      </c>
      <c r="J124" s="541" t="s">
        <v>655</v>
      </c>
      <c r="K124" s="548">
        <v>1</v>
      </c>
      <c r="L124" s="549">
        <v>1</v>
      </c>
      <c r="M124" s="545" t="s">
        <v>33</v>
      </c>
      <c r="N124" s="445">
        <v>1</v>
      </c>
      <c r="O124" s="443">
        <v>1</v>
      </c>
      <c r="P124" s="447">
        <f t="shared" si="15"/>
        <v>1</v>
      </c>
      <c r="Q124" s="431" t="s">
        <v>45</v>
      </c>
      <c r="R124" s="309">
        <v>1</v>
      </c>
      <c r="S124" s="477">
        <f t="shared" si="16"/>
        <v>1</v>
      </c>
      <c r="T124" s="465">
        <v>1</v>
      </c>
      <c r="U124" s="465"/>
      <c r="V124" s="465"/>
      <c r="W124" s="465"/>
      <c r="X124" s="478">
        <f t="shared" si="14"/>
        <v>1</v>
      </c>
      <c r="Y124" s="432"/>
      <c r="Z124" s="464">
        <f t="shared" si="17"/>
        <v>1</v>
      </c>
      <c r="AA124" s="465"/>
      <c r="AB124" s="465"/>
      <c r="AC124" s="465">
        <v>1</v>
      </c>
      <c r="AD124" s="465"/>
      <c r="AE124" s="466">
        <f t="shared" si="18"/>
        <v>0</v>
      </c>
      <c r="AF124" s="426" t="s">
        <v>530</v>
      </c>
      <c r="AG124" s="429" t="str">
        <f>VLOOKUP(LEFT(A124,(FIND(",",A124,1)-1)),'Feature Summary'!$A$7:$U$4035,21,FALSE)</f>
        <v>A/B + 8wks</v>
      </c>
      <c r="AH124" s="310"/>
    </row>
    <row r="125" spans="1:34" ht="120.75" thickBot="1" x14ac:dyDescent="0.3">
      <c r="A125" s="316" t="s">
        <v>649</v>
      </c>
      <c r="B125" s="533" t="s">
        <v>578</v>
      </c>
      <c r="C125" s="308" t="s">
        <v>406</v>
      </c>
      <c r="D125" s="536" t="s">
        <v>388</v>
      </c>
      <c r="E125" s="308"/>
      <c r="F125" s="533" t="s">
        <v>434</v>
      </c>
      <c r="G125" s="231" t="e">
        <f>VLOOKUP(A125,'Feature Summary'!$A$7:$C$4104,3,FALSE)</f>
        <v>#N/A</v>
      </c>
      <c r="H125" s="540" t="s">
        <v>656</v>
      </c>
      <c r="I125" s="540" t="s">
        <v>309</v>
      </c>
      <c r="J125" s="541" t="s">
        <v>657</v>
      </c>
      <c r="K125" s="548">
        <v>1</v>
      </c>
      <c r="L125" s="549">
        <v>1</v>
      </c>
      <c r="M125" s="545" t="s">
        <v>33</v>
      </c>
      <c r="N125" s="445">
        <v>1</v>
      </c>
      <c r="O125" s="443">
        <v>1</v>
      </c>
      <c r="P125" s="447">
        <f t="shared" si="15"/>
        <v>1</v>
      </c>
      <c r="Q125" s="431" t="s">
        <v>45</v>
      </c>
      <c r="R125" s="309">
        <v>1</v>
      </c>
      <c r="S125" s="477">
        <f t="shared" si="16"/>
        <v>1</v>
      </c>
      <c r="T125" s="465">
        <v>1</v>
      </c>
      <c r="U125" s="465"/>
      <c r="V125" s="465"/>
      <c r="W125" s="465"/>
      <c r="X125" s="478">
        <f t="shared" si="14"/>
        <v>1</v>
      </c>
      <c r="Y125" s="432"/>
      <c r="Z125" s="464">
        <f t="shared" si="17"/>
        <v>1</v>
      </c>
      <c r="AA125" s="465"/>
      <c r="AB125" s="465"/>
      <c r="AC125" s="465">
        <v>1</v>
      </c>
      <c r="AD125" s="465"/>
      <c r="AE125" s="466">
        <f t="shared" si="18"/>
        <v>0</v>
      </c>
      <c r="AF125" s="426" t="s">
        <v>530</v>
      </c>
      <c r="AG125" s="429" t="str">
        <f>VLOOKUP(LEFT(A125,(FIND(",",A125,1)-1)),'Feature Summary'!$A$7:$U$4035,21,FALSE)</f>
        <v>A/B + 8wks</v>
      </c>
      <c r="AH125" s="310"/>
    </row>
    <row r="126" spans="1:34" ht="120.75" thickBot="1" x14ac:dyDescent="0.3">
      <c r="A126" s="316" t="s">
        <v>649</v>
      </c>
      <c r="B126" s="533" t="s">
        <v>578</v>
      </c>
      <c r="C126" s="308" t="s">
        <v>406</v>
      </c>
      <c r="D126" s="536" t="s">
        <v>388</v>
      </c>
      <c r="E126" s="308"/>
      <c r="F126" s="533" t="s">
        <v>438</v>
      </c>
      <c r="G126" s="231" t="e">
        <f>VLOOKUP(A126,'Feature Summary'!$A$7:$C$4104,3,FALSE)</f>
        <v>#N/A</v>
      </c>
      <c r="H126" s="540" t="s">
        <v>658</v>
      </c>
      <c r="I126" s="540" t="s">
        <v>309</v>
      </c>
      <c r="J126" s="541" t="s">
        <v>657</v>
      </c>
      <c r="K126" s="548">
        <v>1</v>
      </c>
      <c r="L126" s="549">
        <v>1</v>
      </c>
      <c r="M126" s="545" t="s">
        <v>33</v>
      </c>
      <c r="N126" s="445">
        <v>1</v>
      </c>
      <c r="O126" s="443">
        <v>1</v>
      </c>
      <c r="P126" s="447">
        <f t="shared" si="15"/>
        <v>1</v>
      </c>
      <c r="Q126" s="431" t="s">
        <v>45</v>
      </c>
      <c r="R126" s="309">
        <v>1</v>
      </c>
      <c r="S126" s="477">
        <f t="shared" si="16"/>
        <v>1</v>
      </c>
      <c r="T126" s="465">
        <v>1</v>
      </c>
      <c r="U126" s="465"/>
      <c r="V126" s="465"/>
      <c r="W126" s="465"/>
      <c r="X126" s="478">
        <f t="shared" si="14"/>
        <v>1</v>
      </c>
      <c r="Y126" s="432"/>
      <c r="Z126" s="464">
        <f t="shared" si="17"/>
        <v>1</v>
      </c>
      <c r="AA126" s="465"/>
      <c r="AB126" s="465"/>
      <c r="AC126" s="465">
        <v>1</v>
      </c>
      <c r="AD126" s="465"/>
      <c r="AE126" s="466">
        <f t="shared" si="18"/>
        <v>0</v>
      </c>
      <c r="AF126" s="426" t="s">
        <v>530</v>
      </c>
      <c r="AG126" s="429" t="str">
        <f>VLOOKUP(LEFT(A126,(FIND(",",A126,1)-1)),'Feature Summary'!$A$7:$U$4035,21,FALSE)</f>
        <v>A/B + 8wks</v>
      </c>
      <c r="AH126" s="310"/>
    </row>
    <row r="127" spans="1:34" ht="60.75" thickBot="1" x14ac:dyDescent="0.3">
      <c r="A127" s="316" t="s">
        <v>649</v>
      </c>
      <c r="B127" s="533" t="s">
        <v>578</v>
      </c>
      <c r="C127" s="308" t="s">
        <v>406</v>
      </c>
      <c r="D127" s="536" t="s">
        <v>388</v>
      </c>
      <c r="E127" s="308"/>
      <c r="F127" s="533" t="s">
        <v>650</v>
      </c>
      <c r="G127" s="231" t="e">
        <f>VLOOKUP(A127,'Feature Summary'!$A$7:$C$4104,3,FALSE)</f>
        <v>#N/A</v>
      </c>
      <c r="H127" s="540" t="s">
        <v>659</v>
      </c>
      <c r="I127" s="540" t="s">
        <v>309</v>
      </c>
      <c r="J127" s="541" t="s">
        <v>660</v>
      </c>
      <c r="K127" s="548">
        <v>1</v>
      </c>
      <c r="L127" s="549">
        <v>1</v>
      </c>
      <c r="M127" s="545" t="s">
        <v>33</v>
      </c>
      <c r="N127" s="445">
        <v>1</v>
      </c>
      <c r="O127" s="443">
        <v>1</v>
      </c>
      <c r="P127" s="447">
        <f t="shared" si="15"/>
        <v>1</v>
      </c>
      <c r="Q127" s="431" t="s">
        <v>45</v>
      </c>
      <c r="R127" s="309">
        <v>1</v>
      </c>
      <c r="S127" s="477">
        <f t="shared" si="16"/>
        <v>1</v>
      </c>
      <c r="T127" s="465">
        <v>1</v>
      </c>
      <c r="U127" s="465"/>
      <c r="V127" s="465"/>
      <c r="W127" s="465"/>
      <c r="X127" s="478">
        <f t="shared" si="14"/>
        <v>1</v>
      </c>
      <c r="Y127" s="432"/>
      <c r="Z127" s="464">
        <f t="shared" si="17"/>
        <v>1</v>
      </c>
      <c r="AA127" s="465"/>
      <c r="AB127" s="465"/>
      <c r="AC127" s="465">
        <v>1</v>
      </c>
      <c r="AD127" s="465"/>
      <c r="AE127" s="466">
        <f t="shared" si="18"/>
        <v>0</v>
      </c>
      <c r="AF127" s="426" t="s">
        <v>530</v>
      </c>
      <c r="AG127" s="429" t="str">
        <f>VLOOKUP(LEFT(A127,(FIND(",",A127,1)-1)),'Feature Summary'!$A$7:$U$4035,21,FALSE)</f>
        <v>A/B + 8wks</v>
      </c>
      <c r="AH127" s="310"/>
    </row>
    <row r="128" spans="1:34" ht="75.75" thickBot="1" x14ac:dyDescent="0.3">
      <c r="A128" s="316" t="s">
        <v>649</v>
      </c>
      <c r="B128" s="533" t="s">
        <v>578</v>
      </c>
      <c r="C128" s="308" t="s">
        <v>406</v>
      </c>
      <c r="D128" s="536" t="s">
        <v>388</v>
      </c>
      <c r="E128" s="308"/>
      <c r="F128" s="533" t="s">
        <v>458</v>
      </c>
      <c r="G128" s="231" t="e">
        <f>VLOOKUP(A128,'Feature Summary'!$A$7:$C$4104,3,FALSE)</f>
        <v>#N/A</v>
      </c>
      <c r="H128" s="540" t="s">
        <v>661</v>
      </c>
      <c r="I128" s="540" t="s">
        <v>309</v>
      </c>
      <c r="J128" s="541" t="s">
        <v>662</v>
      </c>
      <c r="K128" s="548">
        <v>1</v>
      </c>
      <c r="L128" s="549">
        <v>1</v>
      </c>
      <c r="M128" s="545" t="s">
        <v>33</v>
      </c>
      <c r="N128" s="445">
        <v>1</v>
      </c>
      <c r="O128" s="443">
        <v>1</v>
      </c>
      <c r="P128" s="447">
        <f t="shared" si="15"/>
        <v>1</v>
      </c>
      <c r="Q128" s="431" t="s">
        <v>45</v>
      </c>
      <c r="R128" s="309">
        <v>1</v>
      </c>
      <c r="S128" s="477">
        <f t="shared" si="16"/>
        <v>1</v>
      </c>
      <c r="T128" s="465">
        <v>1</v>
      </c>
      <c r="U128" s="465"/>
      <c r="V128" s="465"/>
      <c r="W128" s="465"/>
      <c r="X128" s="478">
        <f t="shared" si="14"/>
        <v>1</v>
      </c>
      <c r="Y128" s="432"/>
      <c r="Z128" s="464">
        <f t="shared" si="17"/>
        <v>1</v>
      </c>
      <c r="AA128" s="465"/>
      <c r="AB128" s="465"/>
      <c r="AC128" s="465">
        <v>1</v>
      </c>
      <c r="AD128" s="465"/>
      <c r="AE128" s="466">
        <f t="shared" si="18"/>
        <v>0</v>
      </c>
      <c r="AF128" s="426" t="s">
        <v>530</v>
      </c>
      <c r="AG128" s="429" t="str">
        <f>VLOOKUP(LEFT(A128,(FIND(",",A128,1)-1)),'Feature Summary'!$A$7:$U$4035,21,FALSE)</f>
        <v>A/B + 8wks</v>
      </c>
      <c r="AH128" s="310"/>
    </row>
    <row r="129" spans="1:34" ht="120.75" thickBot="1" x14ac:dyDescent="0.3">
      <c r="A129" s="316" t="s">
        <v>649</v>
      </c>
      <c r="B129" s="533" t="s">
        <v>578</v>
      </c>
      <c r="C129" s="308" t="s">
        <v>406</v>
      </c>
      <c r="D129" s="536" t="s">
        <v>388</v>
      </c>
      <c r="E129" s="308"/>
      <c r="F129" s="533" t="s">
        <v>653</v>
      </c>
      <c r="G129" s="231" t="e">
        <f>VLOOKUP(A129,'Feature Summary'!$A$7:$C$4104,3,FALSE)</f>
        <v>#N/A</v>
      </c>
      <c r="H129" s="540" t="s">
        <v>663</v>
      </c>
      <c r="I129" s="540" t="s">
        <v>309</v>
      </c>
      <c r="J129" s="541" t="s">
        <v>664</v>
      </c>
      <c r="K129" s="548">
        <v>1</v>
      </c>
      <c r="L129" s="549">
        <v>1</v>
      </c>
      <c r="M129" s="545" t="s">
        <v>33</v>
      </c>
      <c r="N129" s="445">
        <v>1</v>
      </c>
      <c r="O129" s="443">
        <v>1</v>
      </c>
      <c r="P129" s="447">
        <f t="shared" si="15"/>
        <v>1</v>
      </c>
      <c r="Q129" s="431" t="s">
        <v>45</v>
      </c>
      <c r="R129" s="309">
        <v>1</v>
      </c>
      <c r="S129" s="477">
        <f t="shared" si="16"/>
        <v>1</v>
      </c>
      <c r="T129" s="465">
        <v>1</v>
      </c>
      <c r="U129" s="465"/>
      <c r="V129" s="465"/>
      <c r="W129" s="465"/>
      <c r="X129" s="478">
        <f t="shared" si="14"/>
        <v>1</v>
      </c>
      <c r="Y129" s="432"/>
      <c r="Z129" s="464">
        <f t="shared" si="17"/>
        <v>1</v>
      </c>
      <c r="AA129" s="465"/>
      <c r="AB129" s="465"/>
      <c r="AC129" s="465">
        <v>1</v>
      </c>
      <c r="AD129" s="465"/>
      <c r="AE129" s="466">
        <f t="shared" si="18"/>
        <v>0</v>
      </c>
      <c r="AF129" s="426" t="s">
        <v>530</v>
      </c>
      <c r="AG129" s="429" t="str">
        <f>VLOOKUP(LEFT(A129,(FIND(",",A129,1)-1)),'Feature Summary'!$A$7:$U$4035,21,FALSE)</f>
        <v>A/B + 8wks</v>
      </c>
      <c r="AH129" s="310"/>
    </row>
    <row r="130" spans="1:34" ht="135.75" thickBot="1" x14ac:dyDescent="0.3">
      <c r="A130" s="316" t="s">
        <v>649</v>
      </c>
      <c r="B130" s="533" t="s">
        <v>578</v>
      </c>
      <c r="C130" s="308" t="s">
        <v>406</v>
      </c>
      <c r="D130" s="536" t="s">
        <v>388</v>
      </c>
      <c r="E130" s="308"/>
      <c r="F130" s="533" t="s">
        <v>434</v>
      </c>
      <c r="G130" s="231" t="e">
        <f>VLOOKUP(A130,'Feature Summary'!$A$7:$C$4104,3,FALSE)</f>
        <v>#N/A</v>
      </c>
      <c r="H130" s="540" t="s">
        <v>665</v>
      </c>
      <c r="I130" s="540" t="s">
        <v>309</v>
      </c>
      <c r="J130" s="541" t="s">
        <v>666</v>
      </c>
      <c r="K130" s="548">
        <v>1</v>
      </c>
      <c r="L130" s="549">
        <v>1</v>
      </c>
      <c r="M130" s="545" t="s">
        <v>33</v>
      </c>
      <c r="N130" s="445">
        <v>1</v>
      </c>
      <c r="O130" s="443">
        <v>1</v>
      </c>
      <c r="P130" s="447">
        <f t="shared" si="15"/>
        <v>1</v>
      </c>
      <c r="Q130" s="431" t="s">
        <v>45</v>
      </c>
      <c r="R130" s="309">
        <v>1</v>
      </c>
      <c r="S130" s="477">
        <f t="shared" si="16"/>
        <v>1</v>
      </c>
      <c r="T130" s="465">
        <v>1</v>
      </c>
      <c r="U130" s="465"/>
      <c r="V130" s="465"/>
      <c r="W130" s="465"/>
      <c r="X130" s="478">
        <f t="shared" si="14"/>
        <v>1</v>
      </c>
      <c r="Y130" s="432"/>
      <c r="Z130" s="464">
        <f t="shared" si="17"/>
        <v>1</v>
      </c>
      <c r="AA130" s="465"/>
      <c r="AB130" s="465"/>
      <c r="AC130" s="465">
        <v>1</v>
      </c>
      <c r="AD130" s="465"/>
      <c r="AE130" s="466">
        <f t="shared" si="18"/>
        <v>0</v>
      </c>
      <c r="AF130" s="426" t="s">
        <v>530</v>
      </c>
      <c r="AG130" s="429" t="str">
        <f>VLOOKUP(LEFT(A130,(FIND(",",A130,1)-1)),'Feature Summary'!$A$7:$U$4035,21,FALSE)</f>
        <v>A/B + 8wks</v>
      </c>
      <c r="AH130" s="310"/>
    </row>
    <row r="131" spans="1:34" ht="150.75" thickBot="1" x14ac:dyDescent="0.3">
      <c r="A131" s="316" t="s">
        <v>649</v>
      </c>
      <c r="B131" s="533" t="s">
        <v>578</v>
      </c>
      <c r="C131" s="308" t="s">
        <v>406</v>
      </c>
      <c r="D131" s="536" t="s">
        <v>388</v>
      </c>
      <c r="E131" s="308"/>
      <c r="F131" s="533" t="s">
        <v>438</v>
      </c>
      <c r="G131" s="231" t="e">
        <f>VLOOKUP(A131,'Feature Summary'!$A$7:$C$4104,3,FALSE)</f>
        <v>#N/A</v>
      </c>
      <c r="H131" s="540" t="s">
        <v>667</v>
      </c>
      <c r="I131" s="540" t="s">
        <v>309</v>
      </c>
      <c r="J131" s="541" t="s">
        <v>668</v>
      </c>
      <c r="K131" s="548">
        <v>1</v>
      </c>
      <c r="L131" s="549">
        <v>1</v>
      </c>
      <c r="M131" s="545" t="s">
        <v>33</v>
      </c>
      <c r="N131" s="445">
        <v>1</v>
      </c>
      <c r="O131" s="443">
        <v>1</v>
      </c>
      <c r="P131" s="447">
        <f t="shared" si="15"/>
        <v>1</v>
      </c>
      <c r="Q131" s="431" t="s">
        <v>45</v>
      </c>
      <c r="R131" s="309">
        <v>1</v>
      </c>
      <c r="S131" s="477">
        <f t="shared" si="16"/>
        <v>1</v>
      </c>
      <c r="T131" s="465">
        <v>1</v>
      </c>
      <c r="U131" s="465"/>
      <c r="V131" s="465"/>
      <c r="W131" s="465"/>
      <c r="X131" s="478">
        <f t="shared" si="14"/>
        <v>1</v>
      </c>
      <c r="Y131" s="432"/>
      <c r="Z131" s="464">
        <f t="shared" si="17"/>
        <v>1</v>
      </c>
      <c r="AA131" s="465"/>
      <c r="AB131" s="465"/>
      <c r="AC131" s="465">
        <v>1</v>
      </c>
      <c r="AD131" s="465"/>
      <c r="AE131" s="466">
        <f t="shared" si="18"/>
        <v>0</v>
      </c>
      <c r="AF131" s="426" t="s">
        <v>530</v>
      </c>
      <c r="AG131" s="429" t="str">
        <f>VLOOKUP(LEFT(A131,(FIND(",",A131,1)-1)),'Feature Summary'!$A$7:$U$4035,21,FALSE)</f>
        <v>A/B + 8wks</v>
      </c>
      <c r="AH131" s="310"/>
    </row>
    <row r="132" spans="1:34" ht="90.75" thickBot="1" x14ac:dyDescent="0.3">
      <c r="A132" s="316" t="s">
        <v>649</v>
      </c>
      <c r="B132" s="533" t="s">
        <v>578</v>
      </c>
      <c r="C132" s="308" t="s">
        <v>406</v>
      </c>
      <c r="D132" s="536" t="s">
        <v>388</v>
      </c>
      <c r="E132" s="308"/>
      <c r="F132" s="533" t="s">
        <v>650</v>
      </c>
      <c r="G132" s="231" t="e">
        <f>VLOOKUP(A132,'Feature Summary'!$A$7:$C$4104,3,FALSE)</f>
        <v>#N/A</v>
      </c>
      <c r="H132" s="540" t="s">
        <v>669</v>
      </c>
      <c r="I132" s="540" t="s">
        <v>309</v>
      </c>
      <c r="J132" s="541" t="s">
        <v>670</v>
      </c>
      <c r="K132" s="548">
        <v>1</v>
      </c>
      <c r="L132" s="549">
        <v>1</v>
      </c>
      <c r="M132" s="545" t="s">
        <v>33</v>
      </c>
      <c r="N132" s="445">
        <v>1</v>
      </c>
      <c r="O132" s="443">
        <v>1</v>
      </c>
      <c r="P132" s="447">
        <f t="shared" si="15"/>
        <v>1</v>
      </c>
      <c r="Q132" s="431" t="s">
        <v>45</v>
      </c>
      <c r="R132" s="309">
        <v>1</v>
      </c>
      <c r="S132" s="477">
        <f t="shared" si="16"/>
        <v>1</v>
      </c>
      <c r="T132" s="465">
        <v>1</v>
      </c>
      <c r="U132" s="465"/>
      <c r="V132" s="465"/>
      <c r="W132" s="465"/>
      <c r="X132" s="478">
        <f t="shared" si="14"/>
        <v>1</v>
      </c>
      <c r="Y132" s="432"/>
      <c r="Z132" s="464">
        <f t="shared" si="17"/>
        <v>1</v>
      </c>
      <c r="AA132" s="465"/>
      <c r="AB132" s="465"/>
      <c r="AC132" s="465">
        <v>1</v>
      </c>
      <c r="AD132" s="465"/>
      <c r="AE132" s="466">
        <f t="shared" si="18"/>
        <v>0</v>
      </c>
      <c r="AF132" s="426" t="s">
        <v>530</v>
      </c>
      <c r="AG132" s="429" t="str">
        <f>VLOOKUP(LEFT(A132,(FIND(",",A132,1)-1)),'Feature Summary'!$A$7:$U$4035,21,FALSE)</f>
        <v>A/B + 8wks</v>
      </c>
      <c r="AH132" s="310"/>
    </row>
    <row r="133" spans="1:34" ht="45.75" thickBot="1" x14ac:dyDescent="0.3">
      <c r="A133" s="316" t="s">
        <v>649</v>
      </c>
      <c r="B133" s="533" t="s">
        <v>578</v>
      </c>
      <c r="C133" s="308" t="s">
        <v>406</v>
      </c>
      <c r="D133" s="536" t="s">
        <v>388</v>
      </c>
      <c r="E133" s="308"/>
      <c r="F133" s="533" t="s">
        <v>650</v>
      </c>
      <c r="G133" s="231" t="e">
        <f>VLOOKUP(A133,'Feature Summary'!$A$7:$C$4104,3,FALSE)</f>
        <v>#N/A</v>
      </c>
      <c r="H133" s="540" t="s">
        <v>671</v>
      </c>
      <c r="I133" s="540" t="s">
        <v>309</v>
      </c>
      <c r="J133" s="541" t="s">
        <v>672</v>
      </c>
      <c r="K133" s="548">
        <v>1</v>
      </c>
      <c r="L133" s="549">
        <v>1</v>
      </c>
      <c r="M133" s="545" t="s">
        <v>33</v>
      </c>
      <c r="N133" s="445">
        <v>1</v>
      </c>
      <c r="O133" s="443">
        <v>1</v>
      </c>
      <c r="P133" s="447">
        <f t="shared" si="15"/>
        <v>1</v>
      </c>
      <c r="Q133" s="431" t="s">
        <v>45</v>
      </c>
      <c r="R133" s="309">
        <v>1</v>
      </c>
      <c r="S133" s="477">
        <f t="shared" si="16"/>
        <v>1</v>
      </c>
      <c r="T133" s="465">
        <v>1</v>
      </c>
      <c r="U133" s="465"/>
      <c r="V133" s="465"/>
      <c r="W133" s="465"/>
      <c r="X133" s="478">
        <f t="shared" si="14"/>
        <v>1</v>
      </c>
      <c r="Y133" s="432"/>
      <c r="Z133" s="464">
        <f t="shared" si="17"/>
        <v>1</v>
      </c>
      <c r="AA133" s="465"/>
      <c r="AB133" s="465"/>
      <c r="AC133" s="465">
        <v>1</v>
      </c>
      <c r="AD133" s="465"/>
      <c r="AE133" s="466">
        <f t="shared" si="18"/>
        <v>0</v>
      </c>
      <c r="AF133" s="426" t="s">
        <v>530</v>
      </c>
      <c r="AG133" s="429" t="str">
        <f>VLOOKUP(LEFT(A133,(FIND(",",A133,1)-1)),'Feature Summary'!$A$7:$U$4035,21,FALSE)</f>
        <v>A/B + 8wks</v>
      </c>
      <c r="AH133" s="310"/>
    </row>
    <row r="134" spans="1:34" ht="75.75" thickBot="1" x14ac:dyDescent="0.3">
      <c r="A134" s="316" t="s">
        <v>649</v>
      </c>
      <c r="B134" s="533" t="s">
        <v>578</v>
      </c>
      <c r="C134" s="308" t="s">
        <v>406</v>
      </c>
      <c r="D134" s="536" t="s">
        <v>388</v>
      </c>
      <c r="E134" s="308"/>
      <c r="F134" s="533" t="s">
        <v>458</v>
      </c>
      <c r="G134" s="231" t="e">
        <f>VLOOKUP(A134,'Feature Summary'!$A$7:$C$4104,3,FALSE)</f>
        <v>#N/A</v>
      </c>
      <c r="H134" s="540" t="s">
        <v>673</v>
      </c>
      <c r="I134" s="540" t="s">
        <v>309</v>
      </c>
      <c r="J134" s="541" t="s">
        <v>655</v>
      </c>
      <c r="K134" s="548">
        <v>1</v>
      </c>
      <c r="L134" s="549">
        <v>1</v>
      </c>
      <c r="M134" s="545" t="s">
        <v>33</v>
      </c>
      <c r="N134" s="445">
        <v>1</v>
      </c>
      <c r="O134" s="443">
        <v>1</v>
      </c>
      <c r="P134" s="447">
        <f t="shared" si="15"/>
        <v>1</v>
      </c>
      <c r="Q134" s="431" t="s">
        <v>45</v>
      </c>
      <c r="R134" s="309">
        <v>1</v>
      </c>
      <c r="S134" s="477">
        <f t="shared" si="16"/>
        <v>1</v>
      </c>
      <c r="T134" s="465">
        <v>1</v>
      </c>
      <c r="U134" s="465"/>
      <c r="V134" s="465"/>
      <c r="W134" s="465"/>
      <c r="X134" s="478">
        <f t="shared" si="14"/>
        <v>1</v>
      </c>
      <c r="Y134" s="432"/>
      <c r="Z134" s="464">
        <f t="shared" si="17"/>
        <v>1</v>
      </c>
      <c r="AA134" s="465"/>
      <c r="AB134" s="465"/>
      <c r="AC134" s="465">
        <v>1</v>
      </c>
      <c r="AD134" s="465"/>
      <c r="AE134" s="466">
        <f t="shared" si="18"/>
        <v>0</v>
      </c>
      <c r="AF134" s="426" t="s">
        <v>530</v>
      </c>
      <c r="AG134" s="429" t="str">
        <f>VLOOKUP(LEFT(A134,(FIND(",",A134,1)-1)),'Feature Summary'!$A$7:$U$4035,21,FALSE)</f>
        <v>A/B + 8wks</v>
      </c>
      <c r="AH134" s="310"/>
    </row>
    <row r="135" spans="1:34" ht="45.75" thickBot="1" x14ac:dyDescent="0.3">
      <c r="A135" s="316" t="s">
        <v>674</v>
      </c>
      <c r="B135" s="533" t="s">
        <v>675</v>
      </c>
      <c r="C135" s="308" t="s">
        <v>366</v>
      </c>
      <c r="D135" s="536" t="s">
        <v>388</v>
      </c>
      <c r="E135" s="308"/>
      <c r="F135" s="533" t="s">
        <v>470</v>
      </c>
      <c r="G135" s="231" t="e">
        <f>VLOOKUP(A135,'Feature Summary'!$A$7:$C$4104,3,FALSE)</f>
        <v>#N/A</v>
      </c>
      <c r="H135" s="540" t="s">
        <v>676</v>
      </c>
      <c r="I135" s="540" t="s">
        <v>309</v>
      </c>
      <c r="J135" s="541" t="s">
        <v>677</v>
      </c>
      <c r="K135" s="548">
        <v>1</v>
      </c>
      <c r="L135" s="549">
        <v>1</v>
      </c>
      <c r="M135" s="545" t="s">
        <v>33</v>
      </c>
      <c r="N135" s="445">
        <v>1</v>
      </c>
      <c r="O135" s="443">
        <v>1</v>
      </c>
      <c r="P135" s="447">
        <f t="shared" si="15"/>
        <v>1</v>
      </c>
      <c r="Q135" s="431" t="s">
        <v>45</v>
      </c>
      <c r="R135" s="309">
        <v>1</v>
      </c>
      <c r="S135" s="477">
        <f t="shared" si="16"/>
        <v>1</v>
      </c>
      <c r="T135" s="465">
        <v>1</v>
      </c>
      <c r="U135" s="465"/>
      <c r="V135" s="465"/>
      <c r="W135" s="465"/>
      <c r="X135" s="478">
        <f t="shared" si="14"/>
        <v>1</v>
      </c>
      <c r="Y135" s="432"/>
      <c r="Z135" s="464">
        <f t="shared" si="17"/>
        <v>1</v>
      </c>
      <c r="AA135" s="465"/>
      <c r="AB135" s="465"/>
      <c r="AC135" s="465">
        <v>1</v>
      </c>
      <c r="AD135" s="465"/>
      <c r="AE135" s="466">
        <f t="shared" si="18"/>
        <v>0</v>
      </c>
      <c r="AF135" s="426" t="s">
        <v>530</v>
      </c>
      <c r="AG135" s="429" t="str">
        <f>VLOOKUP(LEFT(A135,(FIND(",",A135,1)-1)),'Feature Summary'!$A$7:$U$4035,21,FALSE)</f>
        <v>A/B + 8wks</v>
      </c>
      <c r="AH135" s="310"/>
    </row>
    <row r="136" spans="1:34" ht="45.75" thickBot="1" x14ac:dyDescent="0.3">
      <c r="A136" s="316" t="s">
        <v>674</v>
      </c>
      <c r="B136" s="533" t="s">
        <v>675</v>
      </c>
      <c r="C136" s="308" t="s">
        <v>366</v>
      </c>
      <c r="D136" s="536" t="s">
        <v>388</v>
      </c>
      <c r="E136" s="308"/>
      <c r="F136" s="533" t="s">
        <v>470</v>
      </c>
      <c r="G136" s="231" t="e">
        <f>VLOOKUP(A136,'Feature Summary'!$A$7:$C$4104,3,FALSE)</f>
        <v>#N/A</v>
      </c>
      <c r="H136" s="540" t="s">
        <v>678</v>
      </c>
      <c r="I136" s="540" t="s">
        <v>309</v>
      </c>
      <c r="J136" s="541" t="s">
        <v>679</v>
      </c>
      <c r="K136" s="548">
        <v>1</v>
      </c>
      <c r="L136" s="549">
        <v>1</v>
      </c>
      <c r="M136" s="545" t="s">
        <v>33</v>
      </c>
      <c r="N136" s="445">
        <v>1</v>
      </c>
      <c r="O136" s="443">
        <v>1</v>
      </c>
      <c r="P136" s="447">
        <f t="shared" si="15"/>
        <v>1</v>
      </c>
      <c r="Q136" s="431" t="s">
        <v>45</v>
      </c>
      <c r="R136" s="309">
        <v>1</v>
      </c>
      <c r="S136" s="477">
        <f t="shared" si="16"/>
        <v>1</v>
      </c>
      <c r="T136" s="465">
        <v>1</v>
      </c>
      <c r="U136" s="465"/>
      <c r="V136" s="465"/>
      <c r="W136" s="465"/>
      <c r="X136" s="478">
        <f t="shared" si="14"/>
        <v>1</v>
      </c>
      <c r="Y136" s="432"/>
      <c r="Z136" s="464">
        <f t="shared" si="17"/>
        <v>1</v>
      </c>
      <c r="AA136" s="465"/>
      <c r="AB136" s="465"/>
      <c r="AC136" s="465">
        <v>1</v>
      </c>
      <c r="AD136" s="465"/>
      <c r="AE136" s="466">
        <f t="shared" si="18"/>
        <v>0</v>
      </c>
      <c r="AF136" s="426" t="s">
        <v>530</v>
      </c>
      <c r="AG136" s="429" t="str">
        <f>VLOOKUP(LEFT(A136,(FIND(",",A136,1)-1)),'Feature Summary'!$A$7:$U$4035,21,FALSE)</f>
        <v>A/B + 8wks</v>
      </c>
      <c r="AH136" s="310"/>
    </row>
    <row r="137" spans="1:34" ht="75.75" thickBot="1" x14ac:dyDescent="0.3">
      <c r="A137" s="316" t="s">
        <v>674</v>
      </c>
      <c r="B137" s="533" t="s">
        <v>675</v>
      </c>
      <c r="C137" s="308" t="s">
        <v>366</v>
      </c>
      <c r="D137" s="536" t="s">
        <v>388</v>
      </c>
      <c r="E137" s="308"/>
      <c r="F137" s="533" t="s">
        <v>470</v>
      </c>
      <c r="G137" s="231" t="e">
        <f>VLOOKUP(A137,'Feature Summary'!$A$7:$C$4104,3,FALSE)</f>
        <v>#N/A</v>
      </c>
      <c r="H137" s="540" t="s">
        <v>680</v>
      </c>
      <c r="I137" s="540" t="s">
        <v>309</v>
      </c>
      <c r="J137" s="541" t="s">
        <v>681</v>
      </c>
      <c r="K137" s="548">
        <v>1</v>
      </c>
      <c r="L137" s="549">
        <v>1</v>
      </c>
      <c r="M137" s="545" t="s">
        <v>33</v>
      </c>
      <c r="N137" s="445">
        <v>1</v>
      </c>
      <c r="O137" s="443">
        <v>1</v>
      </c>
      <c r="P137" s="447">
        <f t="shared" si="15"/>
        <v>1</v>
      </c>
      <c r="Q137" s="431" t="s">
        <v>45</v>
      </c>
      <c r="R137" s="309">
        <v>1</v>
      </c>
      <c r="S137" s="477">
        <f t="shared" si="16"/>
        <v>1</v>
      </c>
      <c r="T137" s="465">
        <v>1</v>
      </c>
      <c r="U137" s="465"/>
      <c r="V137" s="465"/>
      <c r="W137" s="465"/>
      <c r="X137" s="478">
        <f t="shared" ref="X137:X177" si="22">IF((S137=0),0,((T137+U137)/S137*100%))</f>
        <v>1</v>
      </c>
      <c r="Y137" s="432"/>
      <c r="Z137" s="464">
        <f t="shared" si="17"/>
        <v>1</v>
      </c>
      <c r="AA137" s="465"/>
      <c r="AB137" s="465"/>
      <c r="AC137" s="465">
        <v>1</v>
      </c>
      <c r="AD137" s="465"/>
      <c r="AE137" s="466">
        <f t="shared" si="18"/>
        <v>0</v>
      </c>
      <c r="AF137" s="426" t="s">
        <v>530</v>
      </c>
      <c r="AG137" s="429" t="str">
        <f>VLOOKUP(LEFT(A137,(FIND(",",A137,1)-1)),'Feature Summary'!$A$7:$U$4035,21,FALSE)</f>
        <v>A/B + 8wks</v>
      </c>
      <c r="AH137" s="310"/>
    </row>
    <row r="138" spans="1:34" ht="75.75" thickBot="1" x14ac:dyDescent="0.3">
      <c r="A138" s="316" t="s">
        <v>674</v>
      </c>
      <c r="B138" s="533" t="s">
        <v>675</v>
      </c>
      <c r="C138" s="308" t="s">
        <v>366</v>
      </c>
      <c r="D138" s="536" t="s">
        <v>388</v>
      </c>
      <c r="E138" s="308"/>
      <c r="F138" s="533" t="s">
        <v>470</v>
      </c>
      <c r="G138" s="231" t="e">
        <f>VLOOKUP(A138,'Feature Summary'!$A$7:$C$4104,3,FALSE)</f>
        <v>#N/A</v>
      </c>
      <c r="H138" s="540" t="s">
        <v>682</v>
      </c>
      <c r="I138" s="540" t="s">
        <v>309</v>
      </c>
      <c r="J138" s="541" t="s">
        <v>683</v>
      </c>
      <c r="K138" s="548">
        <v>1</v>
      </c>
      <c r="L138" s="549">
        <v>1</v>
      </c>
      <c r="M138" s="545" t="s">
        <v>33</v>
      </c>
      <c r="N138" s="445">
        <v>1</v>
      </c>
      <c r="O138" s="443">
        <v>1</v>
      </c>
      <c r="P138" s="447">
        <f t="shared" ref="P138:P158" si="23">IF((O138=0),0,(O138/L138))</f>
        <v>1</v>
      </c>
      <c r="Q138" s="431" t="s">
        <v>45</v>
      </c>
      <c r="R138" s="309">
        <v>1</v>
      </c>
      <c r="S138" s="477">
        <f t="shared" ref="S138:S178" si="24">SUM(T138:W138)</f>
        <v>1</v>
      </c>
      <c r="T138" s="465">
        <v>1</v>
      </c>
      <c r="U138" s="465"/>
      <c r="V138" s="465"/>
      <c r="W138" s="465"/>
      <c r="X138" s="478">
        <f t="shared" si="22"/>
        <v>1</v>
      </c>
      <c r="Y138" s="432"/>
      <c r="Z138" s="464">
        <f t="shared" ref="Z138:Z178" si="25">SUM(AA138:AD138)</f>
        <v>1</v>
      </c>
      <c r="AA138" s="465"/>
      <c r="AB138" s="465"/>
      <c r="AC138" s="465">
        <v>1</v>
      </c>
      <c r="AD138" s="465"/>
      <c r="AE138" s="466">
        <f t="shared" ref="AE138:AE178" si="26">IF((Z138=0),0,((AA138+AB138)/Z138*100%))</f>
        <v>0</v>
      </c>
      <c r="AF138" s="426" t="s">
        <v>530</v>
      </c>
      <c r="AG138" s="429" t="str">
        <f>VLOOKUP(LEFT(A138,(FIND(",",A138,1)-1)),'Feature Summary'!$A$7:$U$4035,21,FALSE)</f>
        <v>A/B + 8wks</v>
      </c>
      <c r="AH138" s="310"/>
    </row>
    <row r="139" spans="1:34" ht="45.75" thickBot="1" x14ac:dyDescent="0.3">
      <c r="A139" s="316" t="s">
        <v>684</v>
      </c>
      <c r="B139" s="533" t="s">
        <v>685</v>
      </c>
      <c r="C139" s="308" t="s">
        <v>499</v>
      </c>
      <c r="D139" s="536" t="s">
        <v>388</v>
      </c>
      <c r="E139" s="308"/>
      <c r="F139" s="533" t="s">
        <v>686</v>
      </c>
      <c r="G139" s="231" t="e">
        <f>VLOOKUP(A139,'Feature Summary'!$A$7:$C$4104,3,FALSE)</f>
        <v>#N/A</v>
      </c>
      <c r="H139" s="540" t="s">
        <v>687</v>
      </c>
      <c r="I139" s="540" t="s">
        <v>309</v>
      </c>
      <c r="J139" s="541" t="s">
        <v>327</v>
      </c>
      <c r="K139" s="548">
        <v>1</v>
      </c>
      <c r="L139" s="549">
        <v>8</v>
      </c>
      <c r="M139" s="545" t="s">
        <v>33</v>
      </c>
      <c r="N139" s="445">
        <v>1</v>
      </c>
      <c r="O139" s="443">
        <v>8</v>
      </c>
      <c r="P139" s="447">
        <f t="shared" si="23"/>
        <v>1</v>
      </c>
      <c r="Q139" s="431" t="s">
        <v>45</v>
      </c>
      <c r="R139" s="309">
        <v>8</v>
      </c>
      <c r="S139" s="477">
        <f t="shared" si="24"/>
        <v>1</v>
      </c>
      <c r="T139" s="465">
        <v>1</v>
      </c>
      <c r="U139" s="465"/>
      <c r="V139" s="465"/>
      <c r="W139" s="465"/>
      <c r="X139" s="478">
        <f t="shared" si="22"/>
        <v>1</v>
      </c>
      <c r="Y139" s="432"/>
      <c r="Z139" s="464">
        <f t="shared" si="25"/>
        <v>8</v>
      </c>
      <c r="AA139" s="465"/>
      <c r="AB139" s="465"/>
      <c r="AC139" s="465"/>
      <c r="AD139" s="465">
        <v>8</v>
      </c>
      <c r="AE139" s="466">
        <f t="shared" si="26"/>
        <v>0</v>
      </c>
      <c r="AF139" s="426"/>
      <c r="AG139" s="433" t="e">
        <f>VLOOKUP(A139,'Feature Summary'!$A$7:$U$4104,21,FALSE)</f>
        <v>#N/A</v>
      </c>
      <c r="AH139" s="310" t="s">
        <v>688</v>
      </c>
    </row>
    <row r="140" spans="1:34" ht="60.75" thickBot="1" x14ac:dyDescent="0.3">
      <c r="A140" s="316" t="s">
        <v>689</v>
      </c>
      <c r="B140" s="533" t="s">
        <v>690</v>
      </c>
      <c r="C140" s="308" t="s">
        <v>357</v>
      </c>
      <c r="D140" s="536" t="s">
        <v>388</v>
      </c>
      <c r="E140" s="308"/>
      <c r="F140" s="533" t="s">
        <v>691</v>
      </c>
      <c r="G140" s="231" t="e">
        <f>VLOOKUP(A140,'Feature Summary'!$A$7:$C$4104,3,FALSE)</f>
        <v>#N/A</v>
      </c>
      <c r="H140" s="540" t="s">
        <v>692</v>
      </c>
      <c r="I140" s="540" t="s">
        <v>309</v>
      </c>
      <c r="J140" s="541" t="s">
        <v>327</v>
      </c>
      <c r="K140" s="548">
        <v>1</v>
      </c>
      <c r="L140" s="549">
        <v>1</v>
      </c>
      <c r="M140" s="545" t="s">
        <v>33</v>
      </c>
      <c r="N140" s="445">
        <v>1</v>
      </c>
      <c r="O140" s="443">
        <v>1</v>
      </c>
      <c r="P140" s="447">
        <f t="shared" si="23"/>
        <v>1</v>
      </c>
      <c r="Q140" s="431" t="s">
        <v>45</v>
      </c>
      <c r="R140" s="309">
        <v>1</v>
      </c>
      <c r="S140" s="477">
        <f t="shared" si="24"/>
        <v>1</v>
      </c>
      <c r="T140" s="465">
        <v>1</v>
      </c>
      <c r="U140" s="465"/>
      <c r="V140" s="465"/>
      <c r="W140" s="465"/>
      <c r="X140" s="478">
        <f t="shared" si="22"/>
        <v>1</v>
      </c>
      <c r="Y140" s="645" t="s">
        <v>693</v>
      </c>
      <c r="Z140" s="464">
        <f t="shared" si="25"/>
        <v>1</v>
      </c>
      <c r="AA140" s="465">
        <v>1</v>
      </c>
      <c r="AB140" s="465"/>
      <c r="AC140" s="465"/>
      <c r="AD140" s="465"/>
      <c r="AE140" s="466">
        <f t="shared" si="26"/>
        <v>1</v>
      </c>
      <c r="AF140" s="308" t="s">
        <v>311</v>
      </c>
      <c r="AG140" s="429" t="str">
        <f>VLOOKUP(LEFT(A140,(FIND(",",A140,1)-1)),'Feature Summary'!$A$7:$U$4035,21,FALSE)</f>
        <v>A/B + 4wks</v>
      </c>
      <c r="AH140" s="310"/>
    </row>
    <row r="141" spans="1:34" ht="60.75" thickBot="1" x14ac:dyDescent="0.3">
      <c r="A141" s="316" t="s">
        <v>694</v>
      </c>
      <c r="B141" s="533" t="s">
        <v>690</v>
      </c>
      <c r="C141" s="308" t="s">
        <v>357</v>
      </c>
      <c r="D141" s="536" t="s">
        <v>388</v>
      </c>
      <c r="E141" s="308"/>
      <c r="F141" s="533" t="s">
        <v>695</v>
      </c>
      <c r="G141" s="231" t="e">
        <f>VLOOKUP(A141,'Feature Summary'!$A$7:$C$4104,3,FALSE)</f>
        <v>#N/A</v>
      </c>
      <c r="H141" s="540" t="s">
        <v>696</v>
      </c>
      <c r="I141" s="540" t="s">
        <v>309</v>
      </c>
      <c r="J141" s="541" t="s">
        <v>327</v>
      </c>
      <c r="K141" s="548">
        <v>1</v>
      </c>
      <c r="L141" s="549">
        <v>1</v>
      </c>
      <c r="M141" s="545" t="s">
        <v>33</v>
      </c>
      <c r="N141" s="445">
        <v>1</v>
      </c>
      <c r="O141" s="443">
        <v>1</v>
      </c>
      <c r="P141" s="447">
        <f t="shared" si="23"/>
        <v>1</v>
      </c>
      <c r="Q141" s="431" t="s">
        <v>45</v>
      </c>
      <c r="R141" s="309">
        <v>1</v>
      </c>
      <c r="S141" s="477">
        <f t="shared" si="24"/>
        <v>1</v>
      </c>
      <c r="T141" s="465">
        <v>1</v>
      </c>
      <c r="U141" s="465"/>
      <c r="V141" s="465"/>
      <c r="W141" s="465"/>
      <c r="X141" s="478">
        <f t="shared" si="22"/>
        <v>1</v>
      </c>
      <c r="Y141" s="645" t="s">
        <v>693</v>
      </c>
      <c r="Z141" s="464">
        <f t="shared" si="25"/>
        <v>1</v>
      </c>
      <c r="AA141" s="465">
        <v>1</v>
      </c>
      <c r="AB141" s="465"/>
      <c r="AC141" s="465"/>
      <c r="AD141" s="465"/>
      <c r="AE141" s="466">
        <f t="shared" si="26"/>
        <v>1</v>
      </c>
      <c r="AF141" s="308" t="s">
        <v>311</v>
      </c>
      <c r="AG141" s="429" t="str">
        <f>VLOOKUP(LEFT(A141,(FIND(",",A141,1)-1)),'Feature Summary'!$A$7:$U$4035,21,FALSE)</f>
        <v>A/B + 4wks</v>
      </c>
      <c r="AH141" s="310"/>
    </row>
    <row r="142" spans="1:34" ht="75.75" thickBot="1" x14ac:dyDescent="0.3">
      <c r="A142" s="316" t="s">
        <v>697</v>
      </c>
      <c r="B142" s="533" t="s">
        <v>698</v>
      </c>
      <c r="C142" s="308" t="s">
        <v>305</v>
      </c>
      <c r="D142" s="536" t="s">
        <v>388</v>
      </c>
      <c r="E142" s="308"/>
      <c r="F142" s="533" t="s">
        <v>699</v>
      </c>
      <c r="G142" s="231" t="e">
        <f>VLOOKUP(A142,'Feature Summary'!$A$7:$C$4104,3,FALSE)</f>
        <v>#N/A</v>
      </c>
      <c r="H142" s="540" t="s">
        <v>700</v>
      </c>
      <c r="I142" s="540" t="s">
        <v>309</v>
      </c>
      <c r="J142" s="541" t="s">
        <v>327</v>
      </c>
      <c r="K142" s="548">
        <v>2</v>
      </c>
      <c r="L142" s="549">
        <v>6</v>
      </c>
      <c r="M142" s="545" t="s">
        <v>33</v>
      </c>
      <c r="N142" s="445">
        <v>1</v>
      </c>
      <c r="O142" s="443">
        <v>6</v>
      </c>
      <c r="P142" s="447">
        <f t="shared" si="23"/>
        <v>1</v>
      </c>
      <c r="Q142" s="431" t="s">
        <v>45</v>
      </c>
      <c r="R142" s="309">
        <v>6</v>
      </c>
      <c r="S142" s="477">
        <f t="shared" si="24"/>
        <v>6</v>
      </c>
      <c r="T142" s="465">
        <v>6</v>
      </c>
      <c r="U142" s="465"/>
      <c r="V142" s="465"/>
      <c r="W142" s="465"/>
      <c r="X142" s="478">
        <f t="shared" si="22"/>
        <v>1</v>
      </c>
      <c r="Y142" s="645" t="s">
        <v>693</v>
      </c>
      <c r="Z142" s="464">
        <f t="shared" si="25"/>
        <v>6</v>
      </c>
      <c r="AA142" s="465">
        <v>6</v>
      </c>
      <c r="AB142" s="465"/>
      <c r="AC142" s="465"/>
      <c r="AD142" s="465"/>
      <c r="AE142" s="466">
        <f t="shared" si="26"/>
        <v>1</v>
      </c>
      <c r="AF142" s="426" t="s">
        <v>311</v>
      </c>
      <c r="AG142" s="429" t="str">
        <f>VLOOKUP(LEFT(A142,(FIND(",",A142,1)-1)),'Feature Summary'!$A$7:$U$4035,21,FALSE)</f>
        <v>A/B + 8wks</v>
      </c>
      <c r="AH142" s="310"/>
    </row>
    <row r="143" spans="1:34" ht="45.75" thickBot="1" x14ac:dyDescent="0.3">
      <c r="A143" s="316" t="s">
        <v>701</v>
      </c>
      <c r="B143" s="533" t="s">
        <v>698</v>
      </c>
      <c r="C143" s="308" t="s">
        <v>305</v>
      </c>
      <c r="D143" s="536" t="s">
        <v>388</v>
      </c>
      <c r="E143" s="308"/>
      <c r="F143" s="533" t="s">
        <v>702</v>
      </c>
      <c r="G143" s="231" t="e">
        <f>VLOOKUP(A143,'Feature Summary'!$A$7:$C$4104,3,FALSE)</f>
        <v>#N/A</v>
      </c>
      <c r="H143" s="540" t="s">
        <v>703</v>
      </c>
      <c r="I143" s="540" t="s">
        <v>309</v>
      </c>
      <c r="J143" s="541" t="s">
        <v>327</v>
      </c>
      <c r="K143" s="548">
        <v>1</v>
      </c>
      <c r="L143" s="549">
        <v>2</v>
      </c>
      <c r="M143" s="545" t="s">
        <v>33</v>
      </c>
      <c r="N143" s="445">
        <v>1</v>
      </c>
      <c r="O143" s="443">
        <v>2</v>
      </c>
      <c r="P143" s="447">
        <f t="shared" si="23"/>
        <v>1</v>
      </c>
      <c r="Q143" s="431" t="s">
        <v>45</v>
      </c>
      <c r="R143" s="309">
        <v>2</v>
      </c>
      <c r="S143" s="477">
        <f t="shared" si="24"/>
        <v>2</v>
      </c>
      <c r="T143" s="465">
        <v>2</v>
      </c>
      <c r="U143" s="465"/>
      <c r="V143" s="465"/>
      <c r="W143" s="465"/>
      <c r="X143" s="478">
        <f t="shared" si="22"/>
        <v>1</v>
      </c>
      <c r="Y143" s="432"/>
      <c r="Z143" s="464">
        <f t="shared" si="25"/>
        <v>2</v>
      </c>
      <c r="AA143" s="465"/>
      <c r="AB143" s="465"/>
      <c r="AC143" s="465">
        <v>2</v>
      </c>
      <c r="AD143" s="465"/>
      <c r="AE143" s="466">
        <f t="shared" si="26"/>
        <v>0</v>
      </c>
      <c r="AF143" s="426" t="s">
        <v>537</v>
      </c>
      <c r="AG143" s="429" t="str">
        <f>VLOOKUP(LEFT(A143,(FIND(",",A143,1)-1)),'Feature Summary'!$A$7:$U$4035,21,FALSE)</f>
        <v>A/B + 8wks</v>
      </c>
      <c r="AH143" s="310"/>
    </row>
    <row r="144" spans="1:34" ht="45.75" thickBot="1" x14ac:dyDescent="0.3">
      <c r="A144" s="316" t="s">
        <v>694</v>
      </c>
      <c r="B144" s="533" t="s">
        <v>690</v>
      </c>
      <c r="C144" s="308" t="s">
        <v>357</v>
      </c>
      <c r="D144" s="536" t="s">
        <v>388</v>
      </c>
      <c r="E144" s="308"/>
      <c r="F144" s="533" t="s">
        <v>704</v>
      </c>
      <c r="G144" s="231" t="e">
        <f>VLOOKUP(A144,'Feature Summary'!$A$7:$C$4104,3,FALSE)</f>
        <v>#N/A</v>
      </c>
      <c r="H144" s="540" t="s">
        <v>705</v>
      </c>
      <c r="I144" s="540" t="s">
        <v>331</v>
      </c>
      <c r="J144" s="541" t="s">
        <v>327</v>
      </c>
      <c r="K144" s="548">
        <v>1</v>
      </c>
      <c r="L144" s="549">
        <v>1</v>
      </c>
      <c r="M144" s="545" t="s">
        <v>33</v>
      </c>
      <c r="N144" s="445">
        <v>1</v>
      </c>
      <c r="O144" s="443">
        <v>1</v>
      </c>
      <c r="P144" s="447">
        <f t="shared" si="23"/>
        <v>1</v>
      </c>
      <c r="Q144" s="431" t="s">
        <v>45</v>
      </c>
      <c r="R144" s="309">
        <v>1</v>
      </c>
      <c r="S144" s="477">
        <f>SUM(T144:W144)</f>
        <v>1</v>
      </c>
      <c r="T144" s="465">
        <v>1</v>
      </c>
      <c r="U144" s="465"/>
      <c r="V144" s="465"/>
      <c r="W144" s="465"/>
      <c r="X144" s="478">
        <f t="shared" si="22"/>
        <v>1</v>
      </c>
      <c r="Y144" s="432" t="s">
        <v>706</v>
      </c>
      <c r="Z144" s="464">
        <f t="shared" si="25"/>
        <v>1</v>
      </c>
      <c r="AA144" s="465">
        <v>1</v>
      </c>
      <c r="AB144" s="465"/>
      <c r="AC144" s="465"/>
      <c r="AD144" s="465"/>
      <c r="AE144" s="466">
        <f t="shared" si="26"/>
        <v>1</v>
      </c>
      <c r="AF144" s="426"/>
      <c r="AG144" s="429" t="str">
        <f>VLOOKUP(LEFT(A144,(FIND(",",A144,1)-1)),'Feature Summary'!$A$7:$U$4035,21,FALSE)</f>
        <v>A/B + 4wks</v>
      </c>
      <c r="AH144" s="310" t="s">
        <v>334</v>
      </c>
    </row>
    <row r="145" spans="1:34" ht="75.75" thickBot="1" x14ac:dyDescent="0.3">
      <c r="A145" s="316" t="s">
        <v>707</v>
      </c>
      <c r="B145" s="533" t="s">
        <v>589</v>
      </c>
      <c r="C145" s="308" t="s">
        <v>499</v>
      </c>
      <c r="D145" s="536" t="s">
        <v>388</v>
      </c>
      <c r="E145" s="308"/>
      <c r="F145" s="533" t="s">
        <v>708</v>
      </c>
      <c r="G145" s="231" t="e">
        <f>VLOOKUP(A145,'Feature Summary'!$A$7:$C$4104,3,FALSE)</f>
        <v>#N/A</v>
      </c>
      <c r="H145" s="540" t="s">
        <v>709</v>
      </c>
      <c r="I145" s="540" t="s">
        <v>309</v>
      </c>
      <c r="J145" s="541" t="s">
        <v>327</v>
      </c>
      <c r="K145" s="548">
        <v>1</v>
      </c>
      <c r="L145" s="549">
        <v>2</v>
      </c>
      <c r="M145" s="545" t="s">
        <v>33</v>
      </c>
      <c r="N145" s="445">
        <v>1</v>
      </c>
      <c r="O145" s="443">
        <v>2</v>
      </c>
      <c r="P145" s="447">
        <f t="shared" si="23"/>
        <v>1</v>
      </c>
      <c r="Q145" s="431" t="s">
        <v>45</v>
      </c>
      <c r="R145" s="309">
        <v>2</v>
      </c>
      <c r="S145" s="477">
        <f t="shared" si="24"/>
        <v>2</v>
      </c>
      <c r="T145" s="465">
        <v>2</v>
      </c>
      <c r="U145" s="465"/>
      <c r="V145" s="465"/>
      <c r="W145" s="465"/>
      <c r="X145" s="478">
        <f t="shared" si="22"/>
        <v>1</v>
      </c>
      <c r="Y145" s="432"/>
      <c r="Z145" s="464">
        <f t="shared" si="25"/>
        <v>2</v>
      </c>
      <c r="AA145" s="465">
        <v>2</v>
      </c>
      <c r="AB145" s="465"/>
      <c r="AC145" s="465"/>
      <c r="AD145" s="465"/>
      <c r="AE145" s="466">
        <f t="shared" si="26"/>
        <v>1</v>
      </c>
      <c r="AF145" s="308" t="s">
        <v>311</v>
      </c>
      <c r="AG145" s="429" t="str">
        <f>VLOOKUP(LEFT(A145,(FIND(",",A145,1)-1)),'Feature Summary'!$A$7:$U$4035,21,FALSE)</f>
        <v>A/B + 5wks</v>
      </c>
      <c r="AH145" s="310"/>
    </row>
    <row r="146" spans="1:34" ht="60.75" thickBot="1" x14ac:dyDescent="0.3">
      <c r="A146" s="316" t="s">
        <v>710</v>
      </c>
      <c r="B146" s="533" t="s">
        <v>585</v>
      </c>
      <c r="C146" s="308" t="s">
        <v>499</v>
      </c>
      <c r="D146" s="536" t="s">
        <v>388</v>
      </c>
      <c r="E146" s="308"/>
      <c r="F146" s="533" t="s">
        <v>711</v>
      </c>
      <c r="G146" s="231" t="e">
        <f>VLOOKUP(A146,'Feature Summary'!$A$7:$C$4104,3,FALSE)</f>
        <v>#N/A</v>
      </c>
      <c r="H146" s="540" t="s">
        <v>712</v>
      </c>
      <c r="I146" s="540" t="s">
        <v>309</v>
      </c>
      <c r="J146" s="541" t="s">
        <v>327</v>
      </c>
      <c r="K146" s="548">
        <v>1</v>
      </c>
      <c r="L146" s="549">
        <v>1</v>
      </c>
      <c r="M146" s="545" t="s">
        <v>33</v>
      </c>
      <c r="N146" s="445">
        <v>1</v>
      </c>
      <c r="O146" s="443">
        <v>1</v>
      </c>
      <c r="P146" s="447">
        <f t="shared" si="23"/>
        <v>1</v>
      </c>
      <c r="Q146" s="431" t="s">
        <v>45</v>
      </c>
      <c r="R146" s="309">
        <v>1</v>
      </c>
      <c r="S146" s="477">
        <f t="shared" si="24"/>
        <v>1</v>
      </c>
      <c r="T146" s="465">
        <v>1</v>
      </c>
      <c r="U146" s="465"/>
      <c r="V146" s="465"/>
      <c r="W146" s="465"/>
      <c r="X146" s="478">
        <f t="shared" si="22"/>
        <v>1</v>
      </c>
      <c r="Y146" s="432"/>
      <c r="Z146" s="464">
        <f t="shared" si="25"/>
        <v>1</v>
      </c>
      <c r="AA146" s="465"/>
      <c r="AB146" s="465"/>
      <c r="AC146" s="465">
        <v>1</v>
      </c>
      <c r="AD146" s="465"/>
      <c r="AE146" s="466">
        <f t="shared" si="26"/>
        <v>0</v>
      </c>
      <c r="AF146" s="651" t="s">
        <v>713</v>
      </c>
      <c r="AG146" s="429" t="str">
        <f>VLOOKUP(LEFT(A146,(FIND(",",A146,1)-1)),'Feature Summary'!$A$7:$U$4035,21,FALSE)</f>
        <v>A/B + 5wks</v>
      </c>
      <c r="AH146" s="310"/>
    </row>
    <row r="147" spans="1:34" ht="60.75" thickBot="1" x14ac:dyDescent="0.3">
      <c r="A147" s="316" t="s">
        <v>395</v>
      </c>
      <c r="B147" s="533" t="s">
        <v>396</v>
      </c>
      <c r="C147" s="308" t="s">
        <v>499</v>
      </c>
      <c r="D147" s="536" t="s">
        <v>388</v>
      </c>
      <c r="E147" s="308"/>
      <c r="F147" s="533" t="s">
        <v>714</v>
      </c>
      <c r="G147" s="231" t="str">
        <f>VLOOKUP(A147,'Feature Summary'!$A$7:$C$4104,3,FALSE)</f>
        <v>P2</v>
      </c>
      <c r="H147" s="540" t="s">
        <v>715</v>
      </c>
      <c r="I147" s="540" t="s">
        <v>309</v>
      </c>
      <c r="J147" s="541" t="s">
        <v>327</v>
      </c>
      <c r="K147" s="548">
        <v>1</v>
      </c>
      <c r="L147" s="549">
        <v>1</v>
      </c>
      <c r="M147" s="545" t="s">
        <v>33</v>
      </c>
      <c r="N147" s="445">
        <v>1</v>
      </c>
      <c r="O147" s="443">
        <v>1</v>
      </c>
      <c r="P147" s="447">
        <f t="shared" si="23"/>
        <v>1</v>
      </c>
      <c r="Q147" s="431" t="s">
        <v>45</v>
      </c>
      <c r="R147" s="309">
        <v>1</v>
      </c>
      <c r="S147" s="477">
        <f t="shared" si="24"/>
        <v>1</v>
      </c>
      <c r="T147" s="465">
        <v>1</v>
      </c>
      <c r="U147" s="465"/>
      <c r="V147" s="465"/>
      <c r="W147" s="465"/>
      <c r="X147" s="478">
        <f t="shared" si="22"/>
        <v>1</v>
      </c>
      <c r="Y147" s="432"/>
      <c r="Z147" s="464">
        <f t="shared" si="25"/>
        <v>1</v>
      </c>
      <c r="AA147" s="465">
        <v>1</v>
      </c>
      <c r="AB147" s="465"/>
      <c r="AC147" s="465"/>
      <c r="AD147" s="465"/>
      <c r="AE147" s="466">
        <f t="shared" si="26"/>
        <v>1</v>
      </c>
      <c r="AF147" s="426" t="s">
        <v>311</v>
      </c>
      <c r="AG147" s="433" t="str">
        <f>VLOOKUP(A147,'Feature Summary'!$A$7:$U$4104,21,FALSE)</f>
        <v>A/B + 8wks</v>
      </c>
      <c r="AH147" s="310"/>
    </row>
    <row r="148" spans="1:34" ht="75.75" thickBot="1" x14ac:dyDescent="0.3">
      <c r="A148" s="316" t="s">
        <v>395</v>
      </c>
      <c r="B148" s="533" t="s">
        <v>396</v>
      </c>
      <c r="C148" s="308" t="s">
        <v>499</v>
      </c>
      <c r="D148" s="536" t="s">
        <v>388</v>
      </c>
      <c r="E148" s="308"/>
      <c r="F148" s="533" t="s">
        <v>716</v>
      </c>
      <c r="G148" s="231" t="str">
        <f>VLOOKUP(A148,'Feature Summary'!$A$7:$C$4104,3,FALSE)</f>
        <v>P2</v>
      </c>
      <c r="H148" s="540" t="s">
        <v>717</v>
      </c>
      <c r="I148" s="540" t="s">
        <v>309</v>
      </c>
      <c r="J148" s="541" t="s">
        <v>327</v>
      </c>
      <c r="K148" s="548">
        <v>1</v>
      </c>
      <c r="L148" s="549">
        <v>2</v>
      </c>
      <c r="M148" s="545" t="s">
        <v>33</v>
      </c>
      <c r="N148" s="445">
        <v>1</v>
      </c>
      <c r="O148" s="443">
        <v>2</v>
      </c>
      <c r="P148" s="447">
        <f t="shared" si="23"/>
        <v>1</v>
      </c>
      <c r="Q148" s="431" t="s">
        <v>45</v>
      </c>
      <c r="R148" s="309">
        <v>2</v>
      </c>
      <c r="S148" s="477">
        <f t="shared" si="24"/>
        <v>2</v>
      </c>
      <c r="T148" s="465">
        <v>2</v>
      </c>
      <c r="U148" s="465"/>
      <c r="V148" s="465"/>
      <c r="W148" s="465"/>
      <c r="X148" s="478">
        <f t="shared" si="22"/>
        <v>1</v>
      </c>
      <c r="Y148" s="432"/>
      <c r="Z148" s="464">
        <f t="shared" si="25"/>
        <v>2</v>
      </c>
      <c r="AA148" s="465">
        <v>2</v>
      </c>
      <c r="AB148" s="465"/>
      <c r="AC148" s="465"/>
      <c r="AD148" s="465"/>
      <c r="AE148" s="466">
        <f t="shared" si="26"/>
        <v>1</v>
      </c>
      <c r="AF148" s="426" t="s">
        <v>311</v>
      </c>
      <c r="AG148" s="433" t="str">
        <f>VLOOKUP(A148,'Feature Summary'!$A$7:$U$4104,21,FALSE)</f>
        <v>A/B + 8wks</v>
      </c>
      <c r="AH148" s="310"/>
    </row>
    <row r="149" spans="1:34" ht="60.75" thickBot="1" x14ac:dyDescent="0.3">
      <c r="A149" s="316" t="s">
        <v>395</v>
      </c>
      <c r="B149" s="533" t="s">
        <v>396</v>
      </c>
      <c r="C149" s="308" t="s">
        <v>499</v>
      </c>
      <c r="D149" s="536" t="s">
        <v>388</v>
      </c>
      <c r="E149" s="308"/>
      <c r="F149" s="533" t="s">
        <v>718</v>
      </c>
      <c r="G149" s="231" t="str">
        <f>VLOOKUP(A149,'Feature Summary'!$A$7:$C$4104,3,FALSE)</f>
        <v>P2</v>
      </c>
      <c r="H149" s="540" t="s">
        <v>719</v>
      </c>
      <c r="I149" s="540" t="s">
        <v>309</v>
      </c>
      <c r="J149" s="541" t="s">
        <v>637</v>
      </c>
      <c r="K149" s="548">
        <v>1</v>
      </c>
      <c r="L149" s="549">
        <v>1</v>
      </c>
      <c r="M149" s="545" t="s">
        <v>33</v>
      </c>
      <c r="N149" s="445">
        <v>1</v>
      </c>
      <c r="O149" s="443">
        <v>1</v>
      </c>
      <c r="P149" s="447">
        <f t="shared" si="23"/>
        <v>1</v>
      </c>
      <c r="Q149" s="431" t="s">
        <v>45</v>
      </c>
      <c r="R149" s="309">
        <v>1</v>
      </c>
      <c r="S149" s="477">
        <f t="shared" si="24"/>
        <v>1</v>
      </c>
      <c r="T149" s="465">
        <v>1</v>
      </c>
      <c r="U149" s="465"/>
      <c r="V149" s="465"/>
      <c r="W149" s="465"/>
      <c r="X149" s="478">
        <f t="shared" si="22"/>
        <v>1</v>
      </c>
      <c r="Y149" s="432"/>
      <c r="Z149" s="464">
        <f t="shared" si="25"/>
        <v>1</v>
      </c>
      <c r="AA149" s="465"/>
      <c r="AB149" s="465"/>
      <c r="AC149" s="465">
        <v>1</v>
      </c>
      <c r="AD149" s="465"/>
      <c r="AE149" s="466">
        <f t="shared" si="26"/>
        <v>0</v>
      </c>
      <c r="AF149" s="426" t="s">
        <v>530</v>
      </c>
      <c r="AG149" s="433" t="str">
        <f>VLOOKUP(A149,'Feature Summary'!$A$7:$U$4104,21,FALSE)</f>
        <v>A/B + 8wks</v>
      </c>
      <c r="AH149" s="310"/>
    </row>
    <row r="150" spans="1:34" ht="75.75" thickBot="1" x14ac:dyDescent="0.3">
      <c r="A150" s="316" t="s">
        <v>707</v>
      </c>
      <c r="B150" s="533" t="s">
        <v>589</v>
      </c>
      <c r="C150" s="308" t="s">
        <v>499</v>
      </c>
      <c r="D150" s="536" t="s">
        <v>388</v>
      </c>
      <c r="E150" s="308"/>
      <c r="F150" s="533" t="s">
        <v>720</v>
      </c>
      <c r="G150" s="231" t="e">
        <f>VLOOKUP(A150,'Feature Summary'!$A$7:$C$4104,3,FALSE)</f>
        <v>#N/A</v>
      </c>
      <c r="H150" s="540" t="s">
        <v>721</v>
      </c>
      <c r="I150" s="540" t="s">
        <v>309</v>
      </c>
      <c r="J150" s="541" t="s">
        <v>327</v>
      </c>
      <c r="K150" s="548">
        <v>1</v>
      </c>
      <c r="L150" s="549">
        <v>2</v>
      </c>
      <c r="M150" s="545" t="s">
        <v>33</v>
      </c>
      <c r="N150" s="445">
        <v>1</v>
      </c>
      <c r="O150" s="443">
        <v>2</v>
      </c>
      <c r="P150" s="447">
        <f t="shared" si="23"/>
        <v>1</v>
      </c>
      <c r="Q150" s="431" t="s">
        <v>45</v>
      </c>
      <c r="R150" s="309">
        <v>2</v>
      </c>
      <c r="S150" s="477">
        <f t="shared" si="24"/>
        <v>2</v>
      </c>
      <c r="T150" s="465">
        <v>2</v>
      </c>
      <c r="U150" s="465"/>
      <c r="V150" s="465"/>
      <c r="W150" s="465"/>
      <c r="X150" s="478">
        <f t="shared" si="22"/>
        <v>1</v>
      </c>
      <c r="Y150" s="432"/>
      <c r="Z150" s="464">
        <f t="shared" si="25"/>
        <v>2</v>
      </c>
      <c r="AA150" s="465">
        <v>1</v>
      </c>
      <c r="AB150" s="465"/>
      <c r="AC150" s="465">
        <v>1</v>
      </c>
      <c r="AD150" s="465"/>
      <c r="AE150" s="466">
        <f t="shared" si="26"/>
        <v>0.5</v>
      </c>
      <c r="AF150" s="571" t="s">
        <v>722</v>
      </c>
      <c r="AG150" s="429" t="str">
        <f>VLOOKUP(LEFT(A150,(FIND(",",A150,1)-1)),'Feature Summary'!$A$7:$U$4035,21,FALSE)</f>
        <v>A/B + 5wks</v>
      </c>
      <c r="AH150" s="310"/>
    </row>
    <row r="151" spans="1:34" ht="30.75" thickBot="1" x14ac:dyDescent="0.3">
      <c r="A151" s="316" t="s">
        <v>395</v>
      </c>
      <c r="B151" s="533" t="s">
        <v>396</v>
      </c>
      <c r="C151" s="308" t="s">
        <v>499</v>
      </c>
      <c r="D151" s="536" t="s">
        <v>388</v>
      </c>
      <c r="E151" s="308"/>
      <c r="F151" s="533" t="s">
        <v>723</v>
      </c>
      <c r="G151" s="231" t="str">
        <f>VLOOKUP(A151,'Feature Summary'!$A$7:$C$4104,3,FALSE)</f>
        <v>P2</v>
      </c>
      <c r="H151" s="540" t="s">
        <v>724</v>
      </c>
      <c r="I151" s="540" t="s">
        <v>309</v>
      </c>
      <c r="J151" s="541" t="s">
        <v>327</v>
      </c>
      <c r="K151" s="548">
        <v>1</v>
      </c>
      <c r="L151" s="549">
        <v>1</v>
      </c>
      <c r="M151" s="545" t="s">
        <v>33</v>
      </c>
      <c r="N151" s="445">
        <v>1</v>
      </c>
      <c r="O151" s="443">
        <v>1</v>
      </c>
      <c r="P151" s="447">
        <f t="shared" si="23"/>
        <v>1</v>
      </c>
      <c r="Q151" s="431" t="s">
        <v>45</v>
      </c>
      <c r="R151" s="309">
        <v>1</v>
      </c>
      <c r="S151" s="477">
        <f t="shared" si="24"/>
        <v>1</v>
      </c>
      <c r="T151" s="465">
        <v>1</v>
      </c>
      <c r="U151" s="465"/>
      <c r="V151" s="465"/>
      <c r="W151" s="465"/>
      <c r="X151" s="478">
        <f t="shared" si="22"/>
        <v>1</v>
      </c>
      <c r="Y151" s="432"/>
      <c r="Z151" s="464">
        <f t="shared" si="25"/>
        <v>1</v>
      </c>
      <c r="AA151" s="465">
        <v>1</v>
      </c>
      <c r="AB151" s="465"/>
      <c r="AC151" s="465"/>
      <c r="AD151" s="465"/>
      <c r="AE151" s="466">
        <f t="shared" si="26"/>
        <v>1</v>
      </c>
      <c r="AF151" s="426" t="s">
        <v>311</v>
      </c>
      <c r="AG151" s="433" t="str">
        <f>VLOOKUP(A151,'Feature Summary'!$A$7:$U$4104,21,FALSE)</f>
        <v>A/B + 8wks</v>
      </c>
      <c r="AH151" s="310"/>
    </row>
    <row r="152" spans="1:34" ht="30.75" thickBot="1" x14ac:dyDescent="0.3">
      <c r="A152" s="316" t="s">
        <v>395</v>
      </c>
      <c r="B152" s="533" t="s">
        <v>396</v>
      </c>
      <c r="C152" s="308" t="s">
        <v>499</v>
      </c>
      <c r="D152" s="536" t="s">
        <v>388</v>
      </c>
      <c r="E152" s="308"/>
      <c r="F152" s="533" t="s">
        <v>725</v>
      </c>
      <c r="G152" s="231" t="str">
        <f>VLOOKUP(A152,'Feature Summary'!$A$7:$C$4104,3,FALSE)</f>
        <v>P2</v>
      </c>
      <c r="H152" s="540" t="s">
        <v>726</v>
      </c>
      <c r="I152" s="540" t="s">
        <v>309</v>
      </c>
      <c r="J152" s="541" t="s">
        <v>327</v>
      </c>
      <c r="K152" s="548">
        <v>1</v>
      </c>
      <c r="L152" s="549">
        <v>1</v>
      </c>
      <c r="M152" s="545" t="s">
        <v>33</v>
      </c>
      <c r="N152" s="445">
        <v>1</v>
      </c>
      <c r="O152" s="443">
        <v>1</v>
      </c>
      <c r="P152" s="447">
        <f t="shared" si="23"/>
        <v>1</v>
      </c>
      <c r="Q152" s="431" t="s">
        <v>45</v>
      </c>
      <c r="R152" s="309">
        <v>1</v>
      </c>
      <c r="S152" s="477">
        <f t="shared" si="24"/>
        <v>1</v>
      </c>
      <c r="T152" s="465">
        <v>1</v>
      </c>
      <c r="U152" s="465"/>
      <c r="V152" s="465"/>
      <c r="W152" s="465"/>
      <c r="X152" s="478">
        <f t="shared" si="22"/>
        <v>1</v>
      </c>
      <c r="Y152" s="432"/>
      <c r="Z152" s="464">
        <f t="shared" si="25"/>
        <v>1</v>
      </c>
      <c r="AA152" s="465">
        <v>1</v>
      </c>
      <c r="AB152" s="465"/>
      <c r="AC152" s="465"/>
      <c r="AD152" s="465"/>
      <c r="AE152" s="466">
        <f t="shared" si="26"/>
        <v>1</v>
      </c>
      <c r="AF152" s="426" t="s">
        <v>311</v>
      </c>
      <c r="AG152" s="433" t="str">
        <f>VLOOKUP(A152,'Feature Summary'!$A$7:$U$4104,21,FALSE)</f>
        <v>A/B + 8wks</v>
      </c>
      <c r="AH152" s="310"/>
    </row>
    <row r="153" spans="1:34" ht="60.75" thickBot="1" x14ac:dyDescent="0.3">
      <c r="A153" s="316" t="s">
        <v>395</v>
      </c>
      <c r="B153" s="533" t="s">
        <v>396</v>
      </c>
      <c r="C153" s="308" t="s">
        <v>499</v>
      </c>
      <c r="D153" s="536" t="s">
        <v>388</v>
      </c>
      <c r="E153" s="308"/>
      <c r="F153" s="533" t="s">
        <v>727</v>
      </c>
      <c r="G153" s="231" t="str">
        <f>VLOOKUP(A153,'Feature Summary'!$A$7:$C$4104,3,FALSE)</f>
        <v>P2</v>
      </c>
      <c r="H153" s="540" t="s">
        <v>728</v>
      </c>
      <c r="I153" s="540" t="s">
        <v>309</v>
      </c>
      <c r="J153" s="541" t="s">
        <v>567</v>
      </c>
      <c r="K153" s="548">
        <v>1</v>
      </c>
      <c r="L153" s="549">
        <v>1</v>
      </c>
      <c r="M153" s="545" t="s">
        <v>33</v>
      </c>
      <c r="N153" s="445">
        <v>1</v>
      </c>
      <c r="O153" s="443">
        <v>1</v>
      </c>
      <c r="P153" s="447">
        <f t="shared" si="23"/>
        <v>1</v>
      </c>
      <c r="Q153" s="431" t="s">
        <v>45</v>
      </c>
      <c r="R153" s="309">
        <v>1</v>
      </c>
      <c r="S153" s="477">
        <f t="shared" si="24"/>
        <v>1</v>
      </c>
      <c r="T153" s="465">
        <v>1</v>
      </c>
      <c r="U153" s="465"/>
      <c r="V153" s="465"/>
      <c r="W153" s="465"/>
      <c r="X153" s="478">
        <f t="shared" si="22"/>
        <v>1</v>
      </c>
      <c r="Y153" s="432"/>
      <c r="Z153" s="464">
        <f t="shared" si="25"/>
        <v>1</v>
      </c>
      <c r="AA153" s="465">
        <v>1</v>
      </c>
      <c r="AB153" s="465"/>
      <c r="AC153" s="465"/>
      <c r="AD153" s="465"/>
      <c r="AE153" s="466">
        <f t="shared" si="26"/>
        <v>1</v>
      </c>
      <c r="AF153" s="426" t="s">
        <v>311</v>
      </c>
      <c r="AG153" s="433" t="str">
        <f>VLOOKUP(A153,'Feature Summary'!$A$7:$U$4104,21,FALSE)</f>
        <v>A/B + 8wks</v>
      </c>
      <c r="AH153" s="310"/>
    </row>
    <row r="154" spans="1:34" ht="30.75" thickBot="1" x14ac:dyDescent="0.3">
      <c r="A154" s="316" t="s">
        <v>395</v>
      </c>
      <c r="B154" s="533" t="s">
        <v>396</v>
      </c>
      <c r="C154" s="308" t="s">
        <v>305</v>
      </c>
      <c r="D154" s="536" t="s">
        <v>388</v>
      </c>
      <c r="E154" s="308"/>
      <c r="F154" s="533" t="s">
        <v>729</v>
      </c>
      <c r="G154" s="231" t="str">
        <f>VLOOKUP(A154,'Feature Summary'!$A$7:$C$4104,3,FALSE)</f>
        <v>P2</v>
      </c>
      <c r="H154" s="540" t="s">
        <v>730</v>
      </c>
      <c r="I154" s="540" t="s">
        <v>309</v>
      </c>
      <c r="J154" s="541" t="s">
        <v>327</v>
      </c>
      <c r="K154" s="548">
        <v>1</v>
      </c>
      <c r="L154" s="549">
        <v>1</v>
      </c>
      <c r="M154" s="545" t="s">
        <v>33</v>
      </c>
      <c r="N154" s="445">
        <v>1</v>
      </c>
      <c r="O154" s="443">
        <v>1</v>
      </c>
      <c r="P154" s="447">
        <f t="shared" si="23"/>
        <v>1</v>
      </c>
      <c r="Q154" s="431" t="s">
        <v>45</v>
      </c>
      <c r="R154" s="309">
        <v>1</v>
      </c>
      <c r="S154" s="477">
        <f t="shared" si="24"/>
        <v>1</v>
      </c>
      <c r="T154" s="465">
        <v>1</v>
      </c>
      <c r="U154" s="465"/>
      <c r="V154" s="465"/>
      <c r="W154" s="465"/>
      <c r="X154" s="478">
        <f t="shared" si="22"/>
        <v>1</v>
      </c>
      <c r="Y154" s="432"/>
      <c r="Z154" s="464">
        <f t="shared" si="25"/>
        <v>1</v>
      </c>
      <c r="AA154" s="465">
        <v>1</v>
      </c>
      <c r="AB154" s="465"/>
      <c r="AC154" s="465"/>
      <c r="AD154" s="465"/>
      <c r="AE154" s="466">
        <f t="shared" si="26"/>
        <v>1</v>
      </c>
      <c r="AF154" s="426" t="s">
        <v>311</v>
      </c>
      <c r="AG154" s="433" t="str">
        <f>VLOOKUP(A154,'Feature Summary'!$A$7:$U$4104,21,FALSE)</f>
        <v>A/B + 8wks</v>
      </c>
      <c r="AH154" s="310"/>
    </row>
    <row r="155" spans="1:34" ht="60.75" thickBot="1" x14ac:dyDescent="0.3">
      <c r="A155" s="316" t="s">
        <v>395</v>
      </c>
      <c r="B155" s="533" t="s">
        <v>396</v>
      </c>
      <c r="C155" s="308" t="s">
        <v>305</v>
      </c>
      <c r="D155" s="536" t="s">
        <v>388</v>
      </c>
      <c r="E155" s="308"/>
      <c r="F155" s="533" t="s">
        <v>731</v>
      </c>
      <c r="G155" s="231" t="str">
        <f>VLOOKUP(A155,'Feature Summary'!$A$7:$C$4104,3,FALSE)</f>
        <v>P2</v>
      </c>
      <c r="H155" s="540" t="s">
        <v>732</v>
      </c>
      <c r="I155" s="540" t="s">
        <v>331</v>
      </c>
      <c r="J155" s="541" t="s">
        <v>327</v>
      </c>
      <c r="K155" s="548">
        <v>1</v>
      </c>
      <c r="L155" s="549">
        <v>1</v>
      </c>
      <c r="M155" s="545" t="s">
        <v>33</v>
      </c>
      <c r="N155" s="445">
        <v>1</v>
      </c>
      <c r="O155" s="443">
        <v>1</v>
      </c>
      <c r="P155" s="447">
        <f t="shared" si="23"/>
        <v>1</v>
      </c>
      <c r="Q155" s="431" t="s">
        <v>45</v>
      </c>
      <c r="R155" s="309">
        <v>1</v>
      </c>
      <c r="S155" s="477">
        <f>SUM(T155:W155)</f>
        <v>1</v>
      </c>
      <c r="T155" s="465">
        <v>1</v>
      </c>
      <c r="U155" s="465"/>
      <c r="V155" s="465"/>
      <c r="W155" s="465"/>
      <c r="X155" s="478">
        <f t="shared" si="22"/>
        <v>1</v>
      </c>
      <c r="Y155" s="432"/>
      <c r="Z155" s="464">
        <f t="shared" si="25"/>
        <v>1</v>
      </c>
      <c r="AA155" s="465">
        <v>1</v>
      </c>
      <c r="AB155" s="465"/>
      <c r="AC155" s="465"/>
      <c r="AD155" s="465"/>
      <c r="AE155" s="466">
        <f t="shared" si="26"/>
        <v>1</v>
      </c>
      <c r="AF155" s="426"/>
      <c r="AG155" s="433" t="str">
        <f>VLOOKUP(A155,'Feature Summary'!$A$7:$U$4104,21,FALSE)</f>
        <v>A/B + 8wks</v>
      </c>
      <c r="AH155" s="310" t="s">
        <v>334</v>
      </c>
    </row>
    <row r="156" spans="1:34" ht="90.75" thickBot="1" x14ac:dyDescent="0.3">
      <c r="A156" s="316" t="s">
        <v>733</v>
      </c>
      <c r="B156" s="533" t="s">
        <v>734</v>
      </c>
      <c r="C156" s="308" t="s">
        <v>357</v>
      </c>
      <c r="D156" s="536" t="s">
        <v>388</v>
      </c>
      <c r="E156" s="308"/>
      <c r="F156" s="533" t="s">
        <v>735</v>
      </c>
      <c r="G156" s="231" t="s">
        <v>275</v>
      </c>
      <c r="H156" s="540" t="s">
        <v>736</v>
      </c>
      <c r="I156" s="540" t="s">
        <v>309</v>
      </c>
      <c r="J156" s="541" t="s">
        <v>737</v>
      </c>
      <c r="K156" s="548">
        <v>1</v>
      </c>
      <c r="L156" s="549">
        <v>1</v>
      </c>
      <c r="M156" s="545" t="s">
        <v>33</v>
      </c>
      <c r="N156" s="445">
        <v>1</v>
      </c>
      <c r="O156" s="443">
        <v>1</v>
      </c>
      <c r="P156" s="447">
        <f t="shared" si="23"/>
        <v>1</v>
      </c>
      <c r="Q156" s="431" t="s">
        <v>45</v>
      </c>
      <c r="R156" s="309">
        <v>1</v>
      </c>
      <c r="S156" s="477">
        <f t="shared" ref="S156:S158" si="27">SUM(T156:W156)</f>
        <v>1</v>
      </c>
      <c r="T156" s="465">
        <v>1</v>
      </c>
      <c r="U156" s="465"/>
      <c r="V156" s="465"/>
      <c r="W156" s="465"/>
      <c r="X156" s="478">
        <f t="shared" si="22"/>
        <v>1</v>
      </c>
      <c r="Y156" s="432"/>
      <c r="Z156" s="464">
        <f t="shared" si="25"/>
        <v>1</v>
      </c>
      <c r="AA156" s="465"/>
      <c r="AB156" s="465"/>
      <c r="AC156" s="465">
        <v>1</v>
      </c>
      <c r="AD156" s="465"/>
      <c r="AE156" s="466">
        <f t="shared" si="26"/>
        <v>0</v>
      </c>
      <c r="AF156" s="426" t="s">
        <v>738</v>
      </c>
      <c r="AG156" s="433" t="str">
        <f>VLOOKUP(A156,'Feature Summary'!$A$7:$U$4104,21,FALSE)</f>
        <v>A/B + 6wks</v>
      </c>
      <c r="AH156" s="310"/>
    </row>
    <row r="157" spans="1:34" ht="90.75" thickBot="1" x14ac:dyDescent="0.3">
      <c r="A157" s="316" t="s">
        <v>733</v>
      </c>
      <c r="B157" s="533" t="s">
        <v>734</v>
      </c>
      <c r="C157" s="308" t="s">
        <v>357</v>
      </c>
      <c r="D157" s="536" t="s">
        <v>388</v>
      </c>
      <c r="E157" s="308"/>
      <c r="F157" s="533" t="s">
        <v>739</v>
      </c>
      <c r="G157" s="231" t="s">
        <v>275</v>
      </c>
      <c r="H157" s="540" t="s">
        <v>740</v>
      </c>
      <c r="I157" s="540" t="s">
        <v>309</v>
      </c>
      <c r="J157" s="541" t="s">
        <v>737</v>
      </c>
      <c r="K157" s="548">
        <v>1</v>
      </c>
      <c r="L157" s="549">
        <v>1</v>
      </c>
      <c r="M157" s="545" t="s">
        <v>33</v>
      </c>
      <c r="N157" s="445">
        <v>1</v>
      </c>
      <c r="O157" s="443">
        <v>1</v>
      </c>
      <c r="P157" s="447">
        <f t="shared" si="23"/>
        <v>1</v>
      </c>
      <c r="Q157" s="431" t="s">
        <v>45</v>
      </c>
      <c r="R157" s="549">
        <v>1</v>
      </c>
      <c r="S157" s="477">
        <f t="shared" si="27"/>
        <v>1</v>
      </c>
      <c r="T157" s="465">
        <v>1</v>
      </c>
      <c r="U157" s="465"/>
      <c r="V157" s="465"/>
      <c r="W157" s="465"/>
      <c r="X157" s="478">
        <f t="shared" si="22"/>
        <v>1</v>
      </c>
      <c r="Y157" s="432"/>
      <c r="Z157" s="464">
        <f t="shared" si="25"/>
        <v>1</v>
      </c>
      <c r="AA157" s="465"/>
      <c r="AB157" s="465"/>
      <c r="AC157" s="465">
        <v>1</v>
      </c>
      <c r="AD157" s="465"/>
      <c r="AE157" s="466">
        <f t="shared" si="26"/>
        <v>0</v>
      </c>
      <c r="AF157" s="426" t="s">
        <v>738</v>
      </c>
      <c r="AG157" s="433" t="str">
        <f>VLOOKUP(A157,'Feature Summary'!$A$7:$U$4104,21,FALSE)</f>
        <v>A/B + 6wks</v>
      </c>
      <c r="AH157" s="580"/>
    </row>
    <row r="158" spans="1:34" ht="90.75" thickBot="1" x14ac:dyDescent="0.3">
      <c r="A158" s="316" t="s">
        <v>733</v>
      </c>
      <c r="B158" s="533" t="s">
        <v>734</v>
      </c>
      <c r="C158" s="308" t="s">
        <v>357</v>
      </c>
      <c r="D158" s="536" t="s">
        <v>388</v>
      </c>
      <c r="E158" s="308"/>
      <c r="F158" s="533" t="s">
        <v>741</v>
      </c>
      <c r="G158" s="231" t="s">
        <v>275</v>
      </c>
      <c r="H158" s="540" t="s">
        <v>742</v>
      </c>
      <c r="I158" s="540" t="s">
        <v>309</v>
      </c>
      <c r="J158" s="541" t="s">
        <v>743</v>
      </c>
      <c r="K158" s="548">
        <v>1</v>
      </c>
      <c r="L158" s="549">
        <v>1</v>
      </c>
      <c r="M158" s="545" t="s">
        <v>33</v>
      </c>
      <c r="N158" s="445">
        <v>1</v>
      </c>
      <c r="O158" s="443">
        <v>1</v>
      </c>
      <c r="P158" s="447">
        <f t="shared" si="23"/>
        <v>1</v>
      </c>
      <c r="Q158" s="431" t="s">
        <v>45</v>
      </c>
      <c r="R158" s="549">
        <v>1</v>
      </c>
      <c r="S158" s="477">
        <f t="shared" si="27"/>
        <v>1</v>
      </c>
      <c r="T158" s="465">
        <v>1</v>
      </c>
      <c r="U158" s="465"/>
      <c r="V158" s="465"/>
      <c r="W158" s="465"/>
      <c r="X158" s="478">
        <f t="shared" si="22"/>
        <v>1</v>
      </c>
      <c r="Y158" s="432"/>
      <c r="Z158" s="464">
        <f t="shared" si="25"/>
        <v>1</v>
      </c>
      <c r="AA158" s="465"/>
      <c r="AB158" s="465"/>
      <c r="AC158" s="465">
        <v>1</v>
      </c>
      <c r="AD158" s="465"/>
      <c r="AE158" s="466">
        <f t="shared" si="26"/>
        <v>0</v>
      </c>
      <c r="AF158" s="426" t="s">
        <v>738</v>
      </c>
      <c r="AG158" s="433" t="str">
        <f>VLOOKUP(A158,'Feature Summary'!$A$7:$U$4104,21,FALSE)</f>
        <v>A/B + 6wks</v>
      </c>
      <c r="AH158" s="580"/>
    </row>
    <row r="159" spans="1:34" ht="30.75" thickBot="1" x14ac:dyDescent="0.3">
      <c r="A159" s="316" t="s">
        <v>744</v>
      </c>
      <c r="B159" s="533" t="s">
        <v>745</v>
      </c>
      <c r="C159" s="308" t="s">
        <v>357</v>
      </c>
      <c r="D159" s="536" t="s">
        <v>388</v>
      </c>
      <c r="E159" s="308"/>
      <c r="F159" s="533" t="s">
        <v>528</v>
      </c>
      <c r="G159" s="231" t="str">
        <f>VLOOKUP(A159,'Feature Summary'!$A$7:$C$4104,3,FALSE)</f>
        <v>P2</v>
      </c>
      <c r="H159" s="540" t="s">
        <v>746</v>
      </c>
      <c r="I159" s="540" t="s">
        <v>309</v>
      </c>
      <c r="J159" s="541" t="s">
        <v>327</v>
      </c>
      <c r="K159" s="548">
        <v>1</v>
      </c>
      <c r="L159" s="549">
        <v>1</v>
      </c>
      <c r="M159" s="545" t="s">
        <v>33</v>
      </c>
      <c r="N159" s="445">
        <v>1</v>
      </c>
      <c r="O159" s="443">
        <v>1</v>
      </c>
      <c r="P159" s="447">
        <f t="shared" ref="P159:P216" si="28">IF((O159=0),0,(O159/L159))</f>
        <v>1</v>
      </c>
      <c r="Q159" s="431" t="s">
        <v>45</v>
      </c>
      <c r="R159" s="309">
        <v>1</v>
      </c>
      <c r="S159" s="477">
        <f t="shared" si="24"/>
        <v>1</v>
      </c>
      <c r="T159" s="465">
        <v>1</v>
      </c>
      <c r="U159" s="465"/>
      <c r="V159" s="465"/>
      <c r="W159" s="465"/>
      <c r="X159" s="478">
        <f t="shared" si="22"/>
        <v>1</v>
      </c>
      <c r="Y159" s="432"/>
      <c r="Z159" s="464">
        <f t="shared" si="25"/>
        <v>0</v>
      </c>
      <c r="AA159" s="465"/>
      <c r="AB159" s="465"/>
      <c r="AC159" s="465"/>
      <c r="AD159" s="465"/>
      <c r="AE159" s="466">
        <f t="shared" si="26"/>
        <v>0</v>
      </c>
      <c r="AF159" s="587"/>
      <c r="AG159" s="429" t="e">
        <f>VLOOKUP(LEFT(A159,(FIND(",",A159,1)-1)),'Feature Summary'!$A$7:$U$4035,21,FALSE)</f>
        <v>#VALUE!</v>
      </c>
      <c r="AH159" s="310"/>
    </row>
    <row r="160" spans="1:34" ht="30.75" thickBot="1" x14ac:dyDescent="0.3">
      <c r="A160" s="316" t="s">
        <v>744</v>
      </c>
      <c r="B160" s="533" t="s">
        <v>745</v>
      </c>
      <c r="C160" s="308" t="s">
        <v>357</v>
      </c>
      <c r="D160" s="536" t="s">
        <v>388</v>
      </c>
      <c r="E160" s="308"/>
      <c r="F160" s="533" t="s">
        <v>531</v>
      </c>
      <c r="G160" s="231" t="str">
        <f>VLOOKUP(A160,'Feature Summary'!$A$7:$C$4104,3,FALSE)</f>
        <v>P2</v>
      </c>
      <c r="H160" s="540" t="s">
        <v>747</v>
      </c>
      <c r="I160" s="540" t="s">
        <v>309</v>
      </c>
      <c r="J160" s="541" t="s">
        <v>327</v>
      </c>
      <c r="K160" s="548">
        <v>1</v>
      </c>
      <c r="L160" s="549">
        <v>1</v>
      </c>
      <c r="M160" s="545" t="s">
        <v>33</v>
      </c>
      <c r="N160" s="445">
        <v>1</v>
      </c>
      <c r="O160" s="443">
        <v>1</v>
      </c>
      <c r="P160" s="447">
        <f t="shared" si="28"/>
        <v>1</v>
      </c>
      <c r="Q160" s="431" t="s">
        <v>45</v>
      </c>
      <c r="R160" s="309">
        <v>1</v>
      </c>
      <c r="S160" s="477">
        <f t="shared" si="24"/>
        <v>1</v>
      </c>
      <c r="T160" s="465">
        <v>1</v>
      </c>
      <c r="U160" s="465"/>
      <c r="V160" s="465"/>
      <c r="W160" s="465"/>
      <c r="X160" s="478">
        <f t="shared" si="22"/>
        <v>1</v>
      </c>
      <c r="Y160" s="432"/>
      <c r="Z160" s="464">
        <f t="shared" si="25"/>
        <v>0</v>
      </c>
      <c r="AA160" s="465"/>
      <c r="AB160" s="465"/>
      <c r="AC160" s="465"/>
      <c r="AD160" s="465"/>
      <c r="AE160" s="466">
        <f t="shared" si="26"/>
        <v>0</v>
      </c>
      <c r="AF160" s="587"/>
      <c r="AG160" s="429" t="e">
        <f>VLOOKUP(LEFT(A160,(FIND(",",A160,1)-1)),'Feature Summary'!$A$7:$U$4035,21,FALSE)</f>
        <v>#VALUE!</v>
      </c>
      <c r="AH160" s="310"/>
    </row>
    <row r="161" spans="1:34" ht="45.75" thickBot="1" x14ac:dyDescent="0.3">
      <c r="A161" s="316" t="s">
        <v>748</v>
      </c>
      <c r="B161" s="533" t="s">
        <v>749</v>
      </c>
      <c r="C161" s="308" t="s">
        <v>357</v>
      </c>
      <c r="D161" s="537" t="s">
        <v>388</v>
      </c>
      <c r="E161" s="308"/>
      <c r="F161" s="534" t="s">
        <v>535</v>
      </c>
      <c r="G161" s="231" t="str">
        <f>VLOOKUP(A161,'Feature Summary'!$A$7:$C$4104,3,FALSE)</f>
        <v>P2</v>
      </c>
      <c r="H161" s="542" t="s">
        <v>750</v>
      </c>
      <c r="I161" s="540" t="s">
        <v>309</v>
      </c>
      <c r="J161" s="543" t="s">
        <v>327</v>
      </c>
      <c r="K161" s="548">
        <v>1</v>
      </c>
      <c r="L161" s="549">
        <v>1</v>
      </c>
      <c r="M161" s="545" t="s">
        <v>33</v>
      </c>
      <c r="N161" s="445">
        <v>1</v>
      </c>
      <c r="O161" s="443">
        <v>1</v>
      </c>
      <c r="P161" s="447">
        <f t="shared" si="28"/>
        <v>1</v>
      </c>
      <c r="Q161" s="431" t="s">
        <v>45</v>
      </c>
      <c r="R161" s="309">
        <v>1</v>
      </c>
      <c r="S161" s="477">
        <f t="shared" si="24"/>
        <v>1</v>
      </c>
      <c r="T161" s="465">
        <v>1</v>
      </c>
      <c r="U161" s="465"/>
      <c r="V161" s="465"/>
      <c r="W161" s="465"/>
      <c r="X161" s="478">
        <f t="shared" si="22"/>
        <v>1</v>
      </c>
      <c r="Y161" s="432"/>
      <c r="Z161" s="464">
        <f t="shared" si="25"/>
        <v>1</v>
      </c>
      <c r="AA161" s="465"/>
      <c r="AB161" s="465"/>
      <c r="AC161" s="465">
        <v>1</v>
      </c>
      <c r="AD161" s="465"/>
      <c r="AE161" s="466">
        <f t="shared" si="26"/>
        <v>0</v>
      </c>
      <c r="AF161" s="308" t="s">
        <v>537</v>
      </c>
      <c r="AG161" s="433" t="str">
        <f>VLOOKUP(A161,'Feature Summary'!$A$7:$U$4104,21,FALSE)</f>
        <v>A/B + 8wks</v>
      </c>
      <c r="AH161" s="580" t="s">
        <v>751</v>
      </c>
    </row>
    <row r="162" spans="1:34" ht="45.75" thickBot="1" x14ac:dyDescent="0.3">
      <c r="A162" s="316" t="s">
        <v>748</v>
      </c>
      <c r="B162" s="533" t="s">
        <v>749</v>
      </c>
      <c r="C162" s="308" t="s">
        <v>357</v>
      </c>
      <c r="D162" s="536" t="s">
        <v>388</v>
      </c>
      <c r="E162" s="308"/>
      <c r="F162" s="533" t="s">
        <v>539</v>
      </c>
      <c r="G162" s="231" t="str">
        <f>VLOOKUP(A162,'Feature Summary'!$A$7:$C$4104,3,FALSE)</f>
        <v>P2</v>
      </c>
      <c r="H162" s="540" t="s">
        <v>752</v>
      </c>
      <c r="I162" s="540" t="s">
        <v>309</v>
      </c>
      <c r="J162" s="541" t="s">
        <v>327</v>
      </c>
      <c r="K162" s="548">
        <v>1</v>
      </c>
      <c r="L162" s="549">
        <v>1</v>
      </c>
      <c r="M162" s="545" t="s">
        <v>33</v>
      </c>
      <c r="N162" s="445">
        <v>1</v>
      </c>
      <c r="O162" s="443">
        <v>1</v>
      </c>
      <c r="P162" s="447">
        <f t="shared" si="28"/>
        <v>1</v>
      </c>
      <c r="Q162" s="431" t="s">
        <v>45</v>
      </c>
      <c r="R162" s="309">
        <v>1</v>
      </c>
      <c r="S162" s="477">
        <f t="shared" si="24"/>
        <v>1</v>
      </c>
      <c r="T162" s="465">
        <v>1</v>
      </c>
      <c r="U162" s="465"/>
      <c r="V162" s="465"/>
      <c r="W162" s="465"/>
      <c r="X162" s="478">
        <f t="shared" si="22"/>
        <v>1</v>
      </c>
      <c r="Y162" s="432"/>
      <c r="Z162" s="464">
        <f t="shared" si="25"/>
        <v>1</v>
      </c>
      <c r="AA162" s="465"/>
      <c r="AB162" s="465"/>
      <c r="AC162" s="465">
        <v>1</v>
      </c>
      <c r="AD162" s="465"/>
      <c r="AE162" s="466">
        <f t="shared" si="26"/>
        <v>0</v>
      </c>
      <c r="AF162" s="308" t="s">
        <v>537</v>
      </c>
      <c r="AG162" s="433" t="str">
        <f>VLOOKUP(A162,'Feature Summary'!$A$7:$U$4104,21,FALSE)</f>
        <v>A/B + 8wks</v>
      </c>
      <c r="AH162" s="580" t="s">
        <v>751</v>
      </c>
    </row>
    <row r="163" spans="1:34" ht="45.75" thickBot="1" x14ac:dyDescent="0.3">
      <c r="A163" s="316" t="s">
        <v>753</v>
      </c>
      <c r="B163" s="533" t="s">
        <v>754</v>
      </c>
      <c r="C163" s="308" t="s">
        <v>305</v>
      </c>
      <c r="D163" s="536" t="s">
        <v>388</v>
      </c>
      <c r="E163" s="308"/>
      <c r="F163" s="533" t="s">
        <v>755</v>
      </c>
      <c r="G163" s="231" t="str">
        <f>VLOOKUP(A163,'Feature Summary'!$A$7:$C$4104,3,FALSE)</f>
        <v>P2</v>
      </c>
      <c r="H163" s="540" t="s">
        <v>756</v>
      </c>
      <c r="I163" s="540" t="s">
        <v>309</v>
      </c>
      <c r="J163" s="541" t="s">
        <v>327</v>
      </c>
      <c r="K163" s="548">
        <v>1</v>
      </c>
      <c r="L163" s="549">
        <v>2</v>
      </c>
      <c r="M163" s="545" t="s">
        <v>33</v>
      </c>
      <c r="N163" s="445">
        <v>1</v>
      </c>
      <c r="O163" s="443">
        <v>2</v>
      </c>
      <c r="P163" s="447">
        <f t="shared" si="28"/>
        <v>1</v>
      </c>
      <c r="Q163" s="431" t="s">
        <v>45</v>
      </c>
      <c r="R163" s="309">
        <v>2</v>
      </c>
      <c r="S163" s="477">
        <f t="shared" si="24"/>
        <v>2</v>
      </c>
      <c r="T163" s="465">
        <v>2</v>
      </c>
      <c r="U163" s="465"/>
      <c r="V163" s="465"/>
      <c r="W163" s="465"/>
      <c r="X163" s="478">
        <f t="shared" si="22"/>
        <v>1</v>
      </c>
      <c r="Y163" s="432"/>
      <c r="Z163" s="464">
        <f t="shared" si="25"/>
        <v>2</v>
      </c>
      <c r="AA163" s="465"/>
      <c r="AB163" s="465"/>
      <c r="AC163" s="465">
        <v>2</v>
      </c>
      <c r="AD163" s="465"/>
      <c r="AE163" s="466">
        <f t="shared" si="26"/>
        <v>0</v>
      </c>
      <c r="AF163" s="308" t="s">
        <v>537</v>
      </c>
      <c r="AG163" s="433" t="str">
        <f>VLOOKUP(A163,'Feature Summary'!$A$7:$U$4104,21,FALSE)</f>
        <v>A/B + 8wks</v>
      </c>
      <c r="AH163" s="310"/>
    </row>
    <row r="164" spans="1:34" ht="45.75" thickBot="1" x14ac:dyDescent="0.3">
      <c r="A164" s="316" t="s">
        <v>753</v>
      </c>
      <c r="B164" s="533" t="s">
        <v>754</v>
      </c>
      <c r="C164" s="308" t="s">
        <v>305</v>
      </c>
      <c r="D164" s="536" t="s">
        <v>388</v>
      </c>
      <c r="E164" s="308"/>
      <c r="F164" s="533" t="s">
        <v>757</v>
      </c>
      <c r="G164" s="231" t="str">
        <f>VLOOKUP(A164,'Feature Summary'!$A$7:$C$4104,3,FALSE)</f>
        <v>P2</v>
      </c>
      <c r="H164" s="540" t="s">
        <v>758</v>
      </c>
      <c r="I164" s="540" t="s">
        <v>309</v>
      </c>
      <c r="J164" s="541" t="s">
        <v>310</v>
      </c>
      <c r="K164" s="548">
        <v>1</v>
      </c>
      <c r="L164" s="549">
        <v>1</v>
      </c>
      <c r="M164" s="545" t="s">
        <v>33</v>
      </c>
      <c r="N164" s="445">
        <v>1</v>
      </c>
      <c r="O164" s="443">
        <v>1</v>
      </c>
      <c r="P164" s="447">
        <f t="shared" si="28"/>
        <v>1</v>
      </c>
      <c r="Q164" s="431" t="s">
        <v>45</v>
      </c>
      <c r="R164" s="309">
        <v>1</v>
      </c>
      <c r="S164" s="477">
        <f t="shared" si="24"/>
        <v>1</v>
      </c>
      <c r="T164" s="465">
        <v>1</v>
      </c>
      <c r="U164" s="465"/>
      <c r="V164" s="465"/>
      <c r="W164" s="465"/>
      <c r="X164" s="478">
        <f t="shared" si="22"/>
        <v>1</v>
      </c>
      <c r="Y164" s="432"/>
      <c r="Z164" s="464">
        <f t="shared" si="25"/>
        <v>1</v>
      </c>
      <c r="AA164" s="465"/>
      <c r="AB164" s="465"/>
      <c r="AC164" s="465">
        <v>1</v>
      </c>
      <c r="AD164" s="465"/>
      <c r="AE164" s="466">
        <f t="shared" si="26"/>
        <v>0</v>
      </c>
      <c r="AF164" s="571" t="s">
        <v>759</v>
      </c>
      <c r="AG164" s="433" t="str">
        <f>VLOOKUP(A164,'Feature Summary'!$A$7:$U$4104,21,FALSE)</f>
        <v>A/B + 8wks</v>
      </c>
      <c r="AH164" s="310"/>
    </row>
    <row r="165" spans="1:34" ht="75.75" thickBot="1" x14ac:dyDescent="0.3">
      <c r="A165" s="316" t="s">
        <v>760</v>
      </c>
      <c r="B165" s="533" t="s">
        <v>761</v>
      </c>
      <c r="C165" s="308" t="s">
        <v>406</v>
      </c>
      <c r="D165" s="536" t="s">
        <v>388</v>
      </c>
      <c r="E165" s="308"/>
      <c r="F165" s="533" t="s">
        <v>762</v>
      </c>
      <c r="G165" s="231" t="str">
        <f>VLOOKUP(A165,'Feature Summary'!$A$7:$C$4104,3,FALSE)</f>
        <v>P2</v>
      </c>
      <c r="H165" s="540" t="s">
        <v>763</v>
      </c>
      <c r="I165" s="540" t="s">
        <v>309</v>
      </c>
      <c r="J165" s="541" t="s">
        <v>327</v>
      </c>
      <c r="K165" s="548">
        <v>1</v>
      </c>
      <c r="L165" s="549">
        <v>2</v>
      </c>
      <c r="M165" s="545" t="s">
        <v>33</v>
      </c>
      <c r="N165" s="445">
        <v>1</v>
      </c>
      <c r="O165" s="443">
        <v>2</v>
      </c>
      <c r="P165" s="447">
        <f t="shared" si="28"/>
        <v>1</v>
      </c>
      <c r="Q165" s="431" t="s">
        <v>45</v>
      </c>
      <c r="R165" s="309">
        <v>2</v>
      </c>
      <c r="S165" s="477">
        <f t="shared" si="24"/>
        <v>2</v>
      </c>
      <c r="T165" s="465">
        <v>2</v>
      </c>
      <c r="U165" s="465"/>
      <c r="V165" s="465"/>
      <c r="W165" s="465"/>
      <c r="X165" s="478">
        <f t="shared" si="22"/>
        <v>1</v>
      </c>
      <c r="Y165" s="432"/>
      <c r="Z165" s="464">
        <f t="shared" si="25"/>
        <v>2</v>
      </c>
      <c r="AA165" s="465">
        <v>1</v>
      </c>
      <c r="AB165" s="465"/>
      <c r="AC165" s="465">
        <v>1</v>
      </c>
      <c r="AD165" s="465"/>
      <c r="AE165" s="466">
        <f t="shared" si="26"/>
        <v>0.5</v>
      </c>
      <c r="AF165" s="571" t="s">
        <v>722</v>
      </c>
      <c r="AG165" s="433" t="str">
        <f>VLOOKUP(A165,'Feature Summary'!$A$7:$U$4104,21,FALSE)</f>
        <v>A/B + 5wks</v>
      </c>
      <c r="AH165" s="310"/>
    </row>
    <row r="166" spans="1:34" ht="75.75" thickBot="1" x14ac:dyDescent="0.3">
      <c r="A166" s="316" t="s">
        <v>764</v>
      </c>
      <c r="B166" s="533" t="s">
        <v>765</v>
      </c>
      <c r="C166" s="308" t="s">
        <v>406</v>
      </c>
      <c r="D166" s="536" t="s">
        <v>388</v>
      </c>
      <c r="E166" s="308"/>
      <c r="F166" s="533" t="s">
        <v>766</v>
      </c>
      <c r="G166" s="231" t="str">
        <f>VLOOKUP(A166,'Feature Summary'!$A$7:$C$4104,3,FALSE)</f>
        <v>P2</v>
      </c>
      <c r="H166" s="540" t="s">
        <v>767</v>
      </c>
      <c r="I166" s="540" t="s">
        <v>309</v>
      </c>
      <c r="J166" s="541" t="s">
        <v>327</v>
      </c>
      <c r="K166" s="548">
        <v>1</v>
      </c>
      <c r="L166" s="549">
        <v>2</v>
      </c>
      <c r="M166" s="545" t="s">
        <v>33</v>
      </c>
      <c r="N166" s="445">
        <v>1</v>
      </c>
      <c r="O166" s="443">
        <v>2</v>
      </c>
      <c r="P166" s="447">
        <f t="shared" si="28"/>
        <v>1</v>
      </c>
      <c r="Q166" s="431" t="s">
        <v>45</v>
      </c>
      <c r="R166" s="309">
        <v>2</v>
      </c>
      <c r="S166" s="477">
        <f t="shared" si="24"/>
        <v>2</v>
      </c>
      <c r="T166" s="465">
        <v>2</v>
      </c>
      <c r="U166" s="465"/>
      <c r="V166" s="465"/>
      <c r="W166" s="465"/>
      <c r="X166" s="478">
        <f t="shared" si="22"/>
        <v>1</v>
      </c>
      <c r="Y166" s="432"/>
      <c r="Z166" s="464">
        <f t="shared" si="25"/>
        <v>2</v>
      </c>
      <c r="AA166" s="465">
        <v>2</v>
      </c>
      <c r="AB166" s="465"/>
      <c r="AC166" s="465"/>
      <c r="AD166" s="465"/>
      <c r="AE166" s="466">
        <f t="shared" si="26"/>
        <v>1</v>
      </c>
      <c r="AF166" s="308" t="s">
        <v>311</v>
      </c>
      <c r="AG166" s="433" t="str">
        <f>VLOOKUP(A166,'Feature Summary'!$A$7:$U$4104,21,FALSE)</f>
        <v>A/B + 5wks</v>
      </c>
      <c r="AH166" s="310"/>
    </row>
    <row r="167" spans="1:34" ht="28.9" hidden="1" customHeight="1" thickBot="1" x14ac:dyDescent="0.3">
      <c r="A167" s="316" t="s">
        <v>768</v>
      </c>
      <c r="B167" s="533" t="s">
        <v>769</v>
      </c>
      <c r="C167" s="308"/>
      <c r="D167" s="536" t="s">
        <v>388</v>
      </c>
      <c r="E167" s="308"/>
      <c r="F167" s="577" t="s">
        <v>770</v>
      </c>
      <c r="G167" s="231" t="e">
        <f>VLOOKUP(A167,'Feature Summary'!$A$7:$C$4104,3,FALSE)</f>
        <v>#N/A</v>
      </c>
      <c r="H167" s="540"/>
      <c r="I167" s="540"/>
      <c r="J167" s="541" t="s">
        <v>622</v>
      </c>
      <c r="K167" s="548"/>
      <c r="L167" s="549"/>
      <c r="M167" s="545" t="s">
        <v>33</v>
      </c>
      <c r="N167" s="445">
        <v>1</v>
      </c>
      <c r="O167" s="443"/>
      <c r="P167" s="447">
        <f t="shared" si="28"/>
        <v>0</v>
      </c>
      <c r="Q167" s="431" t="s">
        <v>44</v>
      </c>
      <c r="R167" s="309"/>
      <c r="S167" s="477">
        <v>0</v>
      </c>
      <c r="T167" s="465"/>
      <c r="U167" s="465"/>
      <c r="V167" s="465"/>
      <c r="W167" s="465"/>
      <c r="X167" s="478">
        <v>0</v>
      </c>
      <c r="Y167" s="432"/>
      <c r="Z167" s="464">
        <f t="shared" si="25"/>
        <v>0</v>
      </c>
      <c r="AA167" s="465"/>
      <c r="AB167" s="465"/>
      <c r="AC167" s="465"/>
      <c r="AD167" s="465"/>
      <c r="AE167" s="466">
        <v>0</v>
      </c>
      <c r="AF167" s="587"/>
      <c r="AG167" s="433" t="e">
        <f>VLOOKUP(A167,'Feature Summary'!$A$7:$U$4104,21,FALSE)</f>
        <v>#N/A</v>
      </c>
      <c r="AH167" s="316"/>
    </row>
    <row r="168" spans="1:34" ht="101.25" customHeight="1" thickBot="1" x14ac:dyDescent="0.3">
      <c r="A168" s="564" t="s">
        <v>771</v>
      </c>
      <c r="B168" s="533" t="s">
        <v>772</v>
      </c>
      <c r="C168" s="308" t="s">
        <v>406</v>
      </c>
      <c r="D168" s="536" t="s">
        <v>306</v>
      </c>
      <c r="E168" s="308"/>
      <c r="F168" s="533" t="s">
        <v>773</v>
      </c>
      <c r="G168" s="231" t="e">
        <f>VLOOKUP(A168,'Feature Summary'!$A$7:$C$4104,3,FALSE)</f>
        <v>#N/A</v>
      </c>
      <c r="H168" s="540" t="s">
        <v>774</v>
      </c>
      <c r="I168" s="540" t="s">
        <v>309</v>
      </c>
      <c r="J168" s="541" t="s">
        <v>775</v>
      </c>
      <c r="K168" s="548">
        <v>4</v>
      </c>
      <c r="L168" s="549">
        <v>2</v>
      </c>
      <c r="M168" s="545" t="s">
        <v>33</v>
      </c>
      <c r="N168" s="445">
        <v>1</v>
      </c>
      <c r="O168" s="443">
        <v>2</v>
      </c>
      <c r="P168" s="447">
        <f t="shared" si="28"/>
        <v>1</v>
      </c>
      <c r="Q168" s="431" t="s">
        <v>45</v>
      </c>
      <c r="R168" s="309">
        <v>2</v>
      </c>
      <c r="S168" s="477">
        <f t="shared" si="24"/>
        <v>2</v>
      </c>
      <c r="T168" s="465">
        <v>2</v>
      </c>
      <c r="U168" s="465"/>
      <c r="V168" s="465"/>
      <c r="W168" s="465"/>
      <c r="X168" s="478">
        <f t="shared" si="22"/>
        <v>1</v>
      </c>
      <c r="Y168" s="432"/>
      <c r="Z168" s="464">
        <f t="shared" si="25"/>
        <v>2</v>
      </c>
      <c r="AA168" s="465"/>
      <c r="AB168" s="465">
        <v>2</v>
      </c>
      <c r="AC168" s="465"/>
      <c r="AD168" s="465"/>
      <c r="AE168" s="466">
        <f t="shared" si="26"/>
        <v>1</v>
      </c>
      <c r="AF168" s="308" t="s">
        <v>776</v>
      </c>
      <c r="AG168" s="433" t="e">
        <f>VLOOKUP(A168,'Feature Summary'!$A$7:$U$4104,21,FALSE)</f>
        <v>#N/A</v>
      </c>
      <c r="AH168" s="580" t="s">
        <v>777</v>
      </c>
    </row>
    <row r="169" spans="1:34" ht="105.75" customHeight="1" thickBot="1" x14ac:dyDescent="0.3">
      <c r="A169" s="564" t="s">
        <v>771</v>
      </c>
      <c r="B169" s="533" t="s">
        <v>772</v>
      </c>
      <c r="C169" s="308" t="s">
        <v>406</v>
      </c>
      <c r="D169" s="536" t="s">
        <v>388</v>
      </c>
      <c r="E169" s="308"/>
      <c r="F169" s="533" t="s">
        <v>778</v>
      </c>
      <c r="G169" s="231" t="e">
        <f>VLOOKUP(A169,'Feature Summary'!$A$7:$C$4104,3,FALSE)</f>
        <v>#N/A</v>
      </c>
      <c r="H169" s="540" t="s">
        <v>779</v>
      </c>
      <c r="I169" s="540" t="s">
        <v>309</v>
      </c>
      <c r="J169" s="541" t="s">
        <v>775</v>
      </c>
      <c r="K169" s="548">
        <v>1</v>
      </c>
      <c r="L169" s="549">
        <v>1</v>
      </c>
      <c r="M169" s="545" t="s">
        <v>33</v>
      </c>
      <c r="N169" s="445">
        <v>1</v>
      </c>
      <c r="O169" s="443">
        <v>1</v>
      </c>
      <c r="P169" s="447">
        <f t="shared" si="28"/>
        <v>1</v>
      </c>
      <c r="Q169" s="431" t="s">
        <v>45</v>
      </c>
      <c r="R169" s="309">
        <v>1</v>
      </c>
      <c r="S169" s="477">
        <f t="shared" si="24"/>
        <v>1</v>
      </c>
      <c r="T169" s="465">
        <v>1</v>
      </c>
      <c r="U169" s="465"/>
      <c r="V169" s="465"/>
      <c r="W169" s="465"/>
      <c r="X169" s="478">
        <f t="shared" si="22"/>
        <v>1</v>
      </c>
      <c r="Y169" s="432"/>
      <c r="Z169" s="464">
        <f t="shared" si="25"/>
        <v>1</v>
      </c>
      <c r="AA169" s="465"/>
      <c r="AB169" s="465">
        <v>1</v>
      </c>
      <c r="AC169" s="465"/>
      <c r="AD169" s="465"/>
      <c r="AE169" s="466">
        <f t="shared" si="26"/>
        <v>1</v>
      </c>
      <c r="AF169" s="308" t="s">
        <v>776</v>
      </c>
      <c r="AG169" s="433" t="e">
        <f>VLOOKUP(A169,'Feature Summary'!$A$7:$U$4104,21,FALSE)</f>
        <v>#N/A</v>
      </c>
      <c r="AH169" s="580"/>
    </row>
    <row r="170" spans="1:34" ht="30.75" thickBot="1" x14ac:dyDescent="0.3">
      <c r="A170" s="316" t="s">
        <v>577</v>
      </c>
      <c r="B170" s="533" t="s">
        <v>578</v>
      </c>
      <c r="C170" s="308" t="s">
        <v>780</v>
      </c>
      <c r="D170" s="536" t="s">
        <v>306</v>
      </c>
      <c r="E170" s="308"/>
      <c r="F170" s="533" t="s">
        <v>781</v>
      </c>
      <c r="G170" s="231" t="str">
        <f>VLOOKUP(A170,'Feature Summary'!$A$7:$C$4104,3,FALSE)</f>
        <v>P1</v>
      </c>
      <c r="H170" s="540" t="s">
        <v>782</v>
      </c>
      <c r="I170" s="540" t="s">
        <v>309</v>
      </c>
      <c r="J170" s="541" t="s">
        <v>327</v>
      </c>
      <c r="K170" s="548">
        <v>1</v>
      </c>
      <c r="L170" s="549">
        <v>1</v>
      </c>
      <c r="M170" s="545" t="s">
        <v>33</v>
      </c>
      <c r="N170" s="445">
        <v>1</v>
      </c>
      <c r="O170" s="443">
        <v>1</v>
      </c>
      <c r="P170" s="447">
        <f t="shared" ref="P170" si="29">IF((O170=0),0,(O170/L170))</f>
        <v>1</v>
      </c>
      <c r="Q170" s="431" t="s">
        <v>45</v>
      </c>
      <c r="R170" s="309">
        <v>1</v>
      </c>
      <c r="S170" s="477">
        <f t="shared" ref="S170" si="30">SUM(T170:W170)</f>
        <v>1</v>
      </c>
      <c r="T170" s="465">
        <v>1</v>
      </c>
      <c r="U170" s="465"/>
      <c r="V170" s="465"/>
      <c r="W170" s="465"/>
      <c r="X170" s="478">
        <f t="shared" ref="X170" si="31">IF((S170=0),0,((T170+U170)/S170*100%))</f>
        <v>1</v>
      </c>
      <c r="Y170" s="432"/>
      <c r="Z170" s="464">
        <f t="shared" ref="Z170" si="32">SUM(AA170:AD170)</f>
        <v>1</v>
      </c>
      <c r="AA170" s="465">
        <v>1</v>
      </c>
      <c r="AB170" s="465"/>
      <c r="AC170" s="465"/>
      <c r="AD170" s="465"/>
      <c r="AE170" s="466">
        <f t="shared" ref="AE170" si="33">IF((Z170=0),0,((AA170+AB170)/Z170*100%))</f>
        <v>1</v>
      </c>
      <c r="AF170" s="426" t="s">
        <v>311</v>
      </c>
      <c r="AG170" s="433" t="str">
        <f>VLOOKUP(A170,'Feature Summary'!$A$7:$U$4104,21,FALSE)</f>
        <v>A/B + 8wks</v>
      </c>
      <c r="AH170" s="310"/>
    </row>
    <row r="171" spans="1:34" ht="30.75" thickBot="1" x14ac:dyDescent="0.3">
      <c r="A171" s="316" t="s">
        <v>577</v>
      </c>
      <c r="B171" s="533" t="s">
        <v>578</v>
      </c>
      <c r="C171" s="308" t="s">
        <v>780</v>
      </c>
      <c r="D171" s="536" t="s">
        <v>306</v>
      </c>
      <c r="E171" s="308"/>
      <c r="F171" s="533" t="s">
        <v>781</v>
      </c>
      <c r="G171" s="231" t="str">
        <f>VLOOKUP(A171,'Feature Summary'!$A$7:$C$4104,3,FALSE)</f>
        <v>P1</v>
      </c>
      <c r="H171" s="540" t="s">
        <v>783</v>
      </c>
      <c r="I171" s="540" t="s">
        <v>331</v>
      </c>
      <c r="J171" s="541" t="s">
        <v>327</v>
      </c>
      <c r="K171" s="548">
        <v>1</v>
      </c>
      <c r="L171" s="549">
        <v>1</v>
      </c>
      <c r="M171" s="545" t="s">
        <v>33</v>
      </c>
      <c r="N171" s="445">
        <v>1</v>
      </c>
      <c r="O171" s="443">
        <v>1</v>
      </c>
      <c r="P171" s="447">
        <f t="shared" si="28"/>
        <v>1</v>
      </c>
      <c r="Q171" s="431" t="s">
        <v>45</v>
      </c>
      <c r="R171" s="309">
        <v>1</v>
      </c>
      <c r="S171" s="477">
        <v>1</v>
      </c>
      <c r="T171" s="465">
        <v>1</v>
      </c>
      <c r="U171" s="465"/>
      <c r="V171" s="465"/>
      <c r="W171" s="465"/>
      <c r="X171" s="478">
        <f t="shared" si="22"/>
        <v>1</v>
      </c>
      <c r="Y171" s="432"/>
      <c r="Z171" s="464">
        <f t="shared" si="25"/>
        <v>1</v>
      </c>
      <c r="AA171" s="465">
        <v>1</v>
      </c>
      <c r="AB171" s="465"/>
      <c r="AC171" s="465"/>
      <c r="AD171" s="465"/>
      <c r="AE171" s="466">
        <f t="shared" si="26"/>
        <v>1</v>
      </c>
      <c r="AF171" s="571" t="s">
        <v>332</v>
      </c>
      <c r="AG171" s="433" t="str">
        <f>VLOOKUP(A171,'Feature Summary'!$A$7:$U$4104,21,FALSE)</f>
        <v>A/B + 8wks</v>
      </c>
      <c r="AH171" s="310"/>
    </row>
    <row r="172" spans="1:34" ht="75.75" thickBot="1" x14ac:dyDescent="0.3">
      <c r="A172" s="316" t="s">
        <v>784</v>
      </c>
      <c r="B172" s="533" t="s">
        <v>785</v>
      </c>
      <c r="C172" s="308" t="s">
        <v>780</v>
      </c>
      <c r="D172" s="536" t="s">
        <v>388</v>
      </c>
      <c r="E172" s="308"/>
      <c r="F172" s="533" t="s">
        <v>786</v>
      </c>
      <c r="G172" s="231" t="e">
        <f>VLOOKUP(A172,'Feature Summary'!$A$7:$C$4104,3,FALSE)</f>
        <v>#N/A</v>
      </c>
      <c r="H172" s="540" t="s">
        <v>787</v>
      </c>
      <c r="I172" s="540" t="s">
        <v>309</v>
      </c>
      <c r="J172" s="541" t="s">
        <v>327</v>
      </c>
      <c r="K172" s="548">
        <v>4</v>
      </c>
      <c r="L172" s="549">
        <v>1</v>
      </c>
      <c r="M172" s="545" t="s">
        <v>33</v>
      </c>
      <c r="N172" s="445">
        <v>1</v>
      </c>
      <c r="O172" s="443">
        <v>1</v>
      </c>
      <c r="P172" s="447">
        <f t="shared" si="28"/>
        <v>1</v>
      </c>
      <c r="Q172" s="431" t="s">
        <v>45</v>
      </c>
      <c r="R172" s="309">
        <v>1</v>
      </c>
      <c r="S172" s="477">
        <f t="shared" si="24"/>
        <v>1</v>
      </c>
      <c r="T172" s="465">
        <v>1</v>
      </c>
      <c r="U172" s="465"/>
      <c r="V172" s="465"/>
      <c r="W172" s="465"/>
      <c r="X172" s="478">
        <f t="shared" si="22"/>
        <v>1</v>
      </c>
      <c r="Y172" s="432"/>
      <c r="Z172" s="464">
        <f t="shared" si="25"/>
        <v>1</v>
      </c>
      <c r="AA172" s="465">
        <v>1</v>
      </c>
      <c r="AB172" s="465"/>
      <c r="AC172" s="465"/>
      <c r="AD172" s="465"/>
      <c r="AE172" s="466">
        <f t="shared" si="26"/>
        <v>1</v>
      </c>
      <c r="AF172" s="308" t="s">
        <v>788</v>
      </c>
      <c r="AG172" s="429" t="str">
        <f>VLOOKUP(LEFT(A172,(FIND(",",A172,1)-1)),'Feature Summary'!$A$7:$U$4035,21,FALSE)</f>
        <v>A/B + 8wks</v>
      </c>
      <c r="AH172" s="580" t="s">
        <v>789</v>
      </c>
    </row>
    <row r="173" spans="1:34" ht="60.75" thickBot="1" x14ac:dyDescent="0.3">
      <c r="A173" s="316" t="s">
        <v>784</v>
      </c>
      <c r="B173" s="533" t="s">
        <v>785</v>
      </c>
      <c r="C173" s="308" t="s">
        <v>780</v>
      </c>
      <c r="D173" s="536" t="s">
        <v>306</v>
      </c>
      <c r="E173" s="308"/>
      <c r="F173" s="533" t="s">
        <v>790</v>
      </c>
      <c r="G173" s="231" t="e">
        <f>VLOOKUP(A173,'Feature Summary'!$A$7:$C$4104,3,FALSE)</f>
        <v>#N/A</v>
      </c>
      <c r="H173" s="540" t="s">
        <v>791</v>
      </c>
      <c r="I173" s="540" t="s">
        <v>309</v>
      </c>
      <c r="J173" s="541" t="s">
        <v>327</v>
      </c>
      <c r="K173" s="548">
        <v>1</v>
      </c>
      <c r="L173" s="549">
        <v>1</v>
      </c>
      <c r="M173" s="545" t="s">
        <v>33</v>
      </c>
      <c r="N173" s="445">
        <v>1</v>
      </c>
      <c r="O173" s="443">
        <v>1</v>
      </c>
      <c r="P173" s="447">
        <f t="shared" si="28"/>
        <v>1</v>
      </c>
      <c r="Q173" s="431" t="s">
        <v>45</v>
      </c>
      <c r="R173" s="309">
        <v>1</v>
      </c>
      <c r="S173" s="477">
        <f t="shared" si="24"/>
        <v>1</v>
      </c>
      <c r="T173" s="465">
        <v>1</v>
      </c>
      <c r="U173" s="465"/>
      <c r="V173" s="465"/>
      <c r="W173" s="465"/>
      <c r="X173" s="478">
        <f t="shared" si="22"/>
        <v>1</v>
      </c>
      <c r="Y173" s="432"/>
      <c r="Z173" s="464">
        <f t="shared" si="25"/>
        <v>1</v>
      </c>
      <c r="AA173" s="465">
        <v>1</v>
      </c>
      <c r="AB173" s="599"/>
      <c r="AC173" s="465"/>
      <c r="AD173" s="465"/>
      <c r="AE173" s="466">
        <f t="shared" si="26"/>
        <v>1</v>
      </c>
      <c r="AF173" s="308" t="s">
        <v>340</v>
      </c>
      <c r="AG173" s="429" t="str">
        <f>VLOOKUP(LEFT(A173,(FIND(",",A173,1)-1)),'Feature Summary'!$A$7:$U$4035,21,FALSE)</f>
        <v>A/B + 8wks</v>
      </c>
      <c r="AH173" s="580"/>
    </row>
    <row r="174" spans="1:34" ht="60.75" thickBot="1" x14ac:dyDescent="0.3">
      <c r="A174" s="316" t="s">
        <v>784</v>
      </c>
      <c r="B174" s="533" t="s">
        <v>785</v>
      </c>
      <c r="C174" s="308" t="s">
        <v>780</v>
      </c>
      <c r="D174" s="536" t="s">
        <v>306</v>
      </c>
      <c r="E174" s="308"/>
      <c r="F174" s="533" t="s">
        <v>792</v>
      </c>
      <c r="G174" s="231" t="e">
        <f>VLOOKUP(A174,'Feature Summary'!$A$7:$C$4104,3,FALSE)</f>
        <v>#N/A</v>
      </c>
      <c r="H174" s="540" t="s">
        <v>793</v>
      </c>
      <c r="I174" s="540" t="s">
        <v>309</v>
      </c>
      <c r="J174" s="541" t="s">
        <v>327</v>
      </c>
      <c r="K174" s="548">
        <v>1</v>
      </c>
      <c r="L174" s="549">
        <v>1</v>
      </c>
      <c r="M174" s="545" t="s">
        <v>33</v>
      </c>
      <c r="N174" s="445">
        <v>1</v>
      </c>
      <c r="O174" s="443">
        <v>1</v>
      </c>
      <c r="P174" s="447">
        <f t="shared" si="28"/>
        <v>1</v>
      </c>
      <c r="Q174" s="431" t="s">
        <v>45</v>
      </c>
      <c r="R174" s="309">
        <v>1</v>
      </c>
      <c r="S174" s="477">
        <f t="shared" si="24"/>
        <v>1</v>
      </c>
      <c r="T174" s="465">
        <v>1</v>
      </c>
      <c r="U174" s="465"/>
      <c r="V174" s="465"/>
      <c r="W174" s="465"/>
      <c r="X174" s="478">
        <f t="shared" si="22"/>
        <v>1</v>
      </c>
      <c r="Y174" s="432"/>
      <c r="Z174" s="464">
        <f t="shared" si="25"/>
        <v>1</v>
      </c>
      <c r="AA174" s="465">
        <v>1</v>
      </c>
      <c r="AB174" s="599"/>
      <c r="AC174" s="465"/>
      <c r="AD174" s="465"/>
      <c r="AE174" s="466">
        <f t="shared" si="26"/>
        <v>1</v>
      </c>
      <c r="AF174" s="308" t="s">
        <v>340</v>
      </c>
      <c r="AG174" s="429" t="str">
        <f>VLOOKUP(LEFT(A174,(FIND(",",A174,1)-1)),'Feature Summary'!$A$7:$U$4035,21,FALSE)</f>
        <v>A/B + 8wks</v>
      </c>
      <c r="AH174" s="580"/>
    </row>
    <row r="175" spans="1:34" ht="60.75" thickBot="1" x14ac:dyDescent="0.3">
      <c r="A175" s="316" t="s">
        <v>784</v>
      </c>
      <c r="B175" s="533" t="s">
        <v>785</v>
      </c>
      <c r="C175" s="308" t="s">
        <v>780</v>
      </c>
      <c r="D175" s="536" t="s">
        <v>306</v>
      </c>
      <c r="E175" s="308"/>
      <c r="F175" s="533" t="s">
        <v>794</v>
      </c>
      <c r="G175" s="231" t="e">
        <f>VLOOKUP(A175,'Feature Summary'!$A$7:$C$4104,3,FALSE)</f>
        <v>#N/A</v>
      </c>
      <c r="H175" s="540" t="s">
        <v>795</v>
      </c>
      <c r="I175" s="540" t="s">
        <v>309</v>
      </c>
      <c r="J175" s="541" t="s">
        <v>327</v>
      </c>
      <c r="K175" s="548">
        <v>1</v>
      </c>
      <c r="L175" s="549">
        <v>1</v>
      </c>
      <c r="M175" s="545" t="s">
        <v>33</v>
      </c>
      <c r="N175" s="445">
        <v>1</v>
      </c>
      <c r="O175" s="443">
        <v>1</v>
      </c>
      <c r="P175" s="447">
        <f t="shared" si="28"/>
        <v>1</v>
      </c>
      <c r="Q175" s="431" t="s">
        <v>45</v>
      </c>
      <c r="R175" s="309">
        <v>1</v>
      </c>
      <c r="S175" s="477">
        <f t="shared" si="24"/>
        <v>1</v>
      </c>
      <c r="T175" s="465">
        <v>1</v>
      </c>
      <c r="U175" s="465"/>
      <c r="V175" s="465"/>
      <c r="W175" s="465"/>
      <c r="X175" s="478">
        <f t="shared" si="22"/>
        <v>1</v>
      </c>
      <c r="Y175" s="432"/>
      <c r="Z175" s="464">
        <f t="shared" si="25"/>
        <v>1</v>
      </c>
      <c r="AA175" s="465">
        <v>1</v>
      </c>
      <c r="AB175" s="465"/>
      <c r="AC175" s="465"/>
      <c r="AD175" s="465"/>
      <c r="AE175" s="466">
        <f t="shared" si="26"/>
        <v>1</v>
      </c>
      <c r="AF175" s="308" t="s">
        <v>788</v>
      </c>
      <c r="AG175" s="429" t="str">
        <f>VLOOKUP(LEFT(A175,(FIND(",",A175,1)-1)),'Feature Summary'!$A$7:$U$4035,21,FALSE)</f>
        <v>A/B + 8wks</v>
      </c>
      <c r="AH175" s="580"/>
    </row>
    <row r="176" spans="1:34" ht="60.75" thickBot="1" x14ac:dyDescent="0.3">
      <c r="A176" s="316" t="s">
        <v>784</v>
      </c>
      <c r="B176" s="533" t="s">
        <v>785</v>
      </c>
      <c r="C176" s="308" t="s">
        <v>780</v>
      </c>
      <c r="D176" s="536" t="s">
        <v>306</v>
      </c>
      <c r="E176" s="308"/>
      <c r="F176" s="533" t="s">
        <v>796</v>
      </c>
      <c r="G176" s="231" t="e">
        <f>VLOOKUP(A176,'Feature Summary'!$A$7:$C$4104,3,FALSE)</f>
        <v>#N/A</v>
      </c>
      <c r="H176" s="540" t="s">
        <v>797</v>
      </c>
      <c r="I176" s="540" t="s">
        <v>309</v>
      </c>
      <c r="J176" s="541" t="s">
        <v>327</v>
      </c>
      <c r="K176" s="548">
        <v>1</v>
      </c>
      <c r="L176" s="549">
        <v>1</v>
      </c>
      <c r="M176" s="545" t="s">
        <v>33</v>
      </c>
      <c r="N176" s="445">
        <v>1</v>
      </c>
      <c r="O176" s="443">
        <v>1</v>
      </c>
      <c r="P176" s="447">
        <f t="shared" si="28"/>
        <v>1</v>
      </c>
      <c r="Q176" s="431" t="s">
        <v>45</v>
      </c>
      <c r="R176" s="309">
        <v>1</v>
      </c>
      <c r="S176" s="477">
        <f t="shared" si="24"/>
        <v>1</v>
      </c>
      <c r="T176" s="465">
        <v>1</v>
      </c>
      <c r="U176" s="465"/>
      <c r="V176" s="465"/>
      <c r="W176" s="465"/>
      <c r="X176" s="478">
        <f t="shared" si="22"/>
        <v>1</v>
      </c>
      <c r="Y176" s="432"/>
      <c r="Z176" s="464">
        <f t="shared" si="25"/>
        <v>1</v>
      </c>
      <c r="AA176" s="465">
        <v>1</v>
      </c>
      <c r="AB176" s="465"/>
      <c r="AC176" s="465"/>
      <c r="AD176" s="465"/>
      <c r="AE176" s="466">
        <f t="shared" si="26"/>
        <v>1</v>
      </c>
      <c r="AF176" s="308" t="s">
        <v>788</v>
      </c>
      <c r="AG176" s="429" t="str">
        <f>VLOOKUP(LEFT(A176,(FIND(",",A176,1)-1)),'Feature Summary'!$A$7:$U$4035,21,FALSE)</f>
        <v>A/B + 8wks</v>
      </c>
      <c r="AH176" s="580"/>
    </row>
    <row r="177" spans="1:34" ht="60.75" thickBot="1" x14ac:dyDescent="0.3">
      <c r="A177" s="316" t="s">
        <v>798</v>
      </c>
      <c r="B177" s="533" t="s">
        <v>785</v>
      </c>
      <c r="C177" s="308" t="s">
        <v>780</v>
      </c>
      <c r="D177" s="536" t="s">
        <v>306</v>
      </c>
      <c r="E177" s="308"/>
      <c r="F177" s="533" t="s">
        <v>799</v>
      </c>
      <c r="G177" s="231" t="e">
        <f>VLOOKUP(A177,'Feature Summary'!$A$7:$C$4104,3,FALSE)</f>
        <v>#N/A</v>
      </c>
      <c r="H177" s="540" t="s">
        <v>800</v>
      </c>
      <c r="I177" s="540" t="s">
        <v>309</v>
      </c>
      <c r="J177" s="541" t="s">
        <v>327</v>
      </c>
      <c r="K177" s="548">
        <v>1</v>
      </c>
      <c r="L177" s="549">
        <v>1</v>
      </c>
      <c r="M177" s="545" t="s">
        <v>33</v>
      </c>
      <c r="N177" s="445">
        <v>1</v>
      </c>
      <c r="O177" s="443">
        <v>1</v>
      </c>
      <c r="P177" s="447">
        <f t="shared" si="28"/>
        <v>1</v>
      </c>
      <c r="Q177" s="431" t="s">
        <v>45</v>
      </c>
      <c r="R177" s="309">
        <v>1</v>
      </c>
      <c r="S177" s="477">
        <f t="shared" si="24"/>
        <v>1</v>
      </c>
      <c r="T177" s="465">
        <v>1</v>
      </c>
      <c r="U177" s="465"/>
      <c r="V177" s="465"/>
      <c r="W177" s="465"/>
      <c r="X177" s="478">
        <f t="shared" si="22"/>
        <v>1</v>
      </c>
      <c r="Y177" s="432"/>
      <c r="Z177" s="464">
        <f t="shared" si="25"/>
        <v>1</v>
      </c>
      <c r="AA177" s="465">
        <v>1</v>
      </c>
      <c r="AB177" s="599"/>
      <c r="AC177" s="465"/>
      <c r="AD177" s="465"/>
      <c r="AE177" s="466">
        <f t="shared" si="26"/>
        <v>1</v>
      </c>
      <c r="AF177" s="308" t="s">
        <v>340</v>
      </c>
      <c r="AG177" s="429" t="str">
        <f>VLOOKUP(LEFT(A177,(FIND(",",A177,1)-1)),'Feature Summary'!$A$7:$U$4035,21,FALSE)</f>
        <v>A/B + 8wks</v>
      </c>
      <c r="AH177" s="580"/>
    </row>
    <row r="178" spans="1:34" ht="60.75" thickBot="1" x14ac:dyDescent="0.3">
      <c r="A178" s="316" t="s">
        <v>798</v>
      </c>
      <c r="B178" s="533" t="s">
        <v>785</v>
      </c>
      <c r="C178" s="308" t="s">
        <v>780</v>
      </c>
      <c r="D178" s="536" t="s">
        <v>306</v>
      </c>
      <c r="E178" s="308"/>
      <c r="F178" s="533" t="s">
        <v>801</v>
      </c>
      <c r="G178" s="231" t="e">
        <f>VLOOKUP(A178,'Feature Summary'!$A$7:$C$4104,3,FALSE)</f>
        <v>#N/A</v>
      </c>
      <c r="H178" s="540" t="s">
        <v>802</v>
      </c>
      <c r="I178" s="540" t="s">
        <v>309</v>
      </c>
      <c r="J178" s="541" t="s">
        <v>327</v>
      </c>
      <c r="K178" s="548">
        <v>1</v>
      </c>
      <c r="L178" s="549">
        <v>1</v>
      </c>
      <c r="M178" s="545" t="s">
        <v>33</v>
      </c>
      <c r="N178" s="445">
        <v>1</v>
      </c>
      <c r="O178" s="443">
        <v>1</v>
      </c>
      <c r="P178" s="447">
        <f t="shared" si="28"/>
        <v>1</v>
      </c>
      <c r="Q178" s="431" t="s">
        <v>45</v>
      </c>
      <c r="R178" s="309">
        <v>1</v>
      </c>
      <c r="S178" s="477">
        <f t="shared" si="24"/>
        <v>1</v>
      </c>
      <c r="T178" s="465">
        <v>1</v>
      </c>
      <c r="U178" s="465"/>
      <c r="V178" s="465"/>
      <c r="W178" s="465"/>
      <c r="X178" s="478">
        <f t="shared" ref="X178:X265" si="34">IF((S178=0),0,((T178+U178)/S178*100%))</f>
        <v>1</v>
      </c>
      <c r="Y178" s="432"/>
      <c r="Z178" s="464">
        <f t="shared" si="25"/>
        <v>1</v>
      </c>
      <c r="AA178" s="465">
        <v>1</v>
      </c>
      <c r="AB178" s="599"/>
      <c r="AC178" s="465"/>
      <c r="AD178" s="465"/>
      <c r="AE178" s="466">
        <f t="shared" si="26"/>
        <v>1</v>
      </c>
      <c r="AF178" s="308" t="s">
        <v>340</v>
      </c>
      <c r="AG178" s="429" t="str">
        <f>VLOOKUP(LEFT(A178,(FIND(",",A178,1)-1)),'Feature Summary'!$A$7:$U$4035,21,FALSE)</f>
        <v>A/B + 8wks</v>
      </c>
      <c r="AH178" s="580"/>
    </row>
    <row r="179" spans="1:34" ht="60.75" thickBot="1" x14ac:dyDescent="0.3">
      <c r="A179" s="316" t="s">
        <v>798</v>
      </c>
      <c r="B179" s="533" t="s">
        <v>785</v>
      </c>
      <c r="C179" s="308" t="s">
        <v>780</v>
      </c>
      <c r="D179" s="536" t="s">
        <v>306</v>
      </c>
      <c r="E179" s="308"/>
      <c r="F179" s="533" t="s">
        <v>803</v>
      </c>
      <c r="G179" s="231" t="e">
        <f>VLOOKUP(A179,'Feature Summary'!$A$7:$C$4104,3,FALSE)</f>
        <v>#N/A</v>
      </c>
      <c r="H179" s="540" t="s">
        <v>804</v>
      </c>
      <c r="I179" s="540" t="s">
        <v>309</v>
      </c>
      <c r="J179" s="541" t="s">
        <v>327</v>
      </c>
      <c r="K179" s="548">
        <v>1</v>
      </c>
      <c r="L179" s="549">
        <v>1</v>
      </c>
      <c r="M179" s="545" t="s">
        <v>33</v>
      </c>
      <c r="N179" s="445">
        <v>1</v>
      </c>
      <c r="O179" s="443">
        <v>1</v>
      </c>
      <c r="P179" s="447">
        <f t="shared" si="28"/>
        <v>1</v>
      </c>
      <c r="Q179" s="431" t="s">
        <v>45</v>
      </c>
      <c r="R179" s="309">
        <v>1</v>
      </c>
      <c r="S179" s="477">
        <f t="shared" ref="S179:S265" si="35">SUM(T179:W179)</f>
        <v>1</v>
      </c>
      <c r="T179" s="465">
        <v>1</v>
      </c>
      <c r="U179" s="465"/>
      <c r="V179" s="465"/>
      <c r="W179" s="465"/>
      <c r="X179" s="478">
        <f t="shared" si="34"/>
        <v>1</v>
      </c>
      <c r="Y179" s="432"/>
      <c r="Z179" s="464">
        <f t="shared" ref="Z179:Z286" si="36">SUM(AA179:AD179)</f>
        <v>1</v>
      </c>
      <c r="AA179" s="465">
        <v>1</v>
      </c>
      <c r="AB179" s="465"/>
      <c r="AC179" s="465"/>
      <c r="AD179" s="465"/>
      <c r="AE179" s="466">
        <f t="shared" ref="AE179:AE286" si="37">IF((Z179=0),0,((AA179+AB179)/Z179*100%))</f>
        <v>1</v>
      </c>
      <c r="AF179" s="308" t="s">
        <v>788</v>
      </c>
      <c r="AG179" s="429" t="str">
        <f>VLOOKUP(LEFT(A179,(FIND(",",A179,1)-1)),'Feature Summary'!$A$7:$U$4035,21,FALSE)</f>
        <v>A/B + 8wks</v>
      </c>
      <c r="AH179" s="580"/>
    </row>
    <row r="180" spans="1:34" s="171" customFormat="1" ht="75.75" thickBot="1" x14ac:dyDescent="0.3">
      <c r="A180" s="316" t="s">
        <v>798</v>
      </c>
      <c r="B180" s="533" t="s">
        <v>785</v>
      </c>
      <c r="C180" s="308" t="s">
        <v>780</v>
      </c>
      <c r="D180" s="536" t="s">
        <v>306</v>
      </c>
      <c r="E180" s="308"/>
      <c r="F180" s="533" t="s">
        <v>805</v>
      </c>
      <c r="G180" s="231" t="e">
        <f>VLOOKUP(A180,'Feature Summary'!$A$7:$C$4104,3,FALSE)</f>
        <v>#N/A</v>
      </c>
      <c r="H180" s="540" t="s">
        <v>806</v>
      </c>
      <c r="I180" s="540" t="s">
        <v>309</v>
      </c>
      <c r="J180" s="541" t="s">
        <v>327</v>
      </c>
      <c r="K180" s="548">
        <v>1</v>
      </c>
      <c r="L180" s="549">
        <v>1</v>
      </c>
      <c r="M180" s="545" t="s">
        <v>33</v>
      </c>
      <c r="N180" s="445">
        <v>1</v>
      </c>
      <c r="O180" s="443">
        <v>1</v>
      </c>
      <c r="P180" s="447">
        <f t="shared" si="28"/>
        <v>1</v>
      </c>
      <c r="Q180" s="431" t="s">
        <v>45</v>
      </c>
      <c r="R180" s="309">
        <v>1</v>
      </c>
      <c r="S180" s="477">
        <f t="shared" si="35"/>
        <v>1</v>
      </c>
      <c r="T180" s="465">
        <v>1</v>
      </c>
      <c r="U180" s="465"/>
      <c r="V180" s="465"/>
      <c r="W180" s="465"/>
      <c r="X180" s="478">
        <f t="shared" si="34"/>
        <v>1</v>
      </c>
      <c r="Y180" s="432"/>
      <c r="Z180" s="464">
        <f t="shared" si="36"/>
        <v>1</v>
      </c>
      <c r="AA180" s="465">
        <v>1</v>
      </c>
      <c r="AB180" s="465"/>
      <c r="AC180" s="465"/>
      <c r="AD180" s="465"/>
      <c r="AE180" s="466">
        <f t="shared" si="37"/>
        <v>1</v>
      </c>
      <c r="AF180" s="308" t="s">
        <v>788</v>
      </c>
      <c r="AG180" s="429" t="str">
        <f>VLOOKUP(LEFT(A180,(FIND(",",A180,1)-1)),'Feature Summary'!$A$7:$U$4035,21,FALSE)</f>
        <v>A/B + 8wks</v>
      </c>
      <c r="AH180" s="580"/>
    </row>
    <row r="181" spans="1:34" ht="75.75" thickBot="1" x14ac:dyDescent="0.3">
      <c r="A181" s="316" t="s">
        <v>784</v>
      </c>
      <c r="B181" s="533" t="s">
        <v>785</v>
      </c>
      <c r="C181" s="308" t="s">
        <v>780</v>
      </c>
      <c r="D181" s="536" t="s">
        <v>306</v>
      </c>
      <c r="E181" s="308"/>
      <c r="F181" s="533" t="s">
        <v>807</v>
      </c>
      <c r="G181" s="231" t="e">
        <f>VLOOKUP(A181,'Feature Summary'!$A$7:$C$4104,3,FALSE)</f>
        <v>#N/A</v>
      </c>
      <c r="H181" s="540" t="s">
        <v>808</v>
      </c>
      <c r="I181" s="540" t="s">
        <v>309</v>
      </c>
      <c r="J181" s="541" t="s">
        <v>327</v>
      </c>
      <c r="K181" s="548">
        <v>1</v>
      </c>
      <c r="L181" s="549">
        <v>1</v>
      </c>
      <c r="M181" s="545" t="s">
        <v>33</v>
      </c>
      <c r="N181" s="445">
        <v>1</v>
      </c>
      <c r="O181" s="443">
        <v>1</v>
      </c>
      <c r="P181" s="447">
        <f t="shared" si="28"/>
        <v>1</v>
      </c>
      <c r="Q181" s="431" t="s">
        <v>45</v>
      </c>
      <c r="R181" s="309">
        <v>1</v>
      </c>
      <c r="S181" s="477">
        <f t="shared" si="35"/>
        <v>1</v>
      </c>
      <c r="T181" s="465">
        <v>1</v>
      </c>
      <c r="U181" s="465"/>
      <c r="V181" s="465"/>
      <c r="W181" s="465"/>
      <c r="X181" s="478">
        <f t="shared" si="34"/>
        <v>1</v>
      </c>
      <c r="Y181" s="432"/>
      <c r="Z181" s="464">
        <f t="shared" si="36"/>
        <v>1</v>
      </c>
      <c r="AA181" s="465">
        <v>1</v>
      </c>
      <c r="AB181" s="599"/>
      <c r="AC181" s="465"/>
      <c r="AD181" s="465"/>
      <c r="AE181" s="466">
        <f t="shared" si="37"/>
        <v>1</v>
      </c>
      <c r="AF181" s="308" t="s">
        <v>340</v>
      </c>
      <c r="AG181" s="429" t="str">
        <f>VLOOKUP(LEFT(A181,(FIND(",",A181,1)-1)),'Feature Summary'!$A$7:$U$4035,21,FALSE)</f>
        <v>A/B + 8wks</v>
      </c>
      <c r="AH181" s="580"/>
    </row>
    <row r="182" spans="1:34" ht="75.75" thickBot="1" x14ac:dyDescent="0.3">
      <c r="A182" s="316" t="s">
        <v>798</v>
      </c>
      <c r="B182" s="533" t="s">
        <v>785</v>
      </c>
      <c r="C182" s="308" t="s">
        <v>780</v>
      </c>
      <c r="D182" s="536" t="s">
        <v>306</v>
      </c>
      <c r="E182" s="308"/>
      <c r="F182" s="533" t="s">
        <v>809</v>
      </c>
      <c r="G182" s="231" t="e">
        <f>VLOOKUP(A182,'Feature Summary'!$A$7:$C$4104,3,FALSE)</f>
        <v>#N/A</v>
      </c>
      <c r="H182" s="540" t="s">
        <v>810</v>
      </c>
      <c r="I182" s="540" t="s">
        <v>309</v>
      </c>
      <c r="J182" s="541" t="s">
        <v>327</v>
      </c>
      <c r="K182" s="548">
        <v>1</v>
      </c>
      <c r="L182" s="549">
        <v>1</v>
      </c>
      <c r="M182" s="545" t="s">
        <v>33</v>
      </c>
      <c r="N182" s="445">
        <v>1</v>
      </c>
      <c r="O182" s="443">
        <v>1</v>
      </c>
      <c r="P182" s="447">
        <f t="shared" si="28"/>
        <v>1</v>
      </c>
      <c r="Q182" s="431" t="s">
        <v>45</v>
      </c>
      <c r="R182" s="309">
        <v>1</v>
      </c>
      <c r="S182" s="477">
        <f t="shared" si="35"/>
        <v>1</v>
      </c>
      <c r="T182" s="465">
        <v>1</v>
      </c>
      <c r="U182" s="465"/>
      <c r="V182" s="465"/>
      <c r="W182" s="465"/>
      <c r="X182" s="478">
        <f t="shared" si="34"/>
        <v>1</v>
      </c>
      <c r="Y182" s="432"/>
      <c r="Z182" s="464">
        <f t="shared" si="36"/>
        <v>1</v>
      </c>
      <c r="AA182" s="465">
        <v>1</v>
      </c>
      <c r="AB182" s="599"/>
      <c r="AC182" s="465"/>
      <c r="AD182" s="465"/>
      <c r="AE182" s="466">
        <f t="shared" si="37"/>
        <v>1</v>
      </c>
      <c r="AF182" s="308" t="s">
        <v>340</v>
      </c>
      <c r="AG182" s="429" t="str">
        <f>VLOOKUP(LEFT(A182,(FIND(",",A182,1)-1)),'Feature Summary'!$A$7:$U$4035,21,FALSE)</f>
        <v>A/B + 8wks</v>
      </c>
      <c r="AH182" s="580"/>
    </row>
    <row r="183" spans="1:34" ht="75.75" thickBot="1" x14ac:dyDescent="0.3">
      <c r="A183" s="316" t="s">
        <v>784</v>
      </c>
      <c r="B183" s="533" t="s">
        <v>785</v>
      </c>
      <c r="C183" s="308" t="s">
        <v>780</v>
      </c>
      <c r="D183" s="536" t="s">
        <v>306</v>
      </c>
      <c r="E183" s="308"/>
      <c r="F183" s="533" t="s">
        <v>811</v>
      </c>
      <c r="G183" s="231" t="e">
        <f>VLOOKUP(A183,'Feature Summary'!$A$7:$C$4104,3,FALSE)</f>
        <v>#N/A</v>
      </c>
      <c r="H183" s="540" t="s">
        <v>812</v>
      </c>
      <c r="I183" s="540" t="s">
        <v>309</v>
      </c>
      <c r="J183" s="541" t="s">
        <v>327</v>
      </c>
      <c r="K183" s="548">
        <v>1</v>
      </c>
      <c r="L183" s="549">
        <v>1</v>
      </c>
      <c r="M183" s="545" t="s">
        <v>33</v>
      </c>
      <c r="N183" s="445">
        <v>1</v>
      </c>
      <c r="O183" s="443">
        <v>1</v>
      </c>
      <c r="P183" s="447">
        <f t="shared" si="28"/>
        <v>1</v>
      </c>
      <c r="Q183" s="431" t="s">
        <v>45</v>
      </c>
      <c r="R183" s="309">
        <v>1</v>
      </c>
      <c r="S183" s="477">
        <f t="shared" si="35"/>
        <v>1</v>
      </c>
      <c r="T183" s="465">
        <v>1</v>
      </c>
      <c r="U183" s="465"/>
      <c r="V183" s="465"/>
      <c r="W183" s="465"/>
      <c r="X183" s="478">
        <f t="shared" si="34"/>
        <v>1</v>
      </c>
      <c r="Y183" s="432"/>
      <c r="Z183" s="464">
        <f t="shared" si="36"/>
        <v>1</v>
      </c>
      <c r="AA183" s="465">
        <v>1</v>
      </c>
      <c r="AB183" s="465"/>
      <c r="AC183" s="465"/>
      <c r="AD183" s="465"/>
      <c r="AE183" s="466">
        <f t="shared" si="37"/>
        <v>1</v>
      </c>
      <c r="AF183" s="308" t="s">
        <v>788</v>
      </c>
      <c r="AG183" s="429" t="str">
        <f>VLOOKUP(LEFT(A183,(FIND(",",A183,1)-1)),'Feature Summary'!$A$7:$U$4035,21,FALSE)</f>
        <v>A/B + 8wks</v>
      </c>
      <c r="AH183" s="580"/>
    </row>
    <row r="184" spans="1:34" ht="75.75" thickBot="1" x14ac:dyDescent="0.3">
      <c r="A184" s="316" t="s">
        <v>784</v>
      </c>
      <c r="B184" s="533" t="s">
        <v>785</v>
      </c>
      <c r="C184" s="308" t="s">
        <v>780</v>
      </c>
      <c r="D184" s="536" t="s">
        <v>306</v>
      </c>
      <c r="E184" s="308"/>
      <c r="F184" s="533" t="s">
        <v>813</v>
      </c>
      <c r="G184" s="231" t="e">
        <f>VLOOKUP(A184,'Feature Summary'!$A$7:$C$4104,3,FALSE)</f>
        <v>#N/A</v>
      </c>
      <c r="H184" s="540" t="s">
        <v>814</v>
      </c>
      <c r="I184" s="540" t="s">
        <v>309</v>
      </c>
      <c r="J184" s="541" t="s">
        <v>327</v>
      </c>
      <c r="K184" s="548">
        <v>1</v>
      </c>
      <c r="L184" s="549">
        <v>1</v>
      </c>
      <c r="M184" s="545" t="s">
        <v>33</v>
      </c>
      <c r="N184" s="445">
        <v>1</v>
      </c>
      <c r="O184" s="443">
        <v>1</v>
      </c>
      <c r="P184" s="447">
        <f t="shared" si="28"/>
        <v>1</v>
      </c>
      <c r="Q184" s="431" t="s">
        <v>45</v>
      </c>
      <c r="R184" s="309">
        <v>1</v>
      </c>
      <c r="S184" s="477">
        <f t="shared" si="35"/>
        <v>1</v>
      </c>
      <c r="T184" s="465">
        <v>1</v>
      </c>
      <c r="U184" s="465"/>
      <c r="V184" s="465"/>
      <c r="W184" s="465"/>
      <c r="X184" s="478">
        <f t="shared" si="34"/>
        <v>1</v>
      </c>
      <c r="Y184" s="432"/>
      <c r="Z184" s="464">
        <f>SUM(AA184:AD184)</f>
        <v>1</v>
      </c>
      <c r="AA184" s="465">
        <v>1</v>
      </c>
      <c r="AB184" s="465"/>
      <c r="AC184" s="465"/>
      <c r="AD184" s="465"/>
      <c r="AE184" s="466">
        <f t="shared" si="37"/>
        <v>1</v>
      </c>
      <c r="AF184" s="308" t="s">
        <v>788</v>
      </c>
      <c r="AG184" s="429" t="str">
        <f>VLOOKUP(LEFT(A184,(FIND(",",A184,1)-1)),'Feature Summary'!$A$7:$U$4035,21,FALSE)</f>
        <v>A/B + 8wks</v>
      </c>
      <c r="AH184" s="580"/>
    </row>
    <row r="185" spans="1:34" ht="75.75" thickBot="1" x14ac:dyDescent="0.3">
      <c r="A185" s="316" t="s">
        <v>784</v>
      </c>
      <c r="B185" s="533" t="s">
        <v>785</v>
      </c>
      <c r="C185" s="308" t="s">
        <v>780</v>
      </c>
      <c r="D185" s="536" t="s">
        <v>306</v>
      </c>
      <c r="E185" s="308"/>
      <c r="F185" s="533" t="s">
        <v>815</v>
      </c>
      <c r="G185" s="231" t="e">
        <f>VLOOKUP(A185,'Feature Summary'!$A$7:$C$4104,3,FALSE)</f>
        <v>#N/A</v>
      </c>
      <c r="H185" s="540" t="s">
        <v>816</v>
      </c>
      <c r="I185" s="540" t="s">
        <v>309</v>
      </c>
      <c r="J185" s="541" t="s">
        <v>327</v>
      </c>
      <c r="K185" s="548">
        <v>1</v>
      </c>
      <c r="L185" s="549">
        <v>1</v>
      </c>
      <c r="M185" s="545" t="s">
        <v>33</v>
      </c>
      <c r="N185" s="445">
        <v>1</v>
      </c>
      <c r="O185" s="443">
        <v>1</v>
      </c>
      <c r="P185" s="447">
        <f t="shared" si="28"/>
        <v>1</v>
      </c>
      <c r="Q185" s="431" t="s">
        <v>45</v>
      </c>
      <c r="R185" s="309">
        <v>1</v>
      </c>
      <c r="S185" s="477">
        <f t="shared" si="35"/>
        <v>1</v>
      </c>
      <c r="T185" s="465">
        <v>1</v>
      </c>
      <c r="U185" s="465"/>
      <c r="V185" s="465"/>
      <c r="W185" s="465"/>
      <c r="X185" s="478">
        <f t="shared" si="34"/>
        <v>1</v>
      </c>
      <c r="Y185" s="432"/>
      <c r="Z185" s="464">
        <f t="shared" si="36"/>
        <v>1</v>
      </c>
      <c r="AA185" s="465">
        <v>1</v>
      </c>
      <c r="AB185" s="599"/>
      <c r="AC185" s="465"/>
      <c r="AD185" s="465"/>
      <c r="AE185" s="466">
        <f t="shared" si="37"/>
        <v>1</v>
      </c>
      <c r="AF185" s="308" t="s">
        <v>340</v>
      </c>
      <c r="AG185" s="429" t="str">
        <f>VLOOKUP(LEFT(A185,(FIND(",",A185,1)-1)),'Feature Summary'!$A$7:$U$4035,21,FALSE)</f>
        <v>A/B + 8wks</v>
      </c>
      <c r="AH185" s="580"/>
    </row>
    <row r="186" spans="1:34" ht="75.75" thickBot="1" x14ac:dyDescent="0.3">
      <c r="A186" s="316" t="s">
        <v>784</v>
      </c>
      <c r="B186" s="533" t="s">
        <v>785</v>
      </c>
      <c r="C186" s="308" t="s">
        <v>780</v>
      </c>
      <c r="D186" s="536" t="s">
        <v>306</v>
      </c>
      <c r="E186" s="308"/>
      <c r="F186" s="533" t="s">
        <v>817</v>
      </c>
      <c r="G186" s="231" t="e">
        <f>VLOOKUP(A186,'Feature Summary'!$A$7:$C$4104,3,FALSE)</f>
        <v>#N/A</v>
      </c>
      <c r="H186" s="540" t="s">
        <v>818</v>
      </c>
      <c r="I186" s="540" t="s">
        <v>309</v>
      </c>
      <c r="J186" s="541" t="s">
        <v>327</v>
      </c>
      <c r="K186" s="548">
        <v>1</v>
      </c>
      <c r="L186" s="549">
        <v>1</v>
      </c>
      <c r="M186" s="545" t="s">
        <v>33</v>
      </c>
      <c r="N186" s="445">
        <v>1</v>
      </c>
      <c r="O186" s="443">
        <v>1</v>
      </c>
      <c r="P186" s="447">
        <f t="shared" si="28"/>
        <v>1</v>
      </c>
      <c r="Q186" s="431" t="s">
        <v>45</v>
      </c>
      <c r="R186" s="309">
        <v>1</v>
      </c>
      <c r="S186" s="477">
        <f t="shared" si="35"/>
        <v>1</v>
      </c>
      <c r="T186" s="465">
        <v>1</v>
      </c>
      <c r="U186" s="465"/>
      <c r="V186" s="465"/>
      <c r="W186" s="465"/>
      <c r="X186" s="478">
        <f t="shared" si="34"/>
        <v>1</v>
      </c>
      <c r="Y186" s="432"/>
      <c r="Z186" s="464">
        <f t="shared" si="36"/>
        <v>1</v>
      </c>
      <c r="AA186" s="465">
        <v>1</v>
      </c>
      <c r="AB186" s="599"/>
      <c r="AC186" s="465"/>
      <c r="AD186" s="465"/>
      <c r="AE186" s="466">
        <f t="shared" si="37"/>
        <v>1</v>
      </c>
      <c r="AF186" s="308" t="s">
        <v>340</v>
      </c>
      <c r="AG186" s="429" t="str">
        <f>VLOOKUP(LEFT(A186,(FIND(",",A186,1)-1)),'Feature Summary'!$A$7:$U$4035,21,FALSE)</f>
        <v>A/B + 8wks</v>
      </c>
      <c r="AH186" s="580"/>
    </row>
    <row r="187" spans="1:34" ht="75.75" thickBot="1" x14ac:dyDescent="0.3">
      <c r="A187" s="316" t="s">
        <v>784</v>
      </c>
      <c r="B187" s="533" t="s">
        <v>785</v>
      </c>
      <c r="C187" s="308" t="s">
        <v>780</v>
      </c>
      <c r="D187" s="536" t="s">
        <v>306</v>
      </c>
      <c r="E187" s="308"/>
      <c r="F187" s="533" t="s">
        <v>819</v>
      </c>
      <c r="G187" s="231" t="e">
        <f>VLOOKUP(A187,'Feature Summary'!$A$7:$C$4104,3,FALSE)</f>
        <v>#N/A</v>
      </c>
      <c r="H187" s="540" t="s">
        <v>820</v>
      </c>
      <c r="I187" s="540" t="s">
        <v>309</v>
      </c>
      <c r="J187" s="541" t="s">
        <v>327</v>
      </c>
      <c r="K187" s="548">
        <v>1</v>
      </c>
      <c r="L187" s="549">
        <v>1</v>
      </c>
      <c r="M187" s="545" t="s">
        <v>33</v>
      </c>
      <c r="N187" s="445">
        <v>1</v>
      </c>
      <c r="O187" s="443">
        <v>1</v>
      </c>
      <c r="P187" s="447">
        <f t="shared" si="28"/>
        <v>1</v>
      </c>
      <c r="Q187" s="431" t="s">
        <v>45</v>
      </c>
      <c r="R187" s="309">
        <v>1</v>
      </c>
      <c r="S187" s="477">
        <f t="shared" si="35"/>
        <v>1</v>
      </c>
      <c r="T187" s="465">
        <v>1</v>
      </c>
      <c r="U187" s="465"/>
      <c r="V187" s="465"/>
      <c r="W187" s="465"/>
      <c r="X187" s="478">
        <f t="shared" si="34"/>
        <v>1</v>
      </c>
      <c r="Y187" s="432"/>
      <c r="Z187" s="464">
        <f t="shared" si="36"/>
        <v>1</v>
      </c>
      <c r="AA187" s="465">
        <v>1</v>
      </c>
      <c r="AB187" s="465"/>
      <c r="AC187" s="465"/>
      <c r="AD187" s="465"/>
      <c r="AE187" s="466">
        <f t="shared" si="37"/>
        <v>1</v>
      </c>
      <c r="AF187" s="308" t="s">
        <v>788</v>
      </c>
      <c r="AG187" s="429" t="str">
        <f>VLOOKUP(LEFT(A187,(FIND(",",A187,1)-1)),'Feature Summary'!$A$7:$U$4035,21,FALSE)</f>
        <v>A/B + 8wks</v>
      </c>
      <c r="AH187" s="580"/>
    </row>
    <row r="188" spans="1:34" ht="60.75" thickBot="1" x14ac:dyDescent="0.3">
      <c r="A188" s="316" t="s">
        <v>784</v>
      </c>
      <c r="B188" s="533" t="s">
        <v>785</v>
      </c>
      <c r="C188" s="308" t="s">
        <v>780</v>
      </c>
      <c r="D188" s="536" t="s">
        <v>306</v>
      </c>
      <c r="E188" s="308"/>
      <c r="F188" s="533" t="s">
        <v>821</v>
      </c>
      <c r="G188" s="231" t="e">
        <f>VLOOKUP(A188,'Feature Summary'!$A$7:$C$4104,3,FALSE)</f>
        <v>#N/A</v>
      </c>
      <c r="H188" s="540" t="s">
        <v>822</v>
      </c>
      <c r="I188" s="540" t="s">
        <v>309</v>
      </c>
      <c r="J188" s="541" t="s">
        <v>598</v>
      </c>
      <c r="K188" s="548">
        <v>1</v>
      </c>
      <c r="L188" s="549">
        <v>1</v>
      </c>
      <c r="M188" s="545" t="s">
        <v>33</v>
      </c>
      <c r="N188" s="445">
        <v>1</v>
      </c>
      <c r="O188" s="443">
        <v>1</v>
      </c>
      <c r="P188" s="447">
        <f t="shared" si="28"/>
        <v>1</v>
      </c>
      <c r="Q188" s="431" t="s">
        <v>45</v>
      </c>
      <c r="R188" s="309">
        <v>1</v>
      </c>
      <c r="S188" s="477">
        <f t="shared" si="35"/>
        <v>1</v>
      </c>
      <c r="T188" s="465">
        <v>1</v>
      </c>
      <c r="U188" s="465"/>
      <c r="V188" s="465"/>
      <c r="W188" s="465"/>
      <c r="X188" s="478">
        <f t="shared" si="34"/>
        <v>1</v>
      </c>
      <c r="Y188" s="432"/>
      <c r="Z188" s="464">
        <f t="shared" si="36"/>
        <v>1</v>
      </c>
      <c r="AA188" s="465">
        <v>1</v>
      </c>
      <c r="AB188" s="465"/>
      <c r="AC188" s="465"/>
      <c r="AD188" s="465"/>
      <c r="AE188" s="466">
        <f t="shared" si="37"/>
        <v>1</v>
      </c>
      <c r="AF188" s="308" t="s">
        <v>788</v>
      </c>
      <c r="AG188" s="429" t="str">
        <f>VLOOKUP(LEFT(A188,(FIND(",",A188,1)-1)),'Feature Summary'!$A$7:$U$4035,21,FALSE)</f>
        <v>A/B + 8wks</v>
      </c>
      <c r="AH188" s="580"/>
    </row>
    <row r="189" spans="1:34" ht="60.75" thickBot="1" x14ac:dyDescent="0.3">
      <c r="A189" s="316" t="s">
        <v>784</v>
      </c>
      <c r="B189" s="533" t="s">
        <v>785</v>
      </c>
      <c r="C189" s="308" t="s">
        <v>780</v>
      </c>
      <c r="D189" s="536" t="s">
        <v>306</v>
      </c>
      <c r="E189" s="308"/>
      <c r="F189" s="533" t="s">
        <v>823</v>
      </c>
      <c r="G189" s="231" t="e">
        <f>VLOOKUP(A189,'Feature Summary'!$A$7:$C$4104,3,FALSE)</f>
        <v>#N/A</v>
      </c>
      <c r="H189" s="540" t="s">
        <v>824</v>
      </c>
      <c r="I189" s="540" t="s">
        <v>309</v>
      </c>
      <c r="J189" s="541" t="s">
        <v>598</v>
      </c>
      <c r="K189" s="548">
        <v>1</v>
      </c>
      <c r="L189" s="549">
        <v>1</v>
      </c>
      <c r="M189" s="545" t="s">
        <v>33</v>
      </c>
      <c r="N189" s="445">
        <v>1</v>
      </c>
      <c r="O189" s="443">
        <v>1</v>
      </c>
      <c r="P189" s="447">
        <f t="shared" si="28"/>
        <v>1</v>
      </c>
      <c r="Q189" s="431" t="s">
        <v>45</v>
      </c>
      <c r="R189" s="309">
        <v>1</v>
      </c>
      <c r="S189" s="477">
        <f t="shared" si="35"/>
        <v>1</v>
      </c>
      <c r="T189" s="465">
        <v>1</v>
      </c>
      <c r="U189" s="465"/>
      <c r="V189" s="465"/>
      <c r="W189" s="465"/>
      <c r="X189" s="478">
        <f t="shared" si="34"/>
        <v>1</v>
      </c>
      <c r="Y189" s="432"/>
      <c r="Z189" s="464">
        <f t="shared" si="36"/>
        <v>1</v>
      </c>
      <c r="AA189" s="465">
        <v>1</v>
      </c>
      <c r="AB189" s="599"/>
      <c r="AC189" s="465"/>
      <c r="AD189" s="465"/>
      <c r="AE189" s="466">
        <f t="shared" si="37"/>
        <v>1</v>
      </c>
      <c r="AF189" s="308" t="s">
        <v>340</v>
      </c>
      <c r="AG189" s="429" t="str">
        <f>VLOOKUP(LEFT(A189,(FIND(",",A189,1)-1)),'Feature Summary'!$A$7:$U$4035,21,FALSE)</f>
        <v>A/B + 8wks</v>
      </c>
      <c r="AH189" s="580"/>
    </row>
    <row r="190" spans="1:34" ht="60.75" thickBot="1" x14ac:dyDescent="0.3">
      <c r="A190" s="316" t="s">
        <v>784</v>
      </c>
      <c r="B190" s="533" t="s">
        <v>785</v>
      </c>
      <c r="C190" s="308" t="s">
        <v>780</v>
      </c>
      <c r="D190" s="536" t="s">
        <v>306</v>
      </c>
      <c r="E190" s="308"/>
      <c r="F190" s="533" t="s">
        <v>825</v>
      </c>
      <c r="G190" s="231" t="e">
        <f>VLOOKUP(A190,'Feature Summary'!$A$7:$C$4104,3,FALSE)</f>
        <v>#N/A</v>
      </c>
      <c r="H190" s="540" t="s">
        <v>826</v>
      </c>
      <c r="I190" s="540" t="s">
        <v>309</v>
      </c>
      <c r="J190" s="541" t="s">
        <v>598</v>
      </c>
      <c r="K190" s="548">
        <v>1</v>
      </c>
      <c r="L190" s="549">
        <v>1</v>
      </c>
      <c r="M190" s="545" t="s">
        <v>33</v>
      </c>
      <c r="N190" s="445">
        <v>1</v>
      </c>
      <c r="O190" s="443">
        <v>1</v>
      </c>
      <c r="P190" s="447">
        <f t="shared" si="28"/>
        <v>1</v>
      </c>
      <c r="Q190" s="431" t="s">
        <v>45</v>
      </c>
      <c r="R190" s="309">
        <v>1</v>
      </c>
      <c r="S190" s="477">
        <f t="shared" si="35"/>
        <v>1</v>
      </c>
      <c r="T190" s="465">
        <v>1</v>
      </c>
      <c r="U190" s="465"/>
      <c r="V190" s="465"/>
      <c r="W190" s="465"/>
      <c r="X190" s="478">
        <f t="shared" si="34"/>
        <v>1</v>
      </c>
      <c r="Y190" s="432"/>
      <c r="Z190" s="464">
        <f t="shared" si="36"/>
        <v>1</v>
      </c>
      <c r="AA190" s="465">
        <v>1</v>
      </c>
      <c r="AB190" s="599"/>
      <c r="AC190" s="465"/>
      <c r="AD190" s="465"/>
      <c r="AE190" s="466">
        <f t="shared" si="37"/>
        <v>1</v>
      </c>
      <c r="AF190" s="308" t="s">
        <v>340</v>
      </c>
      <c r="AG190" s="429" t="str">
        <f>VLOOKUP(LEFT(A190,(FIND(",",A190,1)-1)),'Feature Summary'!$A$7:$U$4035,21,FALSE)</f>
        <v>A/B + 8wks</v>
      </c>
      <c r="AH190" s="580"/>
    </row>
    <row r="191" spans="1:34" ht="60.75" thickBot="1" x14ac:dyDescent="0.3">
      <c r="A191" s="316" t="s">
        <v>784</v>
      </c>
      <c r="B191" s="533" t="s">
        <v>785</v>
      </c>
      <c r="C191" s="308" t="s">
        <v>780</v>
      </c>
      <c r="D191" s="536" t="s">
        <v>306</v>
      </c>
      <c r="E191" s="308"/>
      <c r="F191" s="533" t="s">
        <v>827</v>
      </c>
      <c r="G191" s="231" t="e">
        <f>VLOOKUP(A191,'Feature Summary'!$A$7:$C$4104,3,FALSE)</f>
        <v>#N/A</v>
      </c>
      <c r="H191" s="540" t="s">
        <v>828</v>
      </c>
      <c r="I191" s="540" t="s">
        <v>309</v>
      </c>
      <c r="J191" s="541" t="s">
        <v>598</v>
      </c>
      <c r="K191" s="548">
        <v>1</v>
      </c>
      <c r="L191" s="549">
        <v>1</v>
      </c>
      <c r="M191" s="545" t="s">
        <v>33</v>
      </c>
      <c r="N191" s="445">
        <v>1</v>
      </c>
      <c r="O191" s="443">
        <v>1</v>
      </c>
      <c r="P191" s="447">
        <f t="shared" si="28"/>
        <v>1</v>
      </c>
      <c r="Q191" s="431" t="s">
        <v>45</v>
      </c>
      <c r="R191" s="309">
        <v>1</v>
      </c>
      <c r="S191" s="477">
        <f t="shared" si="35"/>
        <v>1</v>
      </c>
      <c r="T191" s="465">
        <v>1</v>
      </c>
      <c r="U191" s="465"/>
      <c r="V191" s="465"/>
      <c r="W191" s="465"/>
      <c r="X191" s="478">
        <f t="shared" si="34"/>
        <v>1</v>
      </c>
      <c r="Y191" s="432"/>
      <c r="Z191" s="464">
        <f t="shared" si="36"/>
        <v>1</v>
      </c>
      <c r="AA191" s="465">
        <v>1</v>
      </c>
      <c r="AB191" s="465"/>
      <c r="AC191" s="465"/>
      <c r="AD191" s="465"/>
      <c r="AE191" s="466">
        <f t="shared" si="37"/>
        <v>1</v>
      </c>
      <c r="AF191" s="308" t="s">
        <v>788</v>
      </c>
      <c r="AG191" s="429" t="str">
        <f>VLOOKUP(LEFT(A191,(FIND(",",A191,1)-1)),'Feature Summary'!$A$7:$U$4035,21,FALSE)</f>
        <v>A/B + 8wks</v>
      </c>
      <c r="AH191" s="580"/>
    </row>
    <row r="192" spans="1:34" ht="60.75" thickBot="1" x14ac:dyDescent="0.3">
      <c r="A192" s="316" t="s">
        <v>784</v>
      </c>
      <c r="B192" s="533" t="s">
        <v>785</v>
      </c>
      <c r="C192" s="308" t="s">
        <v>780</v>
      </c>
      <c r="D192" s="536" t="s">
        <v>306</v>
      </c>
      <c r="E192" s="308"/>
      <c r="F192" s="533" t="s">
        <v>829</v>
      </c>
      <c r="G192" s="231" t="e">
        <f>VLOOKUP(A192,'Feature Summary'!$A$7:$C$4104,3,FALSE)</f>
        <v>#N/A</v>
      </c>
      <c r="H192" s="540" t="s">
        <v>830</v>
      </c>
      <c r="I192" s="540" t="s">
        <v>309</v>
      </c>
      <c r="J192" s="541" t="s">
        <v>598</v>
      </c>
      <c r="K192" s="548">
        <v>1</v>
      </c>
      <c r="L192" s="549">
        <v>1</v>
      </c>
      <c r="M192" s="545" t="s">
        <v>33</v>
      </c>
      <c r="N192" s="445">
        <v>1</v>
      </c>
      <c r="O192" s="443">
        <v>1</v>
      </c>
      <c r="P192" s="447">
        <f t="shared" si="28"/>
        <v>1</v>
      </c>
      <c r="Q192" s="431" t="s">
        <v>45</v>
      </c>
      <c r="R192" s="309">
        <v>1</v>
      </c>
      <c r="S192" s="477">
        <f t="shared" si="35"/>
        <v>1</v>
      </c>
      <c r="T192" s="465">
        <v>1</v>
      </c>
      <c r="U192" s="465"/>
      <c r="V192" s="465"/>
      <c r="W192" s="465"/>
      <c r="X192" s="478">
        <f t="shared" si="34"/>
        <v>1</v>
      </c>
      <c r="Y192" s="432"/>
      <c r="Z192" s="464">
        <f t="shared" si="36"/>
        <v>1</v>
      </c>
      <c r="AA192" s="465">
        <v>1</v>
      </c>
      <c r="AB192" s="465"/>
      <c r="AC192" s="465"/>
      <c r="AD192" s="465"/>
      <c r="AE192" s="466">
        <f t="shared" si="37"/>
        <v>1</v>
      </c>
      <c r="AF192" s="308" t="s">
        <v>788</v>
      </c>
      <c r="AG192" s="429" t="str">
        <f>VLOOKUP(LEFT(A192,(FIND(",",A192,1)-1)),'Feature Summary'!$A$7:$U$4035,21,FALSE)</f>
        <v>A/B + 8wks</v>
      </c>
      <c r="AH192" s="580"/>
    </row>
    <row r="193" spans="1:34" ht="60.75" thickBot="1" x14ac:dyDescent="0.3">
      <c r="A193" s="316" t="s">
        <v>784</v>
      </c>
      <c r="B193" s="533" t="s">
        <v>785</v>
      </c>
      <c r="C193" s="308" t="s">
        <v>780</v>
      </c>
      <c r="D193" s="536" t="s">
        <v>306</v>
      </c>
      <c r="E193" s="308"/>
      <c r="F193" s="533" t="s">
        <v>831</v>
      </c>
      <c r="G193" s="231" t="e">
        <f>VLOOKUP(A193,'Feature Summary'!$A$7:$C$4104,3,FALSE)</f>
        <v>#N/A</v>
      </c>
      <c r="H193" s="540" t="s">
        <v>832</v>
      </c>
      <c r="I193" s="540" t="s">
        <v>309</v>
      </c>
      <c r="J193" s="541" t="s">
        <v>598</v>
      </c>
      <c r="K193" s="548">
        <v>1</v>
      </c>
      <c r="L193" s="549">
        <v>1</v>
      </c>
      <c r="M193" s="545" t="s">
        <v>33</v>
      </c>
      <c r="N193" s="445">
        <v>1</v>
      </c>
      <c r="O193" s="443">
        <v>1</v>
      </c>
      <c r="P193" s="447">
        <f t="shared" si="28"/>
        <v>1</v>
      </c>
      <c r="Q193" s="431" t="s">
        <v>45</v>
      </c>
      <c r="R193" s="309">
        <v>1</v>
      </c>
      <c r="S193" s="477">
        <f t="shared" si="35"/>
        <v>1</v>
      </c>
      <c r="T193" s="465">
        <v>1</v>
      </c>
      <c r="U193" s="465"/>
      <c r="V193" s="465"/>
      <c r="W193" s="465"/>
      <c r="X193" s="478">
        <f t="shared" si="34"/>
        <v>1</v>
      </c>
      <c r="Y193" s="432"/>
      <c r="Z193" s="464">
        <f t="shared" si="36"/>
        <v>1</v>
      </c>
      <c r="AA193" s="465">
        <v>1</v>
      </c>
      <c r="AB193" s="599"/>
      <c r="AC193" s="465"/>
      <c r="AD193" s="465"/>
      <c r="AE193" s="466">
        <f t="shared" si="37"/>
        <v>1</v>
      </c>
      <c r="AF193" s="308" t="s">
        <v>340</v>
      </c>
      <c r="AG193" s="429" t="str">
        <f>VLOOKUP(LEFT(A193,(FIND(",",A193,1)-1)),'Feature Summary'!$A$7:$U$4035,21,FALSE)</f>
        <v>A/B + 8wks</v>
      </c>
      <c r="AH193" s="580"/>
    </row>
    <row r="194" spans="1:34" ht="60.75" thickBot="1" x14ac:dyDescent="0.3">
      <c r="A194" s="316" t="s">
        <v>798</v>
      </c>
      <c r="B194" s="533" t="s">
        <v>785</v>
      </c>
      <c r="C194" s="308" t="s">
        <v>780</v>
      </c>
      <c r="D194" s="536" t="s">
        <v>306</v>
      </c>
      <c r="E194" s="308"/>
      <c r="F194" s="533" t="s">
        <v>833</v>
      </c>
      <c r="G194" s="231" t="e">
        <f>VLOOKUP(A194,'Feature Summary'!$A$7:$C$4104,3,FALSE)</f>
        <v>#N/A</v>
      </c>
      <c r="H194" s="540" t="s">
        <v>834</v>
      </c>
      <c r="I194" s="540" t="s">
        <v>309</v>
      </c>
      <c r="J194" s="541" t="s">
        <v>598</v>
      </c>
      <c r="K194" s="548">
        <v>1</v>
      </c>
      <c r="L194" s="549">
        <v>1</v>
      </c>
      <c r="M194" s="545" t="s">
        <v>33</v>
      </c>
      <c r="N194" s="445">
        <v>1</v>
      </c>
      <c r="O194" s="443">
        <v>1</v>
      </c>
      <c r="P194" s="447">
        <f t="shared" si="28"/>
        <v>1</v>
      </c>
      <c r="Q194" s="431" t="s">
        <v>45</v>
      </c>
      <c r="R194" s="309">
        <v>1</v>
      </c>
      <c r="S194" s="477">
        <f t="shared" si="35"/>
        <v>1</v>
      </c>
      <c r="T194" s="465">
        <v>1</v>
      </c>
      <c r="U194" s="465"/>
      <c r="V194" s="465"/>
      <c r="W194" s="465"/>
      <c r="X194" s="478">
        <f t="shared" si="34"/>
        <v>1</v>
      </c>
      <c r="Y194" s="432"/>
      <c r="Z194" s="464">
        <f t="shared" si="36"/>
        <v>1</v>
      </c>
      <c r="AA194" s="465">
        <v>1</v>
      </c>
      <c r="AB194" s="599"/>
      <c r="AC194" s="465"/>
      <c r="AD194" s="465"/>
      <c r="AE194" s="466">
        <f t="shared" si="37"/>
        <v>1</v>
      </c>
      <c r="AF194" s="308" t="s">
        <v>340</v>
      </c>
      <c r="AG194" s="429" t="str">
        <f>VLOOKUP(LEFT(A194,(FIND(",",A194,1)-1)),'Feature Summary'!$A$7:$U$4035,21,FALSE)</f>
        <v>A/B + 8wks</v>
      </c>
      <c r="AH194" s="580"/>
    </row>
    <row r="195" spans="1:34" ht="60.75" thickBot="1" x14ac:dyDescent="0.3">
      <c r="A195" s="316" t="s">
        <v>798</v>
      </c>
      <c r="B195" s="533" t="s">
        <v>785</v>
      </c>
      <c r="C195" s="308" t="s">
        <v>780</v>
      </c>
      <c r="D195" s="536" t="s">
        <v>306</v>
      </c>
      <c r="E195" s="308"/>
      <c r="F195" s="533" t="s">
        <v>835</v>
      </c>
      <c r="G195" s="231" t="e">
        <f>VLOOKUP(A195,'Feature Summary'!$A$7:$C$4104,3,FALSE)</f>
        <v>#N/A</v>
      </c>
      <c r="H195" s="540" t="s">
        <v>836</v>
      </c>
      <c r="I195" s="540" t="s">
        <v>309</v>
      </c>
      <c r="J195" s="541" t="s">
        <v>598</v>
      </c>
      <c r="K195" s="548">
        <v>1</v>
      </c>
      <c r="L195" s="549">
        <v>1</v>
      </c>
      <c r="M195" s="545" t="s">
        <v>33</v>
      </c>
      <c r="N195" s="445">
        <v>1</v>
      </c>
      <c r="O195" s="443">
        <v>1</v>
      </c>
      <c r="P195" s="447">
        <f t="shared" si="28"/>
        <v>1</v>
      </c>
      <c r="Q195" s="431" t="s">
        <v>45</v>
      </c>
      <c r="R195" s="309">
        <v>1</v>
      </c>
      <c r="S195" s="477">
        <f t="shared" si="35"/>
        <v>1</v>
      </c>
      <c r="T195" s="465">
        <v>1</v>
      </c>
      <c r="U195" s="465"/>
      <c r="V195" s="465"/>
      <c r="W195" s="465"/>
      <c r="X195" s="478">
        <f t="shared" si="34"/>
        <v>1</v>
      </c>
      <c r="Y195" s="432"/>
      <c r="Z195" s="464">
        <f t="shared" si="36"/>
        <v>1</v>
      </c>
      <c r="AA195" s="465">
        <v>1</v>
      </c>
      <c r="AB195" s="465"/>
      <c r="AC195" s="465"/>
      <c r="AD195" s="465"/>
      <c r="AE195" s="466">
        <f t="shared" si="37"/>
        <v>1</v>
      </c>
      <c r="AF195" s="308" t="s">
        <v>788</v>
      </c>
      <c r="AG195" s="429" t="str">
        <f>VLOOKUP(LEFT(A195,(FIND(",",A195,1)-1)),'Feature Summary'!$A$7:$U$4035,21,FALSE)</f>
        <v>A/B + 8wks</v>
      </c>
      <c r="AH195" s="580"/>
    </row>
    <row r="196" spans="1:34" ht="60.75" thickBot="1" x14ac:dyDescent="0.3">
      <c r="A196" s="564" t="s">
        <v>837</v>
      </c>
      <c r="B196" s="533" t="s">
        <v>838</v>
      </c>
      <c r="C196" s="308" t="s">
        <v>341</v>
      </c>
      <c r="D196" s="537" t="s">
        <v>839</v>
      </c>
      <c r="E196" s="308"/>
      <c r="F196" s="534" t="s">
        <v>840</v>
      </c>
      <c r="G196" s="231" t="e">
        <f>VLOOKUP(A196,'Feature Summary'!$A$7:$C$4104,3,FALSE)</f>
        <v>#N/A</v>
      </c>
      <c r="H196" s="542" t="s">
        <v>841</v>
      </c>
      <c r="I196" s="540" t="s">
        <v>309</v>
      </c>
      <c r="J196" s="543" t="s">
        <v>327</v>
      </c>
      <c r="K196" s="548">
        <v>1</v>
      </c>
      <c r="L196" s="549">
        <v>2</v>
      </c>
      <c r="M196" s="545" t="s">
        <v>33</v>
      </c>
      <c r="N196" s="445">
        <v>1</v>
      </c>
      <c r="O196" s="443">
        <v>2</v>
      </c>
      <c r="P196" s="447">
        <f t="shared" si="28"/>
        <v>1</v>
      </c>
      <c r="Q196" s="431" t="s">
        <v>45</v>
      </c>
      <c r="R196" s="309">
        <v>2</v>
      </c>
      <c r="S196" s="477">
        <f t="shared" si="35"/>
        <v>2</v>
      </c>
      <c r="T196" s="465">
        <v>2</v>
      </c>
      <c r="U196" s="465"/>
      <c r="V196" s="465"/>
      <c r="W196" s="465"/>
      <c r="X196" s="478">
        <f t="shared" si="34"/>
        <v>1</v>
      </c>
      <c r="Y196" s="432"/>
      <c r="Z196" s="464">
        <f t="shared" si="36"/>
        <v>2</v>
      </c>
      <c r="AA196" s="465">
        <v>1</v>
      </c>
      <c r="AB196" s="465"/>
      <c r="AC196" s="465">
        <v>1</v>
      </c>
      <c r="AD196" s="465"/>
      <c r="AE196" s="466">
        <f t="shared" si="37"/>
        <v>0.5</v>
      </c>
      <c r="AF196" s="308" t="s">
        <v>842</v>
      </c>
      <c r="AG196" s="433" t="e">
        <f>VLOOKUP(A196,'Feature Summary'!$A$7:$U$4104,21,FALSE)</f>
        <v>#N/A</v>
      </c>
      <c r="AH196" s="310"/>
    </row>
    <row r="197" spans="1:34" ht="45.75" thickBot="1" x14ac:dyDescent="0.3">
      <c r="A197" s="316" t="s">
        <v>843</v>
      </c>
      <c r="B197" s="533" t="s">
        <v>844</v>
      </c>
      <c r="C197" s="308" t="s">
        <v>499</v>
      </c>
      <c r="D197" s="536" t="s">
        <v>306</v>
      </c>
      <c r="E197" s="308"/>
      <c r="F197" s="533" t="s">
        <v>845</v>
      </c>
      <c r="G197" s="231" t="str">
        <f>VLOOKUP(A197,'Feature Summary'!$A$7:$C$4104,3,FALSE)</f>
        <v>P2</v>
      </c>
      <c r="H197" s="540" t="s">
        <v>846</v>
      </c>
      <c r="I197" s="540" t="s">
        <v>309</v>
      </c>
      <c r="J197" s="541" t="s">
        <v>327</v>
      </c>
      <c r="K197" s="548">
        <v>1</v>
      </c>
      <c r="L197" s="549">
        <v>32</v>
      </c>
      <c r="M197" s="545" t="s">
        <v>33</v>
      </c>
      <c r="N197" s="445">
        <v>1</v>
      </c>
      <c r="O197" s="443">
        <v>32</v>
      </c>
      <c r="P197" s="447">
        <f t="shared" si="28"/>
        <v>1</v>
      </c>
      <c r="Q197" s="431" t="s">
        <v>46</v>
      </c>
      <c r="R197" s="309">
        <v>32</v>
      </c>
      <c r="S197" s="477">
        <f>SUM(T197:W197)</f>
        <v>32</v>
      </c>
      <c r="T197" s="465">
        <v>19</v>
      </c>
      <c r="U197" s="465">
        <v>13</v>
      </c>
      <c r="V197" s="465"/>
      <c r="W197" s="465"/>
      <c r="X197" s="478">
        <f t="shared" si="34"/>
        <v>1</v>
      </c>
      <c r="Y197" s="432"/>
      <c r="Z197" s="464">
        <f t="shared" si="36"/>
        <v>32</v>
      </c>
      <c r="AA197" s="465">
        <v>32</v>
      </c>
      <c r="AB197" s="465"/>
      <c r="AC197" s="465"/>
      <c r="AD197" s="465"/>
      <c r="AE197" s="466">
        <f t="shared" si="37"/>
        <v>1</v>
      </c>
      <c r="AF197" s="308" t="s">
        <v>311</v>
      </c>
      <c r="AG197" s="433" t="str">
        <f>VLOOKUP(A197,'Feature Summary'!$A$7:$U$4104,21,FALSE)</f>
        <v>A/B + 8wks</v>
      </c>
      <c r="AH197" s="310"/>
    </row>
    <row r="198" spans="1:34" ht="45.75" thickBot="1" x14ac:dyDescent="0.3">
      <c r="A198" s="316" t="s">
        <v>843</v>
      </c>
      <c r="B198" s="533" t="s">
        <v>844</v>
      </c>
      <c r="C198" s="308" t="s">
        <v>499</v>
      </c>
      <c r="D198" s="536" t="s">
        <v>306</v>
      </c>
      <c r="E198" s="308"/>
      <c r="F198" s="533" t="s">
        <v>845</v>
      </c>
      <c r="G198" s="231" t="str">
        <f>VLOOKUP(A198,'Feature Summary'!$A$7:$C$4104,3,FALSE)</f>
        <v>P2</v>
      </c>
      <c r="H198" s="540" t="s">
        <v>847</v>
      </c>
      <c r="I198" s="540" t="s">
        <v>309</v>
      </c>
      <c r="J198" s="541" t="s">
        <v>848</v>
      </c>
      <c r="K198" s="548">
        <v>1</v>
      </c>
      <c r="L198" s="549">
        <v>4</v>
      </c>
      <c r="M198" s="545" t="s">
        <v>33</v>
      </c>
      <c r="N198" s="445">
        <v>1</v>
      </c>
      <c r="O198" s="443">
        <v>4</v>
      </c>
      <c r="P198" s="447">
        <f t="shared" si="28"/>
        <v>1</v>
      </c>
      <c r="Q198" s="431" t="s">
        <v>46</v>
      </c>
      <c r="R198" s="309">
        <v>4</v>
      </c>
      <c r="S198" s="477">
        <f t="shared" si="35"/>
        <v>4</v>
      </c>
      <c r="T198" s="465">
        <v>3</v>
      </c>
      <c r="U198" s="465">
        <v>1</v>
      </c>
      <c r="V198" s="465"/>
      <c r="W198" s="465"/>
      <c r="X198" s="478">
        <f t="shared" si="34"/>
        <v>1</v>
      </c>
      <c r="Y198" s="432"/>
      <c r="Z198" s="464">
        <f t="shared" si="36"/>
        <v>4</v>
      </c>
      <c r="AA198" s="465">
        <v>4</v>
      </c>
      <c r="AB198" s="465"/>
      <c r="AC198" s="465"/>
      <c r="AD198" s="465"/>
      <c r="AE198" s="466">
        <f t="shared" si="37"/>
        <v>1</v>
      </c>
      <c r="AF198" s="308" t="s">
        <v>311</v>
      </c>
      <c r="AG198" s="433" t="str">
        <f>VLOOKUP(A198,'Feature Summary'!$A$7:$U$4104,21,FALSE)</f>
        <v>A/B + 8wks</v>
      </c>
      <c r="AH198" s="310"/>
    </row>
    <row r="199" spans="1:34" ht="90.75" thickBot="1" x14ac:dyDescent="0.3">
      <c r="A199" s="316" t="s">
        <v>843</v>
      </c>
      <c r="B199" s="533" t="s">
        <v>844</v>
      </c>
      <c r="C199" s="308" t="s">
        <v>499</v>
      </c>
      <c r="D199" s="536" t="s">
        <v>306</v>
      </c>
      <c r="E199" s="308"/>
      <c r="F199" s="540" t="s">
        <v>849</v>
      </c>
      <c r="G199" s="231" t="str">
        <f>VLOOKUP(A199,'Feature Summary'!$A$7:$C$4104,3,FALSE)</f>
        <v>P2</v>
      </c>
      <c r="H199" s="540" t="s">
        <v>850</v>
      </c>
      <c r="I199" s="540" t="s">
        <v>309</v>
      </c>
      <c r="J199" s="541" t="s">
        <v>327</v>
      </c>
      <c r="K199" s="548">
        <v>1</v>
      </c>
      <c r="L199" s="549">
        <v>1</v>
      </c>
      <c r="M199" s="545" t="s">
        <v>33</v>
      </c>
      <c r="N199" s="445">
        <v>1</v>
      </c>
      <c r="O199" s="443">
        <v>1</v>
      </c>
      <c r="P199" s="447">
        <f t="shared" si="28"/>
        <v>1</v>
      </c>
      <c r="Q199" s="431" t="s">
        <v>46</v>
      </c>
      <c r="R199" s="309">
        <v>1</v>
      </c>
      <c r="S199" s="477">
        <f t="shared" si="35"/>
        <v>1</v>
      </c>
      <c r="T199" s="465">
        <v>1</v>
      </c>
      <c r="U199" s="465"/>
      <c r="V199" s="465"/>
      <c r="W199" s="465"/>
      <c r="X199" s="478">
        <f t="shared" si="34"/>
        <v>1</v>
      </c>
      <c r="Y199" s="432"/>
      <c r="Z199" s="464">
        <f t="shared" si="36"/>
        <v>1</v>
      </c>
      <c r="AA199" s="465">
        <v>1</v>
      </c>
      <c r="AB199" s="465"/>
      <c r="AC199" s="465"/>
      <c r="AD199" s="465"/>
      <c r="AE199" s="466">
        <f t="shared" si="37"/>
        <v>1</v>
      </c>
      <c r="AF199" s="308" t="s">
        <v>311</v>
      </c>
      <c r="AG199" s="433" t="str">
        <f>VLOOKUP(A199,'Feature Summary'!$A$7:$U$4104,21,FALSE)</f>
        <v>A/B + 8wks</v>
      </c>
      <c r="AH199" s="310"/>
    </row>
    <row r="200" spans="1:34" ht="105.75" thickBot="1" x14ac:dyDescent="0.3">
      <c r="A200" s="316" t="s">
        <v>843</v>
      </c>
      <c r="B200" s="533" t="s">
        <v>844</v>
      </c>
      <c r="C200" s="308" t="s">
        <v>499</v>
      </c>
      <c r="D200" s="536" t="s">
        <v>306</v>
      </c>
      <c r="E200" s="308"/>
      <c r="F200" s="533" t="s">
        <v>851</v>
      </c>
      <c r="G200" s="231" t="str">
        <f>VLOOKUP(A200,'Feature Summary'!$A$7:$C$4104,3,FALSE)</f>
        <v>P2</v>
      </c>
      <c r="H200" s="540" t="s">
        <v>852</v>
      </c>
      <c r="I200" s="540" t="s">
        <v>309</v>
      </c>
      <c r="J200" s="541" t="s">
        <v>327</v>
      </c>
      <c r="K200" s="548">
        <v>1</v>
      </c>
      <c r="L200" s="549">
        <v>1</v>
      </c>
      <c r="M200" s="545" t="s">
        <v>33</v>
      </c>
      <c r="N200" s="445">
        <v>1</v>
      </c>
      <c r="O200" s="443">
        <v>1</v>
      </c>
      <c r="P200" s="447">
        <f t="shared" si="28"/>
        <v>1</v>
      </c>
      <c r="Q200" s="431" t="s">
        <v>46</v>
      </c>
      <c r="R200" s="309">
        <v>1</v>
      </c>
      <c r="S200" s="477">
        <f t="shared" si="35"/>
        <v>1</v>
      </c>
      <c r="T200" s="465">
        <v>1</v>
      </c>
      <c r="U200" s="465"/>
      <c r="V200" s="465"/>
      <c r="W200" s="465"/>
      <c r="X200" s="478">
        <f t="shared" si="34"/>
        <v>1</v>
      </c>
      <c r="Y200" s="432"/>
      <c r="Z200" s="464">
        <f t="shared" si="36"/>
        <v>1</v>
      </c>
      <c r="AA200" s="465">
        <v>1</v>
      </c>
      <c r="AB200" s="465"/>
      <c r="AC200" s="465"/>
      <c r="AD200" s="465"/>
      <c r="AE200" s="466">
        <f t="shared" si="37"/>
        <v>1</v>
      </c>
      <c r="AF200" s="308" t="s">
        <v>311</v>
      </c>
      <c r="AG200" s="433" t="str">
        <f>VLOOKUP(A200,'Feature Summary'!$A$7:$U$4104,21,FALSE)</f>
        <v>A/B + 8wks</v>
      </c>
      <c r="AH200" s="310"/>
    </row>
    <row r="201" spans="1:34" ht="90.75" thickBot="1" x14ac:dyDescent="0.3">
      <c r="A201" s="316" t="s">
        <v>843</v>
      </c>
      <c r="B201" s="533" t="s">
        <v>844</v>
      </c>
      <c r="C201" s="308" t="s">
        <v>499</v>
      </c>
      <c r="D201" s="536" t="s">
        <v>306</v>
      </c>
      <c r="E201" s="308"/>
      <c r="F201" s="533" t="s">
        <v>853</v>
      </c>
      <c r="G201" s="231" t="str">
        <f>VLOOKUP(A201,'Feature Summary'!$A$7:$C$4104,3,FALSE)</f>
        <v>P2</v>
      </c>
      <c r="H201" s="540" t="s">
        <v>854</v>
      </c>
      <c r="I201" s="540" t="s">
        <v>309</v>
      </c>
      <c r="J201" s="541" t="s">
        <v>327</v>
      </c>
      <c r="K201" s="548">
        <v>1</v>
      </c>
      <c r="L201" s="549">
        <v>1</v>
      </c>
      <c r="M201" s="545" t="s">
        <v>33</v>
      </c>
      <c r="N201" s="445">
        <v>1</v>
      </c>
      <c r="O201" s="443">
        <v>1</v>
      </c>
      <c r="P201" s="447">
        <f t="shared" si="28"/>
        <v>1</v>
      </c>
      <c r="Q201" s="431" t="s">
        <v>46</v>
      </c>
      <c r="R201" s="309">
        <v>1</v>
      </c>
      <c r="S201" s="477">
        <f t="shared" si="35"/>
        <v>1</v>
      </c>
      <c r="T201" s="465">
        <v>1</v>
      </c>
      <c r="U201" s="465"/>
      <c r="V201" s="465"/>
      <c r="W201" s="465"/>
      <c r="X201" s="478">
        <f t="shared" si="34"/>
        <v>1</v>
      </c>
      <c r="Y201" s="432"/>
      <c r="Z201" s="464">
        <f t="shared" si="36"/>
        <v>1</v>
      </c>
      <c r="AA201" s="465">
        <v>1</v>
      </c>
      <c r="AB201" s="465"/>
      <c r="AC201" s="465"/>
      <c r="AD201" s="465"/>
      <c r="AE201" s="466">
        <f t="shared" si="37"/>
        <v>1</v>
      </c>
      <c r="AF201" s="308" t="s">
        <v>311</v>
      </c>
      <c r="AG201" s="433" t="str">
        <f>VLOOKUP(A201,'Feature Summary'!$A$7:$U$4104,21,FALSE)</f>
        <v>A/B + 8wks</v>
      </c>
      <c r="AH201" s="310"/>
    </row>
    <row r="202" spans="1:34" ht="105.75" thickBot="1" x14ac:dyDescent="0.3">
      <c r="A202" s="316" t="s">
        <v>843</v>
      </c>
      <c r="B202" s="533" t="s">
        <v>844</v>
      </c>
      <c r="C202" s="308" t="s">
        <v>499</v>
      </c>
      <c r="D202" s="536" t="s">
        <v>306</v>
      </c>
      <c r="E202" s="308"/>
      <c r="F202" s="533" t="s">
        <v>855</v>
      </c>
      <c r="G202" s="231" t="str">
        <f>VLOOKUP(A202,'Feature Summary'!$A$7:$C$4104,3,FALSE)</f>
        <v>P2</v>
      </c>
      <c r="H202" s="540" t="s">
        <v>856</v>
      </c>
      <c r="I202" s="540" t="s">
        <v>309</v>
      </c>
      <c r="J202" s="541" t="s">
        <v>327</v>
      </c>
      <c r="K202" s="548">
        <v>1</v>
      </c>
      <c r="L202" s="549">
        <v>1</v>
      </c>
      <c r="M202" s="545" t="s">
        <v>33</v>
      </c>
      <c r="N202" s="445">
        <v>1</v>
      </c>
      <c r="O202" s="443">
        <v>1</v>
      </c>
      <c r="P202" s="447">
        <f t="shared" si="28"/>
        <v>1</v>
      </c>
      <c r="Q202" s="431" t="s">
        <v>46</v>
      </c>
      <c r="R202" s="309">
        <v>1</v>
      </c>
      <c r="S202" s="477">
        <f t="shared" si="35"/>
        <v>1</v>
      </c>
      <c r="T202" s="465">
        <v>1</v>
      </c>
      <c r="U202" s="465"/>
      <c r="V202" s="465"/>
      <c r="W202" s="465"/>
      <c r="X202" s="478">
        <f t="shared" si="34"/>
        <v>1</v>
      </c>
      <c r="Y202" s="432"/>
      <c r="Z202" s="464">
        <f t="shared" si="36"/>
        <v>1</v>
      </c>
      <c r="AA202" s="465">
        <v>1</v>
      </c>
      <c r="AB202" s="465"/>
      <c r="AC202" s="465"/>
      <c r="AD202" s="465"/>
      <c r="AE202" s="466">
        <f t="shared" si="37"/>
        <v>1</v>
      </c>
      <c r="AF202" s="308" t="s">
        <v>311</v>
      </c>
      <c r="AG202" s="433" t="str">
        <f>VLOOKUP(A202,'Feature Summary'!$A$7:$U$4104,21,FALSE)</f>
        <v>A/B + 8wks</v>
      </c>
      <c r="AH202" s="310"/>
    </row>
    <row r="203" spans="1:34" ht="105.75" thickBot="1" x14ac:dyDescent="0.3">
      <c r="A203" s="316" t="s">
        <v>843</v>
      </c>
      <c r="B203" s="533" t="s">
        <v>844</v>
      </c>
      <c r="C203" s="308" t="s">
        <v>499</v>
      </c>
      <c r="D203" s="536" t="s">
        <v>306</v>
      </c>
      <c r="E203" s="308"/>
      <c r="F203" s="533" t="s">
        <v>857</v>
      </c>
      <c r="G203" s="231" t="str">
        <f>VLOOKUP(A203,'Feature Summary'!$A$7:$C$4104,3,FALSE)</f>
        <v>P2</v>
      </c>
      <c r="H203" s="540" t="s">
        <v>858</v>
      </c>
      <c r="I203" s="540" t="s">
        <v>309</v>
      </c>
      <c r="J203" s="541" t="s">
        <v>310</v>
      </c>
      <c r="K203" s="548">
        <v>1</v>
      </c>
      <c r="L203" s="549">
        <v>1</v>
      </c>
      <c r="M203" s="545" t="s">
        <v>33</v>
      </c>
      <c r="N203" s="445">
        <v>1</v>
      </c>
      <c r="O203" s="443">
        <v>1</v>
      </c>
      <c r="P203" s="447">
        <f t="shared" si="28"/>
        <v>1</v>
      </c>
      <c r="Q203" s="431" t="s">
        <v>46</v>
      </c>
      <c r="R203" s="309">
        <v>1</v>
      </c>
      <c r="S203" s="477">
        <f t="shared" si="35"/>
        <v>1</v>
      </c>
      <c r="T203" s="465">
        <v>1</v>
      </c>
      <c r="U203" s="465"/>
      <c r="V203" s="465"/>
      <c r="W203" s="465"/>
      <c r="X203" s="478">
        <f t="shared" si="34"/>
        <v>1</v>
      </c>
      <c r="Y203" s="432"/>
      <c r="Z203" s="464">
        <f t="shared" si="36"/>
        <v>1</v>
      </c>
      <c r="AA203" s="465">
        <v>1</v>
      </c>
      <c r="AB203" s="465"/>
      <c r="AC203" s="465"/>
      <c r="AD203" s="465"/>
      <c r="AE203" s="466">
        <f t="shared" si="37"/>
        <v>1</v>
      </c>
      <c r="AF203" s="308" t="s">
        <v>311</v>
      </c>
      <c r="AG203" s="433" t="str">
        <f>VLOOKUP(A203,'Feature Summary'!$A$7:$U$4104,21,FALSE)</f>
        <v>A/B + 8wks</v>
      </c>
      <c r="AH203" s="310"/>
    </row>
    <row r="204" spans="1:34" ht="75.75" thickBot="1" x14ac:dyDescent="0.3">
      <c r="A204" s="316" t="s">
        <v>843</v>
      </c>
      <c r="B204" s="533" t="s">
        <v>844</v>
      </c>
      <c r="C204" s="308" t="s">
        <v>499</v>
      </c>
      <c r="D204" s="536" t="s">
        <v>306</v>
      </c>
      <c r="E204" s="308"/>
      <c r="F204" s="533" t="s">
        <v>859</v>
      </c>
      <c r="G204" s="231" t="str">
        <f>VLOOKUP(A204,'Feature Summary'!$A$7:$C$4104,3,FALSE)</f>
        <v>P2</v>
      </c>
      <c r="H204" s="540" t="s">
        <v>860</v>
      </c>
      <c r="I204" s="540" t="s">
        <v>309</v>
      </c>
      <c r="J204" s="541" t="s">
        <v>310</v>
      </c>
      <c r="K204" s="548">
        <v>1</v>
      </c>
      <c r="L204" s="549">
        <v>1</v>
      </c>
      <c r="M204" s="545" t="s">
        <v>33</v>
      </c>
      <c r="N204" s="445">
        <v>1</v>
      </c>
      <c r="O204" s="443">
        <v>1</v>
      </c>
      <c r="P204" s="447">
        <f t="shared" si="28"/>
        <v>1</v>
      </c>
      <c r="Q204" s="431" t="s">
        <v>46</v>
      </c>
      <c r="R204" s="309">
        <v>1</v>
      </c>
      <c r="S204" s="477">
        <f t="shared" si="35"/>
        <v>1</v>
      </c>
      <c r="T204" s="465">
        <v>1</v>
      </c>
      <c r="U204" s="465"/>
      <c r="V204" s="465"/>
      <c r="W204" s="465"/>
      <c r="X204" s="478">
        <f t="shared" si="34"/>
        <v>1</v>
      </c>
      <c r="Y204" s="432"/>
      <c r="Z204" s="464">
        <f t="shared" si="36"/>
        <v>1</v>
      </c>
      <c r="AA204" s="465">
        <v>1</v>
      </c>
      <c r="AB204" s="465"/>
      <c r="AC204" s="465"/>
      <c r="AD204" s="465"/>
      <c r="AE204" s="466">
        <f t="shared" si="37"/>
        <v>1</v>
      </c>
      <c r="AF204" s="308" t="s">
        <v>311</v>
      </c>
      <c r="AG204" s="433" t="str">
        <f>VLOOKUP(A204,'Feature Summary'!$A$7:$U$4104,21,FALSE)</f>
        <v>A/B + 8wks</v>
      </c>
      <c r="AH204" s="310"/>
    </row>
    <row r="205" spans="1:34" ht="45.75" thickBot="1" x14ac:dyDescent="0.3">
      <c r="A205" s="316" t="s">
        <v>861</v>
      </c>
      <c r="B205" s="533" t="s">
        <v>862</v>
      </c>
      <c r="C205" s="308" t="s">
        <v>499</v>
      </c>
      <c r="D205" s="536" t="s">
        <v>388</v>
      </c>
      <c r="E205" s="308"/>
      <c r="F205" s="533" t="s">
        <v>863</v>
      </c>
      <c r="G205" s="231" t="str">
        <f>VLOOKUP(A205,'Feature Summary'!$A$7:$C$4104,3,FALSE)</f>
        <v>P2</v>
      </c>
      <c r="H205" s="540" t="s">
        <v>864</v>
      </c>
      <c r="I205" s="540" t="s">
        <v>309</v>
      </c>
      <c r="J205" s="541" t="s">
        <v>848</v>
      </c>
      <c r="K205" s="548">
        <v>1</v>
      </c>
      <c r="L205" s="549">
        <v>36</v>
      </c>
      <c r="M205" s="545" t="s">
        <v>33</v>
      </c>
      <c r="N205" s="445">
        <v>1</v>
      </c>
      <c r="O205" s="443">
        <v>36</v>
      </c>
      <c r="P205" s="447">
        <f t="shared" si="28"/>
        <v>1</v>
      </c>
      <c r="Q205" s="431" t="s">
        <v>45</v>
      </c>
      <c r="R205" s="309">
        <v>36</v>
      </c>
      <c r="S205" s="477">
        <f t="shared" si="35"/>
        <v>36</v>
      </c>
      <c r="T205" s="465">
        <v>36</v>
      </c>
      <c r="U205" s="465"/>
      <c r="V205" s="465"/>
      <c r="W205" s="465"/>
      <c r="X205" s="478">
        <f t="shared" si="34"/>
        <v>1</v>
      </c>
      <c r="Y205" s="432"/>
      <c r="Z205" s="464">
        <f t="shared" si="36"/>
        <v>36</v>
      </c>
      <c r="AA205" s="465">
        <v>36</v>
      </c>
      <c r="AB205" s="465"/>
      <c r="AC205" s="465"/>
      <c r="AD205" s="465"/>
      <c r="AE205" s="466">
        <f t="shared" si="37"/>
        <v>1</v>
      </c>
      <c r="AF205" s="308" t="s">
        <v>311</v>
      </c>
      <c r="AG205" s="433" t="str">
        <f>VLOOKUP(A205,'Feature Summary'!$A$7:$U$4104,21,FALSE)</f>
        <v>A/B + 8wks</v>
      </c>
      <c r="AH205" s="310"/>
    </row>
    <row r="206" spans="1:34" ht="90.75" thickBot="1" x14ac:dyDescent="0.3">
      <c r="A206" s="316" t="s">
        <v>861</v>
      </c>
      <c r="B206" s="533" t="s">
        <v>862</v>
      </c>
      <c r="C206" s="308" t="s">
        <v>499</v>
      </c>
      <c r="D206" s="536" t="s">
        <v>388</v>
      </c>
      <c r="E206" s="308"/>
      <c r="F206" s="540" t="s">
        <v>849</v>
      </c>
      <c r="G206" s="231" t="str">
        <f>VLOOKUP(A206,'Feature Summary'!$A$7:$C$4104,3,FALSE)</f>
        <v>P2</v>
      </c>
      <c r="H206" s="540" t="s">
        <v>865</v>
      </c>
      <c r="I206" s="540" t="s">
        <v>309</v>
      </c>
      <c r="J206" s="541" t="s">
        <v>327</v>
      </c>
      <c r="K206" s="548">
        <v>1</v>
      </c>
      <c r="L206" s="549">
        <v>1</v>
      </c>
      <c r="M206" s="545" t="s">
        <v>33</v>
      </c>
      <c r="N206" s="445">
        <v>1</v>
      </c>
      <c r="O206" s="443">
        <v>1</v>
      </c>
      <c r="P206" s="447">
        <f t="shared" si="28"/>
        <v>1</v>
      </c>
      <c r="Q206" s="431"/>
      <c r="R206" s="309">
        <v>1</v>
      </c>
      <c r="S206" s="477">
        <f t="shared" si="35"/>
        <v>1</v>
      </c>
      <c r="T206" s="465">
        <v>1</v>
      </c>
      <c r="U206" s="465"/>
      <c r="V206" s="465"/>
      <c r="W206" s="465"/>
      <c r="X206" s="478">
        <f t="shared" si="34"/>
        <v>1</v>
      </c>
      <c r="Y206" s="432"/>
      <c r="Z206" s="464">
        <f t="shared" si="36"/>
        <v>1</v>
      </c>
      <c r="AA206" s="465">
        <v>1</v>
      </c>
      <c r="AB206" s="465"/>
      <c r="AC206" s="465"/>
      <c r="AD206" s="465"/>
      <c r="AE206" s="466">
        <f t="shared" si="37"/>
        <v>1</v>
      </c>
      <c r="AF206" s="308" t="s">
        <v>311</v>
      </c>
      <c r="AG206" s="433" t="str">
        <f>VLOOKUP(A206,'Feature Summary'!$A$7:$U$4104,21,FALSE)</f>
        <v>A/B + 8wks</v>
      </c>
      <c r="AH206" s="310"/>
    </row>
    <row r="207" spans="1:34" ht="105.75" thickBot="1" x14ac:dyDescent="0.3">
      <c r="A207" s="316" t="s">
        <v>861</v>
      </c>
      <c r="B207" s="533" t="s">
        <v>862</v>
      </c>
      <c r="C207" s="308" t="s">
        <v>499</v>
      </c>
      <c r="D207" s="536" t="s">
        <v>388</v>
      </c>
      <c r="E207" s="308"/>
      <c r="F207" s="533" t="s">
        <v>851</v>
      </c>
      <c r="G207" s="231" t="str">
        <f>VLOOKUP(A207,'Feature Summary'!$A$7:$C$4104,3,FALSE)</f>
        <v>P2</v>
      </c>
      <c r="H207" s="540" t="s">
        <v>866</v>
      </c>
      <c r="I207" s="540" t="s">
        <v>309</v>
      </c>
      <c r="J207" s="541" t="s">
        <v>327</v>
      </c>
      <c r="K207" s="548">
        <v>1</v>
      </c>
      <c r="L207" s="549">
        <v>1</v>
      </c>
      <c r="M207" s="545" t="s">
        <v>33</v>
      </c>
      <c r="N207" s="445">
        <v>1</v>
      </c>
      <c r="O207" s="443">
        <v>1</v>
      </c>
      <c r="P207" s="447">
        <f t="shared" si="28"/>
        <v>1</v>
      </c>
      <c r="Q207" s="431"/>
      <c r="R207" s="309">
        <v>1</v>
      </c>
      <c r="S207" s="477">
        <f t="shared" si="35"/>
        <v>1</v>
      </c>
      <c r="T207" s="465">
        <v>1</v>
      </c>
      <c r="U207" s="465"/>
      <c r="V207" s="465"/>
      <c r="W207" s="465"/>
      <c r="X207" s="478">
        <f t="shared" si="34"/>
        <v>1</v>
      </c>
      <c r="Y207" s="432"/>
      <c r="Z207" s="464">
        <f t="shared" si="36"/>
        <v>1</v>
      </c>
      <c r="AA207" s="465">
        <v>1</v>
      </c>
      <c r="AB207" s="465"/>
      <c r="AC207" s="465"/>
      <c r="AD207" s="465"/>
      <c r="AE207" s="466">
        <f t="shared" si="37"/>
        <v>1</v>
      </c>
      <c r="AF207" s="308" t="s">
        <v>311</v>
      </c>
      <c r="AG207" s="433" t="str">
        <f>VLOOKUP(A207,'Feature Summary'!$A$7:$U$4104,21,FALSE)</f>
        <v>A/B + 8wks</v>
      </c>
      <c r="AH207" s="310"/>
    </row>
    <row r="208" spans="1:34" ht="90.75" thickBot="1" x14ac:dyDescent="0.3">
      <c r="A208" s="316" t="s">
        <v>861</v>
      </c>
      <c r="B208" s="533" t="s">
        <v>862</v>
      </c>
      <c r="C208" s="308" t="s">
        <v>499</v>
      </c>
      <c r="D208" s="536" t="s">
        <v>388</v>
      </c>
      <c r="E208" s="308"/>
      <c r="F208" s="533" t="s">
        <v>853</v>
      </c>
      <c r="G208" s="231" t="str">
        <f>VLOOKUP(A208,'Feature Summary'!$A$7:$C$4104,3,FALSE)</f>
        <v>P2</v>
      </c>
      <c r="H208" s="540" t="s">
        <v>867</v>
      </c>
      <c r="I208" s="540" t="s">
        <v>309</v>
      </c>
      <c r="J208" s="541" t="s">
        <v>327</v>
      </c>
      <c r="K208" s="548">
        <v>1</v>
      </c>
      <c r="L208" s="549">
        <v>1</v>
      </c>
      <c r="M208" s="545" t="s">
        <v>33</v>
      </c>
      <c r="N208" s="445">
        <v>1</v>
      </c>
      <c r="O208" s="443">
        <v>1</v>
      </c>
      <c r="P208" s="447">
        <f t="shared" si="28"/>
        <v>1</v>
      </c>
      <c r="Q208" s="431"/>
      <c r="R208" s="309">
        <v>1</v>
      </c>
      <c r="S208" s="477">
        <f t="shared" si="35"/>
        <v>1</v>
      </c>
      <c r="T208" s="465">
        <v>1</v>
      </c>
      <c r="U208" s="465"/>
      <c r="V208" s="465"/>
      <c r="W208" s="465"/>
      <c r="X208" s="478">
        <f t="shared" si="34"/>
        <v>1</v>
      </c>
      <c r="Y208" s="432"/>
      <c r="Z208" s="464">
        <f t="shared" si="36"/>
        <v>1</v>
      </c>
      <c r="AA208" s="465">
        <v>1</v>
      </c>
      <c r="AB208" s="465"/>
      <c r="AC208" s="465"/>
      <c r="AD208" s="465"/>
      <c r="AE208" s="466">
        <f t="shared" si="37"/>
        <v>1</v>
      </c>
      <c r="AF208" s="308" t="s">
        <v>311</v>
      </c>
      <c r="AG208" s="433" t="str">
        <f>VLOOKUP(A208,'Feature Summary'!$A$7:$U$4104,21,FALSE)</f>
        <v>A/B + 8wks</v>
      </c>
      <c r="AH208" s="310"/>
    </row>
    <row r="209" spans="1:34" ht="105.75" thickBot="1" x14ac:dyDescent="0.3">
      <c r="A209" s="316" t="s">
        <v>861</v>
      </c>
      <c r="B209" s="533" t="s">
        <v>862</v>
      </c>
      <c r="C209" s="308" t="s">
        <v>499</v>
      </c>
      <c r="D209" s="536" t="s">
        <v>388</v>
      </c>
      <c r="E209" s="308"/>
      <c r="F209" s="533" t="s">
        <v>855</v>
      </c>
      <c r="G209" s="231" t="str">
        <f>VLOOKUP(A209,'Feature Summary'!$A$7:$C$4104,3,FALSE)</f>
        <v>P2</v>
      </c>
      <c r="H209" s="540" t="s">
        <v>868</v>
      </c>
      <c r="I209" s="540" t="s">
        <v>309</v>
      </c>
      <c r="J209" s="541" t="s">
        <v>327</v>
      </c>
      <c r="K209" s="548">
        <v>1</v>
      </c>
      <c r="L209" s="549">
        <v>1</v>
      </c>
      <c r="M209" s="545" t="s">
        <v>33</v>
      </c>
      <c r="N209" s="445">
        <v>1</v>
      </c>
      <c r="O209" s="443">
        <v>1</v>
      </c>
      <c r="P209" s="447">
        <f t="shared" si="28"/>
        <v>1</v>
      </c>
      <c r="Q209" s="431"/>
      <c r="R209" s="309">
        <v>1</v>
      </c>
      <c r="S209" s="477">
        <f t="shared" si="35"/>
        <v>1</v>
      </c>
      <c r="T209" s="465">
        <v>1</v>
      </c>
      <c r="U209" s="465"/>
      <c r="V209" s="465"/>
      <c r="W209" s="465"/>
      <c r="X209" s="478">
        <f t="shared" si="34"/>
        <v>1</v>
      </c>
      <c r="Y209" s="432"/>
      <c r="Z209" s="464">
        <f t="shared" si="36"/>
        <v>1</v>
      </c>
      <c r="AA209" s="465">
        <v>1</v>
      </c>
      <c r="AB209" s="465"/>
      <c r="AC209" s="465"/>
      <c r="AD209" s="465"/>
      <c r="AE209" s="466">
        <f t="shared" si="37"/>
        <v>1</v>
      </c>
      <c r="AF209" s="308" t="s">
        <v>311</v>
      </c>
      <c r="AG209" s="433" t="str">
        <f>VLOOKUP(A209,'Feature Summary'!$A$7:$U$4104,21,FALSE)</f>
        <v>A/B + 8wks</v>
      </c>
      <c r="AH209" s="310"/>
    </row>
    <row r="210" spans="1:34" ht="105.75" thickBot="1" x14ac:dyDescent="0.3">
      <c r="A210" s="316" t="s">
        <v>861</v>
      </c>
      <c r="B210" s="533" t="s">
        <v>862</v>
      </c>
      <c r="C210" s="308" t="s">
        <v>499</v>
      </c>
      <c r="D210" s="536" t="s">
        <v>388</v>
      </c>
      <c r="E210" s="308"/>
      <c r="F210" s="533" t="s">
        <v>857</v>
      </c>
      <c r="G210" s="231" t="str">
        <f>VLOOKUP(A210,'Feature Summary'!$A$7:$C$4104,3,FALSE)</f>
        <v>P2</v>
      </c>
      <c r="H210" s="540" t="s">
        <v>869</v>
      </c>
      <c r="I210" s="540" t="s">
        <v>309</v>
      </c>
      <c r="J210" s="541" t="s">
        <v>310</v>
      </c>
      <c r="K210" s="548">
        <v>1</v>
      </c>
      <c r="L210" s="549">
        <v>1</v>
      </c>
      <c r="M210" s="545" t="s">
        <v>33</v>
      </c>
      <c r="N210" s="445">
        <v>1</v>
      </c>
      <c r="O210" s="443">
        <v>1</v>
      </c>
      <c r="P210" s="447">
        <f t="shared" si="28"/>
        <v>1</v>
      </c>
      <c r="Q210" s="431"/>
      <c r="R210" s="309">
        <v>1</v>
      </c>
      <c r="S210" s="477">
        <f t="shared" si="35"/>
        <v>1</v>
      </c>
      <c r="T210" s="465">
        <v>1</v>
      </c>
      <c r="U210" s="465"/>
      <c r="V210" s="465"/>
      <c r="W210" s="465"/>
      <c r="X210" s="478">
        <f t="shared" si="34"/>
        <v>1</v>
      </c>
      <c r="Y210" s="432"/>
      <c r="Z210" s="464">
        <f t="shared" si="36"/>
        <v>1</v>
      </c>
      <c r="AA210" s="465">
        <v>1</v>
      </c>
      <c r="AB210" s="465"/>
      <c r="AC210" s="465"/>
      <c r="AD210" s="465"/>
      <c r="AE210" s="466">
        <f t="shared" si="37"/>
        <v>1</v>
      </c>
      <c r="AF210" s="308" t="s">
        <v>311</v>
      </c>
      <c r="AG210" s="433" t="str">
        <f>VLOOKUP(A210,'Feature Summary'!$A$7:$U$4104,21,FALSE)</f>
        <v>A/B + 8wks</v>
      </c>
      <c r="AH210" s="310"/>
    </row>
    <row r="211" spans="1:34" ht="75.75" thickBot="1" x14ac:dyDescent="0.3">
      <c r="A211" s="316" t="s">
        <v>861</v>
      </c>
      <c r="B211" s="533" t="s">
        <v>862</v>
      </c>
      <c r="C211" s="308" t="s">
        <v>499</v>
      </c>
      <c r="D211" s="536" t="s">
        <v>388</v>
      </c>
      <c r="E211" s="308"/>
      <c r="F211" s="533" t="s">
        <v>859</v>
      </c>
      <c r="G211" s="231" t="str">
        <f>VLOOKUP(A211,'Feature Summary'!$A$7:$C$4104,3,FALSE)</f>
        <v>P2</v>
      </c>
      <c r="H211" s="540" t="s">
        <v>870</v>
      </c>
      <c r="I211" s="540" t="s">
        <v>309</v>
      </c>
      <c r="J211" s="541" t="s">
        <v>310</v>
      </c>
      <c r="K211" s="548">
        <v>1</v>
      </c>
      <c r="L211" s="549">
        <v>1</v>
      </c>
      <c r="M211" s="545" t="s">
        <v>33</v>
      </c>
      <c r="N211" s="445">
        <v>1</v>
      </c>
      <c r="O211" s="443">
        <v>1</v>
      </c>
      <c r="P211" s="447">
        <f t="shared" si="28"/>
        <v>1</v>
      </c>
      <c r="Q211" s="431"/>
      <c r="R211" s="309">
        <v>1</v>
      </c>
      <c r="S211" s="477">
        <f t="shared" si="35"/>
        <v>1</v>
      </c>
      <c r="T211" s="465">
        <v>1</v>
      </c>
      <c r="U211" s="465"/>
      <c r="V211" s="465"/>
      <c r="W211" s="465"/>
      <c r="X211" s="478">
        <f t="shared" si="34"/>
        <v>1</v>
      </c>
      <c r="Y211" s="432"/>
      <c r="Z211" s="464">
        <f t="shared" si="36"/>
        <v>1</v>
      </c>
      <c r="AA211" s="465">
        <v>1</v>
      </c>
      <c r="AB211" s="465"/>
      <c r="AC211" s="465"/>
      <c r="AD211" s="465"/>
      <c r="AE211" s="466">
        <f t="shared" si="37"/>
        <v>1</v>
      </c>
      <c r="AF211" s="308" t="s">
        <v>311</v>
      </c>
      <c r="AG211" s="433" t="str">
        <f>VLOOKUP(A211,'Feature Summary'!$A$7:$U$4104,21,FALSE)</f>
        <v>A/B + 8wks</v>
      </c>
      <c r="AH211" s="310"/>
    </row>
    <row r="212" spans="1:34" ht="90.75" thickBot="1" x14ac:dyDescent="0.3">
      <c r="A212" s="564" t="s">
        <v>871</v>
      </c>
      <c r="B212" s="533" t="s">
        <v>872</v>
      </c>
      <c r="C212" s="308" t="s">
        <v>406</v>
      </c>
      <c r="D212" s="536" t="s">
        <v>306</v>
      </c>
      <c r="E212" s="308"/>
      <c r="F212" s="533" t="s">
        <v>873</v>
      </c>
      <c r="G212" s="231" t="str">
        <f>VLOOKUP(A212,'Feature Summary'!$A$7:$C$4104,3,FALSE)</f>
        <v>P2</v>
      </c>
      <c r="H212" s="540" t="s">
        <v>874</v>
      </c>
      <c r="I212" s="540" t="s">
        <v>309</v>
      </c>
      <c r="J212" s="541" t="s">
        <v>875</v>
      </c>
      <c r="K212" s="548">
        <v>1</v>
      </c>
      <c r="L212" s="549">
        <v>3</v>
      </c>
      <c r="M212" s="545" t="s">
        <v>33</v>
      </c>
      <c r="N212" s="445">
        <v>1</v>
      </c>
      <c r="O212" s="443">
        <v>3</v>
      </c>
      <c r="P212" s="447">
        <f t="shared" si="28"/>
        <v>1</v>
      </c>
      <c r="Q212" s="431" t="s">
        <v>45</v>
      </c>
      <c r="R212" s="309">
        <v>3</v>
      </c>
      <c r="S212" s="477">
        <f t="shared" si="35"/>
        <v>3</v>
      </c>
      <c r="T212" s="465">
        <v>3</v>
      </c>
      <c r="U212" s="465"/>
      <c r="V212" s="465"/>
      <c r="W212" s="465"/>
      <c r="X212" s="478">
        <f t="shared" si="34"/>
        <v>1</v>
      </c>
      <c r="Y212" s="432"/>
      <c r="Z212" s="464">
        <f t="shared" si="36"/>
        <v>3</v>
      </c>
      <c r="AA212" s="465"/>
      <c r="AB212" s="465"/>
      <c r="AC212" s="465">
        <v>1</v>
      </c>
      <c r="AD212" s="465">
        <v>2</v>
      </c>
      <c r="AE212" s="466">
        <f t="shared" si="37"/>
        <v>0</v>
      </c>
      <c r="AF212" s="571" t="s">
        <v>876</v>
      </c>
      <c r="AG212" s="433" t="str">
        <f>VLOOKUP(A212,'Feature Summary'!$A$7:$U$4104,21,FALSE)</f>
        <v>A/B + 8wks</v>
      </c>
      <c r="AH212" s="310"/>
    </row>
    <row r="213" spans="1:34" ht="75.75" thickBot="1" x14ac:dyDescent="0.3">
      <c r="A213" s="564" t="s">
        <v>871</v>
      </c>
      <c r="B213" s="533" t="s">
        <v>872</v>
      </c>
      <c r="C213" s="308" t="s">
        <v>406</v>
      </c>
      <c r="D213" s="536" t="s">
        <v>306</v>
      </c>
      <c r="E213" s="308"/>
      <c r="F213" s="533" t="s">
        <v>873</v>
      </c>
      <c r="G213" s="231" t="str">
        <f>VLOOKUP(A213,'Feature Summary'!$A$7:$C$4104,3,FALSE)</f>
        <v>P2</v>
      </c>
      <c r="H213" s="540" t="s">
        <v>877</v>
      </c>
      <c r="I213" s="540" t="s">
        <v>309</v>
      </c>
      <c r="J213" s="541" t="s">
        <v>878</v>
      </c>
      <c r="K213" s="548">
        <v>1</v>
      </c>
      <c r="L213" s="549">
        <v>1</v>
      </c>
      <c r="M213" s="545" t="s">
        <v>33</v>
      </c>
      <c r="N213" s="445">
        <v>1</v>
      </c>
      <c r="O213" s="443">
        <v>1</v>
      </c>
      <c r="P213" s="447">
        <f t="shared" si="28"/>
        <v>1</v>
      </c>
      <c r="Q213" s="431" t="s">
        <v>45</v>
      </c>
      <c r="R213" s="309">
        <v>1</v>
      </c>
      <c r="S213" s="477">
        <f t="shared" si="35"/>
        <v>1</v>
      </c>
      <c r="T213" s="465">
        <v>1</v>
      </c>
      <c r="U213" s="465"/>
      <c r="V213" s="465"/>
      <c r="W213" s="465"/>
      <c r="X213" s="478">
        <f t="shared" si="34"/>
        <v>1</v>
      </c>
      <c r="Y213" s="432"/>
      <c r="Z213" s="464">
        <f t="shared" si="36"/>
        <v>1</v>
      </c>
      <c r="AA213" s="465"/>
      <c r="AB213" s="465"/>
      <c r="AC213" s="465">
        <v>1</v>
      </c>
      <c r="AD213" s="465"/>
      <c r="AE213" s="466">
        <f t="shared" si="37"/>
        <v>0</v>
      </c>
      <c r="AF213" s="571" t="s">
        <v>879</v>
      </c>
      <c r="AG213" s="433" t="str">
        <f>VLOOKUP(A213,'Feature Summary'!$A$7:$U$4104,21,FALSE)</f>
        <v>A/B + 8wks</v>
      </c>
      <c r="AH213" s="310"/>
    </row>
    <row r="214" spans="1:34" ht="90.75" thickBot="1" x14ac:dyDescent="0.3">
      <c r="A214" s="316" t="s">
        <v>871</v>
      </c>
      <c r="B214" s="533" t="s">
        <v>872</v>
      </c>
      <c r="C214" s="308" t="s">
        <v>406</v>
      </c>
      <c r="D214" s="536" t="s">
        <v>306</v>
      </c>
      <c r="E214" s="308"/>
      <c r="F214" s="533" t="s">
        <v>880</v>
      </c>
      <c r="G214" s="231" t="str">
        <f>VLOOKUP(A214,'Feature Summary'!$A$7:$C$4104,3,FALSE)</f>
        <v>P2</v>
      </c>
      <c r="H214" s="540" t="s">
        <v>881</v>
      </c>
      <c r="I214" s="540" t="s">
        <v>309</v>
      </c>
      <c r="J214" s="541" t="s">
        <v>882</v>
      </c>
      <c r="K214" s="548">
        <v>1</v>
      </c>
      <c r="L214" s="549">
        <v>4</v>
      </c>
      <c r="M214" s="545" t="s">
        <v>33</v>
      </c>
      <c r="N214" s="445">
        <v>1</v>
      </c>
      <c r="O214" s="443">
        <v>4</v>
      </c>
      <c r="P214" s="447">
        <f t="shared" si="28"/>
        <v>1</v>
      </c>
      <c r="Q214" s="431" t="s">
        <v>45</v>
      </c>
      <c r="R214" s="309">
        <v>4</v>
      </c>
      <c r="S214" s="477">
        <f t="shared" si="35"/>
        <v>4</v>
      </c>
      <c r="T214" s="465">
        <v>4</v>
      </c>
      <c r="U214" s="465"/>
      <c r="V214" s="465"/>
      <c r="W214" s="465"/>
      <c r="X214" s="478">
        <f t="shared" si="34"/>
        <v>1</v>
      </c>
      <c r="Y214" s="432"/>
      <c r="Z214" s="464">
        <f t="shared" si="36"/>
        <v>3</v>
      </c>
      <c r="AA214" s="465"/>
      <c r="AB214" s="465"/>
      <c r="AC214" s="465">
        <v>1</v>
      </c>
      <c r="AD214" s="465">
        <v>2</v>
      </c>
      <c r="AE214" s="466">
        <f t="shared" si="37"/>
        <v>0</v>
      </c>
      <c r="AF214" s="571" t="s">
        <v>876</v>
      </c>
      <c r="AG214" s="433" t="str">
        <f>VLOOKUP(A214,'Feature Summary'!$A$7:$U$4104,21,FALSE)</f>
        <v>A/B + 8wks</v>
      </c>
      <c r="AH214" s="310"/>
    </row>
    <row r="215" spans="1:34" ht="45.75" thickBot="1" x14ac:dyDescent="0.3">
      <c r="A215" s="316" t="s">
        <v>883</v>
      </c>
      <c r="B215" s="533" t="s">
        <v>884</v>
      </c>
      <c r="C215" s="308" t="s">
        <v>406</v>
      </c>
      <c r="D215" s="536" t="s">
        <v>388</v>
      </c>
      <c r="E215" s="308"/>
      <c r="F215" s="533" t="s">
        <v>885</v>
      </c>
      <c r="G215" s="231" t="str">
        <f>VLOOKUP(A215,'Feature Summary'!$A$7:$C$4104,3,FALSE)</f>
        <v>P2</v>
      </c>
      <c r="H215" s="540" t="s">
        <v>886</v>
      </c>
      <c r="I215" s="540" t="s">
        <v>309</v>
      </c>
      <c r="J215" s="541" t="s">
        <v>887</v>
      </c>
      <c r="K215" s="548">
        <v>1</v>
      </c>
      <c r="L215" s="549">
        <v>4</v>
      </c>
      <c r="M215" s="545" t="s">
        <v>33</v>
      </c>
      <c r="N215" s="445">
        <v>1</v>
      </c>
      <c r="O215" s="443">
        <v>4</v>
      </c>
      <c r="P215" s="447">
        <f t="shared" si="28"/>
        <v>1</v>
      </c>
      <c r="Q215" s="431" t="s">
        <v>45</v>
      </c>
      <c r="R215" s="309">
        <v>4</v>
      </c>
      <c r="S215" s="477">
        <f t="shared" ref="S215" si="38">SUM(T215:W215)</f>
        <v>4</v>
      </c>
      <c r="T215" s="465">
        <v>4</v>
      </c>
      <c r="U215" s="465"/>
      <c r="V215" s="465"/>
      <c r="W215" s="465"/>
      <c r="X215" s="478">
        <f t="shared" ref="X215" si="39">IF((S215=0),0,((T215+U215)/S215*100%))</f>
        <v>1</v>
      </c>
      <c r="Y215" s="432"/>
      <c r="Z215" s="464">
        <f t="shared" ref="Z215" si="40">SUM(AA215:AD215)</f>
        <v>4</v>
      </c>
      <c r="AA215" s="465">
        <v>3</v>
      </c>
      <c r="AB215" s="465"/>
      <c r="AC215" s="465">
        <v>1</v>
      </c>
      <c r="AD215" s="465"/>
      <c r="AE215" s="466">
        <f t="shared" ref="AE215" si="41">IF((Z215=0),0,((AA215+AB215)/Z215*100%))</f>
        <v>0.75</v>
      </c>
      <c r="AF215" s="308" t="s">
        <v>888</v>
      </c>
      <c r="AG215" s="433" t="str">
        <f>VLOOKUP(A215,'Feature Summary'!$A$7:$U$4104,21,FALSE)</f>
        <v>A/B + 7wks</v>
      </c>
      <c r="AH215" s="310"/>
    </row>
    <row r="216" spans="1:34" ht="75.75" thickBot="1" x14ac:dyDescent="0.3">
      <c r="A216" s="316" t="s">
        <v>883</v>
      </c>
      <c r="B216" s="533" t="s">
        <v>884</v>
      </c>
      <c r="C216" s="308" t="s">
        <v>406</v>
      </c>
      <c r="D216" s="536" t="s">
        <v>388</v>
      </c>
      <c r="E216" s="308"/>
      <c r="F216" s="533" t="s">
        <v>885</v>
      </c>
      <c r="G216" s="231" t="str">
        <f>VLOOKUP(A216,'Feature Summary'!$A$7:$C$4104,3,FALSE)</f>
        <v>P2</v>
      </c>
      <c r="H216" s="540" t="s">
        <v>889</v>
      </c>
      <c r="I216" s="540" t="s">
        <v>309</v>
      </c>
      <c r="J216" s="541" t="s">
        <v>890</v>
      </c>
      <c r="K216" s="548">
        <v>1</v>
      </c>
      <c r="L216" s="549">
        <v>1</v>
      </c>
      <c r="M216" s="545" t="s">
        <v>33</v>
      </c>
      <c r="N216" s="445">
        <v>1</v>
      </c>
      <c r="O216" s="443">
        <v>1</v>
      </c>
      <c r="P216" s="447">
        <f t="shared" si="28"/>
        <v>1</v>
      </c>
      <c r="Q216" s="431" t="s">
        <v>45</v>
      </c>
      <c r="R216" s="309">
        <v>1</v>
      </c>
      <c r="S216" s="477">
        <f t="shared" si="35"/>
        <v>1</v>
      </c>
      <c r="T216" s="465">
        <v>1</v>
      </c>
      <c r="U216" s="465"/>
      <c r="V216" s="465"/>
      <c r="W216" s="465"/>
      <c r="X216" s="478">
        <f t="shared" si="34"/>
        <v>1</v>
      </c>
      <c r="Y216" s="432"/>
      <c r="Z216" s="464">
        <f t="shared" si="36"/>
        <v>1</v>
      </c>
      <c r="AA216" s="465">
        <v>1</v>
      </c>
      <c r="AB216" s="465"/>
      <c r="AC216" s="465"/>
      <c r="AD216" s="465"/>
      <c r="AE216" s="466">
        <f t="shared" si="37"/>
        <v>1</v>
      </c>
      <c r="AF216" s="308" t="s">
        <v>311</v>
      </c>
      <c r="AG216" s="433" t="str">
        <f>VLOOKUP(A216,'Feature Summary'!$A$7:$U$4104,21,FALSE)</f>
        <v>A/B + 7wks</v>
      </c>
      <c r="AH216" s="310"/>
    </row>
    <row r="217" spans="1:34" ht="90.75" thickBot="1" x14ac:dyDescent="0.3">
      <c r="A217" s="316" t="s">
        <v>883</v>
      </c>
      <c r="B217" s="533" t="s">
        <v>884</v>
      </c>
      <c r="C217" s="308" t="s">
        <v>406</v>
      </c>
      <c r="D217" s="536" t="s">
        <v>388</v>
      </c>
      <c r="E217" s="308"/>
      <c r="F217" s="533" t="s">
        <v>891</v>
      </c>
      <c r="G217" s="231" t="str">
        <f>VLOOKUP(A217,'Feature Summary'!$A$7:$C$4104,3,FALSE)</f>
        <v>P2</v>
      </c>
      <c r="H217" s="540" t="s">
        <v>892</v>
      </c>
      <c r="I217" s="540" t="s">
        <v>309</v>
      </c>
      <c r="J217" s="541" t="s">
        <v>893</v>
      </c>
      <c r="K217" s="548">
        <v>1</v>
      </c>
      <c r="L217" s="549">
        <v>2</v>
      </c>
      <c r="M217" s="545" t="s">
        <v>33</v>
      </c>
      <c r="N217" s="445">
        <v>1</v>
      </c>
      <c r="O217" s="443">
        <v>2</v>
      </c>
      <c r="P217" s="447">
        <f t="shared" ref="P217:P293" si="42">IF((O217=0),0,(O217/L217))</f>
        <v>1</v>
      </c>
      <c r="Q217" s="431" t="s">
        <v>45</v>
      </c>
      <c r="R217" s="309">
        <v>2</v>
      </c>
      <c r="S217" s="477">
        <f t="shared" si="35"/>
        <v>2</v>
      </c>
      <c r="T217" s="465">
        <v>2</v>
      </c>
      <c r="U217" s="465"/>
      <c r="V217" s="465"/>
      <c r="W217" s="465"/>
      <c r="X217" s="478">
        <f t="shared" si="34"/>
        <v>1</v>
      </c>
      <c r="Y217" s="432"/>
      <c r="Z217" s="464">
        <f t="shared" si="36"/>
        <v>2</v>
      </c>
      <c r="AA217" s="465"/>
      <c r="AB217" s="465"/>
      <c r="AC217" s="465">
        <v>1</v>
      </c>
      <c r="AD217" s="465">
        <v>1</v>
      </c>
      <c r="AE217" s="466">
        <f t="shared" si="37"/>
        <v>0</v>
      </c>
      <c r="AF217" s="571" t="s">
        <v>894</v>
      </c>
      <c r="AG217" s="433" t="str">
        <f>VLOOKUP(A217,'Feature Summary'!$A$7:$U$4104,21,FALSE)</f>
        <v>A/B + 7wks</v>
      </c>
      <c r="AH217" s="310"/>
    </row>
    <row r="218" spans="1:34" ht="105.75" thickBot="1" x14ac:dyDescent="0.3">
      <c r="A218" s="316" t="s">
        <v>895</v>
      </c>
      <c r="B218" s="533" t="s">
        <v>430</v>
      </c>
      <c r="C218" s="308" t="s">
        <v>305</v>
      </c>
      <c r="D218" s="536" t="s">
        <v>306</v>
      </c>
      <c r="E218" s="308"/>
      <c r="F218" s="533" t="s">
        <v>896</v>
      </c>
      <c r="G218" s="231" t="e">
        <f>VLOOKUP(A218,'Feature Summary'!$A$7:$C$4104,3,FALSE)</f>
        <v>#N/A</v>
      </c>
      <c r="H218" s="540" t="s">
        <v>897</v>
      </c>
      <c r="I218" s="540" t="s">
        <v>309</v>
      </c>
      <c r="J218" s="541" t="s">
        <v>898</v>
      </c>
      <c r="K218" s="548">
        <v>1</v>
      </c>
      <c r="L218" s="549">
        <v>32</v>
      </c>
      <c r="M218" s="545" t="s">
        <v>33</v>
      </c>
      <c r="N218" s="445">
        <v>1</v>
      </c>
      <c r="O218" s="443">
        <v>32</v>
      </c>
      <c r="P218" s="447">
        <f t="shared" si="42"/>
        <v>1</v>
      </c>
      <c r="Q218" s="431" t="s">
        <v>45</v>
      </c>
      <c r="R218" s="309">
        <v>32</v>
      </c>
      <c r="S218" s="477">
        <f t="shared" si="35"/>
        <v>32</v>
      </c>
      <c r="T218" s="465">
        <v>32</v>
      </c>
      <c r="U218" s="465"/>
      <c r="V218" s="465"/>
      <c r="W218" s="465"/>
      <c r="X218" s="478">
        <f t="shared" si="34"/>
        <v>1</v>
      </c>
      <c r="Y218" s="610"/>
      <c r="Z218" s="464">
        <f t="shared" si="36"/>
        <v>32</v>
      </c>
      <c r="AA218" s="465">
        <v>18</v>
      </c>
      <c r="AB218" s="465"/>
      <c r="AC218" s="465">
        <v>14</v>
      </c>
      <c r="AD218" s="465"/>
      <c r="AE218" s="466">
        <f t="shared" si="37"/>
        <v>0.5625</v>
      </c>
      <c r="AF218" s="571" t="s">
        <v>899</v>
      </c>
      <c r="AG218" s="429" t="str">
        <f>VLOOKUP(LEFT(A218,(FIND(",",A218,1)-1)),'Feature Summary'!$A$7:$U$4035,21,FALSE)</f>
        <v>A/B + 8wks</v>
      </c>
      <c r="AH218" s="310"/>
    </row>
    <row r="219" spans="1:34" ht="105.75" thickBot="1" x14ac:dyDescent="0.3">
      <c r="A219" s="316" t="s">
        <v>900</v>
      </c>
      <c r="B219" s="533" t="s">
        <v>901</v>
      </c>
      <c r="C219" s="308" t="s">
        <v>305</v>
      </c>
      <c r="D219" s="536" t="s">
        <v>388</v>
      </c>
      <c r="E219" s="308"/>
      <c r="F219" s="533" t="s">
        <v>902</v>
      </c>
      <c r="G219" s="231" t="e">
        <f>VLOOKUP(A219,'Feature Summary'!$A$7:$C$4104,3,FALSE)</f>
        <v>#N/A</v>
      </c>
      <c r="H219" s="540" t="s">
        <v>903</v>
      </c>
      <c r="I219" s="540" t="s">
        <v>309</v>
      </c>
      <c r="J219" s="541" t="s">
        <v>904</v>
      </c>
      <c r="K219" s="548">
        <v>1</v>
      </c>
      <c r="L219" s="549">
        <v>32</v>
      </c>
      <c r="M219" s="545" t="s">
        <v>33</v>
      </c>
      <c r="N219" s="445">
        <v>1</v>
      </c>
      <c r="O219" s="443">
        <v>32</v>
      </c>
      <c r="P219" s="447">
        <f t="shared" si="42"/>
        <v>1</v>
      </c>
      <c r="Q219" s="431" t="s">
        <v>45</v>
      </c>
      <c r="R219" s="309">
        <v>32</v>
      </c>
      <c r="S219" s="477">
        <f t="shared" si="35"/>
        <v>32</v>
      </c>
      <c r="T219" s="465">
        <v>32</v>
      </c>
      <c r="U219" s="465"/>
      <c r="V219" s="465"/>
      <c r="W219" s="465"/>
      <c r="X219" s="478">
        <f t="shared" si="34"/>
        <v>1</v>
      </c>
      <c r="Y219" s="432"/>
      <c r="Z219" s="464">
        <f t="shared" si="36"/>
        <v>32</v>
      </c>
      <c r="AA219" s="465">
        <v>18</v>
      </c>
      <c r="AB219" s="465"/>
      <c r="AC219" s="465">
        <v>14</v>
      </c>
      <c r="AD219" s="465"/>
      <c r="AE219" s="466">
        <f t="shared" si="37"/>
        <v>0.5625</v>
      </c>
      <c r="AF219" s="571" t="s">
        <v>905</v>
      </c>
      <c r="AG219" s="429" t="e">
        <f>VLOOKUP(LEFT(A219,(FIND(",",A219,1)-1)),'Feature Summary'!$A$7:$U$4035,21,FALSE)</f>
        <v>#N/A</v>
      </c>
      <c r="AH219" s="310"/>
    </row>
    <row r="220" spans="1:34" ht="180.75" thickBot="1" x14ac:dyDescent="0.3">
      <c r="A220" s="307" t="s">
        <v>906</v>
      </c>
      <c r="B220" s="533" t="s">
        <v>907</v>
      </c>
      <c r="C220" s="308" t="s">
        <v>780</v>
      </c>
      <c r="D220" s="536" t="s">
        <v>306</v>
      </c>
      <c r="E220" s="308"/>
      <c r="F220" s="533" t="s">
        <v>908</v>
      </c>
      <c r="G220" s="231" t="e">
        <f>VLOOKUP(A220,'Feature Summary'!$A$7:$C$4104,3,FALSE)</f>
        <v>#N/A</v>
      </c>
      <c r="H220" s="540" t="s">
        <v>909</v>
      </c>
      <c r="I220" s="540" t="s">
        <v>331</v>
      </c>
      <c r="J220" s="541" t="s">
        <v>910</v>
      </c>
      <c r="K220" s="548">
        <v>2</v>
      </c>
      <c r="L220" s="549">
        <v>4</v>
      </c>
      <c r="M220" s="545" t="s">
        <v>38</v>
      </c>
      <c r="N220" s="445">
        <v>1</v>
      </c>
      <c r="O220" s="443">
        <v>4</v>
      </c>
      <c r="P220" s="447">
        <f t="shared" ref="P220" si="43">IF((O220=0),0,(O220/L220))</f>
        <v>1</v>
      </c>
      <c r="Q220" s="431" t="s">
        <v>46</v>
      </c>
      <c r="R220" s="309">
        <v>2</v>
      </c>
      <c r="S220" s="477">
        <f t="shared" si="35"/>
        <v>4</v>
      </c>
      <c r="T220" s="465">
        <v>4</v>
      </c>
      <c r="U220" s="465"/>
      <c r="V220" s="465"/>
      <c r="W220" s="465"/>
      <c r="X220" s="478">
        <f t="shared" si="34"/>
        <v>1</v>
      </c>
      <c r="Y220" s="432"/>
      <c r="Z220" s="464">
        <f t="shared" si="36"/>
        <v>0</v>
      </c>
      <c r="AA220" s="465"/>
      <c r="AB220" s="465"/>
      <c r="AC220" s="465"/>
      <c r="AD220" s="465"/>
      <c r="AE220" s="466">
        <f t="shared" si="37"/>
        <v>0</v>
      </c>
      <c r="AF220" s="587"/>
      <c r="AG220" s="429" t="str">
        <f>VLOOKUP(LEFT(A220,(FIND(",",A220,1)-1)),'Feature Summary'!$A$7:$U$4035,21,FALSE)</f>
        <v>A/B + 8wks</v>
      </c>
      <c r="AH220" s="580" t="s">
        <v>911</v>
      </c>
    </row>
    <row r="221" spans="1:34" ht="90.75" thickBot="1" x14ac:dyDescent="0.3">
      <c r="A221" s="307" t="s">
        <v>906</v>
      </c>
      <c r="B221" s="533" t="s">
        <v>907</v>
      </c>
      <c r="C221" s="308" t="s">
        <v>780</v>
      </c>
      <c r="D221" s="536" t="s">
        <v>306</v>
      </c>
      <c r="E221" s="308"/>
      <c r="F221" s="533" t="s">
        <v>908</v>
      </c>
      <c r="G221" s="231" t="e">
        <f>VLOOKUP(A221,'Feature Summary'!$A$7:$C$4104,3,FALSE)</f>
        <v>#N/A</v>
      </c>
      <c r="H221" s="540" t="s">
        <v>912</v>
      </c>
      <c r="I221" s="540" t="s">
        <v>309</v>
      </c>
      <c r="J221" s="541" t="s">
        <v>913</v>
      </c>
      <c r="K221" s="548">
        <v>2</v>
      </c>
      <c r="L221" s="549">
        <v>4</v>
      </c>
      <c r="M221" s="545" t="s">
        <v>38</v>
      </c>
      <c r="N221" s="445">
        <v>1</v>
      </c>
      <c r="O221" s="443">
        <v>4</v>
      </c>
      <c r="P221" s="447">
        <f t="shared" si="42"/>
        <v>1</v>
      </c>
      <c r="Q221" s="431" t="s">
        <v>46</v>
      </c>
      <c r="R221" s="309">
        <v>2</v>
      </c>
      <c r="S221" s="477">
        <f t="shared" ref="S221:S222" si="44">SUM(T221:W221)</f>
        <v>2</v>
      </c>
      <c r="T221" s="465">
        <v>2</v>
      </c>
      <c r="U221" s="465"/>
      <c r="V221" s="465"/>
      <c r="W221" s="465"/>
      <c r="X221" s="478">
        <f t="shared" ref="X221:X222" si="45">IF((S221=0),0,((T221+U221)/S221*100%))</f>
        <v>1</v>
      </c>
      <c r="Y221" s="432"/>
      <c r="Z221" s="464">
        <f t="shared" ref="Z221:Z222" si="46">SUM(AA221:AD221)</f>
        <v>4</v>
      </c>
      <c r="AA221" s="465"/>
      <c r="AB221" s="465"/>
      <c r="AC221" s="465">
        <v>4</v>
      </c>
      <c r="AD221" s="465"/>
      <c r="AE221" s="466">
        <f t="shared" ref="AE221:AE222" si="47">IF((Z221=0),0,((AA221+AB221)/Z221*100%))</f>
        <v>0</v>
      </c>
      <c r="AF221" s="308" t="s">
        <v>537</v>
      </c>
      <c r="AG221" s="429" t="str">
        <f>VLOOKUP(LEFT(A221,(FIND(",",A221,1)-1)),'Feature Summary'!$A$7:$U$4035,21,FALSE)</f>
        <v>A/B + 8wks</v>
      </c>
      <c r="AH221" s="580" t="s">
        <v>911</v>
      </c>
    </row>
    <row r="222" spans="1:34" ht="105.75" thickBot="1" x14ac:dyDescent="0.3">
      <c r="A222" s="307" t="s">
        <v>906</v>
      </c>
      <c r="B222" s="533" t="s">
        <v>907</v>
      </c>
      <c r="C222" s="308" t="s">
        <v>780</v>
      </c>
      <c r="D222" s="536" t="s">
        <v>306</v>
      </c>
      <c r="E222" s="308"/>
      <c r="F222" s="533" t="s">
        <v>914</v>
      </c>
      <c r="G222" s="231" t="e">
        <f>VLOOKUP(A222,'Feature Summary'!$A$7:$C$4104,3,FALSE)</f>
        <v>#N/A</v>
      </c>
      <c r="H222" s="540" t="s">
        <v>915</v>
      </c>
      <c r="I222" s="540" t="s">
        <v>309</v>
      </c>
      <c r="J222" s="541" t="s">
        <v>916</v>
      </c>
      <c r="K222" s="548">
        <v>4</v>
      </c>
      <c r="L222" s="549">
        <v>4</v>
      </c>
      <c r="M222" s="545" t="s">
        <v>38</v>
      </c>
      <c r="N222" s="445">
        <v>1</v>
      </c>
      <c r="O222" s="443">
        <v>4</v>
      </c>
      <c r="P222" s="447">
        <f t="shared" si="42"/>
        <v>1</v>
      </c>
      <c r="Q222" s="431" t="s">
        <v>45</v>
      </c>
      <c r="R222" s="309">
        <v>2</v>
      </c>
      <c r="S222" s="477">
        <f t="shared" si="44"/>
        <v>4</v>
      </c>
      <c r="T222" s="465">
        <v>4</v>
      </c>
      <c r="U222" s="465"/>
      <c r="V222" s="465"/>
      <c r="W222" s="465"/>
      <c r="X222" s="478">
        <f t="shared" si="45"/>
        <v>1</v>
      </c>
      <c r="Y222" s="432"/>
      <c r="Z222" s="464">
        <f t="shared" si="46"/>
        <v>4</v>
      </c>
      <c r="AA222" s="465"/>
      <c r="AB222" s="465"/>
      <c r="AC222" s="465">
        <v>4</v>
      </c>
      <c r="AD222" s="465"/>
      <c r="AE222" s="466">
        <f t="shared" si="47"/>
        <v>0</v>
      </c>
      <c r="AF222" s="308" t="s">
        <v>537</v>
      </c>
      <c r="AG222" s="429" t="str">
        <f>VLOOKUP(LEFT(A222,(FIND(",",A222,1)-1)),'Feature Summary'!$A$7:$U$4035,21,FALSE)</f>
        <v>A/B + 8wks</v>
      </c>
      <c r="AH222" s="580" t="s">
        <v>911</v>
      </c>
    </row>
    <row r="223" spans="1:34" ht="105.75" thickBot="1" x14ac:dyDescent="0.3">
      <c r="A223" s="307" t="s">
        <v>906</v>
      </c>
      <c r="B223" s="533" t="s">
        <v>907</v>
      </c>
      <c r="C223" s="308" t="s">
        <v>780</v>
      </c>
      <c r="D223" s="536" t="s">
        <v>306</v>
      </c>
      <c r="E223" s="308"/>
      <c r="F223" s="533" t="s">
        <v>917</v>
      </c>
      <c r="G223" s="231" t="e">
        <f>VLOOKUP(A223,'Feature Summary'!$A$7:$C$4104,3,FALSE)</f>
        <v>#N/A</v>
      </c>
      <c r="H223" s="540" t="s">
        <v>918</v>
      </c>
      <c r="I223" s="540" t="s">
        <v>309</v>
      </c>
      <c r="J223" s="541" t="s">
        <v>916</v>
      </c>
      <c r="K223" s="548">
        <v>4</v>
      </c>
      <c r="L223" s="549">
        <v>4</v>
      </c>
      <c r="M223" s="545" t="s">
        <v>38</v>
      </c>
      <c r="N223" s="445">
        <v>1</v>
      </c>
      <c r="O223" s="443">
        <v>4</v>
      </c>
      <c r="P223" s="447">
        <f t="shared" si="42"/>
        <v>1</v>
      </c>
      <c r="Q223" s="431" t="s">
        <v>45</v>
      </c>
      <c r="R223" s="309">
        <v>2</v>
      </c>
      <c r="S223" s="477">
        <f t="shared" si="35"/>
        <v>4</v>
      </c>
      <c r="T223" s="465">
        <v>4</v>
      </c>
      <c r="U223" s="465"/>
      <c r="V223" s="465"/>
      <c r="W223" s="465"/>
      <c r="X223" s="478">
        <f t="shared" si="34"/>
        <v>1</v>
      </c>
      <c r="Y223" s="432"/>
      <c r="Z223" s="464">
        <f t="shared" si="36"/>
        <v>4</v>
      </c>
      <c r="AA223" s="465"/>
      <c r="AB223" s="465"/>
      <c r="AC223" s="465">
        <v>4</v>
      </c>
      <c r="AD223" s="465"/>
      <c r="AE223" s="466">
        <f t="shared" si="37"/>
        <v>0</v>
      </c>
      <c r="AF223" s="308" t="s">
        <v>537</v>
      </c>
      <c r="AG223" s="429" t="str">
        <f>VLOOKUP(LEFT(A223,(FIND(",",A223,1)-1)),'Feature Summary'!$A$7:$U$4035,21,FALSE)</f>
        <v>A/B + 8wks</v>
      </c>
      <c r="AH223" s="580" t="s">
        <v>911</v>
      </c>
    </row>
    <row r="224" spans="1:34" ht="105.75" thickBot="1" x14ac:dyDescent="0.3">
      <c r="A224" s="307" t="s">
        <v>906</v>
      </c>
      <c r="B224" s="533" t="s">
        <v>907</v>
      </c>
      <c r="C224" s="308" t="s">
        <v>780</v>
      </c>
      <c r="D224" s="536" t="s">
        <v>306</v>
      </c>
      <c r="E224" s="308"/>
      <c r="F224" s="533" t="s">
        <v>919</v>
      </c>
      <c r="G224" s="231" t="e">
        <f>VLOOKUP(A224,'Feature Summary'!$A$7:$C$4104,3,FALSE)</f>
        <v>#N/A</v>
      </c>
      <c r="H224" s="540" t="s">
        <v>920</v>
      </c>
      <c r="I224" s="540" t="s">
        <v>309</v>
      </c>
      <c r="J224" s="541" t="s">
        <v>921</v>
      </c>
      <c r="K224" s="548">
        <v>1</v>
      </c>
      <c r="L224" s="549">
        <v>8</v>
      </c>
      <c r="M224" s="545" t="s">
        <v>38</v>
      </c>
      <c r="N224" s="445">
        <v>1</v>
      </c>
      <c r="O224" s="443">
        <v>8</v>
      </c>
      <c r="P224" s="447">
        <f t="shared" si="42"/>
        <v>1</v>
      </c>
      <c r="Q224" s="431" t="s">
        <v>45</v>
      </c>
      <c r="R224" s="309">
        <v>4</v>
      </c>
      <c r="S224" s="477">
        <f t="shared" si="35"/>
        <v>8</v>
      </c>
      <c r="T224" s="465">
        <v>8</v>
      </c>
      <c r="U224" s="465"/>
      <c r="V224" s="465"/>
      <c r="W224" s="465"/>
      <c r="X224" s="478">
        <f t="shared" si="34"/>
        <v>1</v>
      </c>
      <c r="Y224" s="432"/>
      <c r="Z224" s="464">
        <f t="shared" si="36"/>
        <v>4</v>
      </c>
      <c r="AA224" s="465"/>
      <c r="AB224" s="465"/>
      <c r="AC224" s="465">
        <v>4</v>
      </c>
      <c r="AD224" s="465"/>
      <c r="AE224" s="466">
        <f t="shared" si="37"/>
        <v>0</v>
      </c>
      <c r="AF224" s="308" t="s">
        <v>537</v>
      </c>
      <c r="AG224" s="429" t="str">
        <f>VLOOKUP(LEFT(A224,(FIND(",",A224,1)-1)),'Feature Summary'!$A$7:$U$4035,21,FALSE)</f>
        <v>A/B + 8wks</v>
      </c>
      <c r="AH224" s="580"/>
    </row>
    <row r="225" spans="1:34" ht="105.75" thickBot="1" x14ac:dyDescent="0.3">
      <c r="A225" s="307" t="s">
        <v>906</v>
      </c>
      <c r="B225" s="533" t="s">
        <v>907</v>
      </c>
      <c r="C225" s="308" t="s">
        <v>780</v>
      </c>
      <c r="D225" s="536" t="s">
        <v>306</v>
      </c>
      <c r="E225" s="308"/>
      <c r="F225" s="533" t="s">
        <v>922</v>
      </c>
      <c r="G225" s="231" t="e">
        <f>VLOOKUP(A225,'Feature Summary'!$A$7:$C$4104,3,FALSE)</f>
        <v>#N/A</v>
      </c>
      <c r="H225" s="540" t="s">
        <v>923</v>
      </c>
      <c r="I225" s="540" t="s">
        <v>309</v>
      </c>
      <c r="J225" s="541" t="s">
        <v>921</v>
      </c>
      <c r="K225" s="548">
        <v>1</v>
      </c>
      <c r="L225" s="549">
        <v>4</v>
      </c>
      <c r="M225" s="545" t="s">
        <v>38</v>
      </c>
      <c r="N225" s="445">
        <v>1</v>
      </c>
      <c r="O225" s="443">
        <v>4</v>
      </c>
      <c r="P225" s="447">
        <f t="shared" si="42"/>
        <v>1</v>
      </c>
      <c r="Q225" s="431" t="s">
        <v>45</v>
      </c>
      <c r="R225" s="309">
        <v>2</v>
      </c>
      <c r="S225" s="477">
        <f t="shared" ref="S225" si="48">SUM(T225:W225)</f>
        <v>4</v>
      </c>
      <c r="T225" s="465">
        <v>4</v>
      </c>
      <c r="U225" s="465"/>
      <c r="V225" s="465"/>
      <c r="W225" s="465"/>
      <c r="X225" s="478">
        <f t="shared" ref="X225" si="49">IF((S225=0),0,((T225+U225)/S225*100%))</f>
        <v>1</v>
      </c>
      <c r="Y225" s="432"/>
      <c r="Z225" s="464">
        <f t="shared" ref="Z225" si="50">SUM(AA225:AD225)</f>
        <v>4</v>
      </c>
      <c r="AA225" s="465"/>
      <c r="AB225" s="465"/>
      <c r="AC225" s="465">
        <v>4</v>
      </c>
      <c r="AD225" s="465"/>
      <c r="AE225" s="466">
        <f t="shared" ref="AE225" si="51">IF((Z225=0),0,((AA225+AB225)/Z225*100%))</f>
        <v>0</v>
      </c>
      <c r="AF225" s="308" t="s">
        <v>537</v>
      </c>
      <c r="AG225" s="429" t="str">
        <f>VLOOKUP(LEFT(A225,(FIND(",",A225,1)-1)),'Feature Summary'!$A$7:$U$4035,21,FALSE)</f>
        <v>A/B + 8wks</v>
      </c>
      <c r="AH225" s="580"/>
    </row>
    <row r="226" spans="1:34" ht="105.75" thickBot="1" x14ac:dyDescent="0.3">
      <c r="A226" s="307" t="s">
        <v>906</v>
      </c>
      <c r="B226" s="533" t="s">
        <v>907</v>
      </c>
      <c r="C226" s="308" t="s">
        <v>780</v>
      </c>
      <c r="D226" s="536" t="s">
        <v>306</v>
      </c>
      <c r="E226" s="308"/>
      <c r="F226" s="533" t="s">
        <v>924</v>
      </c>
      <c r="G226" s="231" t="e">
        <f>VLOOKUP(A226,'Feature Summary'!$A$7:$C$4104,3,FALSE)</f>
        <v>#N/A</v>
      </c>
      <c r="H226" s="540" t="s">
        <v>925</v>
      </c>
      <c r="I226" s="540" t="s">
        <v>309</v>
      </c>
      <c r="J226" s="541" t="s">
        <v>921</v>
      </c>
      <c r="K226" s="548">
        <v>1</v>
      </c>
      <c r="L226" s="549">
        <v>4</v>
      </c>
      <c r="M226" s="545" t="s">
        <v>38</v>
      </c>
      <c r="N226" s="445">
        <v>1</v>
      </c>
      <c r="O226" s="443">
        <v>4</v>
      </c>
      <c r="P226" s="447">
        <f t="shared" si="42"/>
        <v>1</v>
      </c>
      <c r="Q226" s="431" t="s">
        <v>45</v>
      </c>
      <c r="R226" s="309">
        <v>2</v>
      </c>
      <c r="S226" s="477">
        <f t="shared" si="35"/>
        <v>4</v>
      </c>
      <c r="T226" s="465">
        <v>4</v>
      </c>
      <c r="U226" s="465"/>
      <c r="V226" s="465"/>
      <c r="W226" s="465"/>
      <c r="X226" s="478">
        <f t="shared" si="34"/>
        <v>1</v>
      </c>
      <c r="Y226" s="432"/>
      <c r="Z226" s="464">
        <f t="shared" si="36"/>
        <v>4</v>
      </c>
      <c r="AA226" s="465"/>
      <c r="AB226" s="465"/>
      <c r="AC226" s="465">
        <v>4</v>
      </c>
      <c r="AD226" s="465"/>
      <c r="AE226" s="466">
        <f t="shared" si="37"/>
        <v>0</v>
      </c>
      <c r="AF226" s="308" t="s">
        <v>537</v>
      </c>
      <c r="AG226" s="429" t="str">
        <f>VLOOKUP(LEFT(A226,(FIND(",",A226,1)-1)),'Feature Summary'!$A$7:$U$4035,21,FALSE)</f>
        <v>A/B + 8wks</v>
      </c>
      <c r="AH226" s="580"/>
    </row>
    <row r="227" spans="1:34" ht="180.75" thickBot="1" x14ac:dyDescent="0.3">
      <c r="A227" s="307" t="s">
        <v>906</v>
      </c>
      <c r="B227" s="533" t="s">
        <v>907</v>
      </c>
      <c r="C227" s="308" t="s">
        <v>780</v>
      </c>
      <c r="D227" s="536" t="s">
        <v>306</v>
      </c>
      <c r="E227" s="308"/>
      <c r="F227" s="533" t="s">
        <v>926</v>
      </c>
      <c r="G227" s="231" t="e">
        <f>VLOOKUP(A227,'Feature Summary'!$A$7:$C$4104,3,FALSE)</f>
        <v>#N/A</v>
      </c>
      <c r="H227" s="540" t="s">
        <v>927</v>
      </c>
      <c r="I227" s="540" t="s">
        <v>309</v>
      </c>
      <c r="J227" s="541" t="s">
        <v>928</v>
      </c>
      <c r="K227" s="548">
        <v>2</v>
      </c>
      <c r="L227" s="549">
        <v>4</v>
      </c>
      <c r="M227" s="545" t="s">
        <v>38</v>
      </c>
      <c r="N227" s="445">
        <v>1</v>
      </c>
      <c r="O227" s="443">
        <v>4</v>
      </c>
      <c r="P227" s="447">
        <f t="shared" si="42"/>
        <v>1</v>
      </c>
      <c r="Q227" s="431" t="s">
        <v>46</v>
      </c>
      <c r="R227" s="309">
        <v>2</v>
      </c>
      <c r="S227" s="477">
        <f t="shared" ref="S227" si="52">SUM(T227:W227)</f>
        <v>4</v>
      </c>
      <c r="T227" s="465">
        <v>4</v>
      </c>
      <c r="U227" s="465"/>
      <c r="V227" s="465"/>
      <c r="W227" s="465"/>
      <c r="X227" s="478">
        <f t="shared" ref="X227" si="53">IF((S227=0),0,((T227+U227)/S227*100%))</f>
        <v>1</v>
      </c>
      <c r="Y227" s="432"/>
      <c r="Z227" s="464">
        <f t="shared" ref="Z227" si="54">SUM(AA227:AD227)</f>
        <v>4</v>
      </c>
      <c r="AA227" s="465">
        <v>4</v>
      </c>
      <c r="AB227" s="465"/>
      <c r="AC227" s="465"/>
      <c r="AD227" s="465"/>
      <c r="AE227" s="466">
        <f t="shared" ref="AE227" si="55">IF((Z227=0),0,((AA227+AB227)/Z227*100%))</f>
        <v>1</v>
      </c>
      <c r="AF227" s="571" t="s">
        <v>647</v>
      </c>
      <c r="AG227" s="429" t="str">
        <f>VLOOKUP(LEFT(A227,(FIND(",",A227,1)-1)),'Feature Summary'!$A$7:$U$4035,21,FALSE)</f>
        <v>A/B + 8wks</v>
      </c>
      <c r="AH227" s="580" t="s">
        <v>911</v>
      </c>
    </row>
    <row r="228" spans="1:34" ht="180.75" thickBot="1" x14ac:dyDescent="0.3">
      <c r="A228" s="307" t="s">
        <v>906</v>
      </c>
      <c r="B228" s="533" t="s">
        <v>907</v>
      </c>
      <c r="C228" s="308" t="s">
        <v>780</v>
      </c>
      <c r="D228" s="536" t="s">
        <v>306</v>
      </c>
      <c r="E228" s="308"/>
      <c r="F228" s="533" t="s">
        <v>929</v>
      </c>
      <c r="G228" s="231" t="e">
        <f>VLOOKUP(A228,'Feature Summary'!$A$7:$C$4104,3,FALSE)</f>
        <v>#N/A</v>
      </c>
      <c r="H228" s="540" t="s">
        <v>930</v>
      </c>
      <c r="I228" s="540" t="s">
        <v>309</v>
      </c>
      <c r="J228" s="541" t="s">
        <v>928</v>
      </c>
      <c r="K228" s="548">
        <v>2</v>
      </c>
      <c r="L228" s="549">
        <v>4</v>
      </c>
      <c r="M228" s="545" t="s">
        <v>38</v>
      </c>
      <c r="N228" s="445">
        <v>1</v>
      </c>
      <c r="O228" s="443">
        <v>4</v>
      </c>
      <c r="P228" s="447">
        <f t="shared" ref="P228" si="56">IF((O228=0),0,(O228/L228))</f>
        <v>1</v>
      </c>
      <c r="Q228" s="431" t="s">
        <v>46</v>
      </c>
      <c r="R228" s="309">
        <v>2</v>
      </c>
      <c r="S228" s="477">
        <f t="shared" ref="S228" si="57">SUM(T228:W228)</f>
        <v>4</v>
      </c>
      <c r="T228" s="465">
        <v>4</v>
      </c>
      <c r="U228" s="465"/>
      <c r="V228" s="465"/>
      <c r="W228" s="465"/>
      <c r="X228" s="478">
        <f t="shared" ref="X228" si="58">IF((S228=0),0,((T228+U228)/S228*100%))</f>
        <v>1</v>
      </c>
      <c r="Y228" s="432"/>
      <c r="Z228" s="464">
        <f t="shared" ref="Z228" si="59">SUM(AA228:AD228)</f>
        <v>4</v>
      </c>
      <c r="AA228" s="465">
        <v>4</v>
      </c>
      <c r="AB228" s="465"/>
      <c r="AC228" s="465"/>
      <c r="AD228" s="465"/>
      <c r="AE228" s="466">
        <f t="shared" ref="AE228" si="60">IF((Z228=0),0,((AA228+AB228)/Z228*100%))</f>
        <v>1</v>
      </c>
      <c r="AF228" s="571" t="s">
        <v>647</v>
      </c>
      <c r="AG228" s="429" t="str">
        <f>VLOOKUP(LEFT(A228,(FIND(",",A228,1)-1)),'Feature Summary'!$A$7:$U$4035,21,FALSE)</f>
        <v>A/B + 8wks</v>
      </c>
      <c r="AH228" s="580" t="s">
        <v>911</v>
      </c>
    </row>
    <row r="229" spans="1:34" ht="195.75" thickBot="1" x14ac:dyDescent="0.3">
      <c r="A229" s="307" t="s">
        <v>906</v>
      </c>
      <c r="B229" s="533" t="s">
        <v>907</v>
      </c>
      <c r="C229" s="308" t="s">
        <v>780</v>
      </c>
      <c r="D229" s="536" t="s">
        <v>306</v>
      </c>
      <c r="E229" s="308"/>
      <c r="F229" s="533" t="s">
        <v>931</v>
      </c>
      <c r="G229" s="231" t="e">
        <f>VLOOKUP(A229,'Feature Summary'!$A$7:$C$4104,3,FALSE)</f>
        <v>#N/A</v>
      </c>
      <c r="H229" s="540" t="s">
        <v>932</v>
      </c>
      <c r="I229" s="540" t="s">
        <v>309</v>
      </c>
      <c r="J229" s="541" t="s">
        <v>933</v>
      </c>
      <c r="K229" s="548"/>
      <c r="L229" s="549">
        <v>32</v>
      </c>
      <c r="M229" s="545" t="s">
        <v>38</v>
      </c>
      <c r="N229" s="445">
        <v>1</v>
      </c>
      <c r="O229" s="443">
        <v>32</v>
      </c>
      <c r="P229" s="447">
        <f t="shared" ref="P229:P232" si="61">IF((O229=0),0,(O229/L229))</f>
        <v>1</v>
      </c>
      <c r="Q229" s="431" t="s">
        <v>46</v>
      </c>
      <c r="R229" s="309"/>
      <c r="S229" s="477">
        <f t="shared" ref="S229:S231" si="62">SUM(T229:W229)</f>
        <v>0</v>
      </c>
      <c r="T229" s="465"/>
      <c r="U229" s="465"/>
      <c r="V229" s="465"/>
      <c r="W229" s="465"/>
      <c r="X229" s="478">
        <f t="shared" ref="X229:X232" si="63">IF((S229=0),0,((T229+U229)/S229*100%))</f>
        <v>0</v>
      </c>
      <c r="Y229" s="432"/>
      <c r="Z229" s="464">
        <f t="shared" ref="Z229:Z231" si="64">SUM(AA229:AD229)</f>
        <v>32</v>
      </c>
      <c r="AA229" s="465">
        <v>32</v>
      </c>
      <c r="AB229" s="465"/>
      <c r="AC229" s="465"/>
      <c r="AD229" s="465"/>
      <c r="AE229" s="466">
        <f t="shared" ref="AE229:AE232" si="65">IF((Z229=0),0,((AA229+AB229)/Z229*100%))</f>
        <v>1</v>
      </c>
      <c r="AF229" s="571" t="s">
        <v>647</v>
      </c>
      <c r="AG229" s="429" t="str">
        <f>VLOOKUP(LEFT(A229,(FIND(",",A229,1)-1)),'Feature Summary'!$A$7:$U$4035,21,FALSE)</f>
        <v>A/B + 8wks</v>
      </c>
      <c r="AH229" s="580"/>
    </row>
    <row r="230" spans="1:34" ht="195.75" thickBot="1" x14ac:dyDescent="0.3">
      <c r="A230" s="307" t="s">
        <v>906</v>
      </c>
      <c r="B230" s="533" t="s">
        <v>907</v>
      </c>
      <c r="C230" s="308" t="s">
        <v>780</v>
      </c>
      <c r="D230" s="536" t="s">
        <v>306</v>
      </c>
      <c r="E230" s="308"/>
      <c r="F230" s="533" t="s">
        <v>934</v>
      </c>
      <c r="G230" s="231" t="e">
        <f>VLOOKUP(A230,'Feature Summary'!$A$7:$C$4104,3,FALSE)</f>
        <v>#N/A</v>
      </c>
      <c r="H230" s="540" t="s">
        <v>935</v>
      </c>
      <c r="I230" s="540" t="s">
        <v>309</v>
      </c>
      <c r="J230" s="541" t="s">
        <v>933</v>
      </c>
      <c r="K230" s="548"/>
      <c r="L230" s="549">
        <v>32</v>
      </c>
      <c r="M230" s="545" t="s">
        <v>38</v>
      </c>
      <c r="N230" s="445">
        <v>1</v>
      </c>
      <c r="O230" s="443">
        <v>32</v>
      </c>
      <c r="P230" s="447">
        <f t="shared" si="61"/>
        <v>1</v>
      </c>
      <c r="Q230" s="431" t="s">
        <v>46</v>
      </c>
      <c r="R230" s="309"/>
      <c r="S230" s="477">
        <f t="shared" si="62"/>
        <v>0</v>
      </c>
      <c r="T230" s="465"/>
      <c r="U230" s="465"/>
      <c r="V230" s="465"/>
      <c r="W230" s="465"/>
      <c r="X230" s="478">
        <f t="shared" si="63"/>
        <v>0</v>
      </c>
      <c r="Y230" s="432"/>
      <c r="Z230" s="464">
        <f t="shared" si="64"/>
        <v>32</v>
      </c>
      <c r="AA230" s="465">
        <v>32</v>
      </c>
      <c r="AB230" s="465"/>
      <c r="AC230" s="465"/>
      <c r="AD230" s="465"/>
      <c r="AE230" s="466">
        <f t="shared" si="65"/>
        <v>1</v>
      </c>
      <c r="AF230" s="571" t="s">
        <v>647</v>
      </c>
      <c r="AG230" s="429" t="str">
        <f>VLOOKUP(LEFT(A230,(FIND(",",A230,1)-1)),'Feature Summary'!$A$7:$U$4035,21,FALSE)</f>
        <v>A/B + 8wks</v>
      </c>
      <c r="AH230" s="580"/>
    </row>
    <row r="231" spans="1:34" ht="180.75" thickBot="1" x14ac:dyDescent="0.3">
      <c r="A231" s="307" t="s">
        <v>906</v>
      </c>
      <c r="B231" s="533" t="s">
        <v>907</v>
      </c>
      <c r="C231" s="308" t="s">
        <v>780</v>
      </c>
      <c r="D231" s="536" t="s">
        <v>306</v>
      </c>
      <c r="E231" s="308"/>
      <c r="F231" s="533" t="s">
        <v>936</v>
      </c>
      <c r="G231" s="231" t="e">
        <f>VLOOKUP(A231,'Feature Summary'!$A$7:$C$4104,3,FALSE)</f>
        <v>#N/A</v>
      </c>
      <c r="H231" s="540" t="s">
        <v>937</v>
      </c>
      <c r="I231" s="540" t="s">
        <v>309</v>
      </c>
      <c r="J231" s="541" t="s">
        <v>938</v>
      </c>
      <c r="K231" s="548"/>
      <c r="L231" s="549">
        <v>32</v>
      </c>
      <c r="M231" s="545" t="s">
        <v>38</v>
      </c>
      <c r="N231" s="445">
        <v>1</v>
      </c>
      <c r="O231" s="443">
        <v>32</v>
      </c>
      <c r="P231" s="447">
        <f t="shared" si="61"/>
        <v>1</v>
      </c>
      <c r="Q231" s="431" t="s">
        <v>46</v>
      </c>
      <c r="R231" s="309"/>
      <c r="S231" s="477">
        <f t="shared" si="62"/>
        <v>0</v>
      </c>
      <c r="T231" s="465"/>
      <c r="U231" s="465"/>
      <c r="V231" s="465"/>
      <c r="W231" s="465"/>
      <c r="X231" s="478">
        <f t="shared" si="63"/>
        <v>0</v>
      </c>
      <c r="Y231" s="432"/>
      <c r="Z231" s="464">
        <f t="shared" si="64"/>
        <v>0</v>
      </c>
      <c r="AA231" s="465"/>
      <c r="AB231" s="465"/>
      <c r="AC231" s="465"/>
      <c r="AD231" s="465"/>
      <c r="AE231" s="466">
        <f t="shared" si="65"/>
        <v>0</v>
      </c>
      <c r="AF231" s="308"/>
      <c r="AG231" s="429" t="str">
        <f>VLOOKUP(LEFT(A231,(FIND(",",A231,1)-1)),'Feature Summary'!$A$7:$U$4035,21,FALSE)</f>
        <v>A/B + 8wks</v>
      </c>
      <c r="AH231" s="580"/>
    </row>
    <row r="232" spans="1:34" s="171" customFormat="1" ht="210.75" thickBot="1" x14ac:dyDescent="0.3">
      <c r="A232" s="316" t="s">
        <v>939</v>
      </c>
      <c r="B232" s="533" t="s">
        <v>940</v>
      </c>
      <c r="C232" s="308" t="s">
        <v>780</v>
      </c>
      <c r="D232" s="536" t="s">
        <v>388</v>
      </c>
      <c r="E232" s="308"/>
      <c r="F232" s="533" t="s">
        <v>941</v>
      </c>
      <c r="G232" s="231" t="str">
        <f>VLOOKUP(A232,'Feature Summary'!$A$7:$C$4104,3,FALSE)</f>
        <v>P1</v>
      </c>
      <c r="H232" s="540" t="s">
        <v>942</v>
      </c>
      <c r="I232" s="540" t="s">
        <v>309</v>
      </c>
      <c r="J232" s="541" t="s">
        <v>943</v>
      </c>
      <c r="K232" s="548">
        <v>1</v>
      </c>
      <c r="L232" s="549">
        <v>4</v>
      </c>
      <c r="M232" s="545" t="s">
        <v>38</v>
      </c>
      <c r="N232" s="445">
        <v>1</v>
      </c>
      <c r="O232" s="443">
        <v>4</v>
      </c>
      <c r="P232" s="447">
        <f t="shared" si="61"/>
        <v>1</v>
      </c>
      <c r="Q232" s="431" t="s">
        <v>46</v>
      </c>
      <c r="R232" s="309">
        <v>2</v>
      </c>
      <c r="S232" s="477">
        <f t="shared" ref="S232" si="66">SUM(T232:W232)</f>
        <v>0</v>
      </c>
      <c r="T232" s="465"/>
      <c r="U232" s="465"/>
      <c r="V232" s="465"/>
      <c r="W232" s="465"/>
      <c r="X232" s="478">
        <f t="shared" si="63"/>
        <v>0</v>
      </c>
      <c r="Y232" s="432"/>
      <c r="Z232" s="464">
        <f t="shared" ref="Z232" si="67">SUM(AA232:AD232)</f>
        <v>4</v>
      </c>
      <c r="AA232" s="465">
        <v>4</v>
      </c>
      <c r="AB232" s="465"/>
      <c r="AC232" s="465"/>
      <c r="AD232" s="465"/>
      <c r="AE232" s="466">
        <f t="shared" si="65"/>
        <v>1</v>
      </c>
      <c r="AF232" s="571" t="s">
        <v>647</v>
      </c>
      <c r="AG232" s="429" t="e">
        <f>VLOOKUP(LEFT(A232,(FIND(",",A232,1)-1)),'Feature Summary'!$A$7:$U$4035,21,FALSE)</f>
        <v>#VALUE!</v>
      </c>
      <c r="AH232" s="580" t="s">
        <v>944</v>
      </c>
    </row>
    <row r="233" spans="1:34" s="171" customFormat="1" ht="210.75" thickBot="1" x14ac:dyDescent="0.3">
      <c r="A233" s="316" t="s">
        <v>939</v>
      </c>
      <c r="B233" s="533" t="s">
        <v>940</v>
      </c>
      <c r="C233" s="308" t="s">
        <v>780</v>
      </c>
      <c r="D233" s="536" t="s">
        <v>388</v>
      </c>
      <c r="E233" s="308"/>
      <c r="F233" s="533" t="s">
        <v>945</v>
      </c>
      <c r="G233" s="231" t="str">
        <f>VLOOKUP(A233,'Feature Summary'!$A$7:$C$4104,3,FALSE)</f>
        <v>P1</v>
      </c>
      <c r="H233" s="540" t="s">
        <v>946</v>
      </c>
      <c r="I233" s="540" t="s">
        <v>309</v>
      </c>
      <c r="J233" s="541" t="s">
        <v>947</v>
      </c>
      <c r="K233" s="548">
        <v>1</v>
      </c>
      <c r="L233" s="549">
        <v>4</v>
      </c>
      <c r="M233" s="545" t="s">
        <v>38</v>
      </c>
      <c r="N233" s="445">
        <v>1</v>
      </c>
      <c r="O233" s="443">
        <v>4</v>
      </c>
      <c r="P233" s="447">
        <f t="shared" ref="P233:P234" si="68">IF((O233=0),0,(O233/L233))</f>
        <v>1</v>
      </c>
      <c r="Q233" s="431" t="s">
        <v>46</v>
      </c>
      <c r="R233" s="309">
        <v>2</v>
      </c>
      <c r="S233" s="477">
        <f t="shared" ref="S233:S234" si="69">SUM(T233:W233)</f>
        <v>0</v>
      </c>
      <c r="T233" s="465"/>
      <c r="U233" s="465"/>
      <c r="V233" s="465"/>
      <c r="W233" s="465"/>
      <c r="X233" s="478">
        <f t="shared" ref="X233:X234" si="70">IF((S233=0),0,((T233+U233)/S233*100%))</f>
        <v>0</v>
      </c>
      <c r="Y233" s="432"/>
      <c r="Z233" s="464">
        <f t="shared" ref="Z233:Z234" si="71">SUM(AA233:AD233)</f>
        <v>4</v>
      </c>
      <c r="AA233" s="465"/>
      <c r="AB233" s="465"/>
      <c r="AC233" s="465">
        <v>4</v>
      </c>
      <c r="AD233" s="465"/>
      <c r="AE233" s="466">
        <f t="shared" ref="AE233:AE234" si="72">IF((Z233=0),0,((AA233+AB233)/Z233*100%))</f>
        <v>0</v>
      </c>
      <c r="AF233" s="571" t="s">
        <v>948</v>
      </c>
      <c r="AG233" s="429" t="e">
        <f>VLOOKUP(LEFT(A233,(FIND(",",A233,1)-1)),'Feature Summary'!$A$7:$U$4035,21,FALSE)</f>
        <v>#VALUE!</v>
      </c>
      <c r="AH233" s="580" t="s">
        <v>944</v>
      </c>
    </row>
    <row r="234" spans="1:34" s="171" customFormat="1" ht="210.75" thickBot="1" x14ac:dyDescent="0.3">
      <c r="A234" s="316" t="s">
        <v>939</v>
      </c>
      <c r="B234" s="533" t="s">
        <v>940</v>
      </c>
      <c r="C234" s="308" t="s">
        <v>780</v>
      </c>
      <c r="D234" s="536" t="s">
        <v>388</v>
      </c>
      <c r="E234" s="308"/>
      <c r="F234" s="533" t="s">
        <v>949</v>
      </c>
      <c r="G234" s="231" t="str">
        <f>VLOOKUP(A234,'Feature Summary'!$A$7:$C$4104,3,FALSE)</f>
        <v>P1</v>
      </c>
      <c r="H234" s="540" t="s">
        <v>950</v>
      </c>
      <c r="I234" s="540" t="s">
        <v>309</v>
      </c>
      <c r="J234" s="541" t="s">
        <v>943</v>
      </c>
      <c r="K234" s="548">
        <v>1</v>
      </c>
      <c r="L234" s="549">
        <v>4</v>
      </c>
      <c r="M234" s="545" t="s">
        <v>38</v>
      </c>
      <c r="N234" s="445">
        <v>1</v>
      </c>
      <c r="O234" s="443">
        <v>4</v>
      </c>
      <c r="P234" s="447">
        <f t="shared" si="68"/>
        <v>1</v>
      </c>
      <c r="Q234" s="431" t="s">
        <v>46</v>
      </c>
      <c r="R234" s="309">
        <v>2</v>
      </c>
      <c r="S234" s="477">
        <f t="shared" si="69"/>
        <v>0</v>
      </c>
      <c r="T234" s="465"/>
      <c r="U234" s="465"/>
      <c r="V234" s="465"/>
      <c r="W234" s="465"/>
      <c r="X234" s="478">
        <f t="shared" si="70"/>
        <v>0</v>
      </c>
      <c r="Y234" s="432"/>
      <c r="Z234" s="464">
        <f t="shared" si="71"/>
        <v>0</v>
      </c>
      <c r="AA234" s="465"/>
      <c r="AB234" s="465"/>
      <c r="AC234" s="465"/>
      <c r="AD234" s="465"/>
      <c r="AE234" s="466">
        <f t="shared" si="72"/>
        <v>0</v>
      </c>
      <c r="AF234" s="587"/>
      <c r="AG234" s="429" t="e">
        <f>VLOOKUP(LEFT(A234,(FIND(",",A234,1)-1)),'Feature Summary'!$A$7:$U$4035,21,FALSE)</f>
        <v>#VALUE!</v>
      </c>
      <c r="AH234" s="580" t="s">
        <v>944</v>
      </c>
    </row>
    <row r="235" spans="1:34" s="171" customFormat="1" ht="210.75" thickBot="1" x14ac:dyDescent="0.3">
      <c r="A235" s="316" t="s">
        <v>939</v>
      </c>
      <c r="B235" s="533" t="s">
        <v>940</v>
      </c>
      <c r="C235" s="308" t="s">
        <v>780</v>
      </c>
      <c r="D235" s="536" t="s">
        <v>388</v>
      </c>
      <c r="E235" s="308"/>
      <c r="F235" s="533" t="s">
        <v>951</v>
      </c>
      <c r="G235" s="231" t="str">
        <f>VLOOKUP(A235,'Feature Summary'!$A$7:$C$4104,3,FALSE)</f>
        <v>P1</v>
      </c>
      <c r="H235" s="540" t="s">
        <v>952</v>
      </c>
      <c r="I235" s="540" t="s">
        <v>309</v>
      </c>
      <c r="J235" s="541" t="s">
        <v>947</v>
      </c>
      <c r="K235" s="548">
        <v>1</v>
      </c>
      <c r="L235" s="549">
        <v>4</v>
      </c>
      <c r="M235" s="545" t="s">
        <v>38</v>
      </c>
      <c r="N235" s="445">
        <v>1</v>
      </c>
      <c r="O235" s="443">
        <v>4</v>
      </c>
      <c r="P235" s="447">
        <f t="shared" ref="P235:P236" si="73">IF((O235=0),0,(O235/L235))</f>
        <v>1</v>
      </c>
      <c r="Q235" s="431" t="s">
        <v>46</v>
      </c>
      <c r="R235" s="309">
        <v>2</v>
      </c>
      <c r="S235" s="477">
        <f t="shared" ref="S235:S236" si="74">SUM(T235:W235)</f>
        <v>0</v>
      </c>
      <c r="T235" s="465"/>
      <c r="U235" s="465"/>
      <c r="V235" s="465"/>
      <c r="W235" s="465"/>
      <c r="X235" s="478">
        <f t="shared" ref="X235:X236" si="75">IF((S235=0),0,((T235+U235)/S235*100%))</f>
        <v>0</v>
      </c>
      <c r="Y235" s="432"/>
      <c r="Z235" s="464">
        <f t="shared" ref="Z235:Z236" si="76">SUM(AA235:AD235)</f>
        <v>0</v>
      </c>
      <c r="AA235" s="465"/>
      <c r="AB235" s="465"/>
      <c r="AC235" s="465"/>
      <c r="AD235" s="465"/>
      <c r="AE235" s="466">
        <f t="shared" ref="AE235:AE236" si="77">IF((Z235=0),0,((AA235+AB235)/Z235*100%))</f>
        <v>0</v>
      </c>
      <c r="AF235" s="587"/>
      <c r="AG235" s="429" t="e">
        <f>VLOOKUP(LEFT(A235,(FIND(",",A235,1)-1)),'Feature Summary'!$A$7:$U$4035,21,FALSE)</f>
        <v>#VALUE!</v>
      </c>
      <c r="AH235" s="580" t="s">
        <v>944</v>
      </c>
    </row>
    <row r="236" spans="1:34" s="171" customFormat="1" ht="210.75" thickBot="1" x14ac:dyDescent="0.3">
      <c r="A236" s="316" t="s">
        <v>939</v>
      </c>
      <c r="B236" s="533" t="s">
        <v>940</v>
      </c>
      <c r="C236" s="308" t="s">
        <v>780</v>
      </c>
      <c r="D236" s="536" t="s">
        <v>388</v>
      </c>
      <c r="E236" s="308"/>
      <c r="F236" s="533" t="s">
        <v>953</v>
      </c>
      <c r="G236" s="231" t="str">
        <f>VLOOKUP(A236,'Feature Summary'!$A$7:$C$4104,3,FALSE)</f>
        <v>P1</v>
      </c>
      <c r="H236" s="540" t="s">
        <v>954</v>
      </c>
      <c r="I236" s="540" t="s">
        <v>309</v>
      </c>
      <c r="J236" s="541" t="s">
        <v>943</v>
      </c>
      <c r="K236" s="548">
        <v>1</v>
      </c>
      <c r="L236" s="549">
        <v>4</v>
      </c>
      <c r="M236" s="545" t="s">
        <v>38</v>
      </c>
      <c r="N236" s="445">
        <v>1</v>
      </c>
      <c r="O236" s="443">
        <v>4</v>
      </c>
      <c r="P236" s="447">
        <f t="shared" si="73"/>
        <v>1</v>
      </c>
      <c r="Q236" s="431" t="s">
        <v>46</v>
      </c>
      <c r="R236" s="309">
        <v>2</v>
      </c>
      <c r="S236" s="477">
        <f t="shared" si="74"/>
        <v>0</v>
      </c>
      <c r="T236" s="465"/>
      <c r="U236" s="465"/>
      <c r="V236" s="465"/>
      <c r="W236" s="465"/>
      <c r="X236" s="478">
        <f t="shared" si="75"/>
        <v>0</v>
      </c>
      <c r="Y236" s="432"/>
      <c r="Z236" s="464">
        <f t="shared" si="76"/>
        <v>0</v>
      </c>
      <c r="AA236" s="465"/>
      <c r="AB236" s="465"/>
      <c r="AC236" s="465"/>
      <c r="AD236" s="465"/>
      <c r="AE236" s="466">
        <f t="shared" si="77"/>
        <v>0</v>
      </c>
      <c r="AF236" s="587"/>
      <c r="AG236" s="429" t="e">
        <f>VLOOKUP(LEFT(A236,(FIND(",",A236,1)-1)),'Feature Summary'!$A$7:$U$4035,21,FALSE)</f>
        <v>#VALUE!</v>
      </c>
      <c r="AH236" s="580" t="s">
        <v>944</v>
      </c>
    </row>
    <row r="237" spans="1:34" s="171" customFormat="1" ht="210.75" thickBot="1" x14ac:dyDescent="0.3">
      <c r="A237" s="316" t="s">
        <v>939</v>
      </c>
      <c r="B237" s="533" t="s">
        <v>940</v>
      </c>
      <c r="C237" s="308" t="s">
        <v>780</v>
      </c>
      <c r="D237" s="536" t="s">
        <v>388</v>
      </c>
      <c r="E237" s="308"/>
      <c r="F237" s="533" t="s">
        <v>955</v>
      </c>
      <c r="G237" s="231" t="str">
        <f>VLOOKUP(A237,'Feature Summary'!$A$7:$C$4104,3,FALSE)</f>
        <v>P1</v>
      </c>
      <c r="H237" s="540" t="s">
        <v>956</v>
      </c>
      <c r="I237" s="540" t="s">
        <v>309</v>
      </c>
      <c r="J237" s="541" t="s">
        <v>947</v>
      </c>
      <c r="K237" s="548">
        <v>1</v>
      </c>
      <c r="L237" s="549">
        <v>4</v>
      </c>
      <c r="M237" s="545" t="s">
        <v>38</v>
      </c>
      <c r="N237" s="445">
        <v>1</v>
      </c>
      <c r="O237" s="443">
        <v>4</v>
      </c>
      <c r="P237" s="447">
        <f t="shared" ref="P237" si="78">IF((O237=0),0,(O237/L237))</f>
        <v>1</v>
      </c>
      <c r="Q237" s="431" t="s">
        <v>46</v>
      </c>
      <c r="R237" s="309">
        <v>2</v>
      </c>
      <c r="S237" s="477">
        <f t="shared" ref="S237" si="79">SUM(T237:W237)</f>
        <v>0</v>
      </c>
      <c r="T237" s="465"/>
      <c r="U237" s="465"/>
      <c r="V237" s="465"/>
      <c r="W237" s="465"/>
      <c r="X237" s="478">
        <f t="shared" ref="X237" si="80">IF((S237=0),0,((T237+U237)/S237*100%))</f>
        <v>0</v>
      </c>
      <c r="Y237" s="432"/>
      <c r="Z237" s="464">
        <f t="shared" ref="Z237" si="81">SUM(AA237:AD237)</f>
        <v>0</v>
      </c>
      <c r="AA237" s="465"/>
      <c r="AB237" s="465"/>
      <c r="AC237" s="465"/>
      <c r="AD237" s="465"/>
      <c r="AE237" s="466">
        <f t="shared" ref="AE237" si="82">IF((Z237=0),0,((AA237+AB237)/Z237*100%))</f>
        <v>0</v>
      </c>
      <c r="AF237" s="587"/>
      <c r="AG237" s="429" t="e">
        <f>VLOOKUP(LEFT(A237,(FIND(",",A237,1)-1)),'Feature Summary'!$A$7:$U$4035,21,FALSE)</f>
        <v>#VALUE!</v>
      </c>
      <c r="AH237" s="580" t="s">
        <v>944</v>
      </c>
    </row>
    <row r="238" spans="1:34" ht="165.75" thickBot="1" x14ac:dyDescent="0.3">
      <c r="A238" s="316" t="s">
        <v>939</v>
      </c>
      <c r="B238" s="533" t="s">
        <v>940</v>
      </c>
      <c r="C238" s="308"/>
      <c r="D238" s="536" t="s">
        <v>388</v>
      </c>
      <c r="E238" s="308"/>
      <c r="F238" s="533" t="s">
        <v>957</v>
      </c>
      <c r="G238" s="231" t="str">
        <f>VLOOKUP(A238,'Feature Summary'!$A$7:$C$4104,3,FALSE)</f>
        <v>P1</v>
      </c>
      <c r="H238" s="540" t="s">
        <v>958</v>
      </c>
      <c r="I238" s="540" t="s">
        <v>309</v>
      </c>
      <c r="J238" s="541" t="s">
        <v>959</v>
      </c>
      <c r="K238" s="548">
        <v>1</v>
      </c>
      <c r="L238" s="549">
        <v>1</v>
      </c>
      <c r="M238" s="545" t="s">
        <v>33</v>
      </c>
      <c r="N238" s="445">
        <v>1</v>
      </c>
      <c r="O238" s="443">
        <v>1</v>
      </c>
      <c r="P238" s="447">
        <f t="shared" si="42"/>
        <v>1</v>
      </c>
      <c r="Q238" s="431" t="s">
        <v>45</v>
      </c>
      <c r="R238" s="309">
        <v>1</v>
      </c>
      <c r="S238" s="477">
        <f t="shared" ref="S238:S249" si="83">SUM(T238:W238)</f>
        <v>0</v>
      </c>
      <c r="T238" s="465"/>
      <c r="U238" s="465"/>
      <c r="V238" s="465"/>
      <c r="W238" s="465"/>
      <c r="X238" s="478">
        <f t="shared" ref="X238:X249" si="84">IF((S238=0),0,((T238+U238)/S238*100%))</f>
        <v>0</v>
      </c>
      <c r="Y238" s="432"/>
      <c r="Z238" s="464">
        <f t="shared" ref="Z238:Z249" si="85">SUM(AA238:AD238)</f>
        <v>0</v>
      </c>
      <c r="AA238" s="465"/>
      <c r="AB238" s="465"/>
      <c r="AC238" s="465"/>
      <c r="AD238" s="465"/>
      <c r="AE238" s="466">
        <f t="shared" ref="AE238:AE249" si="86">IF((Z238=0),0,((AA238+AB238)/Z238*100%))</f>
        <v>0</v>
      </c>
      <c r="AF238" s="587"/>
      <c r="AG238" s="429" t="e">
        <f>VLOOKUP(LEFT(A238,(FIND(",",A238,1)-1)),'Feature Summary'!$A$7:$U$4035,21,FALSE)</f>
        <v>#VALUE!</v>
      </c>
      <c r="AH238" s="580"/>
    </row>
    <row r="239" spans="1:34" s="650" customFormat="1" ht="120.75" hidden="1" thickBot="1" x14ac:dyDescent="0.3">
      <c r="A239" s="585" t="s">
        <v>939</v>
      </c>
      <c r="B239" s="586" t="s">
        <v>940</v>
      </c>
      <c r="C239" s="587" t="s">
        <v>780</v>
      </c>
      <c r="D239" s="588" t="s">
        <v>388</v>
      </c>
      <c r="E239" s="587"/>
      <c r="F239" s="586" t="s">
        <v>960</v>
      </c>
      <c r="G239" s="589" t="str">
        <f>VLOOKUP(A239,'Feature Summary'!$A$7:$C$4104,3,FALSE)</f>
        <v>P1</v>
      </c>
      <c r="H239" s="590" t="s">
        <v>961</v>
      </c>
      <c r="I239" s="590" t="s">
        <v>331</v>
      </c>
      <c r="J239" s="591" t="s">
        <v>962</v>
      </c>
      <c r="K239" s="592"/>
      <c r="L239" s="593"/>
      <c r="M239" s="594" t="s">
        <v>33</v>
      </c>
      <c r="N239" s="646"/>
      <c r="O239" s="647"/>
      <c r="P239" s="595">
        <f t="shared" ref="P239:P246" si="87">IF((O239=0),0,(O239/L239))</f>
        <v>0</v>
      </c>
      <c r="Q239" s="596" t="s">
        <v>45</v>
      </c>
      <c r="R239" s="597"/>
      <c r="S239" s="598">
        <f>SUM(T239:W239)</f>
        <v>0</v>
      </c>
      <c r="T239" s="599"/>
      <c r="U239" s="599"/>
      <c r="V239" s="599"/>
      <c r="W239" s="599"/>
      <c r="X239" s="600">
        <f>IF((S239=0),0,((T239+U239)/S239*100%))</f>
        <v>0</v>
      </c>
      <c r="Y239" s="601"/>
      <c r="Z239" s="602">
        <f>SUM(AA239:AD239)</f>
        <v>0</v>
      </c>
      <c r="AA239" s="599"/>
      <c r="AB239" s="599"/>
      <c r="AC239" s="599"/>
      <c r="AD239" s="599"/>
      <c r="AE239" s="603">
        <f>IF((Z239=0),0,((AA239+AB239)/Z239*100%))</f>
        <v>0</v>
      </c>
      <c r="AF239" s="587"/>
      <c r="AG239" s="649" t="e">
        <f>VLOOKUP(LEFT(A239,(FIND(",",A239,1)-1)),'Feature Summary'!$A$7:$U$4035,21,FALSE)</f>
        <v>#VALUE!</v>
      </c>
      <c r="AH239" s="604" t="s">
        <v>963</v>
      </c>
    </row>
    <row r="240" spans="1:34" s="650" customFormat="1" ht="120.75" hidden="1" thickBot="1" x14ac:dyDescent="0.3">
      <c r="A240" s="585" t="s">
        <v>939</v>
      </c>
      <c r="B240" s="586" t="s">
        <v>940</v>
      </c>
      <c r="C240" s="587" t="s">
        <v>780</v>
      </c>
      <c r="D240" s="588" t="s">
        <v>388</v>
      </c>
      <c r="E240" s="587"/>
      <c r="F240" s="586" t="s">
        <v>960</v>
      </c>
      <c r="G240" s="589" t="str">
        <f>VLOOKUP(A240,'Feature Summary'!$A$7:$C$4104,3,FALSE)</f>
        <v>P1</v>
      </c>
      <c r="H240" s="590" t="s">
        <v>964</v>
      </c>
      <c r="I240" s="590" t="s">
        <v>309</v>
      </c>
      <c r="J240" s="591" t="s">
        <v>962</v>
      </c>
      <c r="K240" s="592"/>
      <c r="L240" s="593"/>
      <c r="M240" s="594" t="s">
        <v>33</v>
      </c>
      <c r="N240" s="646"/>
      <c r="O240" s="647"/>
      <c r="P240" s="595">
        <f t="shared" si="87"/>
        <v>0</v>
      </c>
      <c r="Q240" s="596" t="s">
        <v>45</v>
      </c>
      <c r="R240" s="597"/>
      <c r="S240" s="598">
        <f t="shared" ref="S240:S241" si="88">SUM(T240:W240)</f>
        <v>0</v>
      </c>
      <c r="T240" s="599"/>
      <c r="U240" s="599"/>
      <c r="V240" s="599"/>
      <c r="W240" s="599"/>
      <c r="X240" s="600">
        <f t="shared" ref="X240:X241" si="89">IF((S240=0),0,((T240+U240)/S240*100%))</f>
        <v>0</v>
      </c>
      <c r="Y240" s="601"/>
      <c r="Z240" s="602">
        <f t="shared" ref="Z240:Z241" si="90">SUM(AA240:AD240)</f>
        <v>0</v>
      </c>
      <c r="AA240" s="599"/>
      <c r="AB240" s="599"/>
      <c r="AC240" s="599"/>
      <c r="AD240" s="599"/>
      <c r="AE240" s="603">
        <f t="shared" ref="AE240:AE241" si="91">IF((Z240=0),0,((AA240+AB240)/Z240*100%))</f>
        <v>0</v>
      </c>
      <c r="AF240" s="587"/>
      <c r="AG240" s="649" t="e">
        <f>VLOOKUP(LEFT(A240,(FIND(",",A240,1)-1)),'Feature Summary'!$A$7:$U$4035,21,FALSE)</f>
        <v>#VALUE!</v>
      </c>
      <c r="AH240" s="604" t="s">
        <v>963</v>
      </c>
    </row>
    <row r="241" spans="1:34" s="650" customFormat="1" ht="135.75" hidden="1" thickBot="1" x14ac:dyDescent="0.3">
      <c r="A241" s="585" t="s">
        <v>939</v>
      </c>
      <c r="B241" s="586" t="s">
        <v>940</v>
      </c>
      <c r="C241" s="587" t="s">
        <v>780</v>
      </c>
      <c r="D241" s="588" t="s">
        <v>388</v>
      </c>
      <c r="E241" s="587"/>
      <c r="F241" s="586" t="s">
        <v>965</v>
      </c>
      <c r="G241" s="589" t="str">
        <f>VLOOKUP(A241,'Feature Summary'!$A$7:$C$4104,3,FALSE)</f>
        <v>P1</v>
      </c>
      <c r="H241" s="590" t="s">
        <v>966</v>
      </c>
      <c r="I241" s="590" t="s">
        <v>309</v>
      </c>
      <c r="J241" s="591" t="s">
        <v>967</v>
      </c>
      <c r="K241" s="592"/>
      <c r="L241" s="593"/>
      <c r="M241" s="594" t="s">
        <v>33</v>
      </c>
      <c r="N241" s="646"/>
      <c r="O241" s="647"/>
      <c r="P241" s="595">
        <f t="shared" si="87"/>
        <v>0</v>
      </c>
      <c r="Q241" s="596" t="s">
        <v>45</v>
      </c>
      <c r="R241" s="597"/>
      <c r="S241" s="598">
        <f t="shared" si="88"/>
        <v>0</v>
      </c>
      <c r="T241" s="599"/>
      <c r="U241" s="599"/>
      <c r="V241" s="599"/>
      <c r="W241" s="599"/>
      <c r="X241" s="600">
        <f t="shared" si="89"/>
        <v>0</v>
      </c>
      <c r="Y241" s="601"/>
      <c r="Z241" s="602">
        <f t="shared" si="90"/>
        <v>0</v>
      </c>
      <c r="AA241" s="599"/>
      <c r="AB241" s="599"/>
      <c r="AC241" s="599"/>
      <c r="AD241" s="599"/>
      <c r="AE241" s="603">
        <f t="shared" si="91"/>
        <v>0</v>
      </c>
      <c r="AF241" s="587"/>
      <c r="AG241" s="649" t="e">
        <f>VLOOKUP(LEFT(A241,(FIND(",",A241,1)-1)),'Feature Summary'!$A$7:$U$4035,21,FALSE)</f>
        <v>#VALUE!</v>
      </c>
      <c r="AH241" s="604" t="s">
        <v>963</v>
      </c>
    </row>
    <row r="242" spans="1:34" s="650" customFormat="1" ht="135.75" hidden="1" thickBot="1" x14ac:dyDescent="0.3">
      <c r="A242" s="585" t="s">
        <v>939</v>
      </c>
      <c r="B242" s="586" t="s">
        <v>940</v>
      </c>
      <c r="C242" s="587" t="s">
        <v>780</v>
      </c>
      <c r="D242" s="588" t="s">
        <v>388</v>
      </c>
      <c r="E242" s="587"/>
      <c r="F242" s="586" t="s">
        <v>968</v>
      </c>
      <c r="G242" s="589" t="str">
        <f>VLOOKUP(A242,'Feature Summary'!$A$7:$C$4104,3,FALSE)</f>
        <v>P1</v>
      </c>
      <c r="H242" s="590" t="s">
        <v>969</v>
      </c>
      <c r="I242" s="590" t="s">
        <v>309</v>
      </c>
      <c r="J242" s="591" t="s">
        <v>967</v>
      </c>
      <c r="K242" s="592"/>
      <c r="L242" s="593"/>
      <c r="M242" s="594" t="s">
        <v>33</v>
      </c>
      <c r="N242" s="646"/>
      <c r="O242" s="647"/>
      <c r="P242" s="595">
        <f t="shared" si="87"/>
        <v>0</v>
      </c>
      <c r="Q242" s="596" t="s">
        <v>45</v>
      </c>
      <c r="R242" s="597"/>
      <c r="S242" s="598">
        <f>SUM(T242:W242)</f>
        <v>0</v>
      </c>
      <c r="T242" s="599"/>
      <c r="U242" s="599"/>
      <c r="V242" s="599"/>
      <c r="W242" s="599"/>
      <c r="X242" s="600">
        <f>IF((S242=0),0,((T242+U242)/S242*100%))</f>
        <v>0</v>
      </c>
      <c r="Y242" s="601"/>
      <c r="Z242" s="602">
        <f>SUM(AA242:AD242)</f>
        <v>0</v>
      </c>
      <c r="AA242" s="599"/>
      <c r="AB242" s="599"/>
      <c r="AC242" s="599"/>
      <c r="AD242" s="599"/>
      <c r="AE242" s="603">
        <f>IF((Z242=0),0,((AA242+AB242)/Z242*100%))</f>
        <v>0</v>
      </c>
      <c r="AF242" s="587"/>
      <c r="AG242" s="649" t="e">
        <f>VLOOKUP(LEFT(A242,(FIND(",",A242,1)-1)),'Feature Summary'!$A$7:$U$4035,21,FALSE)</f>
        <v>#VALUE!</v>
      </c>
      <c r="AH242" s="604" t="s">
        <v>963</v>
      </c>
    </row>
    <row r="243" spans="1:34" s="605" customFormat="1" ht="135.75" hidden="1" thickBot="1" x14ac:dyDescent="0.3">
      <c r="A243" s="585" t="s">
        <v>939</v>
      </c>
      <c r="B243" s="586" t="s">
        <v>940</v>
      </c>
      <c r="C243" s="587" t="s">
        <v>780</v>
      </c>
      <c r="D243" s="588" t="s">
        <v>388</v>
      </c>
      <c r="E243" s="587"/>
      <c r="F243" s="586" t="s">
        <v>970</v>
      </c>
      <c r="G243" s="589" t="str">
        <f>VLOOKUP(A243,'Feature Summary'!$A$7:$C$4104,3,FALSE)</f>
        <v>P1</v>
      </c>
      <c r="H243" s="590" t="s">
        <v>971</v>
      </c>
      <c r="I243" s="590" t="s">
        <v>309</v>
      </c>
      <c r="J243" s="591" t="s">
        <v>972</v>
      </c>
      <c r="K243" s="592"/>
      <c r="L243" s="593"/>
      <c r="M243" s="594" t="s">
        <v>33</v>
      </c>
      <c r="N243" s="646"/>
      <c r="O243" s="647"/>
      <c r="P243" s="595">
        <f t="shared" si="87"/>
        <v>0</v>
      </c>
      <c r="Q243" s="596" t="s">
        <v>45</v>
      </c>
      <c r="R243" s="597"/>
      <c r="S243" s="598">
        <f t="shared" ref="S243:S244" si="92">SUM(T243:W243)</f>
        <v>0</v>
      </c>
      <c r="T243" s="599"/>
      <c r="U243" s="599"/>
      <c r="V243" s="599"/>
      <c r="W243" s="599"/>
      <c r="X243" s="600">
        <f t="shared" ref="X243:X244" si="93">IF((S243=0),0,((T243+U243)/S243*100%))</f>
        <v>0</v>
      </c>
      <c r="Y243" s="601"/>
      <c r="Z243" s="602">
        <f t="shared" ref="Z243:Z244" si="94">SUM(AA243:AD243)</f>
        <v>0</v>
      </c>
      <c r="AA243" s="599"/>
      <c r="AB243" s="599"/>
      <c r="AC243" s="599"/>
      <c r="AD243" s="599"/>
      <c r="AE243" s="603">
        <f t="shared" ref="AE243:AE244" si="95">IF((Z243=0),0,((AA243+AB243)/Z243*100%))</f>
        <v>0</v>
      </c>
      <c r="AF243" s="587"/>
      <c r="AG243" s="649" t="e">
        <f>VLOOKUP(LEFT(A243,(FIND(",",A243,1)-1)),'Feature Summary'!$A$7:$U$4035,21,FALSE)</f>
        <v>#VALUE!</v>
      </c>
      <c r="AH243" s="604" t="s">
        <v>963</v>
      </c>
    </row>
    <row r="244" spans="1:34" s="605" customFormat="1" ht="150.75" hidden="1" thickBot="1" x14ac:dyDescent="0.3">
      <c r="A244" s="585" t="s">
        <v>939</v>
      </c>
      <c r="B244" s="586" t="s">
        <v>940</v>
      </c>
      <c r="C244" s="587" t="s">
        <v>780</v>
      </c>
      <c r="D244" s="588" t="s">
        <v>388</v>
      </c>
      <c r="E244" s="587"/>
      <c r="F244" s="586" t="s">
        <v>973</v>
      </c>
      <c r="G244" s="589" t="str">
        <f>VLOOKUP(A244,'Feature Summary'!$A$7:$C$4104,3,FALSE)</f>
        <v>P1</v>
      </c>
      <c r="H244" s="590" t="s">
        <v>974</v>
      </c>
      <c r="I244" s="590" t="s">
        <v>309</v>
      </c>
      <c r="J244" s="591" t="s">
        <v>972</v>
      </c>
      <c r="K244" s="592"/>
      <c r="L244" s="593"/>
      <c r="M244" s="594" t="s">
        <v>33</v>
      </c>
      <c r="N244" s="646"/>
      <c r="O244" s="647"/>
      <c r="P244" s="595">
        <f t="shared" si="87"/>
        <v>0</v>
      </c>
      <c r="Q244" s="596" t="s">
        <v>45</v>
      </c>
      <c r="R244" s="597"/>
      <c r="S244" s="598">
        <f t="shared" si="92"/>
        <v>0</v>
      </c>
      <c r="T244" s="599"/>
      <c r="U244" s="599"/>
      <c r="V244" s="599"/>
      <c r="W244" s="599"/>
      <c r="X244" s="600">
        <f t="shared" si="93"/>
        <v>0</v>
      </c>
      <c r="Y244" s="601"/>
      <c r="Z244" s="602">
        <f t="shared" si="94"/>
        <v>0</v>
      </c>
      <c r="AA244" s="599"/>
      <c r="AB244" s="599"/>
      <c r="AC244" s="599"/>
      <c r="AD244" s="599"/>
      <c r="AE244" s="603">
        <f t="shared" si="95"/>
        <v>0</v>
      </c>
      <c r="AF244" s="587"/>
      <c r="AG244" s="649" t="e">
        <f>VLOOKUP(LEFT(A244,(FIND(",",A244,1)-1)),'Feature Summary'!$A$7:$U$4035,21,FALSE)</f>
        <v>#VALUE!</v>
      </c>
      <c r="AH244" s="604" t="s">
        <v>963</v>
      </c>
    </row>
    <row r="245" spans="1:34" s="605" customFormat="1" ht="150.75" hidden="1" thickBot="1" x14ac:dyDescent="0.3">
      <c r="A245" s="585" t="s">
        <v>939</v>
      </c>
      <c r="B245" s="586" t="s">
        <v>940</v>
      </c>
      <c r="C245" s="587" t="s">
        <v>780</v>
      </c>
      <c r="D245" s="588" t="s">
        <v>388</v>
      </c>
      <c r="E245" s="587"/>
      <c r="F245" s="586" t="s">
        <v>975</v>
      </c>
      <c r="G245" s="589" t="str">
        <f>VLOOKUP(A245,'Feature Summary'!$A$7:$C$4104,3,FALSE)</f>
        <v>P1</v>
      </c>
      <c r="H245" s="590" t="s">
        <v>976</v>
      </c>
      <c r="I245" s="590" t="s">
        <v>309</v>
      </c>
      <c r="J245" s="591" t="s">
        <v>972</v>
      </c>
      <c r="K245" s="592"/>
      <c r="L245" s="593"/>
      <c r="M245" s="594" t="s">
        <v>33</v>
      </c>
      <c r="N245" s="646"/>
      <c r="O245" s="647"/>
      <c r="P245" s="595">
        <f t="shared" si="87"/>
        <v>0</v>
      </c>
      <c r="Q245" s="596" t="s">
        <v>45</v>
      </c>
      <c r="R245" s="597"/>
      <c r="S245" s="598">
        <f>SUM(T245:W245)</f>
        <v>0</v>
      </c>
      <c r="T245" s="599"/>
      <c r="U245" s="599"/>
      <c r="V245" s="599"/>
      <c r="W245" s="599"/>
      <c r="X245" s="600">
        <f>IF((S245=0),0,((T245+U245)/S245*100%))</f>
        <v>0</v>
      </c>
      <c r="Y245" s="601"/>
      <c r="Z245" s="602">
        <f>SUM(AA245:AD245)</f>
        <v>0</v>
      </c>
      <c r="AA245" s="599"/>
      <c r="AB245" s="599"/>
      <c r="AC245" s="599"/>
      <c r="AD245" s="599"/>
      <c r="AE245" s="603">
        <f>IF((Z245=0),0,((AA245+AB245)/Z245*100%))</f>
        <v>0</v>
      </c>
      <c r="AF245" s="587"/>
      <c r="AG245" s="649" t="e">
        <f>VLOOKUP(LEFT(A245,(FIND(",",A245,1)-1)),'Feature Summary'!$A$7:$U$4035,21,FALSE)</f>
        <v>#VALUE!</v>
      </c>
      <c r="AH245" s="604" t="s">
        <v>963</v>
      </c>
    </row>
    <row r="246" spans="1:34" s="605" customFormat="1" ht="105.75" hidden="1" thickBot="1" x14ac:dyDescent="0.3">
      <c r="A246" s="585" t="s">
        <v>939</v>
      </c>
      <c r="B246" s="586" t="s">
        <v>940</v>
      </c>
      <c r="C246" s="587" t="s">
        <v>780</v>
      </c>
      <c r="D246" s="588" t="s">
        <v>388</v>
      </c>
      <c r="E246" s="587"/>
      <c r="F246" s="586" t="s">
        <v>977</v>
      </c>
      <c r="G246" s="589" t="str">
        <f>VLOOKUP(A246,'Feature Summary'!$A$7:$C$4104,3,FALSE)</f>
        <v>P1</v>
      </c>
      <c r="H246" s="590" t="s">
        <v>978</v>
      </c>
      <c r="I246" s="590" t="s">
        <v>331</v>
      </c>
      <c r="J246" s="591" t="s">
        <v>979</v>
      </c>
      <c r="K246" s="592"/>
      <c r="L246" s="593"/>
      <c r="M246" s="594" t="s">
        <v>33</v>
      </c>
      <c r="N246" s="646"/>
      <c r="O246" s="647"/>
      <c r="P246" s="595">
        <f t="shared" si="87"/>
        <v>0</v>
      </c>
      <c r="Q246" s="596" t="s">
        <v>45</v>
      </c>
      <c r="R246" s="597"/>
      <c r="S246" s="598">
        <f>SUM(T246:W246)</f>
        <v>0</v>
      </c>
      <c r="T246" s="599"/>
      <c r="U246" s="599"/>
      <c r="V246" s="599"/>
      <c r="W246" s="599"/>
      <c r="X246" s="600">
        <f>IF((S246=0),0,((T246+U246)/S246*100%))</f>
        <v>0</v>
      </c>
      <c r="Y246" s="601"/>
      <c r="Z246" s="602">
        <f>SUM(AA246:AD246)</f>
        <v>0</v>
      </c>
      <c r="AA246" s="599"/>
      <c r="AB246" s="599"/>
      <c r="AC246" s="599"/>
      <c r="AD246" s="599"/>
      <c r="AE246" s="603">
        <f>IF((Z246=0),0,((AA246+AB246)/Z246*100%))</f>
        <v>0</v>
      </c>
      <c r="AF246" s="587"/>
      <c r="AG246" s="649" t="e">
        <f>VLOOKUP(LEFT(A246,(FIND(",",A246,1)-1)),'Feature Summary'!$A$7:$U$4035,21,FALSE)</f>
        <v>#VALUE!</v>
      </c>
      <c r="AH246" s="604" t="s">
        <v>963</v>
      </c>
    </row>
    <row r="247" spans="1:34" s="650" customFormat="1" ht="135.75" hidden="1" thickBot="1" x14ac:dyDescent="0.3">
      <c r="A247" s="585" t="s">
        <v>980</v>
      </c>
      <c r="B247" s="586" t="s">
        <v>940</v>
      </c>
      <c r="C247" s="587" t="s">
        <v>780</v>
      </c>
      <c r="D247" s="588" t="s">
        <v>388</v>
      </c>
      <c r="E247" s="587"/>
      <c r="F247" s="586" t="s">
        <v>981</v>
      </c>
      <c r="G247" s="589" t="e">
        <f>VLOOKUP(A247,'Feature Summary'!$A$7:$C$4104,3,FALSE)</f>
        <v>#N/A</v>
      </c>
      <c r="H247" s="590" t="s">
        <v>982</v>
      </c>
      <c r="I247" s="590" t="s">
        <v>309</v>
      </c>
      <c r="J247" s="591" t="s">
        <v>967</v>
      </c>
      <c r="K247" s="592"/>
      <c r="L247" s="593"/>
      <c r="M247" s="594" t="s">
        <v>33</v>
      </c>
      <c r="N247" s="646"/>
      <c r="O247" s="647"/>
      <c r="P247" s="595">
        <f t="shared" si="42"/>
        <v>0</v>
      </c>
      <c r="Q247" s="596"/>
      <c r="R247" s="597"/>
      <c r="S247" s="598">
        <f t="shared" si="83"/>
        <v>0</v>
      </c>
      <c r="T247" s="599"/>
      <c r="U247" s="599"/>
      <c r="V247" s="599"/>
      <c r="W247" s="599"/>
      <c r="X247" s="600">
        <f t="shared" si="84"/>
        <v>0</v>
      </c>
      <c r="Y247" s="601"/>
      <c r="Z247" s="602">
        <f t="shared" si="85"/>
        <v>0</v>
      </c>
      <c r="AA247" s="599"/>
      <c r="AB247" s="599"/>
      <c r="AC247" s="599"/>
      <c r="AD247" s="599"/>
      <c r="AE247" s="603">
        <f t="shared" si="86"/>
        <v>0</v>
      </c>
      <c r="AF247" s="587"/>
      <c r="AG247" s="649" t="str">
        <f>VLOOKUP(LEFT(A247,(FIND(",",A247,1)-1)),'Feature Summary'!$A$7:$U$4035,21,FALSE)</f>
        <v>A/B + 8wks</v>
      </c>
      <c r="AH247" s="604" t="s">
        <v>963</v>
      </c>
    </row>
    <row r="248" spans="1:34" s="650" customFormat="1" ht="135.75" hidden="1" thickBot="1" x14ac:dyDescent="0.3">
      <c r="A248" s="585" t="s">
        <v>939</v>
      </c>
      <c r="B248" s="586" t="s">
        <v>940</v>
      </c>
      <c r="C248" s="587" t="s">
        <v>780</v>
      </c>
      <c r="D248" s="588" t="s">
        <v>388</v>
      </c>
      <c r="E248" s="587"/>
      <c r="F248" s="586" t="s">
        <v>983</v>
      </c>
      <c r="G248" s="589" t="str">
        <f>VLOOKUP(A248,'Feature Summary'!$A$7:$C$4104,3,FALSE)</f>
        <v>P1</v>
      </c>
      <c r="H248" s="590" t="s">
        <v>984</v>
      </c>
      <c r="I248" s="590" t="s">
        <v>309</v>
      </c>
      <c r="J248" s="591" t="s">
        <v>967</v>
      </c>
      <c r="K248" s="592"/>
      <c r="L248" s="593"/>
      <c r="M248" s="594" t="s">
        <v>33</v>
      </c>
      <c r="N248" s="646"/>
      <c r="O248" s="647"/>
      <c r="P248" s="595">
        <f t="shared" si="42"/>
        <v>0</v>
      </c>
      <c r="Q248" s="596" t="s">
        <v>45</v>
      </c>
      <c r="R248" s="597"/>
      <c r="S248" s="598">
        <f t="shared" si="83"/>
        <v>0</v>
      </c>
      <c r="T248" s="599"/>
      <c r="U248" s="599"/>
      <c r="V248" s="599"/>
      <c r="W248" s="599"/>
      <c r="X248" s="600">
        <f t="shared" si="84"/>
        <v>0</v>
      </c>
      <c r="Y248" s="601"/>
      <c r="Z248" s="602">
        <f t="shared" si="85"/>
        <v>0</v>
      </c>
      <c r="AA248" s="599"/>
      <c r="AB248" s="599"/>
      <c r="AC248" s="599"/>
      <c r="AD248" s="599"/>
      <c r="AE248" s="603">
        <f t="shared" si="86"/>
        <v>0</v>
      </c>
      <c r="AF248" s="587"/>
      <c r="AG248" s="649" t="e">
        <f>VLOOKUP(LEFT(A248,(FIND(",",A248,1)-1)),'Feature Summary'!$A$7:$U$4035,21,FALSE)</f>
        <v>#VALUE!</v>
      </c>
      <c r="AH248" s="604" t="s">
        <v>963</v>
      </c>
    </row>
    <row r="249" spans="1:34" s="650" customFormat="1" ht="135.75" hidden="1" thickBot="1" x14ac:dyDescent="0.3">
      <c r="A249" s="585" t="s">
        <v>939</v>
      </c>
      <c r="B249" s="586" t="s">
        <v>940</v>
      </c>
      <c r="C249" s="587" t="s">
        <v>780</v>
      </c>
      <c r="D249" s="588" t="s">
        <v>388</v>
      </c>
      <c r="E249" s="587"/>
      <c r="F249" s="586" t="s">
        <v>985</v>
      </c>
      <c r="G249" s="589" t="str">
        <f>VLOOKUP(A249,'Feature Summary'!$A$7:$C$4104,3,FALSE)</f>
        <v>P1</v>
      </c>
      <c r="H249" s="590" t="s">
        <v>986</v>
      </c>
      <c r="I249" s="590" t="s">
        <v>309</v>
      </c>
      <c r="J249" s="591" t="s">
        <v>967</v>
      </c>
      <c r="K249" s="592"/>
      <c r="L249" s="593"/>
      <c r="M249" s="594" t="s">
        <v>33</v>
      </c>
      <c r="N249" s="646"/>
      <c r="O249" s="647"/>
      <c r="P249" s="595">
        <f t="shared" si="42"/>
        <v>0</v>
      </c>
      <c r="Q249" s="596" t="s">
        <v>45</v>
      </c>
      <c r="R249" s="597"/>
      <c r="S249" s="598">
        <f t="shared" si="83"/>
        <v>0</v>
      </c>
      <c r="T249" s="599"/>
      <c r="U249" s="599"/>
      <c r="V249" s="599"/>
      <c r="W249" s="599"/>
      <c r="X249" s="600">
        <f t="shared" si="84"/>
        <v>0</v>
      </c>
      <c r="Y249" s="601"/>
      <c r="Z249" s="602">
        <f t="shared" si="85"/>
        <v>0</v>
      </c>
      <c r="AA249" s="599"/>
      <c r="AB249" s="599"/>
      <c r="AC249" s="599"/>
      <c r="AD249" s="599"/>
      <c r="AE249" s="603">
        <f t="shared" si="86"/>
        <v>0</v>
      </c>
      <c r="AF249" s="587"/>
      <c r="AG249" s="649" t="e">
        <f>VLOOKUP(LEFT(A249,(FIND(",",A249,1)-1)),'Feature Summary'!$A$7:$U$4035,21,FALSE)</f>
        <v>#VALUE!</v>
      </c>
      <c r="AH249" s="604" t="s">
        <v>963</v>
      </c>
    </row>
    <row r="250" spans="1:34" s="650" customFormat="1" ht="150.75" hidden="1" thickBot="1" x14ac:dyDescent="0.3">
      <c r="A250" s="585" t="s">
        <v>980</v>
      </c>
      <c r="B250" s="586" t="s">
        <v>940</v>
      </c>
      <c r="C250" s="587" t="s">
        <v>780</v>
      </c>
      <c r="D250" s="588" t="s">
        <v>388</v>
      </c>
      <c r="E250" s="587"/>
      <c r="F250" s="586" t="s">
        <v>987</v>
      </c>
      <c r="G250" s="589" t="e">
        <f>VLOOKUP(A250,'Feature Summary'!$A$7:$C$4104,3,FALSE)</f>
        <v>#N/A</v>
      </c>
      <c r="H250" s="590" t="s">
        <v>988</v>
      </c>
      <c r="I250" s="590" t="s">
        <v>309</v>
      </c>
      <c r="J250" s="591" t="s">
        <v>972</v>
      </c>
      <c r="K250" s="592"/>
      <c r="L250" s="593"/>
      <c r="M250" s="594" t="s">
        <v>33</v>
      </c>
      <c r="N250" s="646"/>
      <c r="O250" s="647"/>
      <c r="P250" s="595">
        <f t="shared" si="42"/>
        <v>0</v>
      </c>
      <c r="Q250" s="596" t="s">
        <v>45</v>
      </c>
      <c r="R250" s="597"/>
      <c r="S250" s="598">
        <f t="shared" ref="S250:S252" si="96">SUM(T250:W250)</f>
        <v>0</v>
      </c>
      <c r="T250" s="599"/>
      <c r="U250" s="599"/>
      <c r="V250" s="599"/>
      <c r="W250" s="599"/>
      <c r="X250" s="600">
        <f t="shared" ref="X250:X252" si="97">IF((S250=0),0,((T250+U250)/S250*100%))</f>
        <v>0</v>
      </c>
      <c r="Y250" s="601"/>
      <c r="Z250" s="602">
        <f t="shared" ref="Z250:Z252" si="98">SUM(AA250:AD250)</f>
        <v>0</v>
      </c>
      <c r="AA250" s="599"/>
      <c r="AB250" s="599"/>
      <c r="AC250" s="599"/>
      <c r="AD250" s="599"/>
      <c r="AE250" s="603">
        <f t="shared" ref="AE250:AE252" si="99">IF((Z250=0),0,((AA250+AB250)/Z250*100%))</f>
        <v>0</v>
      </c>
      <c r="AF250" s="587"/>
      <c r="AG250" s="649" t="str">
        <f>VLOOKUP(LEFT(A250,(FIND(",",A250,1)-1)),'Feature Summary'!$A$7:$U$4035,21,FALSE)</f>
        <v>A/B + 8wks</v>
      </c>
      <c r="AH250" s="604" t="s">
        <v>963</v>
      </c>
    </row>
    <row r="251" spans="1:34" s="650" customFormat="1" ht="150.75" hidden="1" thickBot="1" x14ac:dyDescent="0.3">
      <c r="A251" s="585" t="s">
        <v>939</v>
      </c>
      <c r="B251" s="586" t="s">
        <v>940</v>
      </c>
      <c r="C251" s="587" t="s">
        <v>780</v>
      </c>
      <c r="D251" s="588" t="s">
        <v>388</v>
      </c>
      <c r="E251" s="587"/>
      <c r="F251" s="586" t="s">
        <v>989</v>
      </c>
      <c r="G251" s="589" t="str">
        <f>VLOOKUP(A251,'Feature Summary'!$A$7:$C$4104,3,FALSE)</f>
        <v>P1</v>
      </c>
      <c r="H251" s="590" t="s">
        <v>990</v>
      </c>
      <c r="I251" s="590" t="s">
        <v>309</v>
      </c>
      <c r="J251" s="591" t="s">
        <v>972</v>
      </c>
      <c r="K251" s="592"/>
      <c r="L251" s="593"/>
      <c r="M251" s="594" t="s">
        <v>33</v>
      </c>
      <c r="N251" s="646"/>
      <c r="O251" s="647"/>
      <c r="P251" s="595">
        <f t="shared" si="42"/>
        <v>0</v>
      </c>
      <c r="Q251" s="596" t="s">
        <v>45</v>
      </c>
      <c r="R251" s="597"/>
      <c r="S251" s="598">
        <f t="shared" si="96"/>
        <v>0</v>
      </c>
      <c r="T251" s="599"/>
      <c r="U251" s="599"/>
      <c r="V251" s="599"/>
      <c r="W251" s="599"/>
      <c r="X251" s="600">
        <f t="shared" si="97"/>
        <v>0</v>
      </c>
      <c r="Y251" s="601"/>
      <c r="Z251" s="602">
        <f t="shared" si="98"/>
        <v>0</v>
      </c>
      <c r="AA251" s="599"/>
      <c r="AB251" s="599"/>
      <c r="AC251" s="599"/>
      <c r="AD251" s="599"/>
      <c r="AE251" s="603">
        <f t="shared" si="99"/>
        <v>0</v>
      </c>
      <c r="AF251" s="587"/>
      <c r="AG251" s="649" t="e">
        <f>VLOOKUP(LEFT(A251,(FIND(",",A251,1)-1)),'Feature Summary'!$A$7:$U$4035,21,FALSE)</f>
        <v>#VALUE!</v>
      </c>
      <c r="AH251" s="604" t="s">
        <v>963</v>
      </c>
    </row>
    <row r="252" spans="1:34" s="650" customFormat="1" ht="150.75" hidden="1" thickBot="1" x14ac:dyDescent="0.3">
      <c r="A252" s="585" t="s">
        <v>939</v>
      </c>
      <c r="B252" s="586" t="s">
        <v>940</v>
      </c>
      <c r="C252" s="587" t="s">
        <v>780</v>
      </c>
      <c r="D252" s="588" t="s">
        <v>388</v>
      </c>
      <c r="E252" s="587"/>
      <c r="F252" s="586" t="s">
        <v>991</v>
      </c>
      <c r="G252" s="589" t="str">
        <f>VLOOKUP(A252,'Feature Summary'!$A$7:$C$4104,3,FALSE)</f>
        <v>P1</v>
      </c>
      <c r="H252" s="590" t="s">
        <v>992</v>
      </c>
      <c r="I252" s="590" t="s">
        <v>309</v>
      </c>
      <c r="J252" s="591" t="s">
        <v>972</v>
      </c>
      <c r="K252" s="592"/>
      <c r="L252" s="593"/>
      <c r="M252" s="594" t="s">
        <v>33</v>
      </c>
      <c r="N252" s="646"/>
      <c r="O252" s="647"/>
      <c r="P252" s="595">
        <f t="shared" si="42"/>
        <v>0</v>
      </c>
      <c r="Q252" s="596" t="s">
        <v>45</v>
      </c>
      <c r="R252" s="597"/>
      <c r="S252" s="598">
        <f t="shared" si="96"/>
        <v>0</v>
      </c>
      <c r="T252" s="599"/>
      <c r="U252" s="599"/>
      <c r="V252" s="599"/>
      <c r="W252" s="599"/>
      <c r="X252" s="600">
        <f t="shared" si="97"/>
        <v>0</v>
      </c>
      <c r="Y252" s="601"/>
      <c r="Z252" s="602">
        <f t="shared" si="98"/>
        <v>0</v>
      </c>
      <c r="AA252" s="599"/>
      <c r="AB252" s="599"/>
      <c r="AC252" s="599"/>
      <c r="AD252" s="599"/>
      <c r="AE252" s="603">
        <f t="shared" si="99"/>
        <v>0</v>
      </c>
      <c r="AF252" s="587"/>
      <c r="AG252" s="649" t="e">
        <f>VLOOKUP(LEFT(A252,(FIND(",",A252,1)-1)),'Feature Summary'!$A$7:$U$4035,21,FALSE)</f>
        <v>#VALUE!</v>
      </c>
      <c r="AH252" s="604" t="s">
        <v>963</v>
      </c>
    </row>
    <row r="253" spans="1:34" s="605" customFormat="1" ht="105.75" hidden="1" thickBot="1" x14ac:dyDescent="0.3">
      <c r="A253" s="648" t="s">
        <v>906</v>
      </c>
      <c r="B253" s="586" t="s">
        <v>907</v>
      </c>
      <c r="C253" s="587" t="s">
        <v>780</v>
      </c>
      <c r="D253" s="588" t="s">
        <v>306</v>
      </c>
      <c r="E253" s="587"/>
      <c r="F253" s="586" t="s">
        <v>993</v>
      </c>
      <c r="G253" s="589" t="e">
        <f>VLOOKUP(A253,'Feature Summary'!$A$7:$C$4104,3,FALSE)</f>
        <v>#N/A</v>
      </c>
      <c r="H253" s="590" t="s">
        <v>994</v>
      </c>
      <c r="I253" s="590" t="s">
        <v>331</v>
      </c>
      <c r="J253" s="591" t="s">
        <v>995</v>
      </c>
      <c r="K253" s="592"/>
      <c r="L253" s="593"/>
      <c r="M253" s="594" t="s">
        <v>38</v>
      </c>
      <c r="N253" s="646"/>
      <c r="O253" s="647"/>
      <c r="P253" s="595">
        <f>IF((O253=0),0,(O253/L253))</f>
        <v>0</v>
      </c>
      <c r="Q253" s="596" t="s">
        <v>45</v>
      </c>
      <c r="R253" s="597"/>
      <c r="S253" s="598">
        <f>SUM(T253:W253)</f>
        <v>0</v>
      </c>
      <c r="T253" s="599"/>
      <c r="U253" s="599"/>
      <c r="V253" s="599"/>
      <c r="W253" s="599"/>
      <c r="X253" s="600">
        <f>IF((S253=0),0,((T253+U253)/S253*100%))</f>
        <v>0</v>
      </c>
      <c r="Y253" s="601"/>
      <c r="Z253" s="602">
        <f>SUM(AA253:AD253)</f>
        <v>0</v>
      </c>
      <c r="AA253" s="599"/>
      <c r="AB253" s="599"/>
      <c r="AC253" s="599"/>
      <c r="AD253" s="599"/>
      <c r="AE253" s="603">
        <f>IF((Z253=0),0,((AA253+AB253)/Z253*100%))</f>
        <v>0</v>
      </c>
      <c r="AF253" s="587"/>
      <c r="AG253" s="649" t="str">
        <f>VLOOKUP(LEFT(A253,(FIND(",",A253,1)-1)),'Feature Summary'!$A$7:$U$4035,21,FALSE)</f>
        <v>A/B + 8wks</v>
      </c>
      <c r="AH253" s="604" t="s">
        <v>963</v>
      </c>
    </row>
    <row r="254" spans="1:34" s="605" customFormat="1" ht="75.75" hidden="1" thickBot="1" x14ac:dyDescent="0.3">
      <c r="A254" s="648" t="s">
        <v>906</v>
      </c>
      <c r="B254" s="586" t="s">
        <v>907</v>
      </c>
      <c r="C254" s="587" t="s">
        <v>780</v>
      </c>
      <c r="D254" s="588" t="s">
        <v>306</v>
      </c>
      <c r="E254" s="587"/>
      <c r="F254" s="586" t="s">
        <v>996</v>
      </c>
      <c r="G254" s="589" t="e">
        <f>VLOOKUP(A254,'Feature Summary'!$A$7:$C$4104,3,FALSE)</f>
        <v>#N/A</v>
      </c>
      <c r="H254" s="590" t="s">
        <v>997</v>
      </c>
      <c r="I254" s="590" t="s">
        <v>309</v>
      </c>
      <c r="J254" s="591" t="s">
        <v>998</v>
      </c>
      <c r="K254" s="592"/>
      <c r="L254" s="593"/>
      <c r="M254" s="594" t="s">
        <v>38</v>
      </c>
      <c r="N254" s="646"/>
      <c r="O254" s="647"/>
      <c r="P254" s="595">
        <f>IF((O254=0),0,(O254/L254))</f>
        <v>0</v>
      </c>
      <c r="Q254" s="596" t="s">
        <v>45</v>
      </c>
      <c r="R254" s="597"/>
      <c r="S254" s="598">
        <f>SUM(T254:W254)</f>
        <v>0</v>
      </c>
      <c r="T254" s="599"/>
      <c r="U254" s="599"/>
      <c r="V254" s="599"/>
      <c r="W254" s="599"/>
      <c r="X254" s="600">
        <f>IF((S254=0),0,((T254+U254)/S254*100%))</f>
        <v>0</v>
      </c>
      <c r="Y254" s="601"/>
      <c r="Z254" s="602">
        <f>SUM(AA254:AD254)</f>
        <v>0</v>
      </c>
      <c r="AA254" s="599"/>
      <c r="AB254" s="599"/>
      <c r="AC254" s="599"/>
      <c r="AD254" s="599"/>
      <c r="AE254" s="603">
        <f>IF((Z254=0),0,((AA254+AB254)/Z254*100%))</f>
        <v>0</v>
      </c>
      <c r="AF254" s="587"/>
      <c r="AG254" s="649" t="str">
        <f>VLOOKUP(LEFT(A254,(FIND(",",A254,1)-1)),'Feature Summary'!$A$7:$U$4035,21,FALSE)</f>
        <v>A/B + 8wks</v>
      </c>
      <c r="AH254" s="604" t="s">
        <v>963</v>
      </c>
    </row>
    <row r="255" spans="1:34" s="605" customFormat="1" ht="120.75" hidden="1" thickBot="1" x14ac:dyDescent="0.3">
      <c r="A255" s="648" t="s">
        <v>906</v>
      </c>
      <c r="B255" s="586" t="s">
        <v>907</v>
      </c>
      <c r="C255" s="587" t="s">
        <v>780</v>
      </c>
      <c r="D255" s="588" t="s">
        <v>306</v>
      </c>
      <c r="E255" s="587"/>
      <c r="F255" s="586" t="s">
        <v>999</v>
      </c>
      <c r="G255" s="589" t="e">
        <f>VLOOKUP(A255,'Feature Summary'!$A$7:$C$4104,3,FALSE)</f>
        <v>#N/A</v>
      </c>
      <c r="H255" s="590" t="s">
        <v>1000</v>
      </c>
      <c r="I255" s="590" t="s">
        <v>309</v>
      </c>
      <c r="J255" s="591" t="s">
        <v>1001</v>
      </c>
      <c r="K255" s="592"/>
      <c r="L255" s="593"/>
      <c r="M255" s="594" t="s">
        <v>38</v>
      </c>
      <c r="N255" s="646"/>
      <c r="O255" s="647"/>
      <c r="P255" s="595">
        <f>IF((O255=0),0,(O255/L255))</f>
        <v>0</v>
      </c>
      <c r="Q255" s="596" t="s">
        <v>45</v>
      </c>
      <c r="R255" s="597"/>
      <c r="S255" s="598">
        <f>SUM(T255:W255)</f>
        <v>0</v>
      </c>
      <c r="T255" s="599"/>
      <c r="U255" s="599"/>
      <c r="V255" s="599"/>
      <c r="W255" s="599"/>
      <c r="X255" s="600">
        <f>IF((S255=0),0,((T255+U255)/S255*100%))</f>
        <v>0</v>
      </c>
      <c r="Y255" s="601"/>
      <c r="Z255" s="602">
        <f>SUM(AA255:AD255)</f>
        <v>0</v>
      </c>
      <c r="AA255" s="599"/>
      <c r="AB255" s="599"/>
      <c r="AC255" s="599"/>
      <c r="AD255" s="599"/>
      <c r="AE255" s="603">
        <f>IF((Z255=0),0,((AA255+AB255)/Z255*100%))</f>
        <v>0</v>
      </c>
      <c r="AF255" s="587"/>
      <c r="AG255" s="649" t="str">
        <f>VLOOKUP(LEFT(A255,(FIND(",",A255,1)-1)),'Feature Summary'!$A$7:$U$4035,21,FALSE)</f>
        <v>A/B + 8wks</v>
      </c>
      <c r="AH255" s="604" t="s">
        <v>963</v>
      </c>
    </row>
    <row r="256" spans="1:34" s="605" customFormat="1" ht="120.75" hidden="1" thickBot="1" x14ac:dyDescent="0.3">
      <c r="A256" s="648" t="s">
        <v>906</v>
      </c>
      <c r="B256" s="586" t="s">
        <v>907</v>
      </c>
      <c r="C256" s="587" t="s">
        <v>780</v>
      </c>
      <c r="D256" s="588" t="s">
        <v>306</v>
      </c>
      <c r="E256" s="587"/>
      <c r="F256" s="586" t="s">
        <v>1002</v>
      </c>
      <c r="G256" s="589" t="e">
        <f>VLOOKUP(A256,'Feature Summary'!$A$7:$C$4104,3,FALSE)</f>
        <v>#N/A</v>
      </c>
      <c r="H256" s="590" t="s">
        <v>1003</v>
      </c>
      <c r="I256" s="590" t="s">
        <v>309</v>
      </c>
      <c r="J256" s="591" t="s">
        <v>1001</v>
      </c>
      <c r="K256" s="592"/>
      <c r="L256" s="593"/>
      <c r="M256" s="594" t="s">
        <v>38</v>
      </c>
      <c r="N256" s="646"/>
      <c r="O256" s="647"/>
      <c r="P256" s="595">
        <f>IF((O256=0),0,(O256/L256))</f>
        <v>0</v>
      </c>
      <c r="Q256" s="596" t="s">
        <v>45</v>
      </c>
      <c r="R256" s="597"/>
      <c r="S256" s="598">
        <f>SUM(T256:W256)</f>
        <v>0</v>
      </c>
      <c r="T256" s="599"/>
      <c r="U256" s="599"/>
      <c r="V256" s="599"/>
      <c r="W256" s="599"/>
      <c r="X256" s="600">
        <f>IF((S256=0),0,((T256+U256)/S256*100%))</f>
        <v>0</v>
      </c>
      <c r="Y256" s="601"/>
      <c r="Z256" s="602">
        <f>SUM(AA256:AD256)</f>
        <v>0</v>
      </c>
      <c r="AA256" s="599"/>
      <c r="AB256" s="599"/>
      <c r="AC256" s="599"/>
      <c r="AD256" s="599"/>
      <c r="AE256" s="603">
        <f>IF((Z256=0),0,((AA256+AB256)/Z256*100%))</f>
        <v>0</v>
      </c>
      <c r="AF256" s="587"/>
      <c r="AG256" s="649" t="str">
        <f>VLOOKUP(LEFT(A256,(FIND(",",A256,1)-1)),'Feature Summary'!$A$7:$U$4035,21,FALSE)</f>
        <v>A/B + 8wks</v>
      </c>
      <c r="AH256" s="604" t="s">
        <v>963</v>
      </c>
    </row>
    <row r="257" spans="1:34" ht="75.75" thickBot="1" x14ac:dyDescent="0.3">
      <c r="A257" s="316" t="s">
        <v>1004</v>
      </c>
      <c r="B257" s="533" t="s">
        <v>1005</v>
      </c>
      <c r="C257" s="308" t="s">
        <v>780</v>
      </c>
      <c r="D257" s="536" t="s">
        <v>306</v>
      </c>
      <c r="E257" s="308"/>
      <c r="F257" s="533" t="s">
        <v>1006</v>
      </c>
      <c r="G257" s="231" t="str">
        <f>VLOOKUP(A257,'Feature Summary'!$A$7:$C$4104,3,FALSE)</f>
        <v>P1</v>
      </c>
      <c r="H257" s="540" t="s">
        <v>1007</v>
      </c>
      <c r="I257" s="540" t="s">
        <v>309</v>
      </c>
      <c r="J257" s="541" t="s">
        <v>1008</v>
      </c>
      <c r="K257" s="548">
        <v>3</v>
      </c>
      <c r="L257" s="549">
        <v>19</v>
      </c>
      <c r="M257" s="545" t="s">
        <v>33</v>
      </c>
      <c r="N257" s="445">
        <v>1</v>
      </c>
      <c r="O257" s="443">
        <v>19</v>
      </c>
      <c r="P257" s="447">
        <f t="shared" si="42"/>
        <v>1</v>
      </c>
      <c r="Q257" s="431" t="s">
        <v>45</v>
      </c>
      <c r="R257" s="309">
        <v>19</v>
      </c>
      <c r="S257" s="477">
        <f t="shared" si="35"/>
        <v>19</v>
      </c>
      <c r="T257" s="465">
        <v>8</v>
      </c>
      <c r="U257" s="465">
        <v>11</v>
      </c>
      <c r="V257" s="465"/>
      <c r="W257" s="465"/>
      <c r="X257" s="478">
        <f t="shared" si="34"/>
        <v>1</v>
      </c>
      <c r="Y257" s="432"/>
      <c r="Z257" s="464">
        <f t="shared" si="36"/>
        <v>0</v>
      </c>
      <c r="AA257" s="465"/>
      <c r="AB257" s="465"/>
      <c r="AC257" s="465"/>
      <c r="AD257" s="465"/>
      <c r="AE257" s="466">
        <f t="shared" si="37"/>
        <v>0</v>
      </c>
      <c r="AF257" s="587"/>
      <c r="AG257" s="433" t="str">
        <f>VLOOKUP(A257,'Feature Summary'!$A$7:$U$4104,21,FALSE)</f>
        <v>A/B + 7wks</v>
      </c>
      <c r="AH257" s="580" t="s">
        <v>1009</v>
      </c>
    </row>
    <row r="258" spans="1:34" ht="75.75" thickBot="1" x14ac:dyDescent="0.3">
      <c r="A258" s="316" t="s">
        <v>1010</v>
      </c>
      <c r="B258" s="533" t="s">
        <v>1011</v>
      </c>
      <c r="C258" s="308" t="s">
        <v>499</v>
      </c>
      <c r="D258" s="536" t="s">
        <v>388</v>
      </c>
      <c r="E258" s="308"/>
      <c r="F258" s="533" t="s">
        <v>1012</v>
      </c>
      <c r="G258" s="231" t="str">
        <f>VLOOKUP(A258,'Feature Summary'!$A$7:$C$4104,3,FALSE)</f>
        <v>P2</v>
      </c>
      <c r="H258" s="540" t="s">
        <v>1013</v>
      </c>
      <c r="I258" s="540" t="s">
        <v>309</v>
      </c>
      <c r="J258" s="541" t="s">
        <v>1008</v>
      </c>
      <c r="K258" s="548">
        <v>1</v>
      </c>
      <c r="L258" s="549">
        <v>14</v>
      </c>
      <c r="M258" s="545" t="s">
        <v>33</v>
      </c>
      <c r="N258" s="445">
        <v>1</v>
      </c>
      <c r="O258" s="443">
        <v>14</v>
      </c>
      <c r="P258" s="447">
        <f t="shared" si="42"/>
        <v>1</v>
      </c>
      <c r="Q258" s="431" t="s">
        <v>45</v>
      </c>
      <c r="R258" s="309">
        <v>14</v>
      </c>
      <c r="S258" s="477">
        <f t="shared" si="35"/>
        <v>14</v>
      </c>
      <c r="T258" s="465">
        <v>8</v>
      </c>
      <c r="U258" s="465">
        <v>6</v>
      </c>
      <c r="V258" s="465"/>
      <c r="W258" s="465"/>
      <c r="X258" s="478">
        <f t="shared" si="34"/>
        <v>1</v>
      </c>
      <c r="Y258" s="432"/>
      <c r="Z258" s="464">
        <f t="shared" si="36"/>
        <v>0</v>
      </c>
      <c r="AA258" s="465"/>
      <c r="AB258" s="465"/>
      <c r="AC258" s="465"/>
      <c r="AD258" s="465"/>
      <c r="AE258" s="466">
        <f t="shared" si="37"/>
        <v>0</v>
      </c>
      <c r="AF258" s="587"/>
      <c r="AG258" s="433" t="str">
        <f>VLOOKUP(A258,'Feature Summary'!$A$7:$U$4104,21,FALSE)</f>
        <v>A/B + 7wks</v>
      </c>
      <c r="AH258" s="310"/>
    </row>
    <row r="259" spans="1:34" ht="75.75" thickBot="1" x14ac:dyDescent="0.3">
      <c r="A259" s="316"/>
      <c r="B259" s="533"/>
      <c r="C259" s="308" t="s">
        <v>1014</v>
      </c>
      <c r="D259" s="536" t="s">
        <v>388</v>
      </c>
      <c r="E259" s="308"/>
      <c r="F259" s="533" t="s">
        <v>1015</v>
      </c>
      <c r="G259" s="231" t="e">
        <f>VLOOKUP(A259,'Feature Summary'!$A$7:$C$4104,3,FALSE)</f>
        <v>#N/A</v>
      </c>
      <c r="H259" s="540" t="s">
        <v>1016</v>
      </c>
      <c r="I259" s="540" t="s">
        <v>309</v>
      </c>
      <c r="J259" s="541" t="s">
        <v>1008</v>
      </c>
      <c r="K259" s="548">
        <v>1</v>
      </c>
      <c r="L259" s="549">
        <v>4</v>
      </c>
      <c r="M259" s="545" t="s">
        <v>33</v>
      </c>
      <c r="N259" s="445">
        <v>1</v>
      </c>
      <c r="O259" s="443">
        <v>4</v>
      </c>
      <c r="P259" s="447">
        <f t="shared" si="42"/>
        <v>1</v>
      </c>
      <c r="Q259" s="431" t="s">
        <v>45</v>
      </c>
      <c r="R259" s="309">
        <v>4</v>
      </c>
      <c r="S259" s="477">
        <f t="shared" si="35"/>
        <v>4</v>
      </c>
      <c r="T259" s="465">
        <v>4</v>
      </c>
      <c r="U259" s="465"/>
      <c r="V259" s="465"/>
      <c r="W259" s="465"/>
      <c r="X259" s="478">
        <f t="shared" si="34"/>
        <v>1</v>
      </c>
      <c r="Y259" s="432"/>
      <c r="Z259" s="464">
        <f t="shared" si="36"/>
        <v>0</v>
      </c>
      <c r="AA259" s="465"/>
      <c r="AB259" s="465"/>
      <c r="AC259" s="465"/>
      <c r="AD259" s="465"/>
      <c r="AE259" s="466">
        <f t="shared" si="37"/>
        <v>0</v>
      </c>
      <c r="AF259" s="587"/>
      <c r="AG259" s="429" t="e">
        <f>VLOOKUP(LEFT(A259,(FIND(",",A259,1)-1)),'Feature Summary'!$A$7:$U$4035,21,FALSE)</f>
        <v>#VALUE!</v>
      </c>
      <c r="AH259" s="310"/>
    </row>
    <row r="260" spans="1:34" ht="105.75" thickBot="1" x14ac:dyDescent="0.3">
      <c r="A260" s="316" t="s">
        <v>1017</v>
      </c>
      <c r="B260" s="533" t="s">
        <v>1018</v>
      </c>
      <c r="C260" s="308" t="s">
        <v>305</v>
      </c>
      <c r="D260" s="536" t="s">
        <v>306</v>
      </c>
      <c r="E260" s="308"/>
      <c r="F260" s="533" t="s">
        <v>1019</v>
      </c>
      <c r="G260" s="231" t="str">
        <f>VLOOKUP(A260,'Feature Summary'!$A$7:$C$4104,3,FALSE)</f>
        <v>P2</v>
      </c>
      <c r="H260" s="540" t="s">
        <v>1020</v>
      </c>
      <c r="I260" s="540" t="s">
        <v>309</v>
      </c>
      <c r="J260" s="541" t="s">
        <v>327</v>
      </c>
      <c r="K260" s="548">
        <v>1</v>
      </c>
      <c r="L260" s="549">
        <v>4</v>
      </c>
      <c r="M260" s="545" t="s">
        <v>33</v>
      </c>
      <c r="N260" s="445">
        <v>1</v>
      </c>
      <c r="O260" s="443">
        <v>4</v>
      </c>
      <c r="P260" s="447">
        <f t="shared" si="42"/>
        <v>1</v>
      </c>
      <c r="Q260" s="431" t="s">
        <v>45</v>
      </c>
      <c r="R260" s="309">
        <v>4</v>
      </c>
      <c r="S260" s="477">
        <f t="shared" si="35"/>
        <v>4</v>
      </c>
      <c r="T260" s="465">
        <v>4</v>
      </c>
      <c r="U260" s="465"/>
      <c r="V260" s="465"/>
      <c r="W260" s="465"/>
      <c r="X260" s="478">
        <f t="shared" si="34"/>
        <v>1</v>
      </c>
      <c r="Y260" s="432"/>
      <c r="Z260" s="464">
        <f t="shared" si="36"/>
        <v>4</v>
      </c>
      <c r="AA260" s="465">
        <v>4</v>
      </c>
      <c r="AB260" s="465"/>
      <c r="AC260" s="465"/>
      <c r="AD260" s="465"/>
      <c r="AE260" s="466">
        <f t="shared" si="37"/>
        <v>1</v>
      </c>
      <c r="AF260" s="308" t="s">
        <v>311</v>
      </c>
      <c r="AG260" s="433" t="str">
        <f>VLOOKUP(A260,'Feature Summary'!$A$7:$U$4104,21,FALSE)</f>
        <v>A/B + 8wks</v>
      </c>
      <c r="AH260" s="310"/>
    </row>
    <row r="261" spans="1:34" ht="105.75" thickBot="1" x14ac:dyDescent="0.3">
      <c r="A261" s="316" t="s">
        <v>1017</v>
      </c>
      <c r="B261" s="533" t="s">
        <v>1018</v>
      </c>
      <c r="C261" s="308" t="s">
        <v>305</v>
      </c>
      <c r="D261" s="536" t="s">
        <v>306</v>
      </c>
      <c r="E261" s="308"/>
      <c r="F261" s="533" t="s">
        <v>1019</v>
      </c>
      <c r="G261" s="231" t="str">
        <f>VLOOKUP(A261,'Feature Summary'!$A$7:$C$4104,3,FALSE)</f>
        <v>P2</v>
      </c>
      <c r="H261" s="540" t="s">
        <v>1021</v>
      </c>
      <c r="I261" s="540" t="s">
        <v>309</v>
      </c>
      <c r="J261" s="541" t="s">
        <v>349</v>
      </c>
      <c r="K261" s="548">
        <v>1</v>
      </c>
      <c r="L261" s="549">
        <v>4</v>
      </c>
      <c r="M261" s="545" t="s">
        <v>33</v>
      </c>
      <c r="N261" s="445">
        <v>1</v>
      </c>
      <c r="O261" s="443">
        <v>4</v>
      </c>
      <c r="P261" s="447">
        <f t="shared" si="42"/>
        <v>1</v>
      </c>
      <c r="Q261" s="431" t="s">
        <v>45</v>
      </c>
      <c r="R261" s="309">
        <v>4</v>
      </c>
      <c r="S261" s="477">
        <f t="shared" si="35"/>
        <v>4</v>
      </c>
      <c r="T261" s="465">
        <v>4</v>
      </c>
      <c r="U261" s="465"/>
      <c r="V261" s="465"/>
      <c r="W261" s="465"/>
      <c r="X261" s="478">
        <f t="shared" si="34"/>
        <v>1</v>
      </c>
      <c r="Y261" s="432"/>
      <c r="Z261" s="464">
        <f t="shared" si="36"/>
        <v>4</v>
      </c>
      <c r="AA261" s="465">
        <v>4</v>
      </c>
      <c r="AB261" s="465"/>
      <c r="AC261" s="465"/>
      <c r="AD261" s="465"/>
      <c r="AE261" s="466">
        <f t="shared" si="37"/>
        <v>1</v>
      </c>
      <c r="AF261" s="308" t="s">
        <v>311</v>
      </c>
      <c r="AG261" s="433" t="str">
        <f>VLOOKUP(A261,'Feature Summary'!$A$7:$U$4104,21,FALSE)</f>
        <v>A/B + 8wks</v>
      </c>
      <c r="AH261" s="310"/>
    </row>
    <row r="262" spans="1:34" ht="105.75" thickBot="1" x14ac:dyDescent="0.3">
      <c r="A262" s="316"/>
      <c r="B262" s="533"/>
      <c r="C262" s="308" t="s">
        <v>305</v>
      </c>
      <c r="D262" s="536" t="s">
        <v>388</v>
      </c>
      <c r="E262" s="308"/>
      <c r="F262" s="533" t="s">
        <v>1022</v>
      </c>
      <c r="G262" s="231" t="e">
        <f>VLOOKUP(A262,'Feature Summary'!$A$7:$C$4104,3,FALSE)</f>
        <v>#N/A</v>
      </c>
      <c r="H262" s="540" t="s">
        <v>1023</v>
      </c>
      <c r="I262" s="540" t="s">
        <v>309</v>
      </c>
      <c r="J262" s="541" t="s">
        <v>327</v>
      </c>
      <c r="K262" s="548">
        <v>1</v>
      </c>
      <c r="L262" s="549">
        <v>2</v>
      </c>
      <c r="M262" s="545" t="s">
        <v>33</v>
      </c>
      <c r="N262" s="445">
        <v>1</v>
      </c>
      <c r="O262" s="443">
        <v>2</v>
      </c>
      <c r="P262" s="447">
        <f t="shared" si="42"/>
        <v>1</v>
      </c>
      <c r="Q262" s="431" t="s">
        <v>45</v>
      </c>
      <c r="R262" s="309">
        <v>2</v>
      </c>
      <c r="S262" s="477">
        <f t="shared" si="35"/>
        <v>2</v>
      </c>
      <c r="T262" s="465">
        <v>2</v>
      </c>
      <c r="U262" s="465"/>
      <c r="V262" s="465"/>
      <c r="W262" s="465"/>
      <c r="X262" s="478">
        <f t="shared" si="34"/>
        <v>1</v>
      </c>
      <c r="Y262" s="432"/>
      <c r="Z262" s="464">
        <f t="shared" si="36"/>
        <v>2</v>
      </c>
      <c r="AA262" s="465">
        <v>2</v>
      </c>
      <c r="AB262" s="465"/>
      <c r="AC262" s="465"/>
      <c r="AD262" s="465"/>
      <c r="AE262" s="466">
        <f t="shared" si="37"/>
        <v>1</v>
      </c>
      <c r="AF262" s="308" t="s">
        <v>311</v>
      </c>
      <c r="AG262" s="433" t="e">
        <f>VLOOKUP(A262,'Feature Summary'!$A$7:$U$4104,21,FALSE)</f>
        <v>#N/A</v>
      </c>
      <c r="AH262" s="310"/>
    </row>
    <row r="263" spans="1:34" ht="105.75" thickBot="1" x14ac:dyDescent="0.3">
      <c r="A263" s="316"/>
      <c r="B263" s="533"/>
      <c r="C263" s="308" t="s">
        <v>305</v>
      </c>
      <c r="D263" s="536" t="s">
        <v>388</v>
      </c>
      <c r="E263" s="308"/>
      <c r="F263" s="533" t="s">
        <v>1022</v>
      </c>
      <c r="G263" s="231" t="e">
        <f>VLOOKUP(A263,'Feature Summary'!$A$7:$C$4104,3,FALSE)</f>
        <v>#N/A</v>
      </c>
      <c r="H263" s="540" t="s">
        <v>1024</v>
      </c>
      <c r="I263" s="540" t="s">
        <v>309</v>
      </c>
      <c r="J263" s="541" t="s">
        <v>327</v>
      </c>
      <c r="K263" s="548">
        <v>3</v>
      </c>
      <c r="L263" s="549">
        <v>2</v>
      </c>
      <c r="M263" s="545" t="s">
        <v>33</v>
      </c>
      <c r="N263" s="445">
        <v>1</v>
      </c>
      <c r="O263" s="443">
        <v>2</v>
      </c>
      <c r="P263" s="447">
        <f t="shared" si="42"/>
        <v>1</v>
      </c>
      <c r="Q263" s="431" t="s">
        <v>45</v>
      </c>
      <c r="R263" s="309">
        <v>2</v>
      </c>
      <c r="S263" s="477">
        <f t="shared" ref="S263" si="100">SUM(T263:W263)</f>
        <v>2</v>
      </c>
      <c r="T263" s="465">
        <v>2</v>
      </c>
      <c r="U263" s="465"/>
      <c r="V263" s="465"/>
      <c r="W263" s="465"/>
      <c r="X263" s="478">
        <f t="shared" ref="X263" si="101">IF((S263=0),0,((T263+U263)/S263*100%))</f>
        <v>1</v>
      </c>
      <c r="Y263" s="432"/>
      <c r="Z263" s="464">
        <f t="shared" ref="Z263" si="102">SUM(AA263:AD263)</f>
        <v>2</v>
      </c>
      <c r="AA263" s="465">
        <v>2</v>
      </c>
      <c r="AB263" s="465"/>
      <c r="AC263" s="465"/>
      <c r="AD263" s="465"/>
      <c r="AE263" s="466">
        <f t="shared" ref="AE263" si="103">IF((Z263=0),0,((AA263+AB263)/Z263*100%))</f>
        <v>1</v>
      </c>
      <c r="AF263" s="308" t="s">
        <v>311</v>
      </c>
      <c r="AG263" s="433" t="e">
        <f>VLOOKUP(A263,'Feature Summary'!$A$7:$U$4104,21,FALSE)</f>
        <v>#N/A</v>
      </c>
      <c r="AH263" s="580" t="s">
        <v>1025</v>
      </c>
    </row>
    <row r="264" spans="1:34" ht="105.75" thickBot="1" x14ac:dyDescent="0.3">
      <c r="A264" s="316"/>
      <c r="B264" s="533"/>
      <c r="C264" s="308" t="s">
        <v>305</v>
      </c>
      <c r="D264" s="536" t="s">
        <v>388</v>
      </c>
      <c r="E264" s="308"/>
      <c r="F264" s="533" t="s">
        <v>1022</v>
      </c>
      <c r="G264" s="231" t="e">
        <f>VLOOKUP(A264,'Feature Summary'!$A$7:$C$4104,3,FALSE)</f>
        <v>#N/A</v>
      </c>
      <c r="H264" s="540" t="s">
        <v>1026</v>
      </c>
      <c r="I264" s="540" t="s">
        <v>309</v>
      </c>
      <c r="J264" s="541" t="s">
        <v>349</v>
      </c>
      <c r="K264" s="548">
        <v>1</v>
      </c>
      <c r="L264" s="549">
        <v>4</v>
      </c>
      <c r="M264" s="545" t="s">
        <v>33</v>
      </c>
      <c r="N264" s="445">
        <v>1</v>
      </c>
      <c r="O264" s="443">
        <v>4</v>
      </c>
      <c r="P264" s="447">
        <f t="shared" si="42"/>
        <v>1</v>
      </c>
      <c r="Q264" s="431" t="s">
        <v>45</v>
      </c>
      <c r="R264" s="309">
        <v>4</v>
      </c>
      <c r="S264" s="477">
        <f t="shared" si="35"/>
        <v>4</v>
      </c>
      <c r="T264" s="465">
        <v>4</v>
      </c>
      <c r="U264" s="465"/>
      <c r="V264" s="465"/>
      <c r="W264" s="465"/>
      <c r="X264" s="478">
        <f t="shared" si="34"/>
        <v>1</v>
      </c>
      <c r="Y264" s="432"/>
      <c r="Z264" s="464">
        <f t="shared" si="36"/>
        <v>3</v>
      </c>
      <c r="AA264" s="465">
        <v>3</v>
      </c>
      <c r="AB264" s="465"/>
      <c r="AC264" s="465"/>
      <c r="AD264" s="465"/>
      <c r="AE264" s="466">
        <f t="shared" si="37"/>
        <v>1</v>
      </c>
      <c r="AF264" s="308" t="s">
        <v>311</v>
      </c>
      <c r="AG264" s="433" t="e">
        <f>VLOOKUP(A264,'Feature Summary'!$A$7:$U$4104,21,FALSE)</f>
        <v>#N/A</v>
      </c>
      <c r="AH264" s="310"/>
    </row>
    <row r="265" spans="1:34" ht="75.75" thickBot="1" x14ac:dyDescent="0.3">
      <c r="A265" s="307" t="s">
        <v>1027</v>
      </c>
      <c r="B265" s="533" t="s">
        <v>1028</v>
      </c>
      <c r="C265" s="308" t="s">
        <v>357</v>
      </c>
      <c r="D265" s="536" t="s">
        <v>306</v>
      </c>
      <c r="E265" s="308"/>
      <c r="F265" s="533" t="s">
        <v>1029</v>
      </c>
      <c r="G265" s="231" t="str">
        <f>VLOOKUP(A265,'Feature Summary'!$A$7:$C$4104,3,FALSE)</f>
        <v>P2</v>
      </c>
      <c r="H265" s="540" t="s">
        <v>1030</v>
      </c>
      <c r="I265" s="540" t="s">
        <v>309</v>
      </c>
      <c r="J265" s="541" t="s">
        <v>327</v>
      </c>
      <c r="K265" s="548">
        <v>1</v>
      </c>
      <c r="L265" s="549">
        <v>16</v>
      </c>
      <c r="M265" s="545" t="s">
        <v>33</v>
      </c>
      <c r="N265" s="445">
        <v>1</v>
      </c>
      <c r="O265" s="443">
        <v>16</v>
      </c>
      <c r="P265" s="447">
        <f t="shared" si="42"/>
        <v>1</v>
      </c>
      <c r="Q265" s="431" t="s">
        <v>45</v>
      </c>
      <c r="R265" s="309">
        <v>16</v>
      </c>
      <c r="S265" s="477">
        <f t="shared" si="35"/>
        <v>16</v>
      </c>
      <c r="T265" s="465">
        <v>16</v>
      </c>
      <c r="U265" s="465"/>
      <c r="V265" s="465"/>
      <c r="W265" s="465"/>
      <c r="X265" s="478">
        <f t="shared" si="34"/>
        <v>1</v>
      </c>
      <c r="Y265" s="432"/>
      <c r="Z265" s="464">
        <f t="shared" si="36"/>
        <v>16</v>
      </c>
      <c r="AA265" s="465"/>
      <c r="AB265" s="599"/>
      <c r="AC265" s="465"/>
      <c r="AD265" s="465">
        <v>16</v>
      </c>
      <c r="AE265" s="466">
        <f t="shared" si="37"/>
        <v>0</v>
      </c>
      <c r="AF265" s="571" t="s">
        <v>1031</v>
      </c>
      <c r="AG265" s="433" t="str">
        <f>VLOOKUP(A265,'Feature Summary'!$A$7:$U$4104,21,FALSE)</f>
        <v>A/B + 8wks</v>
      </c>
      <c r="AH265" s="310" t="s">
        <v>1032</v>
      </c>
    </row>
    <row r="266" spans="1:34" ht="45.75" hidden="1" thickBot="1" x14ac:dyDescent="0.3">
      <c r="A266" s="307" t="s">
        <v>1033</v>
      </c>
      <c r="B266" s="308" t="s">
        <v>1034</v>
      </c>
      <c r="C266" s="308"/>
      <c r="D266" s="309" t="s">
        <v>306</v>
      </c>
      <c r="E266" s="308"/>
      <c r="F266" s="576" t="s">
        <v>1035</v>
      </c>
      <c r="G266" s="231" t="e">
        <f>VLOOKUP(A266,'Feature Summary'!$A$7:$C$4104,3,FALSE)</f>
        <v>#N/A</v>
      </c>
      <c r="H266" s="401" t="s">
        <v>1036</v>
      </c>
      <c r="I266" s="540" t="s">
        <v>309</v>
      </c>
      <c r="J266" s="541"/>
      <c r="K266" s="309"/>
      <c r="L266" s="309"/>
      <c r="M266" s="545" t="s">
        <v>33</v>
      </c>
      <c r="N266" s="445">
        <v>1</v>
      </c>
      <c r="O266" s="443"/>
      <c r="P266" s="447">
        <f t="shared" si="42"/>
        <v>0</v>
      </c>
      <c r="Q266" s="431" t="s">
        <v>44</v>
      </c>
      <c r="R266" s="309"/>
      <c r="S266" s="477">
        <f t="shared" ref="S266:S325" si="104">SUM(T266:W266)</f>
        <v>0</v>
      </c>
      <c r="T266" s="465"/>
      <c r="U266" s="465"/>
      <c r="V266" s="465"/>
      <c r="W266" s="465"/>
      <c r="X266" s="478">
        <f t="shared" ref="X266:X332" si="105">IF((S266=0),0,((T266+U266)/S266*100%))</f>
        <v>0</v>
      </c>
      <c r="Y266" s="432"/>
      <c r="Z266" s="464">
        <f t="shared" si="36"/>
        <v>0</v>
      </c>
      <c r="AA266" s="465"/>
      <c r="AB266" s="465"/>
      <c r="AC266" s="465"/>
      <c r="AD266" s="465"/>
      <c r="AE266" s="466">
        <f t="shared" si="37"/>
        <v>0</v>
      </c>
      <c r="AF266" s="587"/>
      <c r="AG266" s="429" t="str">
        <f>VLOOKUP(LEFT(A266,(FIND(",",A266,1)-1)),'Feature Summary'!$A$7:$U$4035,21,FALSE)</f>
        <v>A/B + 5wks</v>
      </c>
      <c r="AH266" s="307"/>
    </row>
    <row r="267" spans="1:34" ht="150.75" thickBot="1" x14ac:dyDescent="0.3">
      <c r="A267" s="316" t="s">
        <v>1037</v>
      </c>
      <c r="B267" s="533" t="s">
        <v>1038</v>
      </c>
      <c r="C267" s="308" t="s">
        <v>357</v>
      </c>
      <c r="D267" s="309" t="s">
        <v>306</v>
      </c>
      <c r="E267" s="308"/>
      <c r="F267" s="571" t="s">
        <v>1039</v>
      </c>
      <c r="G267" s="231" t="e">
        <f>VLOOKUP(A267,'Feature Summary'!$A$7:$C$4104,3,FALSE)</f>
        <v>#N/A</v>
      </c>
      <c r="H267" s="401" t="s">
        <v>1040</v>
      </c>
      <c r="I267" s="540" t="s">
        <v>309</v>
      </c>
      <c r="J267" s="541" t="s">
        <v>327</v>
      </c>
      <c r="K267" s="309">
        <v>16</v>
      </c>
      <c r="L267" s="309">
        <v>9</v>
      </c>
      <c r="M267" s="545" t="s">
        <v>33</v>
      </c>
      <c r="N267" s="445">
        <v>1</v>
      </c>
      <c r="O267" s="443">
        <v>9</v>
      </c>
      <c r="P267" s="447">
        <f t="shared" si="42"/>
        <v>1</v>
      </c>
      <c r="Q267" s="431"/>
      <c r="R267" s="309">
        <v>9</v>
      </c>
      <c r="S267" s="477">
        <f t="shared" si="104"/>
        <v>9</v>
      </c>
      <c r="T267" s="465">
        <v>9</v>
      </c>
      <c r="U267" s="465"/>
      <c r="V267" s="465"/>
      <c r="W267" s="465"/>
      <c r="X267" s="478">
        <f t="shared" si="105"/>
        <v>1</v>
      </c>
      <c r="Y267" s="432"/>
      <c r="Z267" s="464">
        <f t="shared" si="36"/>
        <v>9</v>
      </c>
      <c r="AA267" s="465">
        <v>5</v>
      </c>
      <c r="AB267" s="465"/>
      <c r="AC267" s="465">
        <v>4</v>
      </c>
      <c r="AD267" s="465"/>
      <c r="AE267" s="466">
        <f t="shared" si="37"/>
        <v>0.55555555555555558</v>
      </c>
      <c r="AF267" s="571" t="s">
        <v>1041</v>
      </c>
      <c r="AG267" s="429" t="str">
        <f>VLOOKUP(LEFT(A267,(FIND(",",A267,1)-1)),'Feature Summary'!$A$7:$U$4035,21,FALSE)</f>
        <v>A/B + 8wks</v>
      </c>
      <c r="AH267" s="580" t="s">
        <v>1042</v>
      </c>
    </row>
    <row r="268" spans="1:34" ht="30.75" thickBot="1" x14ac:dyDescent="0.3">
      <c r="A268" s="316" t="s">
        <v>1043</v>
      </c>
      <c r="B268" s="533" t="s">
        <v>1044</v>
      </c>
      <c r="C268" s="308" t="s">
        <v>305</v>
      </c>
      <c r="D268" s="309" t="s">
        <v>306</v>
      </c>
      <c r="E268" s="308"/>
      <c r="F268" s="571" t="s">
        <v>1045</v>
      </c>
      <c r="G268" s="231" t="str">
        <f>VLOOKUP(A268,'Feature Summary'!$A$7:$C$4104,3,FALSE)</f>
        <v>P2</v>
      </c>
      <c r="H268" s="401" t="s">
        <v>1046</v>
      </c>
      <c r="I268" s="540" t="s">
        <v>309</v>
      </c>
      <c r="J268" s="541" t="s">
        <v>327</v>
      </c>
      <c r="K268" s="309">
        <v>2</v>
      </c>
      <c r="L268" s="309">
        <v>1</v>
      </c>
      <c r="M268" s="545" t="s">
        <v>33</v>
      </c>
      <c r="N268" s="445">
        <v>1</v>
      </c>
      <c r="O268" s="443">
        <v>1</v>
      </c>
      <c r="P268" s="447">
        <f t="shared" si="42"/>
        <v>1</v>
      </c>
      <c r="Q268" s="431"/>
      <c r="R268" s="309">
        <v>1</v>
      </c>
      <c r="S268" s="477">
        <f t="shared" si="104"/>
        <v>1</v>
      </c>
      <c r="T268" s="465">
        <v>1</v>
      </c>
      <c r="U268" s="465"/>
      <c r="V268" s="465"/>
      <c r="W268" s="465"/>
      <c r="X268" s="478"/>
      <c r="Y268" s="432"/>
      <c r="Z268" s="464">
        <f t="shared" si="36"/>
        <v>1</v>
      </c>
      <c r="AA268" s="465">
        <v>1</v>
      </c>
      <c r="AB268" s="465"/>
      <c r="AC268" s="465"/>
      <c r="AD268" s="465"/>
      <c r="AE268" s="466">
        <f t="shared" si="37"/>
        <v>1</v>
      </c>
      <c r="AF268" s="308" t="s">
        <v>788</v>
      </c>
      <c r="AG268" s="433" t="str">
        <f>VLOOKUP(A268,'Feature Summary'!$A$7:$U$4104,21,FALSE)</f>
        <v>A/B + 8wks</v>
      </c>
      <c r="AH268" s="580"/>
    </row>
    <row r="269" spans="1:34" ht="45.75" thickBot="1" x14ac:dyDescent="0.3">
      <c r="A269" s="316" t="s">
        <v>1047</v>
      </c>
      <c r="B269" s="533" t="s">
        <v>1048</v>
      </c>
      <c r="C269" s="308"/>
      <c r="D269" s="309" t="s">
        <v>306</v>
      </c>
      <c r="E269" s="308"/>
      <c r="F269" s="571" t="s">
        <v>1049</v>
      </c>
      <c r="G269" s="231" t="str">
        <f>VLOOKUP(A269,'Feature Summary'!$A$7:$C$4104,3,FALSE)</f>
        <v>P1</v>
      </c>
      <c r="H269" s="401" t="s">
        <v>1050</v>
      </c>
      <c r="I269" s="540" t="s">
        <v>309</v>
      </c>
      <c r="J269" s="571"/>
      <c r="K269" s="309">
        <v>1</v>
      </c>
      <c r="L269" s="309">
        <v>1</v>
      </c>
      <c r="M269" s="545" t="s">
        <v>38</v>
      </c>
      <c r="N269" s="445">
        <v>1</v>
      </c>
      <c r="O269" s="443">
        <v>1</v>
      </c>
      <c r="P269" s="447">
        <f t="shared" si="42"/>
        <v>1</v>
      </c>
      <c r="Q269" s="431" t="s">
        <v>46</v>
      </c>
      <c r="R269" s="309">
        <v>1</v>
      </c>
      <c r="S269" s="477">
        <f t="shared" si="104"/>
        <v>1</v>
      </c>
      <c r="T269" s="465">
        <v>1</v>
      </c>
      <c r="U269" s="465"/>
      <c r="V269" s="465"/>
      <c r="W269" s="465"/>
      <c r="X269" s="478">
        <f t="shared" si="105"/>
        <v>1</v>
      </c>
      <c r="Y269" s="432"/>
      <c r="Z269" s="464">
        <f t="shared" si="36"/>
        <v>1</v>
      </c>
      <c r="AA269" s="465">
        <v>1</v>
      </c>
      <c r="AB269" s="465"/>
      <c r="AC269" s="465"/>
      <c r="AD269" s="465"/>
      <c r="AE269" s="466">
        <f t="shared" si="37"/>
        <v>1</v>
      </c>
      <c r="AF269" s="308" t="s">
        <v>311</v>
      </c>
      <c r="AG269" s="433" t="str">
        <f>VLOOKUP(A269,'Feature Summary'!$A$7:$U$4104,21,FALSE)</f>
        <v>A/B + 5wks</v>
      </c>
      <c r="AH269" s="316"/>
    </row>
    <row r="270" spans="1:34" ht="45.75" thickBot="1" x14ac:dyDescent="0.3">
      <c r="A270" s="316" t="s">
        <v>1051</v>
      </c>
      <c r="B270" s="533" t="s">
        <v>1052</v>
      </c>
      <c r="C270" s="308" t="s">
        <v>366</v>
      </c>
      <c r="D270" s="309" t="s">
        <v>388</v>
      </c>
      <c r="E270" s="308"/>
      <c r="F270" s="571" t="s">
        <v>1053</v>
      </c>
      <c r="G270" s="231" t="s">
        <v>254</v>
      </c>
      <c r="H270" s="401" t="s">
        <v>1054</v>
      </c>
      <c r="I270" s="540" t="s">
        <v>309</v>
      </c>
      <c r="J270" s="541" t="s">
        <v>327</v>
      </c>
      <c r="K270" s="309">
        <v>2</v>
      </c>
      <c r="L270" s="309">
        <v>1</v>
      </c>
      <c r="M270" s="545" t="s">
        <v>33</v>
      </c>
      <c r="N270" s="445">
        <v>1</v>
      </c>
      <c r="O270" s="443">
        <v>1</v>
      </c>
      <c r="P270" s="447">
        <f t="shared" si="42"/>
        <v>1</v>
      </c>
      <c r="Q270" s="431" t="s">
        <v>45</v>
      </c>
      <c r="R270" s="309">
        <v>1</v>
      </c>
      <c r="S270" s="477">
        <f t="shared" ref="S270:S271" si="106">SUM(T270:W270)</f>
        <v>1</v>
      </c>
      <c r="T270" s="465">
        <v>1</v>
      </c>
      <c r="U270" s="465"/>
      <c r="V270" s="465"/>
      <c r="W270" s="465"/>
      <c r="X270" s="478">
        <f t="shared" ref="X270:X271" si="107">IF((S270=0),0,((T270+U270)/S270*100%))</f>
        <v>1</v>
      </c>
      <c r="Y270" s="432"/>
      <c r="Z270" s="464">
        <f t="shared" ref="Z270:Z271" si="108">SUM(AA270:AD270)</f>
        <v>1</v>
      </c>
      <c r="AA270" s="465">
        <v>1</v>
      </c>
      <c r="AB270" s="465"/>
      <c r="AC270" s="465"/>
      <c r="AD270" s="465"/>
      <c r="AE270" s="466">
        <f t="shared" ref="AE270:AE271" si="109">IF((Z270=0),0,((AA270+AB270)/Z270*100%))</f>
        <v>1</v>
      </c>
      <c r="AF270" s="308" t="s">
        <v>788</v>
      </c>
      <c r="AG270" s="433" t="e">
        <f>VLOOKUP(A270,'Feature Summary'!$A$7:$U$4104,21,FALSE)</f>
        <v>#N/A</v>
      </c>
      <c r="AH270" s="612" t="s">
        <v>1055</v>
      </c>
    </row>
    <row r="271" spans="1:34" ht="60.75" thickBot="1" x14ac:dyDescent="0.3">
      <c r="A271" s="316" t="s">
        <v>1056</v>
      </c>
      <c r="B271" s="533" t="s">
        <v>1057</v>
      </c>
      <c r="C271" s="308" t="s">
        <v>305</v>
      </c>
      <c r="D271" s="309" t="s">
        <v>306</v>
      </c>
      <c r="E271" s="308"/>
      <c r="F271" s="571" t="s">
        <v>1058</v>
      </c>
      <c r="G271" s="231" t="str">
        <f>VLOOKUP(A271,'Feature Summary'!$A$7:$C$4104,3,FALSE)</f>
        <v>P1</v>
      </c>
      <c r="H271" s="401" t="s">
        <v>1059</v>
      </c>
      <c r="I271" s="540" t="s">
        <v>309</v>
      </c>
      <c r="J271" s="541" t="s">
        <v>327</v>
      </c>
      <c r="K271" s="309">
        <v>6</v>
      </c>
      <c r="L271" s="309">
        <v>4</v>
      </c>
      <c r="M271" s="545" t="s">
        <v>33</v>
      </c>
      <c r="N271" s="445">
        <v>1</v>
      </c>
      <c r="O271" s="443">
        <v>4</v>
      </c>
      <c r="P271" s="447">
        <f t="shared" si="42"/>
        <v>1</v>
      </c>
      <c r="Q271" s="431"/>
      <c r="R271" s="309">
        <v>4</v>
      </c>
      <c r="S271" s="477">
        <f t="shared" si="106"/>
        <v>4</v>
      </c>
      <c r="T271" s="465">
        <v>4</v>
      </c>
      <c r="U271" s="465"/>
      <c r="V271" s="465"/>
      <c r="W271" s="465"/>
      <c r="X271" s="478">
        <f t="shared" si="107"/>
        <v>1</v>
      </c>
      <c r="Y271" s="432"/>
      <c r="Z271" s="464">
        <f t="shared" si="108"/>
        <v>4</v>
      </c>
      <c r="AA271" s="465">
        <v>4</v>
      </c>
      <c r="AB271" s="465"/>
      <c r="AC271" s="465"/>
      <c r="AD271" s="465"/>
      <c r="AE271" s="466">
        <f t="shared" si="109"/>
        <v>1</v>
      </c>
      <c r="AF271" s="571" t="s">
        <v>1060</v>
      </c>
      <c r="AG271" s="433" t="str">
        <f>VLOOKUP(A271,'Feature Summary'!$A$7:$U$4104,21,FALSE)</f>
        <v>A/B + 8wks</v>
      </c>
      <c r="AH271" s="580" t="s">
        <v>1061</v>
      </c>
    </row>
    <row r="272" spans="1:34" ht="60.75" thickBot="1" x14ac:dyDescent="0.3">
      <c r="A272" s="316" t="s">
        <v>1056</v>
      </c>
      <c r="B272" s="533" t="s">
        <v>1057</v>
      </c>
      <c r="C272" s="308" t="s">
        <v>305</v>
      </c>
      <c r="D272" s="309" t="s">
        <v>306</v>
      </c>
      <c r="E272" s="308"/>
      <c r="F272" s="571" t="s">
        <v>1058</v>
      </c>
      <c r="G272" s="231" t="str">
        <f>VLOOKUP(A272,'Feature Summary'!$A$7:$C$4104,3,FALSE)</f>
        <v>P1</v>
      </c>
      <c r="H272" s="401" t="s">
        <v>1062</v>
      </c>
      <c r="I272" s="540" t="s">
        <v>309</v>
      </c>
      <c r="J272" s="541" t="s">
        <v>1063</v>
      </c>
      <c r="K272" s="309">
        <v>6</v>
      </c>
      <c r="L272" s="309">
        <v>2</v>
      </c>
      <c r="M272" s="545" t="s">
        <v>33</v>
      </c>
      <c r="N272" s="445">
        <v>1</v>
      </c>
      <c r="O272" s="443">
        <v>2</v>
      </c>
      <c r="P272" s="447">
        <f t="shared" si="42"/>
        <v>1</v>
      </c>
      <c r="Q272" s="431"/>
      <c r="R272" s="309">
        <v>2</v>
      </c>
      <c r="S272" s="477">
        <f t="shared" si="104"/>
        <v>2</v>
      </c>
      <c r="T272" s="465">
        <v>2</v>
      </c>
      <c r="U272" s="465"/>
      <c r="V272" s="465"/>
      <c r="W272" s="465"/>
      <c r="X272" s="478">
        <f t="shared" si="105"/>
        <v>1</v>
      </c>
      <c r="Y272" s="432"/>
      <c r="Z272" s="464">
        <f t="shared" si="36"/>
        <v>2</v>
      </c>
      <c r="AA272" s="465">
        <v>2</v>
      </c>
      <c r="AB272" s="465"/>
      <c r="AC272" s="465"/>
      <c r="AD272" s="465"/>
      <c r="AE272" s="466">
        <f t="shared" si="37"/>
        <v>1</v>
      </c>
      <c r="AF272" s="571" t="s">
        <v>1060</v>
      </c>
      <c r="AG272" s="433" t="str">
        <f>VLOOKUP(A272,'Feature Summary'!$A$7:$U$4104,21,FALSE)</f>
        <v>A/B + 8wks</v>
      </c>
      <c r="AH272" s="580" t="s">
        <v>1061</v>
      </c>
    </row>
    <row r="273" spans="1:34" ht="45.75" hidden="1" thickBot="1" x14ac:dyDescent="0.3">
      <c r="A273" s="316" t="s">
        <v>1064</v>
      </c>
      <c r="B273" s="533" t="s">
        <v>1065</v>
      </c>
      <c r="C273" s="308"/>
      <c r="D273" s="309" t="s">
        <v>306</v>
      </c>
      <c r="E273" s="308"/>
      <c r="F273" s="576" t="s">
        <v>274</v>
      </c>
      <c r="G273" s="231" t="e">
        <f>VLOOKUP(A273,'Feature Summary'!$A$7:$C$4104,3,FALSE)</f>
        <v>#N/A</v>
      </c>
      <c r="H273" s="401" t="s">
        <v>1066</v>
      </c>
      <c r="I273" s="540" t="s">
        <v>309</v>
      </c>
      <c r="J273" s="571"/>
      <c r="K273" s="309"/>
      <c r="L273" s="309"/>
      <c r="M273" s="404" t="s">
        <v>33</v>
      </c>
      <c r="N273" s="445">
        <v>1</v>
      </c>
      <c r="O273" s="443"/>
      <c r="P273" s="447">
        <f t="shared" si="42"/>
        <v>0</v>
      </c>
      <c r="Q273" s="431" t="s">
        <v>44</v>
      </c>
      <c r="R273" s="309"/>
      <c r="S273" s="477">
        <f t="shared" si="104"/>
        <v>0</v>
      </c>
      <c r="T273" s="465"/>
      <c r="U273" s="465"/>
      <c r="V273" s="465"/>
      <c r="W273" s="465"/>
      <c r="X273" s="478">
        <f t="shared" si="105"/>
        <v>0</v>
      </c>
      <c r="Y273" s="432"/>
      <c r="Z273" s="464">
        <f t="shared" si="36"/>
        <v>0</v>
      </c>
      <c r="AA273" s="465"/>
      <c r="AB273" s="465"/>
      <c r="AC273" s="465"/>
      <c r="AD273" s="465"/>
      <c r="AE273" s="466">
        <f t="shared" si="37"/>
        <v>0</v>
      </c>
      <c r="AF273" s="587"/>
      <c r="AG273" s="429" t="str">
        <f>VLOOKUP(LEFT(A273,(FIND(",",A273,1)-1)),'Feature Summary'!$A$7:$U$4035,21,FALSE)</f>
        <v>A/B + 7wks</v>
      </c>
      <c r="AH273" s="316"/>
    </row>
    <row r="274" spans="1:34" ht="60.75" hidden="1" thickBot="1" x14ac:dyDescent="0.3">
      <c r="A274" s="316"/>
      <c r="B274" s="533"/>
      <c r="C274" s="587" t="s">
        <v>366</v>
      </c>
      <c r="D274" s="597" t="s">
        <v>306</v>
      </c>
      <c r="E274" s="587"/>
      <c r="F274" s="606" t="s">
        <v>1067</v>
      </c>
      <c r="G274" s="589" t="e">
        <f>VLOOKUP(A274,'Feature Summary'!$A$7:$C$4104,3,FALSE)</f>
        <v>#N/A</v>
      </c>
      <c r="H274" s="607" t="s">
        <v>1068</v>
      </c>
      <c r="I274" s="540" t="s">
        <v>309</v>
      </c>
      <c r="J274" s="608" t="s">
        <v>1069</v>
      </c>
      <c r="K274" s="597"/>
      <c r="L274" s="597"/>
      <c r="M274" s="545" t="s">
        <v>33</v>
      </c>
      <c r="N274" s="445"/>
      <c r="O274" s="443"/>
      <c r="P274" s="447">
        <f t="shared" si="42"/>
        <v>0</v>
      </c>
      <c r="Q274" s="596"/>
      <c r="R274" s="597"/>
      <c r="S274" s="598">
        <f t="shared" si="104"/>
        <v>0</v>
      </c>
      <c r="T274" s="465"/>
      <c r="U274" s="599"/>
      <c r="V274" s="599"/>
      <c r="W274" s="599"/>
      <c r="X274" s="600">
        <f t="shared" si="105"/>
        <v>0</v>
      </c>
      <c r="Y274" s="601"/>
      <c r="Z274" s="602">
        <f t="shared" si="36"/>
        <v>0</v>
      </c>
      <c r="AA274" s="465"/>
      <c r="AB274" s="599"/>
      <c r="AC274" s="599"/>
      <c r="AD274" s="599"/>
      <c r="AE274" s="603">
        <f t="shared" si="37"/>
        <v>0</v>
      </c>
      <c r="AF274" s="587"/>
      <c r="AG274" s="609" t="e">
        <f>VLOOKUP(A274,'Feature Summary'!$A$7:$U$4104,21,FALSE)</f>
        <v>#N/A</v>
      </c>
      <c r="AH274" s="604" t="s">
        <v>1070</v>
      </c>
    </row>
    <row r="275" spans="1:34" ht="60.75" hidden="1" thickBot="1" x14ac:dyDescent="0.3">
      <c r="A275" s="316"/>
      <c r="B275" s="533"/>
      <c r="C275" s="587" t="s">
        <v>366</v>
      </c>
      <c r="D275" s="597" t="s">
        <v>306</v>
      </c>
      <c r="E275" s="587"/>
      <c r="F275" s="606" t="s">
        <v>1071</v>
      </c>
      <c r="G275" s="589" t="e">
        <f>VLOOKUP(A275,'Feature Summary'!$A$7:$C$4104,3,FALSE)</f>
        <v>#N/A</v>
      </c>
      <c r="H275" s="607" t="s">
        <v>1072</v>
      </c>
      <c r="I275" s="540" t="s">
        <v>309</v>
      </c>
      <c r="J275" s="608" t="s">
        <v>1073</v>
      </c>
      <c r="K275" s="597"/>
      <c r="L275" s="597"/>
      <c r="M275" s="545" t="s">
        <v>33</v>
      </c>
      <c r="N275" s="445"/>
      <c r="O275" s="443"/>
      <c r="P275" s="447">
        <f t="shared" si="42"/>
        <v>0</v>
      </c>
      <c r="Q275" s="596"/>
      <c r="R275" s="597"/>
      <c r="S275" s="598">
        <f t="shared" si="104"/>
        <v>0</v>
      </c>
      <c r="T275" s="465"/>
      <c r="U275" s="599"/>
      <c r="V275" s="599"/>
      <c r="W275" s="599"/>
      <c r="X275" s="600">
        <f t="shared" si="105"/>
        <v>0</v>
      </c>
      <c r="Y275" s="601"/>
      <c r="Z275" s="602">
        <f t="shared" si="36"/>
        <v>0</v>
      </c>
      <c r="AA275" s="465"/>
      <c r="AB275" s="599"/>
      <c r="AC275" s="599"/>
      <c r="AD275" s="599"/>
      <c r="AE275" s="603">
        <f t="shared" si="37"/>
        <v>0</v>
      </c>
      <c r="AF275" s="587"/>
      <c r="AG275" s="609" t="e">
        <f>VLOOKUP(A275,'Feature Summary'!$A$7:$U$4104,21,FALSE)</f>
        <v>#N/A</v>
      </c>
      <c r="AH275" s="604"/>
    </row>
    <row r="276" spans="1:34" ht="75.75" hidden="1" thickBot="1" x14ac:dyDescent="0.3">
      <c r="A276" s="316"/>
      <c r="B276" s="533"/>
      <c r="C276" s="587" t="s">
        <v>366</v>
      </c>
      <c r="D276" s="597" t="s">
        <v>306</v>
      </c>
      <c r="E276" s="587"/>
      <c r="F276" s="606" t="s">
        <v>1074</v>
      </c>
      <c r="G276" s="589" t="e">
        <f>VLOOKUP(A276,'Feature Summary'!$A$7:$C$4104,3,FALSE)</f>
        <v>#N/A</v>
      </c>
      <c r="H276" s="607" t="s">
        <v>1075</v>
      </c>
      <c r="I276" s="540" t="s">
        <v>309</v>
      </c>
      <c r="J276" s="608" t="s">
        <v>1069</v>
      </c>
      <c r="K276" s="597"/>
      <c r="L276" s="597"/>
      <c r="M276" s="545" t="s">
        <v>33</v>
      </c>
      <c r="N276" s="445"/>
      <c r="O276" s="443"/>
      <c r="P276" s="447">
        <f t="shared" si="42"/>
        <v>0</v>
      </c>
      <c r="Q276" s="596"/>
      <c r="R276" s="597"/>
      <c r="S276" s="598">
        <f t="shared" si="104"/>
        <v>0</v>
      </c>
      <c r="T276" s="465"/>
      <c r="U276" s="599"/>
      <c r="V276" s="599"/>
      <c r="W276" s="599"/>
      <c r="X276" s="600">
        <f t="shared" si="105"/>
        <v>0</v>
      </c>
      <c r="Y276" s="601"/>
      <c r="Z276" s="602">
        <f t="shared" si="36"/>
        <v>0</v>
      </c>
      <c r="AA276" s="465"/>
      <c r="AB276" s="599"/>
      <c r="AC276" s="599"/>
      <c r="AD276" s="599"/>
      <c r="AE276" s="603">
        <f t="shared" si="37"/>
        <v>0</v>
      </c>
      <c r="AF276" s="587"/>
      <c r="AG276" s="609" t="e">
        <f>VLOOKUP(A276,'Feature Summary'!$A$7:$U$4104,21,FALSE)</f>
        <v>#N/A</v>
      </c>
      <c r="AH276" s="604"/>
    </row>
    <row r="277" spans="1:34" ht="75.75" hidden="1" thickBot="1" x14ac:dyDescent="0.3">
      <c r="A277" s="585"/>
      <c r="B277" s="586"/>
      <c r="C277" s="587" t="s">
        <v>366</v>
      </c>
      <c r="D277" s="597" t="s">
        <v>306</v>
      </c>
      <c r="E277" s="587"/>
      <c r="F277" s="606" t="s">
        <v>1076</v>
      </c>
      <c r="G277" s="589" t="e">
        <f>VLOOKUP(A277,'Feature Summary'!$A$7:$C$4104,3,FALSE)</f>
        <v>#N/A</v>
      </c>
      <c r="H277" s="607" t="s">
        <v>1077</v>
      </c>
      <c r="I277" s="540" t="s">
        <v>309</v>
      </c>
      <c r="J277" s="608" t="s">
        <v>1073</v>
      </c>
      <c r="K277" s="597"/>
      <c r="L277" s="597"/>
      <c r="M277" s="545" t="s">
        <v>33</v>
      </c>
      <c r="N277" s="445"/>
      <c r="O277" s="443"/>
      <c r="P277" s="447">
        <f t="shared" si="42"/>
        <v>0</v>
      </c>
      <c r="Q277" s="596"/>
      <c r="R277" s="597"/>
      <c r="S277" s="598">
        <f t="shared" si="104"/>
        <v>0</v>
      </c>
      <c r="T277" s="465"/>
      <c r="U277" s="597"/>
      <c r="V277" s="599"/>
      <c r="W277" s="465"/>
      <c r="X277" s="600">
        <f t="shared" si="105"/>
        <v>0</v>
      </c>
      <c r="Y277" s="601"/>
      <c r="Z277" s="602">
        <f t="shared" si="36"/>
        <v>0</v>
      </c>
      <c r="AA277" s="465"/>
      <c r="AB277" s="599"/>
      <c r="AC277" s="599"/>
      <c r="AD277" s="599"/>
      <c r="AE277" s="603">
        <f t="shared" si="37"/>
        <v>0</v>
      </c>
      <c r="AF277" s="587"/>
      <c r="AG277" s="609" t="e">
        <f>VLOOKUP(A277,'Feature Summary'!$A$7:$U$4104,21,FALSE)</f>
        <v>#N/A</v>
      </c>
      <c r="AH277" s="580" t="s">
        <v>1078</v>
      </c>
    </row>
    <row r="278" spans="1:34" ht="75.75" hidden="1" thickBot="1" x14ac:dyDescent="0.3">
      <c r="A278" s="585"/>
      <c r="B278" s="586"/>
      <c r="C278" s="587" t="s">
        <v>366</v>
      </c>
      <c r="D278" s="597" t="s">
        <v>306</v>
      </c>
      <c r="E278" s="587"/>
      <c r="F278" s="606" t="s">
        <v>1079</v>
      </c>
      <c r="G278" s="589" t="e">
        <f>VLOOKUP(A278,'Feature Summary'!$A$7:$C$4104,3,FALSE)</f>
        <v>#N/A</v>
      </c>
      <c r="H278" s="607" t="s">
        <v>1080</v>
      </c>
      <c r="I278" s="540" t="s">
        <v>309</v>
      </c>
      <c r="J278" s="608" t="s">
        <v>1069</v>
      </c>
      <c r="K278" s="597"/>
      <c r="L278" s="597"/>
      <c r="M278" s="545" t="s">
        <v>33</v>
      </c>
      <c r="N278" s="445">
        <v>1</v>
      </c>
      <c r="O278" s="443"/>
      <c r="P278" s="447">
        <f t="shared" si="42"/>
        <v>0</v>
      </c>
      <c r="Q278" s="596"/>
      <c r="R278" s="597"/>
      <c r="S278" s="598">
        <f t="shared" si="104"/>
        <v>0</v>
      </c>
      <c r="T278" s="465"/>
      <c r="U278" s="597"/>
      <c r="V278" s="599"/>
      <c r="W278" s="465"/>
      <c r="X278" s="600">
        <f t="shared" si="105"/>
        <v>0</v>
      </c>
      <c r="Y278" s="601"/>
      <c r="Z278" s="602">
        <f t="shared" si="36"/>
        <v>0</v>
      </c>
      <c r="AA278" s="465"/>
      <c r="AB278" s="599"/>
      <c r="AC278" s="599"/>
      <c r="AD278" s="599"/>
      <c r="AE278" s="603">
        <f t="shared" si="37"/>
        <v>0</v>
      </c>
      <c r="AF278" s="587"/>
      <c r="AG278" s="609" t="e">
        <f>VLOOKUP(A278,'Feature Summary'!$A$7:$U$4104,21,FALSE)</f>
        <v>#N/A</v>
      </c>
      <c r="AH278" s="580" t="s">
        <v>1078</v>
      </c>
    </row>
    <row r="279" spans="1:34" ht="75.75" hidden="1" thickBot="1" x14ac:dyDescent="0.3">
      <c r="A279" s="585"/>
      <c r="B279" s="586"/>
      <c r="C279" s="587" t="s">
        <v>366</v>
      </c>
      <c r="D279" s="597" t="s">
        <v>306</v>
      </c>
      <c r="E279" s="587"/>
      <c r="F279" s="606" t="s">
        <v>1081</v>
      </c>
      <c r="G279" s="589" t="e">
        <f>VLOOKUP(A279,'Feature Summary'!$A$7:$C$4104,3,FALSE)</f>
        <v>#N/A</v>
      </c>
      <c r="H279" s="607" t="s">
        <v>1082</v>
      </c>
      <c r="I279" s="540" t="s">
        <v>309</v>
      </c>
      <c r="J279" s="608" t="s">
        <v>1073</v>
      </c>
      <c r="K279" s="597"/>
      <c r="L279" s="597"/>
      <c r="M279" s="545" t="s">
        <v>33</v>
      </c>
      <c r="N279" s="445">
        <v>1</v>
      </c>
      <c r="O279" s="443"/>
      <c r="P279" s="447">
        <f t="shared" si="42"/>
        <v>0</v>
      </c>
      <c r="Q279" s="596"/>
      <c r="R279" s="597"/>
      <c r="S279" s="598">
        <f t="shared" si="104"/>
        <v>0</v>
      </c>
      <c r="T279" s="465"/>
      <c r="U279" s="597"/>
      <c r="V279" s="599"/>
      <c r="W279" s="465"/>
      <c r="X279" s="600">
        <f t="shared" si="105"/>
        <v>0</v>
      </c>
      <c r="Y279" s="601"/>
      <c r="Z279" s="602">
        <f t="shared" si="36"/>
        <v>0</v>
      </c>
      <c r="AA279" s="465"/>
      <c r="AB279" s="599"/>
      <c r="AC279" s="599"/>
      <c r="AD279" s="599"/>
      <c r="AE279" s="603">
        <f t="shared" si="37"/>
        <v>0</v>
      </c>
      <c r="AF279" s="587"/>
      <c r="AG279" s="609" t="e">
        <f>VLOOKUP(A279,'Feature Summary'!$A$7:$U$4104,21,FALSE)</f>
        <v>#N/A</v>
      </c>
      <c r="AH279" s="580" t="s">
        <v>1078</v>
      </c>
    </row>
    <row r="280" spans="1:34" ht="60.75" hidden="1" thickBot="1" x14ac:dyDescent="0.3">
      <c r="A280" s="585"/>
      <c r="B280" s="586"/>
      <c r="C280" s="587" t="s">
        <v>366</v>
      </c>
      <c r="D280" s="597" t="s">
        <v>306</v>
      </c>
      <c r="E280" s="587"/>
      <c r="F280" s="606" t="s">
        <v>1083</v>
      </c>
      <c r="G280" s="589" t="e">
        <f>VLOOKUP(A280,'Feature Summary'!$A$7:$C$4104,3,FALSE)</f>
        <v>#N/A</v>
      </c>
      <c r="H280" s="607" t="s">
        <v>1084</v>
      </c>
      <c r="I280" s="540" t="s">
        <v>309</v>
      </c>
      <c r="J280" s="608" t="s">
        <v>1069</v>
      </c>
      <c r="K280" s="597"/>
      <c r="L280" s="597"/>
      <c r="M280" s="545" t="s">
        <v>33</v>
      </c>
      <c r="N280" s="445">
        <v>1</v>
      </c>
      <c r="O280" s="443"/>
      <c r="P280" s="447">
        <f t="shared" si="42"/>
        <v>0</v>
      </c>
      <c r="Q280" s="596"/>
      <c r="R280" s="597"/>
      <c r="S280" s="598">
        <f t="shared" si="104"/>
        <v>0</v>
      </c>
      <c r="T280" s="465"/>
      <c r="U280" s="597"/>
      <c r="V280" s="599"/>
      <c r="W280" s="465"/>
      <c r="X280" s="600">
        <f t="shared" si="105"/>
        <v>0</v>
      </c>
      <c r="Y280" s="601"/>
      <c r="Z280" s="602">
        <f t="shared" si="36"/>
        <v>0</v>
      </c>
      <c r="AA280" s="465"/>
      <c r="AB280" s="599"/>
      <c r="AC280" s="599"/>
      <c r="AD280" s="599"/>
      <c r="AE280" s="603">
        <f t="shared" si="37"/>
        <v>0</v>
      </c>
      <c r="AF280" s="587"/>
      <c r="AG280" s="609" t="e">
        <f>VLOOKUP(A280,'Feature Summary'!$A$7:$U$4104,21,FALSE)</f>
        <v>#N/A</v>
      </c>
      <c r="AH280" s="580" t="s">
        <v>1078</v>
      </c>
    </row>
    <row r="281" spans="1:34" ht="60.75" hidden="1" thickBot="1" x14ac:dyDescent="0.3">
      <c r="A281" s="585"/>
      <c r="B281" s="586"/>
      <c r="C281" s="587" t="s">
        <v>366</v>
      </c>
      <c r="D281" s="597" t="s">
        <v>306</v>
      </c>
      <c r="E281" s="587"/>
      <c r="F281" s="606" t="s">
        <v>1085</v>
      </c>
      <c r="G281" s="589" t="e">
        <f>VLOOKUP(A281,'Feature Summary'!$A$7:$C$4104,3,FALSE)</f>
        <v>#N/A</v>
      </c>
      <c r="H281" s="607" t="s">
        <v>1086</v>
      </c>
      <c r="I281" s="540" t="s">
        <v>309</v>
      </c>
      <c r="J281" s="608" t="s">
        <v>1073</v>
      </c>
      <c r="K281" s="597"/>
      <c r="L281" s="597"/>
      <c r="M281" s="545" t="s">
        <v>33</v>
      </c>
      <c r="N281" s="445">
        <v>1</v>
      </c>
      <c r="O281" s="443"/>
      <c r="P281" s="447">
        <f t="shared" si="42"/>
        <v>0</v>
      </c>
      <c r="Q281" s="596"/>
      <c r="R281" s="597"/>
      <c r="S281" s="598">
        <f t="shared" si="104"/>
        <v>0</v>
      </c>
      <c r="T281" s="465"/>
      <c r="U281" s="597"/>
      <c r="V281" s="599"/>
      <c r="W281" s="465"/>
      <c r="X281" s="600">
        <f t="shared" si="105"/>
        <v>0</v>
      </c>
      <c r="Y281" s="601"/>
      <c r="Z281" s="602">
        <f t="shared" si="36"/>
        <v>0</v>
      </c>
      <c r="AA281" s="465"/>
      <c r="AB281" s="599"/>
      <c r="AC281" s="599"/>
      <c r="AD281" s="599"/>
      <c r="AE281" s="603">
        <f t="shared" si="37"/>
        <v>0</v>
      </c>
      <c r="AF281" s="587"/>
      <c r="AG281" s="609" t="e">
        <f>VLOOKUP(A281,'Feature Summary'!$A$7:$U$4104,21,FALSE)</f>
        <v>#N/A</v>
      </c>
      <c r="AH281" s="580" t="s">
        <v>1078</v>
      </c>
    </row>
    <row r="282" spans="1:34" ht="45.75" hidden="1" thickBot="1" x14ac:dyDescent="0.3">
      <c r="A282" s="585"/>
      <c r="B282" s="586"/>
      <c r="C282" s="587" t="s">
        <v>366</v>
      </c>
      <c r="D282" s="597" t="s">
        <v>306</v>
      </c>
      <c r="E282" s="587"/>
      <c r="F282" s="606" t="s">
        <v>1087</v>
      </c>
      <c r="G282" s="589" t="e">
        <f>VLOOKUP(A282,'Feature Summary'!$A$7:$C$4104,3,FALSE)</f>
        <v>#N/A</v>
      </c>
      <c r="H282" s="607" t="s">
        <v>1088</v>
      </c>
      <c r="I282" s="540" t="s">
        <v>309</v>
      </c>
      <c r="J282" s="608" t="s">
        <v>1069</v>
      </c>
      <c r="K282" s="597"/>
      <c r="L282" s="597"/>
      <c r="M282" s="545" t="s">
        <v>33</v>
      </c>
      <c r="N282" s="445">
        <v>1</v>
      </c>
      <c r="O282" s="443"/>
      <c r="P282" s="447">
        <f t="shared" si="42"/>
        <v>0</v>
      </c>
      <c r="Q282" s="596"/>
      <c r="R282" s="597"/>
      <c r="S282" s="598">
        <f t="shared" si="104"/>
        <v>0</v>
      </c>
      <c r="T282" s="465"/>
      <c r="U282" s="597"/>
      <c r="V282" s="599"/>
      <c r="W282" s="465"/>
      <c r="X282" s="600">
        <f t="shared" si="105"/>
        <v>0</v>
      </c>
      <c r="Y282" s="601"/>
      <c r="Z282" s="602">
        <f t="shared" si="36"/>
        <v>0</v>
      </c>
      <c r="AA282" s="465"/>
      <c r="AB282" s="599"/>
      <c r="AC282" s="599"/>
      <c r="AD282" s="599"/>
      <c r="AE282" s="603">
        <f t="shared" si="37"/>
        <v>0</v>
      </c>
      <c r="AF282" s="587"/>
      <c r="AG282" s="609" t="e">
        <f>VLOOKUP(A282,'Feature Summary'!$A$7:$U$4104,21,FALSE)</f>
        <v>#N/A</v>
      </c>
      <c r="AH282" s="580" t="s">
        <v>1078</v>
      </c>
    </row>
    <row r="283" spans="1:34" ht="60.75" hidden="1" thickBot="1" x14ac:dyDescent="0.3">
      <c r="A283" s="585"/>
      <c r="B283" s="586"/>
      <c r="C283" s="587" t="s">
        <v>366</v>
      </c>
      <c r="D283" s="597" t="s">
        <v>306</v>
      </c>
      <c r="E283" s="587"/>
      <c r="F283" s="606" t="s">
        <v>1089</v>
      </c>
      <c r="G283" s="589" t="e">
        <f>VLOOKUP(A283,'Feature Summary'!$A$7:$C$4104,3,FALSE)</f>
        <v>#N/A</v>
      </c>
      <c r="H283" s="607" t="s">
        <v>1090</v>
      </c>
      <c r="I283" s="540" t="s">
        <v>309</v>
      </c>
      <c r="J283" s="608" t="s">
        <v>1073</v>
      </c>
      <c r="K283" s="597"/>
      <c r="L283" s="597"/>
      <c r="M283" s="545" t="s">
        <v>33</v>
      </c>
      <c r="N283" s="445">
        <v>1</v>
      </c>
      <c r="O283" s="443"/>
      <c r="P283" s="447">
        <f t="shared" si="42"/>
        <v>0</v>
      </c>
      <c r="Q283" s="596"/>
      <c r="R283" s="597"/>
      <c r="S283" s="598">
        <f t="shared" si="104"/>
        <v>0</v>
      </c>
      <c r="T283" s="465"/>
      <c r="U283" s="597"/>
      <c r="V283" s="599"/>
      <c r="W283" s="465"/>
      <c r="X283" s="600">
        <f t="shared" si="105"/>
        <v>0</v>
      </c>
      <c r="Y283" s="601"/>
      <c r="Z283" s="602">
        <f t="shared" si="36"/>
        <v>0</v>
      </c>
      <c r="AA283" s="465"/>
      <c r="AB283" s="599"/>
      <c r="AC283" s="599"/>
      <c r="AD283" s="599"/>
      <c r="AE283" s="603">
        <f t="shared" si="37"/>
        <v>0</v>
      </c>
      <c r="AF283" s="587"/>
      <c r="AG283" s="609" t="e">
        <f>VLOOKUP(A283,'Feature Summary'!$A$7:$U$4104,21,FALSE)</f>
        <v>#N/A</v>
      </c>
      <c r="AH283" s="580" t="s">
        <v>1078</v>
      </c>
    </row>
    <row r="284" spans="1:34" ht="60.75" hidden="1" thickBot="1" x14ac:dyDescent="0.3">
      <c r="A284" s="585"/>
      <c r="B284" s="586"/>
      <c r="C284" s="587" t="s">
        <v>366</v>
      </c>
      <c r="D284" s="597" t="s">
        <v>306</v>
      </c>
      <c r="E284" s="587"/>
      <c r="F284" s="606" t="s">
        <v>1091</v>
      </c>
      <c r="G284" s="589" t="e">
        <f>VLOOKUP(A284,'Feature Summary'!$A$7:$C$4104,3,FALSE)</f>
        <v>#N/A</v>
      </c>
      <c r="H284" s="607" t="s">
        <v>1092</v>
      </c>
      <c r="I284" s="540" t="s">
        <v>309</v>
      </c>
      <c r="J284" s="608" t="s">
        <v>1069</v>
      </c>
      <c r="K284" s="597"/>
      <c r="L284" s="597"/>
      <c r="M284" s="545" t="s">
        <v>33</v>
      </c>
      <c r="N284" s="445">
        <v>1</v>
      </c>
      <c r="O284" s="443"/>
      <c r="P284" s="447">
        <f t="shared" si="42"/>
        <v>0</v>
      </c>
      <c r="Q284" s="596"/>
      <c r="R284" s="597"/>
      <c r="S284" s="598">
        <f t="shared" si="104"/>
        <v>0</v>
      </c>
      <c r="T284" s="465"/>
      <c r="U284" s="597"/>
      <c r="V284" s="599"/>
      <c r="W284" s="465"/>
      <c r="X284" s="600">
        <f t="shared" si="105"/>
        <v>0</v>
      </c>
      <c r="Y284" s="601"/>
      <c r="Z284" s="602">
        <f t="shared" si="36"/>
        <v>0</v>
      </c>
      <c r="AA284" s="465"/>
      <c r="AB284" s="599"/>
      <c r="AC284" s="599"/>
      <c r="AD284" s="599"/>
      <c r="AE284" s="603">
        <f t="shared" si="37"/>
        <v>0</v>
      </c>
      <c r="AF284" s="587"/>
      <c r="AG284" s="609" t="e">
        <f>VLOOKUP(A284,'Feature Summary'!$A$7:$U$4104,21,FALSE)</f>
        <v>#N/A</v>
      </c>
      <c r="AH284" s="580" t="s">
        <v>1078</v>
      </c>
    </row>
    <row r="285" spans="1:34" ht="60.75" hidden="1" thickBot="1" x14ac:dyDescent="0.3">
      <c r="A285" s="585"/>
      <c r="B285" s="586"/>
      <c r="C285" s="587" t="s">
        <v>366</v>
      </c>
      <c r="D285" s="597" t="s">
        <v>306</v>
      </c>
      <c r="E285" s="587"/>
      <c r="F285" s="606" t="s">
        <v>1093</v>
      </c>
      <c r="G285" s="589" t="e">
        <f>VLOOKUP(A285,'Feature Summary'!$A$7:$C$4104,3,FALSE)</f>
        <v>#N/A</v>
      </c>
      <c r="H285" s="607" t="s">
        <v>1094</v>
      </c>
      <c r="I285" s="540" t="s">
        <v>309</v>
      </c>
      <c r="J285" s="608" t="s">
        <v>1073</v>
      </c>
      <c r="K285" s="597"/>
      <c r="L285" s="597"/>
      <c r="M285" s="545" t="s">
        <v>33</v>
      </c>
      <c r="N285" s="445">
        <v>1</v>
      </c>
      <c r="O285" s="443"/>
      <c r="P285" s="447">
        <f t="shared" si="42"/>
        <v>0</v>
      </c>
      <c r="Q285" s="596"/>
      <c r="R285" s="597"/>
      <c r="S285" s="598">
        <f t="shared" si="104"/>
        <v>0</v>
      </c>
      <c r="T285" s="465"/>
      <c r="U285" s="597"/>
      <c r="V285" s="599"/>
      <c r="W285" s="465"/>
      <c r="X285" s="600">
        <f t="shared" si="105"/>
        <v>0</v>
      </c>
      <c r="Y285" s="601"/>
      <c r="Z285" s="602">
        <f t="shared" si="36"/>
        <v>0</v>
      </c>
      <c r="AA285" s="465"/>
      <c r="AB285" s="599"/>
      <c r="AC285" s="599"/>
      <c r="AD285" s="599"/>
      <c r="AE285" s="603">
        <f t="shared" si="37"/>
        <v>0</v>
      </c>
      <c r="AF285" s="587"/>
      <c r="AG285" s="609" t="e">
        <f>VLOOKUP(A285,'Feature Summary'!$A$7:$U$4104,21,FALSE)</f>
        <v>#N/A</v>
      </c>
      <c r="AH285" s="580" t="s">
        <v>1078</v>
      </c>
    </row>
    <row r="286" spans="1:34" ht="75.75" hidden="1" thickBot="1" x14ac:dyDescent="0.3">
      <c r="A286" s="585"/>
      <c r="B286" s="586"/>
      <c r="C286" s="587" t="s">
        <v>366</v>
      </c>
      <c r="D286" s="597" t="s">
        <v>306</v>
      </c>
      <c r="E286" s="587"/>
      <c r="F286" s="606" t="s">
        <v>1095</v>
      </c>
      <c r="G286" s="589" t="e">
        <f>VLOOKUP(A286,'Feature Summary'!$A$7:$C$4104,3,FALSE)</f>
        <v>#N/A</v>
      </c>
      <c r="H286" s="607" t="s">
        <v>1096</v>
      </c>
      <c r="I286" s="540" t="s">
        <v>309</v>
      </c>
      <c r="J286" s="608" t="s">
        <v>1069</v>
      </c>
      <c r="K286" s="597"/>
      <c r="L286" s="597"/>
      <c r="M286" s="545" t="s">
        <v>33</v>
      </c>
      <c r="N286" s="445">
        <v>1</v>
      </c>
      <c r="O286" s="443"/>
      <c r="P286" s="447">
        <f t="shared" si="42"/>
        <v>0</v>
      </c>
      <c r="Q286" s="596"/>
      <c r="R286" s="597"/>
      <c r="S286" s="598">
        <f t="shared" si="104"/>
        <v>0</v>
      </c>
      <c r="T286" s="465"/>
      <c r="U286" s="597"/>
      <c r="V286" s="599"/>
      <c r="W286" s="465"/>
      <c r="X286" s="600">
        <f t="shared" si="105"/>
        <v>0</v>
      </c>
      <c r="Y286" s="601"/>
      <c r="Z286" s="602">
        <f t="shared" si="36"/>
        <v>0</v>
      </c>
      <c r="AA286" s="465"/>
      <c r="AB286" s="599"/>
      <c r="AC286" s="599"/>
      <c r="AD286" s="599"/>
      <c r="AE286" s="603">
        <f t="shared" si="37"/>
        <v>0</v>
      </c>
      <c r="AF286" s="587"/>
      <c r="AG286" s="609" t="e">
        <f>VLOOKUP(A286,'Feature Summary'!$A$7:$U$4104,21,FALSE)</f>
        <v>#N/A</v>
      </c>
      <c r="AH286" s="580" t="s">
        <v>1078</v>
      </c>
    </row>
    <row r="287" spans="1:34" ht="75.75" hidden="1" thickBot="1" x14ac:dyDescent="0.3">
      <c r="A287" s="585"/>
      <c r="B287" s="586"/>
      <c r="C287" s="587" t="s">
        <v>366</v>
      </c>
      <c r="D287" s="597" t="s">
        <v>306</v>
      </c>
      <c r="E287" s="587"/>
      <c r="F287" s="606" t="s">
        <v>1097</v>
      </c>
      <c r="G287" s="589" t="e">
        <f>VLOOKUP(A287,'Feature Summary'!$A$7:$C$4104,3,FALSE)</f>
        <v>#N/A</v>
      </c>
      <c r="H287" s="607" t="s">
        <v>1098</v>
      </c>
      <c r="I287" s="540" t="s">
        <v>309</v>
      </c>
      <c r="J287" s="608" t="s">
        <v>1073</v>
      </c>
      <c r="K287" s="597"/>
      <c r="L287" s="597"/>
      <c r="M287" s="545" t="s">
        <v>33</v>
      </c>
      <c r="N287" s="445">
        <v>1</v>
      </c>
      <c r="O287" s="443"/>
      <c r="P287" s="447">
        <f t="shared" si="42"/>
        <v>0</v>
      </c>
      <c r="Q287" s="596"/>
      <c r="R287" s="597"/>
      <c r="S287" s="598">
        <f t="shared" si="104"/>
        <v>0</v>
      </c>
      <c r="T287" s="465"/>
      <c r="U287" s="597"/>
      <c r="V287" s="599"/>
      <c r="W287" s="465"/>
      <c r="X287" s="600">
        <f t="shared" si="105"/>
        <v>0</v>
      </c>
      <c r="Y287" s="601"/>
      <c r="Z287" s="602">
        <f t="shared" ref="Z287:Z332" si="110">SUM(AA287:AD287)</f>
        <v>0</v>
      </c>
      <c r="AA287" s="465"/>
      <c r="AB287" s="599"/>
      <c r="AC287" s="599"/>
      <c r="AD287" s="599"/>
      <c r="AE287" s="603">
        <f t="shared" ref="AE287:AE325" si="111">IF((Z287=0),0,((AA287+AB287)/Z287*100%))</f>
        <v>0</v>
      </c>
      <c r="AF287" s="587"/>
      <c r="AG287" s="609" t="e">
        <f>VLOOKUP(A287,'Feature Summary'!$A$7:$U$4104,21,FALSE)</f>
        <v>#N/A</v>
      </c>
      <c r="AH287" s="580" t="s">
        <v>1078</v>
      </c>
    </row>
    <row r="288" spans="1:34" ht="75.75" hidden="1" thickBot="1" x14ac:dyDescent="0.3">
      <c r="A288" s="585"/>
      <c r="B288" s="586"/>
      <c r="C288" s="587" t="s">
        <v>366</v>
      </c>
      <c r="D288" s="597" t="s">
        <v>306</v>
      </c>
      <c r="E288" s="587"/>
      <c r="F288" s="606" t="s">
        <v>1099</v>
      </c>
      <c r="G288" s="589" t="e">
        <f>VLOOKUP(A288,'Feature Summary'!$A$7:$C$4104,3,FALSE)</f>
        <v>#N/A</v>
      </c>
      <c r="H288" s="607" t="s">
        <v>1100</v>
      </c>
      <c r="I288" s="540" t="s">
        <v>309</v>
      </c>
      <c r="J288" s="608" t="s">
        <v>1069</v>
      </c>
      <c r="K288" s="597"/>
      <c r="L288" s="597"/>
      <c r="M288" s="545" t="s">
        <v>33</v>
      </c>
      <c r="N288" s="445">
        <v>1</v>
      </c>
      <c r="O288" s="443"/>
      <c r="P288" s="447">
        <f t="shared" si="42"/>
        <v>0</v>
      </c>
      <c r="Q288" s="596"/>
      <c r="R288" s="597"/>
      <c r="S288" s="598">
        <f t="shared" si="104"/>
        <v>0</v>
      </c>
      <c r="T288" s="465"/>
      <c r="U288" s="597"/>
      <c r="V288" s="599"/>
      <c r="W288" s="465"/>
      <c r="X288" s="600">
        <f t="shared" si="105"/>
        <v>0</v>
      </c>
      <c r="Y288" s="601"/>
      <c r="Z288" s="602">
        <f t="shared" si="110"/>
        <v>0</v>
      </c>
      <c r="AA288" s="465"/>
      <c r="AB288" s="599"/>
      <c r="AC288" s="599"/>
      <c r="AD288" s="599"/>
      <c r="AE288" s="603">
        <f t="shared" si="111"/>
        <v>0</v>
      </c>
      <c r="AF288" s="587"/>
      <c r="AG288" s="609" t="e">
        <f>VLOOKUP(A288,'Feature Summary'!$A$7:$U$4104,21,FALSE)</f>
        <v>#N/A</v>
      </c>
      <c r="AH288" s="580" t="s">
        <v>1078</v>
      </c>
    </row>
    <row r="289" spans="1:34" ht="75.75" hidden="1" thickBot="1" x14ac:dyDescent="0.3">
      <c r="A289" s="585"/>
      <c r="B289" s="586"/>
      <c r="C289" s="587" t="s">
        <v>366</v>
      </c>
      <c r="D289" s="597" t="s">
        <v>306</v>
      </c>
      <c r="E289" s="587"/>
      <c r="F289" s="606" t="s">
        <v>1101</v>
      </c>
      <c r="G289" s="589" t="e">
        <f>VLOOKUP(A289,'Feature Summary'!$A$7:$C$4104,3,FALSE)</f>
        <v>#N/A</v>
      </c>
      <c r="H289" s="607" t="s">
        <v>1102</v>
      </c>
      <c r="I289" s="540" t="s">
        <v>309</v>
      </c>
      <c r="J289" s="608" t="s">
        <v>1073</v>
      </c>
      <c r="K289" s="597"/>
      <c r="L289" s="597"/>
      <c r="M289" s="545" t="s">
        <v>33</v>
      </c>
      <c r="N289" s="445">
        <v>1</v>
      </c>
      <c r="O289" s="443"/>
      <c r="P289" s="447">
        <f t="shared" si="42"/>
        <v>0</v>
      </c>
      <c r="Q289" s="596"/>
      <c r="R289" s="597"/>
      <c r="S289" s="598">
        <f t="shared" si="104"/>
        <v>0</v>
      </c>
      <c r="T289" s="465"/>
      <c r="U289" s="597"/>
      <c r="V289" s="599"/>
      <c r="W289" s="465"/>
      <c r="X289" s="600">
        <f t="shared" si="105"/>
        <v>0</v>
      </c>
      <c r="Y289" s="601"/>
      <c r="Z289" s="602">
        <f t="shared" si="110"/>
        <v>0</v>
      </c>
      <c r="AA289" s="465"/>
      <c r="AB289" s="599"/>
      <c r="AC289" s="599"/>
      <c r="AD289" s="599"/>
      <c r="AE289" s="603">
        <f t="shared" si="111"/>
        <v>0</v>
      </c>
      <c r="AF289" s="587"/>
      <c r="AG289" s="609" t="e">
        <f>VLOOKUP(A289,'Feature Summary'!$A$7:$U$4104,21,FALSE)</f>
        <v>#N/A</v>
      </c>
      <c r="AH289" s="580" t="s">
        <v>1078</v>
      </c>
    </row>
    <row r="290" spans="1:34" ht="60.75" hidden="1" thickBot="1" x14ac:dyDescent="0.3">
      <c r="A290" s="585"/>
      <c r="B290" s="586"/>
      <c r="C290" s="587" t="s">
        <v>366</v>
      </c>
      <c r="D290" s="597" t="s">
        <v>306</v>
      </c>
      <c r="E290" s="587"/>
      <c r="F290" s="606" t="s">
        <v>1103</v>
      </c>
      <c r="G290" s="589" t="e">
        <f>VLOOKUP(A290,'Feature Summary'!$A$7:$C$4104,3,FALSE)</f>
        <v>#N/A</v>
      </c>
      <c r="H290" s="607" t="s">
        <v>1104</v>
      </c>
      <c r="I290" s="540" t="s">
        <v>309</v>
      </c>
      <c r="J290" s="608" t="s">
        <v>1069</v>
      </c>
      <c r="K290" s="597"/>
      <c r="L290" s="597"/>
      <c r="M290" s="545" t="s">
        <v>33</v>
      </c>
      <c r="N290" s="445">
        <v>1</v>
      </c>
      <c r="O290" s="443"/>
      <c r="P290" s="447">
        <f t="shared" si="42"/>
        <v>0</v>
      </c>
      <c r="Q290" s="596"/>
      <c r="R290" s="597"/>
      <c r="S290" s="598">
        <f t="shared" si="104"/>
        <v>0</v>
      </c>
      <c r="T290" s="465"/>
      <c r="U290" s="597"/>
      <c r="V290" s="599"/>
      <c r="W290" s="465"/>
      <c r="X290" s="600">
        <f t="shared" si="105"/>
        <v>0</v>
      </c>
      <c r="Y290" s="601"/>
      <c r="Z290" s="602">
        <f t="shared" si="110"/>
        <v>0</v>
      </c>
      <c r="AA290" s="465"/>
      <c r="AB290" s="599"/>
      <c r="AC290" s="599"/>
      <c r="AD290" s="599"/>
      <c r="AE290" s="603">
        <f t="shared" si="111"/>
        <v>0</v>
      </c>
      <c r="AF290" s="587"/>
      <c r="AG290" s="609" t="e">
        <f>VLOOKUP(A290,'Feature Summary'!$A$7:$U$4104,21,FALSE)</f>
        <v>#N/A</v>
      </c>
      <c r="AH290" s="580" t="s">
        <v>1078</v>
      </c>
    </row>
    <row r="291" spans="1:34" ht="60.75" hidden="1" thickBot="1" x14ac:dyDescent="0.3">
      <c r="A291" s="585"/>
      <c r="B291" s="586"/>
      <c r="C291" s="587" t="s">
        <v>366</v>
      </c>
      <c r="D291" s="597" t="s">
        <v>306</v>
      </c>
      <c r="E291" s="587"/>
      <c r="F291" s="606" t="s">
        <v>1105</v>
      </c>
      <c r="G291" s="589" t="e">
        <f>VLOOKUP(A291,'Feature Summary'!$A$7:$C$4104,3,FALSE)</f>
        <v>#N/A</v>
      </c>
      <c r="H291" s="607" t="s">
        <v>1106</v>
      </c>
      <c r="I291" s="540" t="s">
        <v>309</v>
      </c>
      <c r="J291" s="608" t="s">
        <v>1073</v>
      </c>
      <c r="K291" s="597"/>
      <c r="L291" s="597"/>
      <c r="M291" s="545" t="s">
        <v>33</v>
      </c>
      <c r="N291" s="445">
        <v>1</v>
      </c>
      <c r="O291" s="443"/>
      <c r="P291" s="447">
        <f t="shared" si="42"/>
        <v>0</v>
      </c>
      <c r="Q291" s="596"/>
      <c r="R291" s="597"/>
      <c r="S291" s="598">
        <f t="shared" si="104"/>
        <v>0</v>
      </c>
      <c r="T291" s="465"/>
      <c r="U291" s="597"/>
      <c r="V291" s="599"/>
      <c r="W291" s="465"/>
      <c r="X291" s="600">
        <f t="shared" si="105"/>
        <v>0</v>
      </c>
      <c r="Y291" s="601"/>
      <c r="Z291" s="602">
        <f t="shared" si="110"/>
        <v>0</v>
      </c>
      <c r="AA291" s="465"/>
      <c r="AB291" s="599"/>
      <c r="AC291" s="599"/>
      <c r="AD291" s="599"/>
      <c r="AE291" s="603">
        <f t="shared" si="111"/>
        <v>0</v>
      </c>
      <c r="AF291" s="587"/>
      <c r="AG291" s="609" t="e">
        <f>VLOOKUP(A291,'Feature Summary'!$A$7:$U$4104,21,FALSE)</f>
        <v>#N/A</v>
      </c>
      <c r="AH291" s="580" t="s">
        <v>1078</v>
      </c>
    </row>
    <row r="292" spans="1:34" ht="45.75" hidden="1" thickBot="1" x14ac:dyDescent="0.3">
      <c r="A292" s="585"/>
      <c r="B292" s="586"/>
      <c r="C292" s="587" t="s">
        <v>366</v>
      </c>
      <c r="D292" s="597" t="s">
        <v>306</v>
      </c>
      <c r="E292" s="587"/>
      <c r="F292" s="606" t="s">
        <v>1107</v>
      </c>
      <c r="G292" s="589" t="e">
        <f>VLOOKUP(A292,'Feature Summary'!$A$7:$C$4104,3,FALSE)</f>
        <v>#N/A</v>
      </c>
      <c r="H292" s="607" t="s">
        <v>1108</v>
      </c>
      <c r="I292" s="540" t="s">
        <v>309</v>
      </c>
      <c r="J292" s="608" t="s">
        <v>1069</v>
      </c>
      <c r="K292" s="597"/>
      <c r="L292" s="597"/>
      <c r="M292" s="545" t="s">
        <v>33</v>
      </c>
      <c r="N292" s="445">
        <v>1</v>
      </c>
      <c r="O292" s="443"/>
      <c r="P292" s="447">
        <f t="shared" si="42"/>
        <v>0</v>
      </c>
      <c r="Q292" s="596"/>
      <c r="R292" s="597"/>
      <c r="S292" s="598">
        <f t="shared" si="104"/>
        <v>0</v>
      </c>
      <c r="T292" s="465"/>
      <c r="U292" s="597"/>
      <c r="V292" s="599"/>
      <c r="W292" s="465"/>
      <c r="X292" s="600">
        <f t="shared" si="105"/>
        <v>0</v>
      </c>
      <c r="Y292" s="601"/>
      <c r="Z292" s="602">
        <f t="shared" si="110"/>
        <v>0</v>
      </c>
      <c r="AA292" s="465"/>
      <c r="AB292" s="599"/>
      <c r="AC292" s="599"/>
      <c r="AD292" s="599"/>
      <c r="AE292" s="603">
        <f t="shared" si="111"/>
        <v>0</v>
      </c>
      <c r="AF292" s="587"/>
      <c r="AG292" s="609" t="e">
        <f>VLOOKUP(A292,'Feature Summary'!$A$7:$U$4104,21,FALSE)</f>
        <v>#N/A</v>
      </c>
      <c r="AH292" s="580" t="s">
        <v>1078</v>
      </c>
    </row>
    <row r="293" spans="1:34" ht="60.75" hidden="1" thickBot="1" x14ac:dyDescent="0.3">
      <c r="A293" s="585"/>
      <c r="B293" s="586"/>
      <c r="C293" s="587" t="s">
        <v>366</v>
      </c>
      <c r="D293" s="597" t="s">
        <v>306</v>
      </c>
      <c r="E293" s="587"/>
      <c r="F293" s="606" t="s">
        <v>1109</v>
      </c>
      <c r="G293" s="589" t="e">
        <f>VLOOKUP(A293,'Feature Summary'!$A$7:$C$4104,3,FALSE)</f>
        <v>#N/A</v>
      </c>
      <c r="H293" s="607" t="s">
        <v>1110</v>
      </c>
      <c r="I293" s="540" t="s">
        <v>309</v>
      </c>
      <c r="J293" s="608" t="s">
        <v>1073</v>
      </c>
      <c r="K293" s="597"/>
      <c r="L293" s="597"/>
      <c r="M293" s="545" t="s">
        <v>33</v>
      </c>
      <c r="N293" s="445">
        <v>1</v>
      </c>
      <c r="O293" s="443"/>
      <c r="P293" s="447">
        <f t="shared" si="42"/>
        <v>0</v>
      </c>
      <c r="Q293" s="596"/>
      <c r="R293" s="597"/>
      <c r="S293" s="598">
        <f t="shared" si="104"/>
        <v>0</v>
      </c>
      <c r="T293" s="465"/>
      <c r="U293" s="597"/>
      <c r="V293" s="599"/>
      <c r="W293" s="465"/>
      <c r="X293" s="600">
        <f t="shared" si="105"/>
        <v>0</v>
      </c>
      <c r="Y293" s="601"/>
      <c r="Z293" s="602">
        <f t="shared" si="110"/>
        <v>0</v>
      </c>
      <c r="AA293" s="465"/>
      <c r="AB293" s="599"/>
      <c r="AC293" s="599"/>
      <c r="AD293" s="599"/>
      <c r="AE293" s="603">
        <f t="shared" si="111"/>
        <v>0</v>
      </c>
      <c r="AF293" s="587"/>
      <c r="AG293" s="609" t="e">
        <f>VLOOKUP(A293,'Feature Summary'!$A$7:$U$4104,21,FALSE)</f>
        <v>#N/A</v>
      </c>
      <c r="AH293" s="580" t="s">
        <v>1078</v>
      </c>
    </row>
    <row r="294" spans="1:34" ht="45.75" hidden="1" thickBot="1" x14ac:dyDescent="0.3">
      <c r="A294" s="316" t="s">
        <v>1111</v>
      </c>
      <c r="B294" s="533" t="s">
        <v>1112</v>
      </c>
      <c r="C294" s="308"/>
      <c r="D294" s="309" t="s">
        <v>306</v>
      </c>
      <c r="E294" s="308"/>
      <c r="F294" s="577" t="s">
        <v>1035</v>
      </c>
      <c r="G294" s="231" t="str">
        <f>VLOOKUP(A294,'Feature Summary'!$A$7:$C$4104,3,FALSE)</f>
        <v>P2</v>
      </c>
      <c r="H294" s="540" t="s">
        <v>1113</v>
      </c>
      <c r="I294" s="540" t="s">
        <v>309</v>
      </c>
      <c r="J294" s="541"/>
      <c r="K294" s="548"/>
      <c r="L294" s="549"/>
      <c r="M294" s="545" t="s">
        <v>33</v>
      </c>
      <c r="N294" s="445">
        <v>1</v>
      </c>
      <c r="O294" s="443"/>
      <c r="P294" s="447">
        <f t="shared" ref="P294:P319" si="112">IF((O294=0),0,(O294/L294))</f>
        <v>0</v>
      </c>
      <c r="Q294" s="431" t="s">
        <v>44</v>
      </c>
      <c r="R294" s="309"/>
      <c r="S294" s="477">
        <f t="shared" si="104"/>
        <v>0</v>
      </c>
      <c r="T294" s="465"/>
      <c r="U294" s="465"/>
      <c r="V294" s="465"/>
      <c r="W294" s="465"/>
      <c r="X294" s="478">
        <f t="shared" si="105"/>
        <v>0</v>
      </c>
      <c r="Y294" s="432"/>
      <c r="Z294" s="464">
        <f t="shared" si="110"/>
        <v>0</v>
      </c>
      <c r="AA294" s="465"/>
      <c r="AB294" s="465"/>
      <c r="AC294" s="465"/>
      <c r="AD294" s="465"/>
      <c r="AE294" s="466">
        <f t="shared" si="111"/>
        <v>0</v>
      </c>
      <c r="AF294" s="308"/>
      <c r="AG294" s="433" t="str">
        <f>VLOOKUP(A294,'Feature Summary'!$A$7:$U$4104,21,FALSE)</f>
        <v>A/B + 8wks</v>
      </c>
      <c r="AH294" s="316"/>
    </row>
    <row r="295" spans="1:34" ht="45.75" hidden="1" thickBot="1" x14ac:dyDescent="0.3">
      <c r="A295" s="316" t="s">
        <v>1114</v>
      </c>
      <c r="B295" s="533" t="s">
        <v>1115</v>
      </c>
      <c r="C295" s="308"/>
      <c r="D295" s="309" t="s">
        <v>306</v>
      </c>
      <c r="E295" s="308"/>
      <c r="F295" s="576" t="s">
        <v>1116</v>
      </c>
      <c r="G295" s="231" t="str">
        <f>VLOOKUP(A295,'Feature Summary'!$A$7:$C$4104,3,FALSE)</f>
        <v>P2</v>
      </c>
      <c r="H295" s="540" t="s">
        <v>1117</v>
      </c>
      <c r="I295" s="540" t="s">
        <v>309</v>
      </c>
      <c r="J295" s="541"/>
      <c r="K295" s="548"/>
      <c r="L295" s="549"/>
      <c r="M295" s="404" t="s">
        <v>33</v>
      </c>
      <c r="N295" s="445">
        <v>1</v>
      </c>
      <c r="O295" s="443"/>
      <c r="P295" s="447">
        <f t="shared" si="112"/>
        <v>0</v>
      </c>
      <c r="Q295" s="431" t="s">
        <v>44</v>
      </c>
      <c r="R295" s="309"/>
      <c r="S295" s="477">
        <f t="shared" si="104"/>
        <v>0</v>
      </c>
      <c r="T295" s="465"/>
      <c r="U295" s="465"/>
      <c r="V295" s="465"/>
      <c r="W295" s="465"/>
      <c r="X295" s="478">
        <f t="shared" si="105"/>
        <v>0</v>
      </c>
      <c r="Y295" s="432"/>
      <c r="Z295" s="464">
        <f t="shared" si="110"/>
        <v>0</v>
      </c>
      <c r="AA295" s="465"/>
      <c r="AB295" s="465"/>
      <c r="AC295" s="465"/>
      <c r="AD295" s="465"/>
      <c r="AE295" s="466">
        <f t="shared" si="111"/>
        <v>0</v>
      </c>
      <c r="AF295" s="308"/>
      <c r="AG295" s="433" t="str">
        <f>VLOOKUP(A295,'Feature Summary'!$A$7:$U$4104,21,FALSE)</f>
        <v>A/B + 8wks</v>
      </c>
      <c r="AH295" s="316"/>
    </row>
    <row r="296" spans="1:34" ht="75.75" hidden="1" thickBot="1" x14ac:dyDescent="0.3">
      <c r="A296" s="316" t="s">
        <v>1118</v>
      </c>
      <c r="B296" s="533" t="s">
        <v>1052</v>
      </c>
      <c r="C296" s="308"/>
      <c r="D296" s="309" t="s">
        <v>388</v>
      </c>
      <c r="E296" s="308"/>
      <c r="F296" s="577" t="s">
        <v>1119</v>
      </c>
      <c r="G296" s="231" t="str">
        <f>VLOOKUP(A296,'Feature Summary'!$A$7:$C$4104,3,FALSE)</f>
        <v>P2</v>
      </c>
      <c r="H296" s="540" t="s">
        <v>1120</v>
      </c>
      <c r="I296" s="540" t="s">
        <v>309</v>
      </c>
      <c r="J296" s="541"/>
      <c r="K296" s="548"/>
      <c r="L296" s="549"/>
      <c r="M296" s="545" t="s">
        <v>33</v>
      </c>
      <c r="N296" s="445">
        <v>1</v>
      </c>
      <c r="O296" s="443"/>
      <c r="P296" s="447">
        <f t="shared" si="112"/>
        <v>0</v>
      </c>
      <c r="Q296" s="431"/>
      <c r="R296" s="309"/>
      <c r="S296" s="477">
        <f t="shared" si="104"/>
        <v>0</v>
      </c>
      <c r="T296" s="465"/>
      <c r="U296" s="465"/>
      <c r="V296" s="465"/>
      <c r="W296" s="465"/>
      <c r="X296" s="478">
        <f t="shared" si="105"/>
        <v>0</v>
      </c>
      <c r="Y296" s="432"/>
      <c r="Z296" s="464">
        <f t="shared" si="110"/>
        <v>0</v>
      </c>
      <c r="AA296" s="465"/>
      <c r="AB296" s="465"/>
      <c r="AC296" s="465" t="s">
        <v>622</v>
      </c>
      <c r="AD296" s="465"/>
      <c r="AE296" s="466">
        <f t="shared" si="111"/>
        <v>0</v>
      </c>
      <c r="AF296" s="308"/>
      <c r="AG296" s="433" t="str">
        <f>VLOOKUP(A296,'Feature Summary'!$A$7:$U$4104,21,FALSE)</f>
        <v>A/B + 8wks</v>
      </c>
      <c r="AH296" s="580" t="s">
        <v>1121</v>
      </c>
    </row>
    <row r="297" spans="1:34" ht="60.75" thickBot="1" x14ac:dyDescent="0.3">
      <c r="A297" s="316" t="s">
        <v>1122</v>
      </c>
      <c r="B297" s="533" t="s">
        <v>1123</v>
      </c>
      <c r="C297" s="308" t="s">
        <v>305</v>
      </c>
      <c r="D297" s="309" t="s">
        <v>388</v>
      </c>
      <c r="E297" s="308"/>
      <c r="F297" s="533" t="s">
        <v>1124</v>
      </c>
      <c r="G297" s="231" t="str">
        <f>VLOOKUP(A297,'Feature Summary'!$A$7:$C$4104,3,FALSE)</f>
        <v>P2</v>
      </c>
      <c r="H297" s="540" t="s">
        <v>1125</v>
      </c>
      <c r="I297" s="540" t="s">
        <v>309</v>
      </c>
      <c r="J297" s="541" t="s">
        <v>327</v>
      </c>
      <c r="K297" s="548">
        <v>5</v>
      </c>
      <c r="L297" s="549">
        <v>4</v>
      </c>
      <c r="M297" s="545" t="s">
        <v>33</v>
      </c>
      <c r="N297" s="445">
        <v>1</v>
      </c>
      <c r="O297" s="443">
        <v>4</v>
      </c>
      <c r="P297" s="447">
        <f t="shared" si="112"/>
        <v>1</v>
      </c>
      <c r="Q297" s="431"/>
      <c r="R297" s="309">
        <v>4</v>
      </c>
      <c r="S297" s="477">
        <f t="shared" ref="S297" si="113">SUM(T297:W297)</f>
        <v>4</v>
      </c>
      <c r="T297" s="465">
        <v>4</v>
      </c>
      <c r="U297" s="465"/>
      <c r="V297" s="465"/>
      <c r="W297" s="465"/>
      <c r="X297" s="478">
        <f t="shared" ref="X297" si="114">IF((S297=0),0,((T297+U297)/S297*100%))</f>
        <v>1</v>
      </c>
      <c r="Y297" s="432"/>
      <c r="Z297" s="464">
        <f t="shared" ref="Z297" si="115">SUM(AA297:AD297)</f>
        <v>4</v>
      </c>
      <c r="AA297" s="465">
        <v>4</v>
      </c>
      <c r="AB297" s="465"/>
      <c r="AC297" s="465"/>
      <c r="AD297" s="465"/>
      <c r="AE297" s="466">
        <f t="shared" ref="AE297" si="116">IF((Z297=0),0,((AA297+AB297)/Z297*100%))</f>
        <v>1</v>
      </c>
      <c r="AF297" s="571" t="s">
        <v>1060</v>
      </c>
      <c r="AG297" s="433" t="str">
        <f>VLOOKUP(A297,'Feature Summary'!$A$7:$U$4104,21,FALSE)</f>
        <v>A/B + 8wks</v>
      </c>
      <c r="AH297" s="580" t="s">
        <v>1061</v>
      </c>
    </row>
    <row r="298" spans="1:34" ht="60.75" thickBot="1" x14ac:dyDescent="0.3">
      <c r="A298" s="316" t="s">
        <v>1122</v>
      </c>
      <c r="B298" s="533" t="s">
        <v>1123</v>
      </c>
      <c r="C298" s="308" t="s">
        <v>305</v>
      </c>
      <c r="D298" s="309" t="s">
        <v>388</v>
      </c>
      <c r="E298" s="308"/>
      <c r="F298" s="533" t="s">
        <v>1124</v>
      </c>
      <c r="G298" s="231" t="str">
        <f>VLOOKUP(A298,'Feature Summary'!$A$7:$C$4104,3,FALSE)</f>
        <v>P2</v>
      </c>
      <c r="H298" s="540" t="s">
        <v>1126</v>
      </c>
      <c r="I298" s="540" t="s">
        <v>309</v>
      </c>
      <c r="J298" s="541" t="s">
        <v>1063</v>
      </c>
      <c r="K298" s="548">
        <v>5</v>
      </c>
      <c r="L298" s="549">
        <v>2</v>
      </c>
      <c r="M298" s="545" t="s">
        <v>33</v>
      </c>
      <c r="N298" s="445">
        <v>1</v>
      </c>
      <c r="O298" s="443">
        <v>2</v>
      </c>
      <c r="P298" s="447">
        <f t="shared" si="112"/>
        <v>1</v>
      </c>
      <c r="Q298" s="431"/>
      <c r="R298" s="309">
        <v>2</v>
      </c>
      <c r="S298" s="477">
        <f t="shared" si="104"/>
        <v>2</v>
      </c>
      <c r="T298" s="465">
        <v>2</v>
      </c>
      <c r="U298" s="465"/>
      <c r="V298" s="465"/>
      <c r="W298" s="465"/>
      <c r="X298" s="478">
        <f t="shared" si="105"/>
        <v>1</v>
      </c>
      <c r="Y298" s="432"/>
      <c r="Z298" s="464">
        <f t="shared" si="110"/>
        <v>2</v>
      </c>
      <c r="AA298" s="465">
        <v>2</v>
      </c>
      <c r="AB298" s="465"/>
      <c r="AC298" s="465"/>
      <c r="AD298" s="465"/>
      <c r="AE298" s="466">
        <f t="shared" si="111"/>
        <v>1</v>
      </c>
      <c r="AF298" s="571" t="s">
        <v>1060</v>
      </c>
      <c r="AG298" s="433" t="str">
        <f>VLOOKUP(A298,'Feature Summary'!$A$7:$U$4104,21,FALSE)</f>
        <v>A/B + 8wks</v>
      </c>
      <c r="AH298" s="580" t="s">
        <v>1061</v>
      </c>
    </row>
    <row r="299" spans="1:34" ht="90.75" hidden="1" thickBot="1" x14ac:dyDescent="0.3">
      <c r="A299" s="585"/>
      <c r="B299" s="586"/>
      <c r="C299" s="587" t="s">
        <v>366</v>
      </c>
      <c r="D299" s="597" t="s">
        <v>388</v>
      </c>
      <c r="E299" s="587"/>
      <c r="F299" s="586" t="s">
        <v>1127</v>
      </c>
      <c r="G299" s="589" t="e">
        <f>VLOOKUP(A299,'Feature Summary'!$A$7:$C$4104,3,FALSE)</f>
        <v>#N/A</v>
      </c>
      <c r="H299" s="590" t="s">
        <v>1128</v>
      </c>
      <c r="I299" s="540" t="s">
        <v>309</v>
      </c>
      <c r="J299" s="591" t="s">
        <v>1129</v>
      </c>
      <c r="K299" s="592"/>
      <c r="L299" s="593"/>
      <c r="M299" s="545" t="s">
        <v>33</v>
      </c>
      <c r="N299" s="445">
        <v>1</v>
      </c>
      <c r="O299" s="443"/>
      <c r="P299" s="447">
        <f t="shared" si="112"/>
        <v>0</v>
      </c>
      <c r="Q299" s="596"/>
      <c r="R299" s="597"/>
      <c r="S299" s="598">
        <f t="shared" si="104"/>
        <v>0</v>
      </c>
      <c r="T299" s="465"/>
      <c r="U299" s="599"/>
      <c r="V299" s="599"/>
      <c r="W299" s="465"/>
      <c r="X299" s="600">
        <f t="shared" si="105"/>
        <v>0</v>
      </c>
      <c r="Y299" s="601"/>
      <c r="Z299" s="602">
        <f t="shared" si="110"/>
        <v>0</v>
      </c>
      <c r="AA299" s="465"/>
      <c r="AB299" s="599"/>
      <c r="AC299" s="599"/>
      <c r="AD299" s="599"/>
      <c r="AE299" s="603">
        <f t="shared" si="111"/>
        <v>0</v>
      </c>
      <c r="AF299" s="587"/>
      <c r="AG299" s="433" t="e">
        <f>VLOOKUP(A299,'Feature Summary'!$A$7:$U$4104,21,FALSE)</f>
        <v>#N/A</v>
      </c>
      <c r="AH299" s="604" t="s">
        <v>1130</v>
      </c>
    </row>
    <row r="300" spans="1:34" ht="60.75" hidden="1" thickBot="1" x14ac:dyDescent="0.3">
      <c r="A300" s="585"/>
      <c r="B300" s="586"/>
      <c r="C300" s="587" t="s">
        <v>366</v>
      </c>
      <c r="D300" s="597" t="s">
        <v>388</v>
      </c>
      <c r="E300" s="587"/>
      <c r="F300" s="586" t="s">
        <v>1131</v>
      </c>
      <c r="G300" s="589" t="e">
        <f>VLOOKUP(A300,'Feature Summary'!$A$7:$C$4104,3,FALSE)</f>
        <v>#N/A</v>
      </c>
      <c r="H300" s="590" t="s">
        <v>1132</v>
      </c>
      <c r="I300" s="540" t="s">
        <v>309</v>
      </c>
      <c r="J300" s="591" t="s">
        <v>1133</v>
      </c>
      <c r="K300" s="592"/>
      <c r="L300" s="593"/>
      <c r="M300" s="545" t="s">
        <v>33</v>
      </c>
      <c r="N300" s="445">
        <v>1</v>
      </c>
      <c r="O300" s="443"/>
      <c r="P300" s="447">
        <f t="shared" si="112"/>
        <v>0</v>
      </c>
      <c r="Q300" s="596"/>
      <c r="R300" s="597"/>
      <c r="S300" s="598">
        <f t="shared" si="104"/>
        <v>0</v>
      </c>
      <c r="T300" s="465"/>
      <c r="U300" s="599"/>
      <c r="V300" s="599"/>
      <c r="W300" s="465"/>
      <c r="X300" s="600">
        <f t="shared" si="105"/>
        <v>0</v>
      </c>
      <c r="Y300" s="601"/>
      <c r="Z300" s="602">
        <f t="shared" si="110"/>
        <v>0</v>
      </c>
      <c r="AA300" s="465"/>
      <c r="AB300" s="599"/>
      <c r="AC300" s="599"/>
      <c r="AD300" s="599"/>
      <c r="AE300" s="603">
        <f t="shared" si="111"/>
        <v>0</v>
      </c>
      <c r="AF300" s="587"/>
      <c r="AG300" s="433" t="e">
        <f>VLOOKUP(A300,'Feature Summary'!$A$7:$U$4104,21,FALSE)</f>
        <v>#N/A</v>
      </c>
      <c r="AH300" s="604" t="s">
        <v>1134</v>
      </c>
    </row>
    <row r="301" spans="1:34" ht="75.75" hidden="1" thickBot="1" x14ac:dyDescent="0.3">
      <c r="A301" s="585"/>
      <c r="B301" s="586"/>
      <c r="C301" s="587" t="s">
        <v>366</v>
      </c>
      <c r="D301" s="597" t="s">
        <v>388</v>
      </c>
      <c r="E301" s="587"/>
      <c r="F301" s="586" t="s">
        <v>1135</v>
      </c>
      <c r="G301" s="589" t="e">
        <f>VLOOKUP(A301,'Feature Summary'!$A$7:$C$4104,3,FALSE)</f>
        <v>#N/A</v>
      </c>
      <c r="H301" s="590" t="s">
        <v>1136</v>
      </c>
      <c r="I301" s="540" t="s">
        <v>309</v>
      </c>
      <c r="J301" s="591" t="s">
        <v>1137</v>
      </c>
      <c r="K301" s="592"/>
      <c r="L301" s="593"/>
      <c r="M301" s="545" t="s">
        <v>33</v>
      </c>
      <c r="N301" s="445">
        <v>1</v>
      </c>
      <c r="O301" s="443"/>
      <c r="P301" s="447">
        <f t="shared" si="112"/>
        <v>0</v>
      </c>
      <c r="Q301" s="596"/>
      <c r="R301" s="597"/>
      <c r="S301" s="598">
        <f t="shared" si="104"/>
        <v>0</v>
      </c>
      <c r="T301" s="465"/>
      <c r="U301" s="599"/>
      <c r="V301" s="599"/>
      <c r="W301" s="465"/>
      <c r="X301" s="600">
        <f t="shared" si="105"/>
        <v>0</v>
      </c>
      <c r="Y301" s="601"/>
      <c r="Z301" s="602">
        <f t="shared" si="110"/>
        <v>0</v>
      </c>
      <c r="AA301" s="465"/>
      <c r="AB301" s="599"/>
      <c r="AC301" s="599"/>
      <c r="AD301" s="599"/>
      <c r="AE301" s="603">
        <f t="shared" si="111"/>
        <v>0</v>
      </c>
      <c r="AF301" s="587"/>
      <c r="AG301" s="433" t="e">
        <f>VLOOKUP(A301,'Feature Summary'!$A$7:$U$4104,21,FALSE)</f>
        <v>#N/A</v>
      </c>
      <c r="AH301" s="604" t="s">
        <v>1134</v>
      </c>
    </row>
    <row r="302" spans="1:34" ht="75.75" hidden="1" thickBot="1" x14ac:dyDescent="0.3">
      <c r="A302" s="585"/>
      <c r="B302" s="586"/>
      <c r="C302" s="587" t="s">
        <v>366</v>
      </c>
      <c r="D302" s="597" t="s">
        <v>388</v>
      </c>
      <c r="E302" s="587"/>
      <c r="F302" s="586" t="s">
        <v>1138</v>
      </c>
      <c r="G302" s="589" t="e">
        <f>VLOOKUP(A302,'Feature Summary'!$A$7:$C$4104,3,FALSE)</f>
        <v>#N/A</v>
      </c>
      <c r="H302" s="590" t="s">
        <v>1139</v>
      </c>
      <c r="I302" s="540" t="s">
        <v>309</v>
      </c>
      <c r="J302" s="591" t="s">
        <v>1133</v>
      </c>
      <c r="K302" s="592"/>
      <c r="L302" s="593"/>
      <c r="M302" s="545" t="s">
        <v>33</v>
      </c>
      <c r="N302" s="445">
        <v>1</v>
      </c>
      <c r="O302" s="443"/>
      <c r="P302" s="447">
        <f t="shared" si="112"/>
        <v>0</v>
      </c>
      <c r="Q302" s="596"/>
      <c r="R302" s="597"/>
      <c r="S302" s="598">
        <f t="shared" si="104"/>
        <v>0</v>
      </c>
      <c r="T302" s="465"/>
      <c r="U302" s="599"/>
      <c r="V302" s="599"/>
      <c r="W302" s="465"/>
      <c r="X302" s="600">
        <f t="shared" si="105"/>
        <v>0</v>
      </c>
      <c r="Y302" s="601"/>
      <c r="Z302" s="602">
        <f t="shared" si="110"/>
        <v>0</v>
      </c>
      <c r="AA302" s="465"/>
      <c r="AB302" s="599"/>
      <c r="AC302" s="599"/>
      <c r="AD302" s="599"/>
      <c r="AE302" s="603">
        <f t="shared" si="111"/>
        <v>0</v>
      </c>
      <c r="AF302" s="587"/>
      <c r="AG302" s="433" t="e">
        <f>VLOOKUP(A302,'Feature Summary'!$A$7:$U$4104,21,FALSE)</f>
        <v>#N/A</v>
      </c>
      <c r="AH302" s="604" t="s">
        <v>1134</v>
      </c>
    </row>
    <row r="303" spans="1:34" ht="75.75" hidden="1" thickBot="1" x14ac:dyDescent="0.3">
      <c r="A303" s="585"/>
      <c r="B303" s="586"/>
      <c r="C303" s="587" t="s">
        <v>366</v>
      </c>
      <c r="D303" s="597" t="s">
        <v>388</v>
      </c>
      <c r="E303" s="587"/>
      <c r="F303" s="586" t="s">
        <v>1140</v>
      </c>
      <c r="G303" s="589" t="e">
        <f>VLOOKUP(A303,'Feature Summary'!$A$7:$C$4104,3,FALSE)</f>
        <v>#N/A</v>
      </c>
      <c r="H303" s="590" t="s">
        <v>1141</v>
      </c>
      <c r="I303" s="540" t="s">
        <v>309</v>
      </c>
      <c r="J303" s="591" t="s">
        <v>1137</v>
      </c>
      <c r="K303" s="592"/>
      <c r="L303" s="593"/>
      <c r="M303" s="545" t="s">
        <v>33</v>
      </c>
      <c r="N303" s="445">
        <v>1</v>
      </c>
      <c r="O303" s="443"/>
      <c r="P303" s="447">
        <f t="shared" si="112"/>
        <v>0</v>
      </c>
      <c r="Q303" s="596"/>
      <c r="R303" s="597"/>
      <c r="S303" s="598">
        <f t="shared" si="104"/>
        <v>0</v>
      </c>
      <c r="T303" s="465"/>
      <c r="U303" s="599"/>
      <c r="V303" s="599"/>
      <c r="W303" s="465"/>
      <c r="X303" s="600">
        <f t="shared" si="105"/>
        <v>0</v>
      </c>
      <c r="Y303" s="601"/>
      <c r="Z303" s="602">
        <f t="shared" si="110"/>
        <v>0</v>
      </c>
      <c r="AA303" s="465"/>
      <c r="AB303" s="599"/>
      <c r="AC303" s="599"/>
      <c r="AD303" s="599"/>
      <c r="AE303" s="603">
        <f t="shared" si="111"/>
        <v>0</v>
      </c>
      <c r="AF303" s="587"/>
      <c r="AG303" s="433" t="e">
        <f>VLOOKUP(A303,'Feature Summary'!$A$7:$U$4104,21,FALSE)</f>
        <v>#N/A</v>
      </c>
      <c r="AH303" s="604" t="s">
        <v>1134</v>
      </c>
    </row>
    <row r="304" spans="1:34" ht="75.75" hidden="1" thickBot="1" x14ac:dyDescent="0.3">
      <c r="A304" s="585"/>
      <c r="B304" s="586"/>
      <c r="C304" s="587" t="s">
        <v>366</v>
      </c>
      <c r="D304" s="597" t="s">
        <v>388</v>
      </c>
      <c r="E304" s="587"/>
      <c r="F304" s="586" t="s">
        <v>1142</v>
      </c>
      <c r="G304" s="589" t="e">
        <f>VLOOKUP(A304,'Feature Summary'!$A$7:$C$4104,3,FALSE)</f>
        <v>#N/A</v>
      </c>
      <c r="H304" s="590" t="s">
        <v>1143</v>
      </c>
      <c r="I304" s="540" t="s">
        <v>309</v>
      </c>
      <c r="J304" s="591" t="s">
        <v>1144</v>
      </c>
      <c r="K304" s="592"/>
      <c r="L304" s="593"/>
      <c r="M304" s="545" t="s">
        <v>33</v>
      </c>
      <c r="N304" s="445">
        <v>1</v>
      </c>
      <c r="O304" s="443"/>
      <c r="P304" s="447">
        <f t="shared" si="112"/>
        <v>0</v>
      </c>
      <c r="Q304" s="596"/>
      <c r="R304" s="597"/>
      <c r="S304" s="598">
        <f t="shared" si="104"/>
        <v>0</v>
      </c>
      <c r="T304" s="465"/>
      <c r="U304" s="599"/>
      <c r="V304" s="599"/>
      <c r="W304" s="465"/>
      <c r="X304" s="600">
        <f t="shared" si="105"/>
        <v>0</v>
      </c>
      <c r="Y304" s="601"/>
      <c r="Z304" s="602">
        <f t="shared" si="110"/>
        <v>0</v>
      </c>
      <c r="AA304" s="465"/>
      <c r="AB304" s="599"/>
      <c r="AC304" s="599"/>
      <c r="AD304" s="599"/>
      <c r="AE304" s="603">
        <f t="shared" si="111"/>
        <v>0</v>
      </c>
      <c r="AF304" s="587"/>
      <c r="AG304" s="433" t="e">
        <f>VLOOKUP(A304,'Feature Summary'!$A$7:$U$4104,21,FALSE)</f>
        <v>#N/A</v>
      </c>
      <c r="AH304" s="604" t="s">
        <v>1134</v>
      </c>
    </row>
    <row r="305" spans="1:34" ht="60.75" hidden="1" thickBot="1" x14ac:dyDescent="0.3">
      <c r="A305" s="585"/>
      <c r="B305" s="586"/>
      <c r="C305" s="587" t="s">
        <v>366</v>
      </c>
      <c r="D305" s="597" t="s">
        <v>388</v>
      </c>
      <c r="E305" s="587"/>
      <c r="F305" s="586" t="s">
        <v>1145</v>
      </c>
      <c r="G305" s="589" t="e">
        <f>VLOOKUP(A305,'Feature Summary'!$A$7:$C$4104,3,FALSE)</f>
        <v>#N/A</v>
      </c>
      <c r="H305" s="590" t="s">
        <v>1146</v>
      </c>
      <c r="I305" s="540" t="s">
        <v>309</v>
      </c>
      <c r="J305" s="591" t="s">
        <v>1137</v>
      </c>
      <c r="K305" s="592"/>
      <c r="L305" s="593"/>
      <c r="M305" s="545" t="s">
        <v>33</v>
      </c>
      <c r="N305" s="445">
        <v>1</v>
      </c>
      <c r="O305" s="443"/>
      <c r="P305" s="447">
        <f t="shared" si="112"/>
        <v>0</v>
      </c>
      <c r="Q305" s="596"/>
      <c r="R305" s="597"/>
      <c r="S305" s="598">
        <f t="shared" si="104"/>
        <v>0</v>
      </c>
      <c r="T305" s="465"/>
      <c r="U305" s="599"/>
      <c r="V305" s="599"/>
      <c r="W305" s="465"/>
      <c r="X305" s="600">
        <f t="shared" si="105"/>
        <v>0</v>
      </c>
      <c r="Y305" s="601"/>
      <c r="Z305" s="602">
        <f t="shared" si="110"/>
        <v>0</v>
      </c>
      <c r="AA305" s="465"/>
      <c r="AB305" s="599"/>
      <c r="AC305" s="599"/>
      <c r="AD305" s="599"/>
      <c r="AE305" s="603">
        <f t="shared" si="111"/>
        <v>0</v>
      </c>
      <c r="AF305" s="587"/>
      <c r="AG305" s="433" t="e">
        <f>VLOOKUP(A305,'Feature Summary'!$A$7:$U$4104,21,FALSE)</f>
        <v>#N/A</v>
      </c>
      <c r="AH305" s="604" t="s">
        <v>1134</v>
      </c>
    </row>
    <row r="306" spans="1:34" ht="60.75" hidden="1" thickBot="1" x14ac:dyDescent="0.3">
      <c r="A306" s="585"/>
      <c r="B306" s="586"/>
      <c r="C306" s="587" t="s">
        <v>366</v>
      </c>
      <c r="D306" s="597" t="s">
        <v>388</v>
      </c>
      <c r="E306" s="587"/>
      <c r="F306" s="586" t="s">
        <v>1147</v>
      </c>
      <c r="G306" s="589" t="e">
        <f>VLOOKUP(A306,'Feature Summary'!$A$7:$C$4104,3,FALSE)</f>
        <v>#N/A</v>
      </c>
      <c r="H306" s="590" t="s">
        <v>1148</v>
      </c>
      <c r="I306" s="540" t="s">
        <v>309</v>
      </c>
      <c r="J306" s="591" t="s">
        <v>1144</v>
      </c>
      <c r="K306" s="592"/>
      <c r="L306" s="593"/>
      <c r="M306" s="545" t="s">
        <v>33</v>
      </c>
      <c r="N306" s="445">
        <v>1</v>
      </c>
      <c r="O306" s="443"/>
      <c r="P306" s="447">
        <f t="shared" si="112"/>
        <v>0</v>
      </c>
      <c r="Q306" s="596"/>
      <c r="R306" s="597"/>
      <c r="S306" s="598">
        <f t="shared" si="104"/>
        <v>0</v>
      </c>
      <c r="T306" s="465"/>
      <c r="U306" s="599"/>
      <c r="V306" s="599"/>
      <c r="W306" s="465"/>
      <c r="X306" s="600">
        <f t="shared" si="105"/>
        <v>0</v>
      </c>
      <c r="Y306" s="601"/>
      <c r="Z306" s="602">
        <f t="shared" si="110"/>
        <v>0</v>
      </c>
      <c r="AA306" s="465"/>
      <c r="AB306" s="599"/>
      <c r="AC306" s="599"/>
      <c r="AD306" s="599"/>
      <c r="AE306" s="603">
        <f t="shared" si="111"/>
        <v>0</v>
      </c>
      <c r="AF306" s="587"/>
      <c r="AG306" s="433" t="e">
        <f>VLOOKUP(A306,'Feature Summary'!$A$7:$U$4104,21,FALSE)</f>
        <v>#N/A</v>
      </c>
      <c r="AH306" s="604" t="s">
        <v>1134</v>
      </c>
    </row>
    <row r="307" spans="1:34" ht="45.75" hidden="1" thickBot="1" x14ac:dyDescent="0.3">
      <c r="A307" s="585"/>
      <c r="B307" s="586"/>
      <c r="C307" s="587" t="s">
        <v>366</v>
      </c>
      <c r="D307" s="597" t="s">
        <v>388</v>
      </c>
      <c r="E307" s="587"/>
      <c r="F307" s="586" t="s">
        <v>1149</v>
      </c>
      <c r="G307" s="589" t="e">
        <f>VLOOKUP(A307,'Feature Summary'!$A$7:$C$4104,3,FALSE)</f>
        <v>#N/A</v>
      </c>
      <c r="H307" s="590" t="s">
        <v>1150</v>
      </c>
      <c r="I307" s="540" t="s">
        <v>309</v>
      </c>
      <c r="J307" s="591" t="s">
        <v>1137</v>
      </c>
      <c r="K307" s="592"/>
      <c r="L307" s="593"/>
      <c r="M307" s="545" t="s">
        <v>33</v>
      </c>
      <c r="N307" s="445">
        <v>1</v>
      </c>
      <c r="O307" s="443"/>
      <c r="P307" s="447">
        <f t="shared" si="112"/>
        <v>0</v>
      </c>
      <c r="Q307" s="596"/>
      <c r="R307" s="597"/>
      <c r="S307" s="598">
        <f t="shared" si="104"/>
        <v>0</v>
      </c>
      <c r="T307" s="465"/>
      <c r="U307" s="599"/>
      <c r="V307" s="599"/>
      <c r="W307" s="465"/>
      <c r="X307" s="600">
        <f t="shared" si="105"/>
        <v>0</v>
      </c>
      <c r="Y307" s="601"/>
      <c r="Z307" s="602">
        <f t="shared" si="110"/>
        <v>0</v>
      </c>
      <c r="AA307" s="465"/>
      <c r="AB307" s="599"/>
      <c r="AC307" s="599"/>
      <c r="AD307" s="599"/>
      <c r="AE307" s="603">
        <f t="shared" si="111"/>
        <v>0</v>
      </c>
      <c r="AF307" s="587"/>
      <c r="AG307" s="433" t="e">
        <f>VLOOKUP(A307,'Feature Summary'!$A$7:$U$4104,21,FALSE)</f>
        <v>#N/A</v>
      </c>
      <c r="AH307" s="604" t="s">
        <v>1134</v>
      </c>
    </row>
    <row r="308" spans="1:34" ht="60.75" hidden="1" thickBot="1" x14ac:dyDescent="0.3">
      <c r="A308" s="585"/>
      <c r="B308" s="586"/>
      <c r="C308" s="587" t="s">
        <v>366</v>
      </c>
      <c r="D308" s="597" t="s">
        <v>388</v>
      </c>
      <c r="E308" s="587"/>
      <c r="F308" s="586" t="s">
        <v>1151</v>
      </c>
      <c r="G308" s="589" t="e">
        <f>VLOOKUP(A308,'Feature Summary'!$A$7:$C$4104,3,FALSE)</f>
        <v>#N/A</v>
      </c>
      <c r="H308" s="590" t="s">
        <v>1152</v>
      </c>
      <c r="I308" s="540" t="s">
        <v>309</v>
      </c>
      <c r="J308" s="591" t="s">
        <v>1144</v>
      </c>
      <c r="K308" s="592"/>
      <c r="L308" s="593"/>
      <c r="M308" s="545" t="s">
        <v>33</v>
      </c>
      <c r="N308" s="445">
        <v>1</v>
      </c>
      <c r="O308" s="443"/>
      <c r="P308" s="447">
        <f t="shared" si="112"/>
        <v>0</v>
      </c>
      <c r="Q308" s="596"/>
      <c r="R308" s="597"/>
      <c r="S308" s="598">
        <f t="shared" si="104"/>
        <v>0</v>
      </c>
      <c r="T308" s="465"/>
      <c r="U308" s="599"/>
      <c r="V308" s="599"/>
      <c r="W308" s="465"/>
      <c r="X308" s="600">
        <f t="shared" si="105"/>
        <v>0</v>
      </c>
      <c r="Y308" s="601"/>
      <c r="Z308" s="602">
        <f t="shared" si="110"/>
        <v>0</v>
      </c>
      <c r="AA308" s="465"/>
      <c r="AB308" s="599"/>
      <c r="AC308" s="599"/>
      <c r="AD308" s="599"/>
      <c r="AE308" s="603">
        <f t="shared" si="111"/>
        <v>0</v>
      </c>
      <c r="AF308" s="587"/>
      <c r="AG308" s="433" t="e">
        <f>VLOOKUP(A308,'Feature Summary'!$A$7:$U$4104,21,FALSE)</f>
        <v>#N/A</v>
      </c>
      <c r="AH308" s="604" t="s">
        <v>1134</v>
      </c>
    </row>
    <row r="309" spans="1:34" ht="45.75" hidden="1" thickBot="1" x14ac:dyDescent="0.3">
      <c r="A309" s="316" t="s">
        <v>1153</v>
      </c>
      <c r="B309" s="533" t="s">
        <v>1154</v>
      </c>
      <c r="C309" s="308"/>
      <c r="D309" s="309" t="s">
        <v>388</v>
      </c>
      <c r="E309" s="308"/>
      <c r="F309" s="576" t="s">
        <v>1155</v>
      </c>
      <c r="G309" s="231" t="str">
        <f>VLOOKUP(A309,'Feature Summary'!$A$7:$C$4104,3,FALSE)</f>
        <v>P2</v>
      </c>
      <c r="H309" s="540" t="s">
        <v>1156</v>
      </c>
      <c r="I309" s="540" t="s">
        <v>309</v>
      </c>
      <c r="J309" s="541"/>
      <c r="K309" s="548"/>
      <c r="L309" s="549"/>
      <c r="M309" s="404" t="s">
        <v>33</v>
      </c>
      <c r="N309" s="445">
        <v>1</v>
      </c>
      <c r="O309" s="443"/>
      <c r="P309" s="447">
        <f t="shared" si="112"/>
        <v>0</v>
      </c>
      <c r="Q309" s="431" t="s">
        <v>44</v>
      </c>
      <c r="R309" s="309"/>
      <c r="S309" s="477">
        <f t="shared" si="104"/>
        <v>0</v>
      </c>
      <c r="T309" s="465"/>
      <c r="U309" s="465"/>
      <c r="V309" s="465"/>
      <c r="W309" s="465"/>
      <c r="X309" s="478">
        <f t="shared" si="105"/>
        <v>0</v>
      </c>
      <c r="Y309" s="432"/>
      <c r="Z309" s="464">
        <f t="shared" si="110"/>
        <v>0</v>
      </c>
      <c r="AA309" s="465"/>
      <c r="AB309" s="465"/>
      <c r="AC309" s="465"/>
      <c r="AD309" s="465"/>
      <c r="AE309" s="466">
        <f t="shared" si="111"/>
        <v>0</v>
      </c>
      <c r="AF309" s="308"/>
      <c r="AG309" s="433" t="str">
        <f>VLOOKUP(A309,'Feature Summary'!$A$7:$U$4104,21,FALSE)</f>
        <v>A/B + 6wks</v>
      </c>
      <c r="AH309" s="316"/>
    </row>
    <row r="310" spans="1:34" ht="45.75" hidden="1" thickBot="1" x14ac:dyDescent="0.3">
      <c r="A310" s="316" t="s">
        <v>1153</v>
      </c>
      <c r="B310" s="533" t="s">
        <v>1154</v>
      </c>
      <c r="C310" s="308"/>
      <c r="D310" s="309" t="s">
        <v>388</v>
      </c>
      <c r="E310" s="308"/>
      <c r="F310" s="576" t="s">
        <v>1157</v>
      </c>
      <c r="G310" s="231" t="str">
        <f>VLOOKUP(A310,'Feature Summary'!$A$7:$C$4104,3,FALSE)</f>
        <v>P2</v>
      </c>
      <c r="H310" s="540" t="s">
        <v>1158</v>
      </c>
      <c r="I310" s="540" t="s">
        <v>309</v>
      </c>
      <c r="J310" s="541"/>
      <c r="K310" s="548"/>
      <c r="L310" s="549"/>
      <c r="M310" s="404" t="s">
        <v>33</v>
      </c>
      <c r="N310" s="445">
        <v>1</v>
      </c>
      <c r="O310" s="443"/>
      <c r="P310" s="447">
        <f t="shared" si="112"/>
        <v>0</v>
      </c>
      <c r="Q310" s="431" t="s">
        <v>44</v>
      </c>
      <c r="R310" s="309"/>
      <c r="S310" s="477">
        <f t="shared" si="104"/>
        <v>0</v>
      </c>
      <c r="T310" s="465"/>
      <c r="U310" s="465"/>
      <c r="V310" s="465"/>
      <c r="W310" s="465"/>
      <c r="X310" s="478">
        <f t="shared" si="105"/>
        <v>0</v>
      </c>
      <c r="Y310" s="432"/>
      <c r="Z310" s="464">
        <f t="shared" si="110"/>
        <v>0</v>
      </c>
      <c r="AA310" s="465"/>
      <c r="AB310" s="465"/>
      <c r="AC310" s="465"/>
      <c r="AD310" s="465"/>
      <c r="AE310" s="466">
        <f t="shared" si="111"/>
        <v>0</v>
      </c>
      <c r="AF310" s="308"/>
      <c r="AG310" s="433" t="str">
        <f>VLOOKUP(A310,'Feature Summary'!$A$7:$U$4104,21,FALSE)</f>
        <v>A/B + 6wks</v>
      </c>
      <c r="AH310" s="316"/>
    </row>
    <row r="311" spans="1:34" ht="45.75" hidden="1" thickBot="1" x14ac:dyDescent="0.3">
      <c r="A311" s="316" t="s">
        <v>1159</v>
      </c>
      <c r="B311" s="533" t="s">
        <v>1160</v>
      </c>
      <c r="C311" s="308"/>
      <c r="D311" s="309" t="s">
        <v>388</v>
      </c>
      <c r="E311" s="308"/>
      <c r="F311" s="576" t="s">
        <v>1157</v>
      </c>
      <c r="G311" s="231" t="e">
        <f>VLOOKUP(A311,'Feature Summary'!$A$7:$C$4104,3,FALSE)</f>
        <v>#N/A</v>
      </c>
      <c r="H311" s="540" t="s">
        <v>1161</v>
      </c>
      <c r="I311" s="540" t="s">
        <v>309</v>
      </c>
      <c r="J311" s="541"/>
      <c r="K311" s="548"/>
      <c r="L311" s="549"/>
      <c r="M311" s="404" t="s">
        <v>33</v>
      </c>
      <c r="N311" s="445">
        <v>1</v>
      </c>
      <c r="O311" s="443"/>
      <c r="P311" s="447">
        <f t="shared" si="112"/>
        <v>0</v>
      </c>
      <c r="Q311" s="431" t="s">
        <v>44</v>
      </c>
      <c r="R311" s="309"/>
      <c r="S311" s="477">
        <f t="shared" si="104"/>
        <v>0</v>
      </c>
      <c r="T311" s="465"/>
      <c r="U311" s="465"/>
      <c r="V311" s="465"/>
      <c r="W311" s="465"/>
      <c r="X311" s="478">
        <f t="shared" si="105"/>
        <v>0</v>
      </c>
      <c r="Y311" s="432"/>
      <c r="Z311" s="464">
        <f t="shared" si="110"/>
        <v>0</v>
      </c>
      <c r="AA311" s="465"/>
      <c r="AB311" s="465"/>
      <c r="AC311" s="465"/>
      <c r="AD311" s="465"/>
      <c r="AE311" s="466">
        <f t="shared" si="111"/>
        <v>0</v>
      </c>
      <c r="AF311" s="308"/>
      <c r="AG311" s="429" t="str">
        <f>VLOOKUP(LEFT(A311,(FIND(",",A311,1)-1)),'Feature Summary'!$A$7:$U$4035,21,FALSE)</f>
        <v>A/B + 8wks</v>
      </c>
      <c r="AH311" s="316"/>
    </row>
    <row r="312" spans="1:34" ht="45.75" hidden="1" thickBot="1" x14ac:dyDescent="0.3">
      <c r="A312" s="316" t="s">
        <v>1010</v>
      </c>
      <c r="B312" s="533" t="s">
        <v>1011</v>
      </c>
      <c r="C312" s="308"/>
      <c r="D312" s="309" t="s">
        <v>388</v>
      </c>
      <c r="E312" s="308"/>
      <c r="F312" s="576" t="s">
        <v>1157</v>
      </c>
      <c r="G312" s="231" t="str">
        <f>VLOOKUP(A312,'Feature Summary'!$A$7:$C$4104,3,FALSE)</f>
        <v>P2</v>
      </c>
      <c r="H312" s="540" t="s">
        <v>1162</v>
      </c>
      <c r="I312" s="540" t="s">
        <v>309</v>
      </c>
      <c r="J312" s="541"/>
      <c r="K312" s="548"/>
      <c r="L312" s="549"/>
      <c r="M312" s="404" t="s">
        <v>33</v>
      </c>
      <c r="N312" s="445">
        <v>1</v>
      </c>
      <c r="O312" s="443"/>
      <c r="P312" s="447">
        <f t="shared" si="112"/>
        <v>0</v>
      </c>
      <c r="Q312" s="431" t="s">
        <v>44</v>
      </c>
      <c r="R312" s="309"/>
      <c r="S312" s="477">
        <f t="shared" si="104"/>
        <v>0</v>
      </c>
      <c r="T312" s="465"/>
      <c r="U312" s="465"/>
      <c r="V312" s="465"/>
      <c r="W312" s="465"/>
      <c r="X312" s="478">
        <f t="shared" si="105"/>
        <v>0</v>
      </c>
      <c r="Y312" s="432"/>
      <c r="Z312" s="464">
        <f t="shared" si="110"/>
        <v>0</v>
      </c>
      <c r="AA312" s="465"/>
      <c r="AB312" s="465"/>
      <c r="AC312" s="465"/>
      <c r="AD312" s="465"/>
      <c r="AE312" s="466">
        <f t="shared" si="111"/>
        <v>0</v>
      </c>
      <c r="AF312" s="308"/>
      <c r="AG312" s="433" t="str">
        <f>VLOOKUP(A312,'Feature Summary'!$A$7:$U$4104,21,FALSE)</f>
        <v>A/B + 7wks</v>
      </c>
      <c r="AH312" s="316"/>
    </row>
    <row r="313" spans="1:34" ht="60.75" thickBot="1" x14ac:dyDescent="0.3">
      <c r="A313" s="316" t="s">
        <v>1163</v>
      </c>
      <c r="B313" s="533" t="s">
        <v>1164</v>
      </c>
      <c r="C313" s="308" t="s">
        <v>406</v>
      </c>
      <c r="D313" s="309" t="s">
        <v>306</v>
      </c>
      <c r="E313" s="308"/>
      <c r="F313" s="533" t="s">
        <v>1165</v>
      </c>
      <c r="G313" s="231" t="str">
        <f>VLOOKUP(A313,'Feature Summary'!$A$7:$C$4104,3,FALSE)</f>
        <v>P2</v>
      </c>
      <c r="H313" s="540" t="s">
        <v>1166</v>
      </c>
      <c r="I313" s="540" t="s">
        <v>309</v>
      </c>
      <c r="J313" s="541" t="s">
        <v>1167</v>
      </c>
      <c r="K313" s="548">
        <v>9</v>
      </c>
      <c r="L313" s="549">
        <v>1</v>
      </c>
      <c r="M313" s="545" t="s">
        <v>33</v>
      </c>
      <c r="N313" s="445">
        <v>1</v>
      </c>
      <c r="O313" s="443">
        <v>1</v>
      </c>
      <c r="P313" s="447">
        <f t="shared" si="112"/>
        <v>1</v>
      </c>
      <c r="Q313" s="431"/>
      <c r="R313" s="309">
        <v>1</v>
      </c>
      <c r="S313" s="477">
        <f t="shared" ref="S313:S315" si="117">SUM(T313:W313)</f>
        <v>1</v>
      </c>
      <c r="T313" s="465">
        <v>1</v>
      </c>
      <c r="U313" s="465"/>
      <c r="V313" s="465"/>
      <c r="W313" s="465"/>
      <c r="X313" s="478">
        <f t="shared" ref="X313:X315" si="118">IF((S313=0),0,((T313+U313)/S313*100%))</f>
        <v>1</v>
      </c>
      <c r="Y313" s="432"/>
      <c r="Z313" s="464">
        <f t="shared" ref="Z313:Z315" si="119">SUM(AA313:AD313)</f>
        <v>1</v>
      </c>
      <c r="AA313" s="465"/>
      <c r="AB313" s="465"/>
      <c r="AC313" s="465">
        <v>1</v>
      </c>
      <c r="AD313" s="465"/>
      <c r="AE313" s="466">
        <f t="shared" ref="AE313:AE315" si="120">IF((Z313=0),0,((AA313+AB313)/Z313*100%))</f>
        <v>0</v>
      </c>
      <c r="AF313" s="308" t="s">
        <v>1168</v>
      </c>
      <c r="AG313" s="433" t="str">
        <f>VLOOKUP(A313,'Feature Summary'!$A$7:$U$4104,21,FALSE)</f>
        <v>A/B + 8wks</v>
      </c>
      <c r="AH313" s="580" t="s">
        <v>1169</v>
      </c>
    </row>
    <row r="314" spans="1:34" ht="75.75" thickBot="1" x14ac:dyDescent="0.3">
      <c r="A314" s="316" t="s">
        <v>1163</v>
      </c>
      <c r="B314" s="533" t="s">
        <v>1164</v>
      </c>
      <c r="C314" s="308" t="s">
        <v>406</v>
      </c>
      <c r="D314" s="309" t="s">
        <v>306</v>
      </c>
      <c r="E314" s="308"/>
      <c r="F314" s="533" t="s">
        <v>1165</v>
      </c>
      <c r="G314" s="231" t="str">
        <f>VLOOKUP(A314,'Feature Summary'!$A$7:$C$4104,3,FALSE)</f>
        <v>P2</v>
      </c>
      <c r="H314" s="540" t="s">
        <v>1170</v>
      </c>
      <c r="I314" s="540" t="s">
        <v>309</v>
      </c>
      <c r="J314" s="541" t="s">
        <v>1171</v>
      </c>
      <c r="K314" s="548">
        <v>9</v>
      </c>
      <c r="L314" s="549">
        <v>1</v>
      </c>
      <c r="M314" s="545" t="s">
        <v>33</v>
      </c>
      <c r="N314" s="445">
        <v>1</v>
      </c>
      <c r="O314" s="443">
        <v>1</v>
      </c>
      <c r="P314" s="447">
        <f t="shared" si="112"/>
        <v>1</v>
      </c>
      <c r="Q314" s="431"/>
      <c r="R314" s="309">
        <v>1</v>
      </c>
      <c r="S314" s="477">
        <f t="shared" si="117"/>
        <v>1</v>
      </c>
      <c r="T314" s="465">
        <v>1</v>
      </c>
      <c r="U314" s="465"/>
      <c r="V314" s="465"/>
      <c r="W314" s="465"/>
      <c r="X314" s="478">
        <f t="shared" si="118"/>
        <v>1</v>
      </c>
      <c r="Y314" s="432"/>
      <c r="Z314" s="464">
        <f t="shared" si="119"/>
        <v>1</v>
      </c>
      <c r="AA314" s="465"/>
      <c r="AB314" s="465"/>
      <c r="AC314" s="465">
        <v>1</v>
      </c>
      <c r="AD314" s="465"/>
      <c r="AE314" s="466">
        <f t="shared" si="120"/>
        <v>0</v>
      </c>
      <c r="AF314" s="308" t="s">
        <v>1172</v>
      </c>
      <c r="AG314" s="433" t="str">
        <f>VLOOKUP(A314,'Feature Summary'!$A$7:$U$4104,21,FALSE)</f>
        <v>A/B + 8wks</v>
      </c>
      <c r="AH314" s="580" t="s">
        <v>1169</v>
      </c>
    </row>
    <row r="315" spans="1:34" ht="75.75" thickBot="1" x14ac:dyDescent="0.3">
      <c r="A315" s="316" t="s">
        <v>1163</v>
      </c>
      <c r="B315" s="533" t="s">
        <v>1164</v>
      </c>
      <c r="C315" s="308" t="s">
        <v>406</v>
      </c>
      <c r="D315" s="309" t="s">
        <v>306</v>
      </c>
      <c r="E315" s="308"/>
      <c r="F315" s="533" t="s">
        <v>1165</v>
      </c>
      <c r="G315" s="231" t="str">
        <f>VLOOKUP(A315,'Feature Summary'!$A$7:$C$4104,3,FALSE)</f>
        <v>P2</v>
      </c>
      <c r="H315" s="540" t="s">
        <v>1173</v>
      </c>
      <c r="I315" s="540" t="s">
        <v>309</v>
      </c>
      <c r="J315" s="541" t="s">
        <v>1174</v>
      </c>
      <c r="K315" s="548">
        <v>9</v>
      </c>
      <c r="L315" s="549">
        <v>1</v>
      </c>
      <c r="M315" s="545" t="s">
        <v>33</v>
      </c>
      <c r="N315" s="445">
        <v>1</v>
      </c>
      <c r="O315" s="443">
        <v>1</v>
      </c>
      <c r="P315" s="447">
        <f t="shared" si="112"/>
        <v>1</v>
      </c>
      <c r="Q315" s="431"/>
      <c r="R315" s="309">
        <v>1</v>
      </c>
      <c r="S315" s="477">
        <f t="shared" si="117"/>
        <v>1</v>
      </c>
      <c r="T315" s="465">
        <v>1</v>
      </c>
      <c r="U315" s="465"/>
      <c r="V315" s="465"/>
      <c r="W315" s="465"/>
      <c r="X315" s="478">
        <f t="shared" si="118"/>
        <v>1</v>
      </c>
      <c r="Y315" s="432"/>
      <c r="Z315" s="464">
        <f t="shared" si="119"/>
        <v>1</v>
      </c>
      <c r="AA315" s="465"/>
      <c r="AB315" s="465"/>
      <c r="AC315" s="465">
        <v>1</v>
      </c>
      <c r="AD315" s="465"/>
      <c r="AE315" s="466">
        <f t="shared" si="120"/>
        <v>0</v>
      </c>
      <c r="AF315" s="308" t="s">
        <v>1175</v>
      </c>
      <c r="AG315" s="433" t="str">
        <f>VLOOKUP(A315,'Feature Summary'!$A$7:$U$4104,21,FALSE)</f>
        <v>A/B + 8wks</v>
      </c>
      <c r="AH315" s="580" t="s">
        <v>1169</v>
      </c>
    </row>
    <row r="316" spans="1:34" ht="75.75" thickBot="1" x14ac:dyDescent="0.3">
      <c r="A316" s="316" t="s">
        <v>1163</v>
      </c>
      <c r="B316" s="533" t="s">
        <v>1164</v>
      </c>
      <c r="C316" s="308" t="s">
        <v>406</v>
      </c>
      <c r="D316" s="309" t="s">
        <v>306</v>
      </c>
      <c r="E316" s="308"/>
      <c r="F316" s="533" t="s">
        <v>1165</v>
      </c>
      <c r="G316" s="231" t="str">
        <f>VLOOKUP(A316,'Feature Summary'!$A$7:$C$4104,3,FALSE)</f>
        <v>P2</v>
      </c>
      <c r="H316" s="540" t="s">
        <v>1176</v>
      </c>
      <c r="I316" s="540" t="s">
        <v>309</v>
      </c>
      <c r="J316" s="541" t="s">
        <v>1177</v>
      </c>
      <c r="K316" s="548">
        <v>9</v>
      </c>
      <c r="L316" s="549">
        <v>1</v>
      </c>
      <c r="M316" s="545" t="s">
        <v>33</v>
      </c>
      <c r="N316" s="445">
        <v>1</v>
      </c>
      <c r="O316" s="443">
        <v>1</v>
      </c>
      <c r="P316" s="447">
        <f t="shared" si="112"/>
        <v>1</v>
      </c>
      <c r="Q316" s="431"/>
      <c r="R316" s="309">
        <v>1</v>
      </c>
      <c r="S316" s="477">
        <f t="shared" si="104"/>
        <v>1</v>
      </c>
      <c r="T316" s="465">
        <v>1</v>
      </c>
      <c r="U316" s="465"/>
      <c r="V316" s="465"/>
      <c r="W316" s="465"/>
      <c r="X316" s="478">
        <f t="shared" si="105"/>
        <v>1</v>
      </c>
      <c r="Y316" s="432"/>
      <c r="Z316" s="464">
        <f t="shared" si="110"/>
        <v>1</v>
      </c>
      <c r="AA316" s="465"/>
      <c r="AB316" s="465"/>
      <c r="AC316" s="465">
        <v>1</v>
      </c>
      <c r="AD316" s="465"/>
      <c r="AE316" s="466">
        <f t="shared" si="111"/>
        <v>0</v>
      </c>
      <c r="AF316" s="308" t="s">
        <v>1172</v>
      </c>
      <c r="AG316" s="433" t="str">
        <f>VLOOKUP(A316,'Feature Summary'!$A$7:$U$4104,21,FALSE)</f>
        <v>A/B + 8wks</v>
      </c>
      <c r="AH316" s="580" t="s">
        <v>1169</v>
      </c>
    </row>
    <row r="317" spans="1:34" ht="60.75" hidden="1" thickBot="1" x14ac:dyDescent="0.3">
      <c r="A317" s="316" t="s">
        <v>1178</v>
      </c>
      <c r="B317" s="533" t="s">
        <v>585</v>
      </c>
      <c r="C317" s="308"/>
      <c r="D317" s="309" t="s">
        <v>388</v>
      </c>
      <c r="E317" s="308"/>
      <c r="F317" s="533" t="s">
        <v>1179</v>
      </c>
      <c r="G317" s="231" t="e">
        <f>VLOOKUP(A317,'Feature Summary'!$A$7:$C$4104,3,FALSE)</f>
        <v>#N/A</v>
      </c>
      <c r="H317" s="540" t="s">
        <v>1180</v>
      </c>
      <c r="I317" s="540" t="s">
        <v>309</v>
      </c>
      <c r="J317" s="541"/>
      <c r="K317" s="548"/>
      <c r="L317" s="549"/>
      <c r="M317" s="545" t="s">
        <v>33</v>
      </c>
      <c r="N317" s="445">
        <v>1</v>
      </c>
      <c r="O317" s="443"/>
      <c r="P317" s="447">
        <f t="shared" si="112"/>
        <v>0</v>
      </c>
      <c r="Q317" s="431" t="s">
        <v>44</v>
      </c>
      <c r="R317" s="309"/>
      <c r="S317" s="477">
        <f t="shared" si="104"/>
        <v>0</v>
      </c>
      <c r="T317" s="465"/>
      <c r="U317" s="465"/>
      <c r="V317" s="465"/>
      <c r="W317" s="465"/>
      <c r="X317" s="478">
        <f t="shared" si="105"/>
        <v>0</v>
      </c>
      <c r="Y317" s="432"/>
      <c r="Z317" s="464">
        <f t="shared" si="110"/>
        <v>0</v>
      </c>
      <c r="AA317" s="465"/>
      <c r="AB317" s="465"/>
      <c r="AC317" s="465"/>
      <c r="AD317" s="465"/>
      <c r="AE317" s="466">
        <f t="shared" si="111"/>
        <v>0</v>
      </c>
      <c r="AF317" s="308"/>
      <c r="AG317" s="429" t="str">
        <f>VLOOKUP(LEFT(A317,(FIND(",",A317,1)-1)),'Feature Summary'!$A$7:$U$4035,21,FALSE)</f>
        <v>A/B + 5wks</v>
      </c>
      <c r="AH317" s="316"/>
    </row>
    <row r="318" spans="1:34" ht="60.75" thickBot="1" x14ac:dyDescent="0.3">
      <c r="A318" s="316" t="s">
        <v>1181</v>
      </c>
      <c r="B318" s="533" t="s">
        <v>1182</v>
      </c>
      <c r="C318" s="308" t="s">
        <v>406</v>
      </c>
      <c r="D318" s="309" t="s">
        <v>388</v>
      </c>
      <c r="E318" s="308"/>
      <c r="F318" s="533" t="s">
        <v>1183</v>
      </c>
      <c r="G318" s="231" t="str">
        <f>VLOOKUP(A318,'Feature Summary'!$A$7:$C$4104,3,FALSE)</f>
        <v>P1</v>
      </c>
      <c r="H318" s="540" t="s">
        <v>1184</v>
      </c>
      <c r="I318" s="540" t="s">
        <v>309</v>
      </c>
      <c r="J318" s="541" t="s">
        <v>1167</v>
      </c>
      <c r="K318" s="548">
        <v>7</v>
      </c>
      <c r="L318" s="549">
        <v>1</v>
      </c>
      <c r="M318" s="545" t="s">
        <v>33</v>
      </c>
      <c r="N318" s="445">
        <v>1</v>
      </c>
      <c r="O318" s="443">
        <v>1</v>
      </c>
      <c r="P318" s="447">
        <f t="shared" si="112"/>
        <v>1</v>
      </c>
      <c r="Q318" s="431"/>
      <c r="R318" s="309">
        <v>1</v>
      </c>
      <c r="S318" s="477">
        <f t="shared" ref="S318:S320" si="121">SUM(T318:W318)</f>
        <v>1</v>
      </c>
      <c r="T318" s="465">
        <v>1</v>
      </c>
      <c r="U318" s="465"/>
      <c r="V318" s="465"/>
      <c r="W318" s="465"/>
      <c r="X318" s="478">
        <f t="shared" ref="X318:X320" si="122">IF((S318=0),0,((T318+U318)/S318*100%))</f>
        <v>1</v>
      </c>
      <c r="Y318" s="432"/>
      <c r="Z318" s="464">
        <f t="shared" ref="Z318:Z320" si="123">SUM(AA318:AD318)</f>
        <v>1</v>
      </c>
      <c r="AA318" s="465"/>
      <c r="AB318" s="465"/>
      <c r="AC318" s="465">
        <v>1</v>
      </c>
      <c r="AD318" s="465"/>
      <c r="AE318" s="466">
        <f t="shared" ref="AE318:AE320" si="124">IF((Z318=0),0,((AA318+AB318)/Z318*100%))</f>
        <v>0</v>
      </c>
      <c r="AF318" s="571" t="s">
        <v>1168</v>
      </c>
      <c r="AG318" s="433" t="str">
        <f>VLOOKUP(A318,'Feature Summary'!$A$7:$U$4104,21,FALSE)</f>
        <v>A/B + 8wks</v>
      </c>
      <c r="AH318" s="580" t="s">
        <v>1169</v>
      </c>
    </row>
    <row r="319" spans="1:34" ht="75.75" thickBot="1" x14ac:dyDescent="0.3">
      <c r="A319" s="316" t="s">
        <v>1181</v>
      </c>
      <c r="B319" s="533" t="s">
        <v>1182</v>
      </c>
      <c r="C319" s="308" t="s">
        <v>406</v>
      </c>
      <c r="D319" s="309" t="s">
        <v>388</v>
      </c>
      <c r="E319" s="308"/>
      <c r="F319" s="533" t="s">
        <v>1183</v>
      </c>
      <c r="G319" s="231" t="str">
        <f>VLOOKUP(A319,'Feature Summary'!$A$7:$C$4104,3,FALSE)</f>
        <v>P1</v>
      </c>
      <c r="H319" s="540" t="s">
        <v>1185</v>
      </c>
      <c r="I319" s="540" t="s">
        <v>309</v>
      </c>
      <c r="J319" s="541" t="s">
        <v>1171</v>
      </c>
      <c r="K319" s="548">
        <v>7</v>
      </c>
      <c r="L319" s="549">
        <v>1</v>
      </c>
      <c r="M319" s="545" t="s">
        <v>33</v>
      </c>
      <c r="N319" s="445">
        <v>1</v>
      </c>
      <c r="O319" s="443">
        <v>1</v>
      </c>
      <c r="P319" s="447">
        <f t="shared" si="112"/>
        <v>1</v>
      </c>
      <c r="Q319" s="431"/>
      <c r="R319" s="309">
        <v>1</v>
      </c>
      <c r="S319" s="477">
        <f t="shared" si="121"/>
        <v>1</v>
      </c>
      <c r="T319" s="465">
        <v>1</v>
      </c>
      <c r="U319" s="465"/>
      <c r="V319" s="465"/>
      <c r="W319" s="465"/>
      <c r="X319" s="478">
        <f t="shared" si="122"/>
        <v>1</v>
      </c>
      <c r="Y319" s="432"/>
      <c r="Z319" s="464">
        <f t="shared" si="123"/>
        <v>1</v>
      </c>
      <c r="AA319" s="465"/>
      <c r="AB319" s="465"/>
      <c r="AC319" s="465">
        <v>1</v>
      </c>
      <c r="AD319" s="465"/>
      <c r="AE319" s="466">
        <f t="shared" si="124"/>
        <v>0</v>
      </c>
      <c r="AF319" s="308" t="s">
        <v>1172</v>
      </c>
      <c r="AG319" s="433" t="str">
        <f>VLOOKUP(A319,'Feature Summary'!$A$7:$U$4104,21,FALSE)</f>
        <v>A/B + 8wks</v>
      </c>
      <c r="AH319" s="580" t="s">
        <v>1169</v>
      </c>
    </row>
    <row r="320" spans="1:34" ht="75.75" thickBot="1" x14ac:dyDescent="0.3">
      <c r="A320" s="316" t="s">
        <v>1181</v>
      </c>
      <c r="B320" s="533" t="s">
        <v>1182</v>
      </c>
      <c r="C320" s="308" t="s">
        <v>406</v>
      </c>
      <c r="D320" s="309" t="s">
        <v>388</v>
      </c>
      <c r="E320" s="308"/>
      <c r="F320" s="533" t="s">
        <v>1183</v>
      </c>
      <c r="G320" s="231" t="str">
        <f>VLOOKUP(A320,'Feature Summary'!$A$7:$C$4104,3,FALSE)</f>
        <v>P1</v>
      </c>
      <c r="H320" s="540" t="s">
        <v>1186</v>
      </c>
      <c r="I320" s="540" t="s">
        <v>309</v>
      </c>
      <c r="J320" s="541" t="s">
        <v>1174</v>
      </c>
      <c r="K320" s="548">
        <v>7</v>
      </c>
      <c r="L320" s="549">
        <v>1</v>
      </c>
      <c r="M320" s="545" t="s">
        <v>33</v>
      </c>
      <c r="N320" s="445">
        <v>1</v>
      </c>
      <c r="O320" s="443">
        <v>1</v>
      </c>
      <c r="P320" s="447">
        <f t="shared" ref="P320:P354" si="125">IF((O320=0),0,(O320/L320))</f>
        <v>1</v>
      </c>
      <c r="Q320" s="431"/>
      <c r="R320" s="309">
        <v>1</v>
      </c>
      <c r="S320" s="477">
        <f t="shared" si="121"/>
        <v>1</v>
      </c>
      <c r="T320" s="465">
        <v>1</v>
      </c>
      <c r="U320" s="465"/>
      <c r="V320" s="465"/>
      <c r="W320" s="465"/>
      <c r="X320" s="478">
        <f t="shared" si="122"/>
        <v>1</v>
      </c>
      <c r="Y320" s="432"/>
      <c r="Z320" s="464">
        <f t="shared" si="123"/>
        <v>1</v>
      </c>
      <c r="AA320" s="465"/>
      <c r="AB320" s="465"/>
      <c r="AC320" s="465">
        <v>1</v>
      </c>
      <c r="AD320" s="465"/>
      <c r="AE320" s="466">
        <f t="shared" si="124"/>
        <v>0</v>
      </c>
      <c r="AF320" s="571" t="s">
        <v>1175</v>
      </c>
      <c r="AG320" s="433" t="str">
        <f>VLOOKUP(A320,'Feature Summary'!$A$7:$U$4104,21,FALSE)</f>
        <v>A/B + 8wks</v>
      </c>
      <c r="AH320" s="580" t="s">
        <v>1169</v>
      </c>
    </row>
    <row r="321" spans="1:34" ht="90.75" thickBot="1" x14ac:dyDescent="0.3">
      <c r="A321" s="316" t="s">
        <v>1181</v>
      </c>
      <c r="B321" s="533" t="s">
        <v>1182</v>
      </c>
      <c r="C321" s="308" t="s">
        <v>406</v>
      </c>
      <c r="D321" s="309" t="s">
        <v>388</v>
      </c>
      <c r="E321" s="308"/>
      <c r="F321" s="533" t="s">
        <v>1183</v>
      </c>
      <c r="G321" s="231" t="str">
        <f>VLOOKUP(A321,'Feature Summary'!$A$7:$C$4104,3,FALSE)</f>
        <v>P1</v>
      </c>
      <c r="H321" s="540" t="s">
        <v>1187</v>
      </c>
      <c r="I321" s="540" t="s">
        <v>309</v>
      </c>
      <c r="J321" s="541" t="s">
        <v>1188</v>
      </c>
      <c r="K321" s="548">
        <v>7</v>
      </c>
      <c r="L321" s="549">
        <v>1</v>
      </c>
      <c r="M321" s="545" t="s">
        <v>33</v>
      </c>
      <c r="N321" s="445">
        <v>1</v>
      </c>
      <c r="O321" s="443">
        <v>1</v>
      </c>
      <c r="P321" s="447">
        <f t="shared" si="125"/>
        <v>1</v>
      </c>
      <c r="Q321" s="431"/>
      <c r="R321" s="309">
        <v>1</v>
      </c>
      <c r="S321" s="477">
        <f t="shared" si="104"/>
        <v>1</v>
      </c>
      <c r="T321" s="465">
        <v>1</v>
      </c>
      <c r="U321" s="465"/>
      <c r="V321" s="465"/>
      <c r="W321" s="465"/>
      <c r="X321" s="478">
        <f t="shared" si="105"/>
        <v>1</v>
      </c>
      <c r="Y321" s="432"/>
      <c r="Z321" s="464">
        <f t="shared" si="110"/>
        <v>1</v>
      </c>
      <c r="AA321" s="465"/>
      <c r="AB321" s="465"/>
      <c r="AC321" s="465">
        <v>1</v>
      </c>
      <c r="AD321" s="465"/>
      <c r="AE321" s="466">
        <f t="shared" si="111"/>
        <v>0</v>
      </c>
      <c r="AF321" s="571" t="s">
        <v>1172</v>
      </c>
      <c r="AG321" s="433" t="str">
        <f>VLOOKUP(A321,'Feature Summary'!$A$7:$U$4104,21,FALSE)</f>
        <v>A/B + 8wks</v>
      </c>
      <c r="AH321" s="580" t="s">
        <v>1169</v>
      </c>
    </row>
    <row r="322" spans="1:34" ht="15.75" hidden="1" thickBot="1" x14ac:dyDescent="0.3">
      <c r="A322" s="564"/>
      <c r="B322" s="533"/>
      <c r="C322" s="308"/>
      <c r="D322" s="309"/>
      <c r="E322" s="308"/>
      <c r="F322" s="576"/>
      <c r="G322" s="231"/>
      <c r="H322" s="540"/>
      <c r="I322" s="540"/>
      <c r="J322" s="541"/>
      <c r="K322" s="548"/>
      <c r="L322" s="549"/>
      <c r="M322" s="404"/>
      <c r="N322" s="445"/>
      <c r="O322" s="443"/>
      <c r="P322" s="447"/>
      <c r="Q322" s="431"/>
      <c r="R322" s="309"/>
      <c r="S322" s="477"/>
      <c r="T322" s="465"/>
      <c r="U322" s="465"/>
      <c r="V322" s="465"/>
      <c r="W322" s="465"/>
      <c r="X322" s="478"/>
      <c r="Y322" s="432"/>
      <c r="Z322" s="464"/>
      <c r="AA322" s="465"/>
      <c r="AB322" s="465"/>
      <c r="AC322" s="465"/>
      <c r="AD322" s="465"/>
      <c r="AE322" s="466"/>
      <c r="AF322" s="308"/>
      <c r="AG322" s="433"/>
      <c r="AH322" s="564"/>
    </row>
    <row r="323" spans="1:34" s="605" customFormat="1" ht="45.75" hidden="1" thickBot="1" x14ac:dyDescent="0.3">
      <c r="A323" s="611" t="s">
        <v>1189</v>
      </c>
      <c r="B323" s="586" t="s">
        <v>1190</v>
      </c>
      <c r="C323" s="587" t="s">
        <v>366</v>
      </c>
      <c r="D323" s="597" t="s">
        <v>306</v>
      </c>
      <c r="E323" s="587"/>
      <c r="F323" s="606" t="s">
        <v>1191</v>
      </c>
      <c r="G323" s="589" t="str">
        <f>VLOOKUP(A323,'Feature Summary'!$A$7:$C$4104,3,FALSE)</f>
        <v>P1</v>
      </c>
      <c r="H323" s="590" t="s">
        <v>1192</v>
      </c>
      <c r="I323" s="540" t="s">
        <v>309</v>
      </c>
      <c r="J323" s="591" t="s">
        <v>327</v>
      </c>
      <c r="K323" s="592"/>
      <c r="L323" s="593"/>
      <c r="M323" s="545" t="s">
        <v>33</v>
      </c>
      <c r="N323" s="445">
        <v>1</v>
      </c>
      <c r="O323" s="443"/>
      <c r="P323" s="447">
        <f t="shared" si="125"/>
        <v>0</v>
      </c>
      <c r="Q323" s="596"/>
      <c r="R323" s="597"/>
      <c r="S323" s="598">
        <f t="shared" si="104"/>
        <v>0</v>
      </c>
      <c r="T323" s="465"/>
      <c r="U323" s="599"/>
      <c r="V323" s="599"/>
      <c r="W323" s="599"/>
      <c r="X323" s="600">
        <f t="shared" si="105"/>
        <v>0</v>
      </c>
      <c r="Y323" s="601"/>
      <c r="Z323" s="602">
        <f t="shared" si="110"/>
        <v>0</v>
      </c>
      <c r="AA323" s="465"/>
      <c r="AB323" s="599"/>
      <c r="AC323" s="599"/>
      <c r="AD323" s="599"/>
      <c r="AE323" s="603">
        <f t="shared" si="111"/>
        <v>0</v>
      </c>
      <c r="AF323" s="308"/>
      <c r="AG323" s="609" t="str">
        <f>VLOOKUP(A323,'Feature Summary'!$A$7:$U$4104,21,FALSE)</f>
        <v>A/B + 5wks</v>
      </c>
      <c r="AH323" s="604" t="s">
        <v>1193</v>
      </c>
    </row>
    <row r="324" spans="1:34" ht="105.75" thickBot="1" x14ac:dyDescent="0.3">
      <c r="A324" s="564" t="s">
        <v>1194</v>
      </c>
      <c r="B324" s="533" t="s">
        <v>1195</v>
      </c>
      <c r="C324" s="308" t="s">
        <v>366</v>
      </c>
      <c r="D324" s="309" t="s">
        <v>388</v>
      </c>
      <c r="E324" s="308"/>
      <c r="F324" s="571" t="s">
        <v>1196</v>
      </c>
      <c r="G324" s="231" t="str">
        <f>VLOOKUP(A324,'Feature Summary'!$A$7:$C$4104,3,FALSE)</f>
        <v>P1</v>
      </c>
      <c r="H324" s="540" t="s">
        <v>724</v>
      </c>
      <c r="I324" s="540" t="s">
        <v>309</v>
      </c>
      <c r="J324" s="541" t="s">
        <v>327</v>
      </c>
      <c r="K324" s="548">
        <v>4</v>
      </c>
      <c r="L324" s="549">
        <v>1</v>
      </c>
      <c r="M324" s="545" t="s">
        <v>33</v>
      </c>
      <c r="N324" s="445">
        <v>1</v>
      </c>
      <c r="O324" s="443">
        <v>1</v>
      </c>
      <c r="P324" s="447">
        <f>IF((O324=0),0,(O324/L324))</f>
        <v>1</v>
      </c>
      <c r="Q324" s="431" t="s">
        <v>46</v>
      </c>
      <c r="R324" s="309">
        <v>1</v>
      </c>
      <c r="S324" s="477">
        <f t="shared" si="104"/>
        <v>1</v>
      </c>
      <c r="T324" s="465">
        <v>1</v>
      </c>
      <c r="U324" s="465"/>
      <c r="V324" s="465"/>
      <c r="W324" s="465"/>
      <c r="X324" s="478">
        <f t="shared" si="105"/>
        <v>1</v>
      </c>
      <c r="Y324" s="432"/>
      <c r="Z324" s="464">
        <f t="shared" si="110"/>
        <v>1</v>
      </c>
      <c r="AA324" s="465">
        <v>1</v>
      </c>
      <c r="AB324" s="465"/>
      <c r="AC324" s="465"/>
      <c r="AD324" s="465"/>
      <c r="AE324" s="466">
        <f t="shared" si="111"/>
        <v>1</v>
      </c>
      <c r="AF324" s="308" t="s">
        <v>311</v>
      </c>
      <c r="AG324" s="433" t="str">
        <f>VLOOKUP(A324,'Feature Summary'!$A$7:$U$4104,21,FALSE)</f>
        <v>A/B + 5wks</v>
      </c>
      <c r="AH324" s="580" t="s">
        <v>1197</v>
      </c>
    </row>
    <row r="325" spans="1:34" ht="180.75" thickBot="1" x14ac:dyDescent="0.3">
      <c r="A325" s="316" t="s">
        <v>1198</v>
      </c>
      <c r="B325" s="533" t="s">
        <v>1199</v>
      </c>
      <c r="C325" s="308" t="s">
        <v>341</v>
      </c>
      <c r="D325" s="309" t="s">
        <v>306</v>
      </c>
      <c r="E325" s="308"/>
      <c r="F325" s="571" t="s">
        <v>1200</v>
      </c>
      <c r="G325" s="231" t="e">
        <f>VLOOKUP(A325,'Feature Summary'!$A$7:$C$4104,3,FALSE)</f>
        <v>#N/A</v>
      </c>
      <c r="H325" s="540" t="s">
        <v>1201</v>
      </c>
      <c r="I325" s="540" t="s">
        <v>309</v>
      </c>
      <c r="J325" s="541" t="s">
        <v>327</v>
      </c>
      <c r="K325" s="548">
        <v>12</v>
      </c>
      <c r="L325" s="549">
        <v>1</v>
      </c>
      <c r="M325" s="545" t="s">
        <v>38</v>
      </c>
      <c r="N325" s="445">
        <v>1</v>
      </c>
      <c r="O325" s="443">
        <v>1</v>
      </c>
      <c r="P325" s="447">
        <f t="shared" si="125"/>
        <v>1</v>
      </c>
      <c r="Q325" s="431"/>
      <c r="R325" s="309">
        <v>1</v>
      </c>
      <c r="S325" s="477">
        <f t="shared" si="104"/>
        <v>1</v>
      </c>
      <c r="T325" s="465">
        <v>1</v>
      </c>
      <c r="U325" s="465"/>
      <c r="V325" s="465"/>
      <c r="W325" s="465"/>
      <c r="X325" s="478">
        <f t="shared" si="105"/>
        <v>1</v>
      </c>
      <c r="Y325" s="432"/>
      <c r="Z325" s="464">
        <f t="shared" si="110"/>
        <v>1</v>
      </c>
      <c r="AA325" s="465"/>
      <c r="AB325" s="465"/>
      <c r="AC325" s="465"/>
      <c r="AD325" s="465">
        <v>1</v>
      </c>
      <c r="AE325" s="466">
        <f t="shared" si="111"/>
        <v>0</v>
      </c>
      <c r="AF325" s="308" t="s">
        <v>1202</v>
      </c>
      <c r="AG325" s="433" t="str">
        <f>VLOOKUP(LEFT(A325,(FIND(",",A325,1)-1)),'Feature Summary'!$A$7:$U$4035,21,FALSE)</f>
        <v>A/B + 5wks</v>
      </c>
      <c r="AH325" s="579" t="s">
        <v>1203</v>
      </c>
    </row>
    <row r="326" spans="1:34" s="605" customFormat="1" ht="75.75" hidden="1" thickBot="1" x14ac:dyDescent="0.3">
      <c r="A326" s="585" t="s">
        <v>1204</v>
      </c>
      <c r="B326" s="586" t="s">
        <v>1205</v>
      </c>
      <c r="C326" s="587" t="s">
        <v>366</v>
      </c>
      <c r="D326" s="597" t="s">
        <v>306</v>
      </c>
      <c r="E326" s="587"/>
      <c r="F326" s="606" t="s">
        <v>1206</v>
      </c>
      <c r="G326" s="589" t="s">
        <v>254</v>
      </c>
      <c r="H326" s="590" t="s">
        <v>1207</v>
      </c>
      <c r="I326" s="590" t="s">
        <v>309</v>
      </c>
      <c r="J326" s="591" t="s">
        <v>1208</v>
      </c>
      <c r="K326" s="592"/>
      <c r="L326" s="593"/>
      <c r="M326" s="594" t="s">
        <v>33</v>
      </c>
      <c r="N326" s="646">
        <v>1</v>
      </c>
      <c r="O326" s="647"/>
      <c r="P326" s="595">
        <f t="shared" si="125"/>
        <v>0</v>
      </c>
      <c r="Q326" s="596"/>
      <c r="R326" s="597"/>
      <c r="S326" s="598">
        <v>0</v>
      </c>
      <c r="T326" s="599"/>
      <c r="U326" s="599"/>
      <c r="V326" s="599"/>
      <c r="W326" s="599"/>
      <c r="X326" s="600">
        <v>0</v>
      </c>
      <c r="Y326" s="601"/>
      <c r="Z326" s="602">
        <f t="shared" si="110"/>
        <v>0</v>
      </c>
      <c r="AA326" s="599"/>
      <c r="AB326" s="599"/>
      <c r="AC326" s="599" t="s">
        <v>622</v>
      </c>
      <c r="AD326" s="599"/>
      <c r="AE326" s="603">
        <v>1</v>
      </c>
      <c r="AF326" s="587"/>
      <c r="AG326" s="609" t="e">
        <f>VLOOKUP(A326,'Feature Summary'!$A$7:$U$4104,21,FALSE)</f>
        <v>#N/A</v>
      </c>
      <c r="AH326" s="606" t="s">
        <v>1209</v>
      </c>
    </row>
    <row r="327" spans="1:34" s="605" customFormat="1" ht="90.75" hidden="1" thickBot="1" x14ac:dyDescent="0.3">
      <c r="A327" s="585" t="s">
        <v>1204</v>
      </c>
      <c r="B327" s="586" t="s">
        <v>1205</v>
      </c>
      <c r="C327" s="587" t="s">
        <v>366</v>
      </c>
      <c r="D327" s="597" t="s">
        <v>306</v>
      </c>
      <c r="E327" s="587"/>
      <c r="F327" s="606" t="s">
        <v>1210</v>
      </c>
      <c r="G327" s="589" t="s">
        <v>254</v>
      </c>
      <c r="H327" s="590" t="s">
        <v>1211</v>
      </c>
      <c r="I327" s="590" t="s">
        <v>309</v>
      </c>
      <c r="J327" s="591" t="s">
        <v>1208</v>
      </c>
      <c r="K327" s="592"/>
      <c r="L327" s="593"/>
      <c r="M327" s="594" t="s">
        <v>33</v>
      </c>
      <c r="N327" s="646">
        <v>1</v>
      </c>
      <c r="O327" s="647"/>
      <c r="P327" s="595">
        <f t="shared" si="125"/>
        <v>0</v>
      </c>
      <c r="Q327" s="596"/>
      <c r="R327" s="597"/>
      <c r="S327" s="598">
        <v>0</v>
      </c>
      <c r="T327" s="599"/>
      <c r="U327" s="599"/>
      <c r="V327" s="599"/>
      <c r="W327" s="599"/>
      <c r="X327" s="600">
        <v>0</v>
      </c>
      <c r="Y327" s="601"/>
      <c r="Z327" s="602">
        <f t="shared" si="110"/>
        <v>0</v>
      </c>
      <c r="AA327" s="599"/>
      <c r="AB327" s="599"/>
      <c r="AC327" s="599" t="s">
        <v>622</v>
      </c>
      <c r="AD327" s="599"/>
      <c r="AE327" s="603">
        <v>1</v>
      </c>
      <c r="AF327" s="587"/>
      <c r="AG327" s="609" t="e">
        <f>VLOOKUP(A327,'Feature Summary'!$A$7:$U$4104,21,FALSE)</f>
        <v>#N/A</v>
      </c>
      <c r="AH327" s="606" t="s">
        <v>1209</v>
      </c>
    </row>
    <row r="328" spans="1:34" s="605" customFormat="1" ht="75.75" hidden="1" thickBot="1" x14ac:dyDescent="0.3">
      <c r="A328" s="585" t="s">
        <v>1204</v>
      </c>
      <c r="B328" s="586" t="s">
        <v>1205</v>
      </c>
      <c r="C328" s="587" t="s">
        <v>366</v>
      </c>
      <c r="D328" s="597" t="s">
        <v>306</v>
      </c>
      <c r="E328" s="587"/>
      <c r="F328" s="606" t="s">
        <v>1212</v>
      </c>
      <c r="G328" s="589" t="s">
        <v>254</v>
      </c>
      <c r="H328" s="590" t="s">
        <v>1213</v>
      </c>
      <c r="I328" s="590" t="s">
        <v>309</v>
      </c>
      <c r="J328" s="591" t="s">
        <v>1208</v>
      </c>
      <c r="K328" s="592"/>
      <c r="L328" s="593"/>
      <c r="M328" s="594" t="s">
        <v>33</v>
      </c>
      <c r="N328" s="646">
        <v>1</v>
      </c>
      <c r="O328" s="647"/>
      <c r="P328" s="595">
        <f t="shared" si="125"/>
        <v>0</v>
      </c>
      <c r="Q328" s="596"/>
      <c r="R328" s="597"/>
      <c r="S328" s="598">
        <v>0</v>
      </c>
      <c r="T328" s="599"/>
      <c r="U328" s="599"/>
      <c r="V328" s="599"/>
      <c r="W328" s="599"/>
      <c r="X328" s="600">
        <v>0</v>
      </c>
      <c r="Y328" s="601"/>
      <c r="Z328" s="602">
        <f t="shared" si="110"/>
        <v>0</v>
      </c>
      <c r="AA328" s="599"/>
      <c r="AB328" s="599"/>
      <c r="AC328" s="599" t="s">
        <v>622</v>
      </c>
      <c r="AD328" s="599"/>
      <c r="AE328" s="603">
        <v>1</v>
      </c>
      <c r="AF328" s="587"/>
      <c r="AG328" s="609" t="e">
        <f>VLOOKUP(A328,'Feature Summary'!$A$7:$U$4104,21,FALSE)</f>
        <v>#N/A</v>
      </c>
      <c r="AH328" s="606" t="s">
        <v>1209</v>
      </c>
    </row>
    <row r="329" spans="1:34" s="605" customFormat="1" ht="105.75" hidden="1" thickBot="1" x14ac:dyDescent="0.3">
      <c r="A329" s="585" t="s">
        <v>1204</v>
      </c>
      <c r="B329" s="586" t="s">
        <v>1205</v>
      </c>
      <c r="C329" s="587" t="s">
        <v>366</v>
      </c>
      <c r="D329" s="597" t="s">
        <v>306</v>
      </c>
      <c r="E329" s="587"/>
      <c r="F329" s="606" t="s">
        <v>1214</v>
      </c>
      <c r="G329" s="589" t="s">
        <v>254</v>
      </c>
      <c r="H329" s="590" t="s">
        <v>1215</v>
      </c>
      <c r="I329" s="590" t="s">
        <v>309</v>
      </c>
      <c r="J329" s="591" t="s">
        <v>1208</v>
      </c>
      <c r="K329" s="592"/>
      <c r="L329" s="593"/>
      <c r="M329" s="594" t="s">
        <v>33</v>
      </c>
      <c r="N329" s="646">
        <v>1</v>
      </c>
      <c r="O329" s="647"/>
      <c r="P329" s="595">
        <f t="shared" si="125"/>
        <v>0</v>
      </c>
      <c r="Q329" s="596"/>
      <c r="R329" s="597"/>
      <c r="S329" s="598">
        <v>0</v>
      </c>
      <c r="T329" s="599"/>
      <c r="U329" s="599"/>
      <c r="V329" s="599"/>
      <c r="W329" s="599"/>
      <c r="X329" s="600">
        <v>0</v>
      </c>
      <c r="Y329" s="601"/>
      <c r="Z329" s="602">
        <f t="shared" si="110"/>
        <v>0</v>
      </c>
      <c r="AA329" s="599"/>
      <c r="AB329" s="599"/>
      <c r="AC329" s="599" t="s">
        <v>622</v>
      </c>
      <c r="AD329" s="599" t="s">
        <v>622</v>
      </c>
      <c r="AE329" s="603">
        <v>1</v>
      </c>
      <c r="AF329" s="587"/>
      <c r="AG329" s="609" t="e">
        <f>VLOOKUP(A329,'Feature Summary'!$A$7:$U$4104,21,FALSE)</f>
        <v>#N/A</v>
      </c>
      <c r="AH329" s="606" t="s">
        <v>1209</v>
      </c>
    </row>
    <row r="330" spans="1:34" s="605" customFormat="1" ht="135.75" hidden="1" thickBot="1" x14ac:dyDescent="0.3">
      <c r="A330" s="585" t="s">
        <v>1204</v>
      </c>
      <c r="B330" s="586" t="s">
        <v>1205</v>
      </c>
      <c r="C330" s="587" t="s">
        <v>366</v>
      </c>
      <c r="D330" s="597" t="s">
        <v>306</v>
      </c>
      <c r="E330" s="587"/>
      <c r="F330" s="606" t="s">
        <v>1216</v>
      </c>
      <c r="G330" s="589" t="s">
        <v>254</v>
      </c>
      <c r="H330" s="590" t="s">
        <v>1217</v>
      </c>
      <c r="I330" s="590" t="s">
        <v>309</v>
      </c>
      <c r="J330" s="591" t="s">
        <v>1208</v>
      </c>
      <c r="K330" s="592"/>
      <c r="L330" s="593"/>
      <c r="M330" s="594" t="s">
        <v>33</v>
      </c>
      <c r="N330" s="646">
        <v>1</v>
      </c>
      <c r="O330" s="647"/>
      <c r="P330" s="595">
        <f t="shared" si="125"/>
        <v>0</v>
      </c>
      <c r="Q330" s="596"/>
      <c r="R330" s="597"/>
      <c r="S330" s="598">
        <v>0</v>
      </c>
      <c r="T330" s="599"/>
      <c r="U330" s="599"/>
      <c r="V330" s="599"/>
      <c r="W330" s="599"/>
      <c r="X330" s="600">
        <v>0</v>
      </c>
      <c r="Y330" s="601"/>
      <c r="Z330" s="602">
        <f t="shared" si="110"/>
        <v>0</v>
      </c>
      <c r="AA330" s="599"/>
      <c r="AB330" s="599"/>
      <c r="AC330" s="599" t="s">
        <v>622</v>
      </c>
      <c r="AD330" s="599"/>
      <c r="AE330" s="603">
        <v>1</v>
      </c>
      <c r="AF330" s="587"/>
      <c r="AG330" s="609" t="e">
        <f>VLOOKUP(A330,'Feature Summary'!$A$7:$U$4104,21,FALSE)</f>
        <v>#N/A</v>
      </c>
      <c r="AH330" s="606" t="s">
        <v>1209</v>
      </c>
    </row>
    <row r="331" spans="1:34" s="605" customFormat="1" ht="120.75" hidden="1" thickBot="1" x14ac:dyDescent="0.3">
      <c r="A331" s="585" t="s">
        <v>1204</v>
      </c>
      <c r="B331" s="586" t="s">
        <v>1205</v>
      </c>
      <c r="C331" s="587" t="s">
        <v>366</v>
      </c>
      <c r="D331" s="597" t="s">
        <v>306</v>
      </c>
      <c r="E331" s="587"/>
      <c r="F331" s="606" t="s">
        <v>1218</v>
      </c>
      <c r="G331" s="589" t="s">
        <v>254</v>
      </c>
      <c r="H331" s="590" t="s">
        <v>1219</v>
      </c>
      <c r="I331" s="590" t="s">
        <v>309</v>
      </c>
      <c r="J331" s="591" t="s">
        <v>1208</v>
      </c>
      <c r="K331" s="592"/>
      <c r="L331" s="593"/>
      <c r="M331" s="594" t="s">
        <v>33</v>
      </c>
      <c r="N331" s="646">
        <v>1</v>
      </c>
      <c r="O331" s="647"/>
      <c r="P331" s="595">
        <f t="shared" si="125"/>
        <v>0</v>
      </c>
      <c r="Q331" s="596"/>
      <c r="R331" s="597"/>
      <c r="S331" s="598">
        <v>0</v>
      </c>
      <c r="T331" s="599"/>
      <c r="U331" s="599"/>
      <c r="V331" s="599"/>
      <c r="W331" s="599"/>
      <c r="X331" s="600">
        <v>0</v>
      </c>
      <c r="Y331" s="601"/>
      <c r="Z331" s="602">
        <f t="shared" si="110"/>
        <v>0</v>
      </c>
      <c r="AA331" s="599"/>
      <c r="AB331" s="599"/>
      <c r="AC331" s="599" t="s">
        <v>622</v>
      </c>
      <c r="AD331" s="599"/>
      <c r="AE331" s="603">
        <v>1</v>
      </c>
      <c r="AF331" s="587"/>
      <c r="AG331" s="609" t="e">
        <f>VLOOKUP(A331,'Feature Summary'!$A$7:$U$4104,21,FALSE)</f>
        <v>#N/A</v>
      </c>
      <c r="AH331" s="606" t="s">
        <v>1209</v>
      </c>
    </row>
    <row r="332" spans="1:34" ht="75.75" thickBot="1" x14ac:dyDescent="0.3">
      <c r="A332" s="564" t="s">
        <v>1220</v>
      </c>
      <c r="B332" s="533" t="s">
        <v>1221</v>
      </c>
      <c r="C332" s="308" t="s">
        <v>341</v>
      </c>
      <c r="D332" s="309" t="s">
        <v>388</v>
      </c>
      <c r="E332" s="308"/>
      <c r="F332" s="533" t="s">
        <v>1222</v>
      </c>
      <c r="G332" s="231" t="str">
        <f>VLOOKUP(A332,'Feature Summary'!$A$7:$C$4104,3,FALSE)</f>
        <v>P2</v>
      </c>
      <c r="H332" s="540" t="s">
        <v>1223</v>
      </c>
      <c r="I332" s="540" t="s">
        <v>309</v>
      </c>
      <c r="J332" s="541" t="s">
        <v>887</v>
      </c>
      <c r="K332" s="548">
        <v>6</v>
      </c>
      <c r="L332" s="549">
        <v>2</v>
      </c>
      <c r="M332" s="545" t="s">
        <v>33</v>
      </c>
      <c r="N332" s="445">
        <v>1</v>
      </c>
      <c r="O332" s="443">
        <v>2</v>
      </c>
      <c r="P332" s="447">
        <f t="shared" si="125"/>
        <v>1</v>
      </c>
      <c r="Q332" s="431"/>
      <c r="R332" s="309">
        <v>2</v>
      </c>
      <c r="S332" s="477">
        <f>SUM(T332:W332)</f>
        <v>2</v>
      </c>
      <c r="T332" s="465">
        <v>2</v>
      </c>
      <c r="U332" s="465"/>
      <c r="V332" s="465"/>
      <c r="W332" s="465"/>
      <c r="X332" s="478">
        <f t="shared" si="105"/>
        <v>1</v>
      </c>
      <c r="Y332" s="432"/>
      <c r="Z332" s="464">
        <f t="shared" si="110"/>
        <v>2</v>
      </c>
      <c r="AA332" s="465">
        <v>2</v>
      </c>
      <c r="AB332" s="465"/>
      <c r="AC332" s="465"/>
      <c r="AD332" s="465"/>
      <c r="AE332" s="466">
        <f>IF((Z332=0),0,((AA332+AB332)/Z332*100%))</f>
        <v>1</v>
      </c>
      <c r="AF332" s="308" t="s">
        <v>788</v>
      </c>
      <c r="AG332" s="433" t="str">
        <f>VLOOKUP(A332,'Feature Summary'!$A$7:$U$4104,21,FALSE)</f>
        <v>A/B + 8wks</v>
      </c>
      <c r="AH332" s="580" t="s">
        <v>1224</v>
      </c>
    </row>
    <row r="333" spans="1:34" ht="15.75" hidden="1" thickBot="1" x14ac:dyDescent="0.3">
      <c r="A333" s="316"/>
      <c r="B333" s="533"/>
      <c r="C333" s="308"/>
      <c r="D333" s="536"/>
      <c r="E333" s="308"/>
      <c r="F333" s="577"/>
      <c r="G333" s="231"/>
      <c r="H333" s="540"/>
      <c r="I333" s="540"/>
      <c r="J333" s="541"/>
      <c r="K333" s="548"/>
      <c r="L333" s="549"/>
      <c r="M333" s="545"/>
      <c r="N333" s="445"/>
      <c r="O333" s="443"/>
      <c r="P333" s="447"/>
      <c r="Q333" s="431"/>
      <c r="R333" s="309"/>
      <c r="S333" s="477"/>
      <c r="T333" s="465"/>
      <c r="U333" s="465"/>
      <c r="V333" s="465"/>
      <c r="W333" s="465"/>
      <c r="X333" s="478"/>
      <c r="Y333" s="432"/>
      <c r="Z333" s="464"/>
      <c r="AA333" s="465"/>
      <c r="AB333" s="465"/>
      <c r="AC333" s="465"/>
      <c r="AD333" s="465"/>
      <c r="AE333" s="466"/>
      <c r="AF333" s="308"/>
      <c r="AG333" s="433"/>
      <c r="AH333" s="316"/>
    </row>
    <row r="334" spans="1:34" ht="60.75" hidden="1" thickBot="1" x14ac:dyDescent="0.3">
      <c r="A334" s="316" t="s">
        <v>1225</v>
      </c>
      <c r="B334" s="533" t="s">
        <v>1226</v>
      </c>
      <c r="C334" s="308"/>
      <c r="D334" s="309" t="s">
        <v>388</v>
      </c>
      <c r="E334" s="308"/>
      <c r="F334" s="577" t="s">
        <v>1227</v>
      </c>
      <c r="G334" s="231" t="str">
        <f>VLOOKUP(A334,'Feature Summary'!$A$7:$C$4104,3,FALSE)</f>
        <v>P1</v>
      </c>
      <c r="H334" s="540" t="s">
        <v>1228</v>
      </c>
      <c r="I334" s="540" t="s">
        <v>309</v>
      </c>
      <c r="J334" s="541"/>
      <c r="K334" s="548"/>
      <c r="L334" s="549"/>
      <c r="M334" s="545" t="s">
        <v>33</v>
      </c>
      <c r="N334" s="445">
        <v>1</v>
      </c>
      <c r="O334" s="443"/>
      <c r="P334" s="447">
        <f t="shared" si="125"/>
        <v>0</v>
      </c>
      <c r="Q334" s="431" t="s">
        <v>44</v>
      </c>
      <c r="R334" s="309"/>
      <c r="S334" s="477">
        <f t="shared" ref="S334:S335" si="126">SUM(T334:W334)</f>
        <v>0</v>
      </c>
      <c r="T334" s="465"/>
      <c r="U334" s="465"/>
      <c r="V334" s="465"/>
      <c r="W334" s="465"/>
      <c r="X334" s="478">
        <f t="shared" ref="X334:X335" si="127">IF((S334=0),0,((T334+U334)/S334*100%))</f>
        <v>0</v>
      </c>
      <c r="Y334" s="432"/>
      <c r="Z334" s="464">
        <f t="shared" ref="Z334:Z335" si="128">SUM(AA334:AD334)</f>
        <v>0</v>
      </c>
      <c r="AA334" s="465"/>
      <c r="AB334" s="465"/>
      <c r="AC334" s="465"/>
      <c r="AD334" s="465"/>
      <c r="AE334" s="466">
        <f t="shared" ref="AE334:AE335" si="129">IF((Z334=0),0,((AA334+AB334)/Z334*100%))</f>
        <v>0</v>
      </c>
      <c r="AF334" s="308"/>
      <c r="AG334" s="433" t="str">
        <f>VLOOKUP(A334,'Feature Summary'!$A$7:$U$4104,21,FALSE)</f>
        <v>A/B + 6wks</v>
      </c>
      <c r="AH334" s="316" t="s">
        <v>1229</v>
      </c>
    </row>
    <row r="335" spans="1:34" ht="60.75" hidden="1" thickBot="1" x14ac:dyDescent="0.3">
      <c r="A335" s="564" t="s">
        <v>1230</v>
      </c>
      <c r="B335" s="533" t="s">
        <v>1231</v>
      </c>
      <c r="C335" s="308"/>
      <c r="D335" s="309" t="s">
        <v>388</v>
      </c>
      <c r="E335" s="308"/>
      <c r="F335" s="577" t="s">
        <v>1227</v>
      </c>
      <c r="G335" s="231" t="str">
        <f>VLOOKUP(A335,'Feature Summary'!$A$7:$C$4104,3,FALSE)</f>
        <v>P1</v>
      </c>
      <c r="H335" s="540" t="s">
        <v>1232</v>
      </c>
      <c r="I335" s="540" t="s">
        <v>309</v>
      </c>
      <c r="J335" s="541"/>
      <c r="K335" s="548"/>
      <c r="L335" s="549"/>
      <c r="M335" s="545" t="s">
        <v>33</v>
      </c>
      <c r="N335" s="445">
        <v>1</v>
      </c>
      <c r="O335" s="443"/>
      <c r="P335" s="447">
        <f t="shared" si="125"/>
        <v>0</v>
      </c>
      <c r="Q335" s="431" t="s">
        <v>44</v>
      </c>
      <c r="R335" s="309"/>
      <c r="S335" s="477">
        <f t="shared" si="126"/>
        <v>0</v>
      </c>
      <c r="T335" s="465"/>
      <c r="U335" s="465"/>
      <c r="V335" s="465"/>
      <c r="W335" s="465"/>
      <c r="X335" s="478">
        <f t="shared" si="127"/>
        <v>0</v>
      </c>
      <c r="Y335" s="432"/>
      <c r="Z335" s="464">
        <f t="shared" si="128"/>
        <v>0</v>
      </c>
      <c r="AA335" s="465"/>
      <c r="AB335" s="465"/>
      <c r="AC335" s="465"/>
      <c r="AD335" s="465"/>
      <c r="AE335" s="466">
        <f t="shared" si="129"/>
        <v>0</v>
      </c>
      <c r="AF335" s="308"/>
      <c r="AG335" s="433" t="str">
        <f>VLOOKUP(A335,'Feature Summary'!$A$7:$U$4104,21,FALSE)</f>
        <v>A/B + 8wks</v>
      </c>
      <c r="AH335" s="564"/>
    </row>
    <row r="336" spans="1:34" ht="33.6" hidden="1" customHeight="1" thickBot="1" x14ac:dyDescent="0.3">
      <c r="A336" s="564" t="s">
        <v>837</v>
      </c>
      <c r="B336" s="533" t="s">
        <v>838</v>
      </c>
      <c r="C336" s="308"/>
      <c r="D336" s="309" t="s">
        <v>388</v>
      </c>
      <c r="E336" s="308"/>
      <c r="F336" s="577" t="s">
        <v>1233</v>
      </c>
      <c r="G336" s="231" t="e">
        <f>VLOOKUP(A336,'Feature Summary'!$A$7:$C$4104,3,FALSE)</f>
        <v>#N/A</v>
      </c>
      <c r="H336" s="540" t="s">
        <v>1234</v>
      </c>
      <c r="I336" s="540" t="s">
        <v>309</v>
      </c>
      <c r="J336" s="541"/>
      <c r="K336" s="548"/>
      <c r="L336" s="549"/>
      <c r="M336" s="404" t="s">
        <v>33</v>
      </c>
      <c r="N336" s="445">
        <v>1</v>
      </c>
      <c r="O336" s="443"/>
      <c r="P336" s="447">
        <f t="shared" si="125"/>
        <v>0</v>
      </c>
      <c r="Q336" s="431" t="s">
        <v>44</v>
      </c>
      <c r="R336" s="309"/>
      <c r="S336" s="477">
        <f t="shared" ref="S336" si="130">SUM(T336:W336)</f>
        <v>0</v>
      </c>
      <c r="T336" s="465"/>
      <c r="U336" s="465"/>
      <c r="V336" s="465"/>
      <c r="W336" s="465"/>
      <c r="X336" s="478">
        <f t="shared" ref="X336" si="131">IF((S336=0),0,((T336+U336)/S336*100%))</f>
        <v>0</v>
      </c>
      <c r="Y336" s="432"/>
      <c r="Z336" s="464">
        <f t="shared" ref="Z336" si="132">SUM(AA336:AD336)</f>
        <v>0</v>
      </c>
      <c r="AA336" s="465"/>
      <c r="AB336" s="465"/>
      <c r="AC336" s="465"/>
      <c r="AD336" s="465"/>
      <c r="AE336" s="466">
        <f t="shared" ref="AE336" si="133">IF((Z336=0),0,((AA336+AB336)/Z336*100%))</f>
        <v>0</v>
      </c>
      <c r="AF336" s="308"/>
      <c r="AG336" s="433" t="e">
        <f>VLOOKUP(A336,'Feature Summary'!$A$7:$U$4104,21,FALSE)</f>
        <v>#N/A</v>
      </c>
      <c r="AH336" s="564"/>
    </row>
    <row r="337" spans="1:34" ht="267" customHeight="1" thickBot="1" x14ac:dyDescent="0.3">
      <c r="A337" s="564" t="s">
        <v>1235</v>
      </c>
      <c r="B337" s="533" t="s">
        <v>1236</v>
      </c>
      <c r="C337" s="308" t="s">
        <v>341</v>
      </c>
      <c r="D337" s="309" t="s">
        <v>306</v>
      </c>
      <c r="E337" s="308"/>
      <c r="F337" s="533" t="s">
        <v>1237</v>
      </c>
      <c r="G337" s="231" t="str">
        <f>VLOOKUP(A337,'Feature Summary'!$A$7:$C$4104,3,FALSE)</f>
        <v>P1</v>
      </c>
      <c r="H337" s="540" t="s">
        <v>1238</v>
      </c>
      <c r="I337" s="540" t="s">
        <v>309</v>
      </c>
      <c r="J337" s="541" t="s">
        <v>344</v>
      </c>
      <c r="K337" s="548">
        <v>9</v>
      </c>
      <c r="L337" s="549">
        <v>2</v>
      </c>
      <c r="M337" s="545" t="s">
        <v>33</v>
      </c>
      <c r="N337" s="445">
        <v>1</v>
      </c>
      <c r="O337" s="443">
        <v>2</v>
      </c>
      <c r="P337" s="447">
        <f t="shared" si="125"/>
        <v>1</v>
      </c>
      <c r="Q337" s="431"/>
      <c r="R337" s="309">
        <v>2</v>
      </c>
      <c r="S337" s="477">
        <f t="shared" ref="S337" si="134">SUM(T337:W337)</f>
        <v>2</v>
      </c>
      <c r="T337" s="465">
        <v>2</v>
      </c>
      <c r="U337" s="465"/>
      <c r="V337" s="465"/>
      <c r="W337" s="465"/>
      <c r="X337" s="478">
        <f t="shared" ref="X337" si="135">IF((S337=0),0,((T337+U337)/S337*100%))</f>
        <v>1</v>
      </c>
      <c r="Y337" s="432"/>
      <c r="Z337" s="464">
        <f t="shared" ref="Z337" si="136">SUM(AA337:AD337)</f>
        <v>2</v>
      </c>
      <c r="AA337" s="465">
        <v>2</v>
      </c>
      <c r="AB337" s="465"/>
      <c r="AC337" s="465"/>
      <c r="AD337" s="465"/>
      <c r="AE337" s="466">
        <f t="shared" ref="AE337" si="137">IF((Z337=0),0,((AA337+AB337)/Z337*100%))</f>
        <v>1</v>
      </c>
      <c r="AF337" s="308" t="s">
        <v>1239</v>
      </c>
      <c r="AG337" s="433" t="str">
        <f>VLOOKUP(A337,'Feature Summary'!$A$7:$U$4104,21,FALSE)</f>
        <v>A/B + 5wks</v>
      </c>
      <c r="AH337" s="579" t="s">
        <v>1240</v>
      </c>
    </row>
    <row r="338" spans="1:34" ht="75.75" thickBot="1" x14ac:dyDescent="0.3">
      <c r="A338" s="564"/>
      <c r="B338" s="533"/>
      <c r="C338" s="308" t="s">
        <v>406</v>
      </c>
      <c r="D338" s="536" t="s">
        <v>306</v>
      </c>
      <c r="E338" s="581"/>
      <c r="F338" s="540" t="s">
        <v>1241</v>
      </c>
      <c r="G338" s="231" t="e">
        <f>VLOOKUP(A338,'Feature Summary'!$A$7:$C$4104,3,FALSE)</f>
        <v>#N/A</v>
      </c>
      <c r="H338" s="540" t="s">
        <v>1242</v>
      </c>
      <c r="I338" s="540" t="s">
        <v>309</v>
      </c>
      <c r="J338" s="543" t="s">
        <v>327</v>
      </c>
      <c r="K338" s="548">
        <v>2</v>
      </c>
      <c r="L338" s="549">
        <v>3</v>
      </c>
      <c r="M338" s="545" t="s">
        <v>33</v>
      </c>
      <c r="N338" s="445">
        <v>1</v>
      </c>
      <c r="O338" s="443">
        <v>3</v>
      </c>
      <c r="P338" s="447">
        <f t="shared" si="125"/>
        <v>1</v>
      </c>
      <c r="Q338" s="431" t="s">
        <v>45</v>
      </c>
      <c r="R338" s="549">
        <v>3</v>
      </c>
      <c r="S338" s="477">
        <f t="shared" ref="S338" si="138">SUM(T338:W338)</f>
        <v>3</v>
      </c>
      <c r="T338" s="465">
        <v>3</v>
      </c>
      <c r="U338" s="465"/>
      <c r="V338" s="465"/>
      <c r="W338" s="465"/>
      <c r="X338" s="478">
        <f t="shared" ref="X338" si="139">IF((S338=0),0,((T338+U338)/S338*100%))</f>
        <v>1</v>
      </c>
      <c r="Y338" s="432"/>
      <c r="Z338" s="464">
        <f t="shared" ref="Z338" si="140">SUM(AA338:AD338)</f>
        <v>3</v>
      </c>
      <c r="AA338" s="465">
        <v>3</v>
      </c>
      <c r="AB338" s="465"/>
      <c r="AC338" s="465"/>
      <c r="AD338" s="465"/>
      <c r="AE338" s="466">
        <f t="shared" ref="AE338" si="141">IF((Z338=0),0,((AA338+AB338)/Z338*100%))</f>
        <v>1</v>
      </c>
      <c r="AF338" s="308" t="s">
        <v>340</v>
      </c>
      <c r="AG338" s="433" t="e">
        <f>VLOOKUP(A338,'Feature Summary'!$A$7:$U$4104,21,FALSE)</f>
        <v>#N/A</v>
      </c>
      <c r="AH338" s="579" t="s">
        <v>1243</v>
      </c>
    </row>
    <row r="339" spans="1:34" ht="45.75" thickBot="1" x14ac:dyDescent="0.3">
      <c r="A339" s="564"/>
      <c r="B339" s="533"/>
      <c r="C339" s="308" t="s">
        <v>406</v>
      </c>
      <c r="D339" s="536" t="s">
        <v>306</v>
      </c>
      <c r="E339" s="581"/>
      <c r="F339" s="540" t="s">
        <v>1244</v>
      </c>
      <c r="G339" s="231" t="e">
        <f>VLOOKUP(A339,'Feature Summary'!$A$7:$C$4104,3,FALSE)</f>
        <v>#N/A</v>
      </c>
      <c r="H339" s="540" t="s">
        <v>1245</v>
      </c>
      <c r="I339" s="540" t="s">
        <v>309</v>
      </c>
      <c r="J339" s="543" t="s">
        <v>327</v>
      </c>
      <c r="K339" s="548">
        <v>5</v>
      </c>
      <c r="L339" s="549">
        <v>1</v>
      </c>
      <c r="M339" s="545" t="s">
        <v>33</v>
      </c>
      <c r="N339" s="445">
        <v>1</v>
      </c>
      <c r="O339" s="443">
        <v>1</v>
      </c>
      <c r="P339" s="447">
        <f t="shared" si="125"/>
        <v>1</v>
      </c>
      <c r="Q339" s="431" t="s">
        <v>45</v>
      </c>
      <c r="R339" s="549">
        <v>1</v>
      </c>
      <c r="S339" s="477">
        <f t="shared" ref="S339:S359" si="142">SUM(T339:W339)</f>
        <v>1</v>
      </c>
      <c r="T339" s="465">
        <v>1</v>
      </c>
      <c r="U339" s="465"/>
      <c r="V339" s="465"/>
      <c r="W339" s="465"/>
      <c r="X339" s="478">
        <f t="shared" ref="X339:X353" si="143">IF((S339=0),0,((T339+U339)/S339*100%))</f>
        <v>1</v>
      </c>
      <c r="Y339" s="432"/>
      <c r="Z339" s="464">
        <f t="shared" ref="Z339:Z348" si="144">SUM(AA339:AD339)</f>
        <v>1</v>
      </c>
      <c r="AA339" s="465"/>
      <c r="AB339" s="599"/>
      <c r="AC339" s="465"/>
      <c r="AD339" s="465">
        <v>1</v>
      </c>
      <c r="AE339" s="466">
        <f t="shared" ref="AE339:AE353" si="145">IF((Z339=0),0,((AA339+AB339)/Z339*100%))</f>
        <v>0</v>
      </c>
      <c r="AF339" s="571" t="s">
        <v>1246</v>
      </c>
      <c r="AG339" s="433" t="e">
        <f>VLOOKUP(A339,'Feature Summary'!$A$7:$U$4104,21,FALSE)</f>
        <v>#N/A</v>
      </c>
      <c r="AH339" s="310"/>
    </row>
    <row r="340" spans="1:34" ht="90.75" thickBot="1" x14ac:dyDescent="0.3">
      <c r="A340" s="564"/>
      <c r="B340" s="533"/>
      <c r="C340" s="308" t="s">
        <v>406</v>
      </c>
      <c r="D340" s="536" t="s">
        <v>306</v>
      </c>
      <c r="E340" s="308"/>
      <c r="F340" s="533" t="s">
        <v>1247</v>
      </c>
      <c r="G340" s="231" t="e">
        <f>VLOOKUP(A340,'Feature Summary'!$A$7:$C$4104,3,FALSE)</f>
        <v>#N/A</v>
      </c>
      <c r="H340" s="540" t="s">
        <v>1248</v>
      </c>
      <c r="I340" s="540" t="s">
        <v>309</v>
      </c>
      <c r="J340" s="541" t="s">
        <v>327</v>
      </c>
      <c r="K340" s="548">
        <v>2</v>
      </c>
      <c r="L340" s="549">
        <v>2</v>
      </c>
      <c r="M340" s="545" t="s">
        <v>33</v>
      </c>
      <c r="N340" s="445">
        <v>1</v>
      </c>
      <c r="O340" s="443">
        <v>2</v>
      </c>
      <c r="P340" s="447">
        <f t="shared" si="125"/>
        <v>1</v>
      </c>
      <c r="Q340" s="431" t="s">
        <v>45</v>
      </c>
      <c r="R340" s="549">
        <v>2</v>
      </c>
      <c r="S340" s="477">
        <f t="shared" si="142"/>
        <v>2</v>
      </c>
      <c r="T340" s="465">
        <v>2</v>
      </c>
      <c r="U340" s="465"/>
      <c r="V340" s="465"/>
      <c r="W340" s="465"/>
      <c r="X340" s="478">
        <f t="shared" si="143"/>
        <v>1</v>
      </c>
      <c r="Y340" s="432"/>
      <c r="Z340" s="464">
        <f t="shared" si="144"/>
        <v>2</v>
      </c>
      <c r="AA340" s="465">
        <v>2</v>
      </c>
      <c r="AB340" s="465"/>
      <c r="AC340" s="465"/>
      <c r="AD340" s="465"/>
      <c r="AE340" s="466">
        <f t="shared" si="145"/>
        <v>1</v>
      </c>
      <c r="AF340" s="308" t="s">
        <v>1239</v>
      </c>
      <c r="AG340" s="433" t="e">
        <f>VLOOKUP(A340,'Feature Summary'!$A$7:$U$4104,21,FALSE)</f>
        <v>#N/A</v>
      </c>
      <c r="AH340" s="579" t="s">
        <v>1249</v>
      </c>
    </row>
    <row r="341" spans="1:34" ht="90.75" thickBot="1" x14ac:dyDescent="0.3">
      <c r="A341" s="564"/>
      <c r="B341" s="533"/>
      <c r="C341" s="308" t="s">
        <v>406</v>
      </c>
      <c r="D341" s="536" t="s">
        <v>306</v>
      </c>
      <c r="E341" s="308"/>
      <c r="F341" s="533" t="s">
        <v>1250</v>
      </c>
      <c r="G341" s="231" t="e">
        <f>VLOOKUP(A341,'Feature Summary'!$A$7:$C$4104,3,FALSE)</f>
        <v>#N/A</v>
      </c>
      <c r="H341" s="540" t="s">
        <v>1251</v>
      </c>
      <c r="I341" s="540" t="s">
        <v>309</v>
      </c>
      <c r="J341" s="541" t="s">
        <v>1252</v>
      </c>
      <c r="K341" s="548">
        <v>2</v>
      </c>
      <c r="L341" s="549">
        <v>2</v>
      </c>
      <c r="M341" s="545" t="s">
        <v>33</v>
      </c>
      <c r="N341" s="445">
        <v>1</v>
      </c>
      <c r="O341" s="443">
        <v>1</v>
      </c>
      <c r="P341" s="447">
        <f t="shared" si="125"/>
        <v>0.5</v>
      </c>
      <c r="Q341" s="431" t="s">
        <v>45</v>
      </c>
      <c r="R341" s="549">
        <v>2</v>
      </c>
      <c r="S341" s="477">
        <f t="shared" si="142"/>
        <v>1</v>
      </c>
      <c r="T341" s="465">
        <v>1</v>
      </c>
      <c r="U341" s="465"/>
      <c r="V341" s="465"/>
      <c r="W341" s="465"/>
      <c r="X341" s="478">
        <f t="shared" si="143"/>
        <v>1</v>
      </c>
      <c r="Y341" s="432"/>
      <c r="Z341" s="464">
        <f t="shared" si="144"/>
        <v>2</v>
      </c>
      <c r="AA341" s="465"/>
      <c r="AB341" s="465"/>
      <c r="AC341" s="465"/>
      <c r="AD341" s="465">
        <v>2</v>
      </c>
      <c r="AE341" s="466">
        <f t="shared" si="145"/>
        <v>0</v>
      </c>
      <c r="AF341" s="308" t="s">
        <v>1253</v>
      </c>
      <c r="AG341" s="433" t="e">
        <f>VLOOKUP(A341,'Feature Summary'!$A$7:$U$4104,21,FALSE)</f>
        <v>#N/A</v>
      </c>
      <c r="AH341" s="310"/>
    </row>
    <row r="342" spans="1:34" ht="90.75" thickBot="1" x14ac:dyDescent="0.3">
      <c r="A342" s="564"/>
      <c r="B342" s="533"/>
      <c r="C342" s="308" t="s">
        <v>406</v>
      </c>
      <c r="D342" s="536" t="s">
        <v>306</v>
      </c>
      <c r="E342" s="308"/>
      <c r="F342" s="533" t="s">
        <v>1254</v>
      </c>
      <c r="G342" s="231" t="e">
        <f>VLOOKUP(A342,'Feature Summary'!$A$7:$C$4104,3,FALSE)</f>
        <v>#N/A</v>
      </c>
      <c r="H342" s="540" t="s">
        <v>1255</v>
      </c>
      <c r="I342" s="540" t="s">
        <v>309</v>
      </c>
      <c r="J342" s="541" t="s">
        <v>1252</v>
      </c>
      <c r="K342" s="548">
        <v>1</v>
      </c>
      <c r="L342" s="549">
        <v>2</v>
      </c>
      <c r="M342" s="545" t="s">
        <v>33</v>
      </c>
      <c r="N342" s="445">
        <v>1</v>
      </c>
      <c r="O342" s="443">
        <v>1</v>
      </c>
      <c r="P342" s="447">
        <f t="shared" si="125"/>
        <v>0.5</v>
      </c>
      <c r="Q342" s="431" t="s">
        <v>45</v>
      </c>
      <c r="R342" s="549">
        <v>2</v>
      </c>
      <c r="S342" s="477">
        <f t="shared" si="142"/>
        <v>1</v>
      </c>
      <c r="T342" s="465">
        <v>1</v>
      </c>
      <c r="U342" s="465"/>
      <c r="V342" s="465"/>
      <c r="W342" s="465"/>
      <c r="X342" s="478">
        <f t="shared" si="143"/>
        <v>1</v>
      </c>
      <c r="Y342" s="432"/>
      <c r="Z342" s="464">
        <f t="shared" si="144"/>
        <v>2</v>
      </c>
      <c r="AA342" s="465"/>
      <c r="AB342" s="465"/>
      <c r="AC342" s="465"/>
      <c r="AD342" s="465">
        <v>2</v>
      </c>
      <c r="AE342" s="466">
        <f t="shared" si="145"/>
        <v>0</v>
      </c>
      <c r="AF342" s="308" t="s">
        <v>1253</v>
      </c>
      <c r="AG342" s="433" t="e">
        <f>VLOOKUP(A342,'Feature Summary'!$A$7:$U$4104,21,FALSE)</f>
        <v>#N/A</v>
      </c>
      <c r="AH342" s="310"/>
    </row>
    <row r="343" spans="1:34" ht="75.75" thickBot="1" x14ac:dyDescent="0.3">
      <c r="A343" s="564"/>
      <c r="B343" s="533"/>
      <c r="C343" s="308" t="s">
        <v>406</v>
      </c>
      <c r="D343" s="536" t="s">
        <v>306</v>
      </c>
      <c r="E343" s="308"/>
      <c r="F343" s="533" t="s">
        <v>1256</v>
      </c>
      <c r="G343" s="231" t="e">
        <f>VLOOKUP(A343,'Feature Summary'!$A$7:$C$4104,3,FALSE)</f>
        <v>#N/A</v>
      </c>
      <c r="H343" s="540" t="s">
        <v>1257</v>
      </c>
      <c r="I343" s="540" t="s">
        <v>309</v>
      </c>
      <c r="J343" s="541" t="s">
        <v>327</v>
      </c>
      <c r="K343" s="548">
        <v>2</v>
      </c>
      <c r="L343" s="549">
        <v>4</v>
      </c>
      <c r="M343" s="545" t="s">
        <v>33</v>
      </c>
      <c r="N343" s="445">
        <v>1</v>
      </c>
      <c r="O343" s="443">
        <v>4</v>
      </c>
      <c r="P343" s="447">
        <f t="shared" si="125"/>
        <v>1</v>
      </c>
      <c r="Q343" s="431" t="s">
        <v>45</v>
      </c>
      <c r="R343" s="549">
        <v>4</v>
      </c>
      <c r="S343" s="477">
        <f t="shared" si="142"/>
        <v>4</v>
      </c>
      <c r="T343" s="465">
        <v>4</v>
      </c>
      <c r="U343" s="465"/>
      <c r="V343" s="465"/>
      <c r="W343" s="465"/>
      <c r="X343" s="478">
        <f t="shared" si="143"/>
        <v>1</v>
      </c>
      <c r="Y343" s="432"/>
      <c r="Z343" s="464">
        <f t="shared" si="144"/>
        <v>4</v>
      </c>
      <c r="AA343" s="465">
        <v>4</v>
      </c>
      <c r="AB343" s="465"/>
      <c r="AC343" s="465"/>
      <c r="AD343" s="465"/>
      <c r="AE343" s="466">
        <f t="shared" si="145"/>
        <v>1</v>
      </c>
      <c r="AF343" s="308" t="s">
        <v>1239</v>
      </c>
      <c r="AG343" s="433" t="e">
        <f>VLOOKUP(A343,'Feature Summary'!$A$7:$U$4104,21,FALSE)</f>
        <v>#N/A</v>
      </c>
      <c r="AH343" s="579" t="s">
        <v>1249</v>
      </c>
    </row>
    <row r="344" spans="1:34" ht="150.75" thickBot="1" x14ac:dyDescent="0.3">
      <c r="A344" s="564"/>
      <c r="B344" s="533"/>
      <c r="C344" s="308" t="s">
        <v>406</v>
      </c>
      <c r="D344" s="536" t="s">
        <v>306</v>
      </c>
      <c r="E344" s="308"/>
      <c r="F344" s="533" t="s">
        <v>1258</v>
      </c>
      <c r="G344" s="231" t="e">
        <f>VLOOKUP(A344,'Feature Summary'!$A$7:$C$4104,3,FALSE)</f>
        <v>#N/A</v>
      </c>
      <c r="H344" s="540" t="s">
        <v>1259</v>
      </c>
      <c r="I344" s="540" t="s">
        <v>309</v>
      </c>
      <c r="J344" s="541" t="s">
        <v>327</v>
      </c>
      <c r="K344" s="548">
        <v>2</v>
      </c>
      <c r="L344" s="549">
        <v>2</v>
      </c>
      <c r="M344" s="545" t="s">
        <v>33</v>
      </c>
      <c r="N344" s="445">
        <v>1</v>
      </c>
      <c r="O344" s="443">
        <v>2</v>
      </c>
      <c r="P344" s="447">
        <f t="shared" si="125"/>
        <v>1</v>
      </c>
      <c r="Q344" s="431" t="s">
        <v>45</v>
      </c>
      <c r="R344" s="549">
        <v>2</v>
      </c>
      <c r="S344" s="477">
        <f t="shared" si="142"/>
        <v>2</v>
      </c>
      <c r="T344" s="465">
        <v>2</v>
      </c>
      <c r="U344" s="465"/>
      <c r="V344" s="465"/>
      <c r="W344" s="465"/>
      <c r="X344" s="478">
        <f t="shared" si="143"/>
        <v>1</v>
      </c>
      <c r="Y344" s="432"/>
      <c r="Z344" s="464">
        <f t="shared" si="144"/>
        <v>2</v>
      </c>
      <c r="AA344" s="465"/>
      <c r="AB344" s="465"/>
      <c r="AC344" s="465"/>
      <c r="AD344" s="465">
        <v>2</v>
      </c>
      <c r="AE344" s="466">
        <f t="shared" si="145"/>
        <v>0</v>
      </c>
      <c r="AF344" s="308" t="s">
        <v>1253</v>
      </c>
      <c r="AG344" s="433" t="e">
        <f>VLOOKUP(A344,'Feature Summary'!$A$7:$U$4104,21,FALSE)</f>
        <v>#N/A</v>
      </c>
      <c r="AH344" s="579" t="s">
        <v>1260</v>
      </c>
    </row>
    <row r="345" spans="1:34" ht="150.75" thickBot="1" x14ac:dyDescent="0.3">
      <c r="A345" s="564"/>
      <c r="B345" s="533"/>
      <c r="C345" s="308" t="s">
        <v>406</v>
      </c>
      <c r="D345" s="536" t="s">
        <v>306</v>
      </c>
      <c r="E345" s="308"/>
      <c r="F345" s="533" t="s">
        <v>1261</v>
      </c>
      <c r="G345" s="231" t="e">
        <f>VLOOKUP(A345,'Feature Summary'!$A$7:$C$4104,3,FALSE)</f>
        <v>#N/A</v>
      </c>
      <c r="H345" s="540" t="s">
        <v>1262</v>
      </c>
      <c r="I345" s="540" t="s">
        <v>309</v>
      </c>
      <c r="J345" s="541" t="s">
        <v>327</v>
      </c>
      <c r="K345" s="548">
        <v>1</v>
      </c>
      <c r="L345" s="549">
        <v>1</v>
      </c>
      <c r="M345" s="545" t="s">
        <v>33</v>
      </c>
      <c r="N345" s="445">
        <v>1</v>
      </c>
      <c r="O345" s="443">
        <v>1</v>
      </c>
      <c r="P345" s="447">
        <f t="shared" si="125"/>
        <v>1</v>
      </c>
      <c r="Q345" s="431" t="s">
        <v>45</v>
      </c>
      <c r="R345" s="549">
        <v>1</v>
      </c>
      <c r="S345" s="477">
        <f t="shared" ref="S345" si="146">SUM(T345:W345)</f>
        <v>1</v>
      </c>
      <c r="T345" s="465">
        <v>1</v>
      </c>
      <c r="U345" s="465"/>
      <c r="V345" s="465"/>
      <c r="W345" s="465"/>
      <c r="X345" s="478">
        <f t="shared" ref="X345" si="147">IF((S345=0),0,((T345+U345)/S345*100%))</f>
        <v>1</v>
      </c>
      <c r="Y345" s="432"/>
      <c r="Z345" s="464">
        <f>SUM(AA345:AD345)</f>
        <v>1</v>
      </c>
      <c r="AA345" s="465"/>
      <c r="AB345" s="465"/>
      <c r="AC345" s="465"/>
      <c r="AD345" s="465">
        <v>1</v>
      </c>
      <c r="AE345" s="466">
        <f t="shared" ref="AE345" si="148">IF((Z345=0),0,((AA345+AB345)/Z345*100%))</f>
        <v>0</v>
      </c>
      <c r="AF345" s="308" t="s">
        <v>1253</v>
      </c>
      <c r="AG345" s="433" t="e">
        <f>VLOOKUP(A345,'Feature Summary'!$A$7:$U$4104,21,FALSE)</f>
        <v>#N/A</v>
      </c>
      <c r="AH345" s="310"/>
    </row>
    <row r="346" spans="1:34" ht="150.75" thickBot="1" x14ac:dyDescent="0.3">
      <c r="A346" s="564"/>
      <c r="B346" s="533"/>
      <c r="C346" s="308" t="s">
        <v>406</v>
      </c>
      <c r="D346" s="536" t="s">
        <v>306</v>
      </c>
      <c r="E346" s="308"/>
      <c r="F346" s="533" t="s">
        <v>1261</v>
      </c>
      <c r="G346" s="231" t="e">
        <f>VLOOKUP(A346,'Feature Summary'!$A$7:$C$4104,3,FALSE)</f>
        <v>#N/A</v>
      </c>
      <c r="H346" s="540" t="s">
        <v>1263</v>
      </c>
      <c r="I346" s="540" t="s">
        <v>309</v>
      </c>
      <c r="J346" s="541" t="s">
        <v>327</v>
      </c>
      <c r="K346" s="548">
        <v>1</v>
      </c>
      <c r="L346" s="549">
        <v>1</v>
      </c>
      <c r="M346" s="545" t="s">
        <v>33</v>
      </c>
      <c r="N346" s="445">
        <v>1</v>
      </c>
      <c r="O346" s="443">
        <v>1</v>
      </c>
      <c r="P346" s="447">
        <f t="shared" si="125"/>
        <v>1</v>
      </c>
      <c r="Q346" s="431" t="s">
        <v>45</v>
      </c>
      <c r="R346" s="549">
        <v>1</v>
      </c>
      <c r="S346" s="477">
        <f t="shared" si="142"/>
        <v>1</v>
      </c>
      <c r="T346" s="465">
        <v>1</v>
      </c>
      <c r="U346" s="465"/>
      <c r="V346" s="465"/>
      <c r="W346" s="465"/>
      <c r="X346" s="478">
        <f t="shared" si="143"/>
        <v>1</v>
      </c>
      <c r="Y346" s="432"/>
      <c r="Z346" s="464">
        <f t="shared" si="144"/>
        <v>1</v>
      </c>
      <c r="AA346" s="465"/>
      <c r="AB346" s="465"/>
      <c r="AC346" s="465"/>
      <c r="AD346" s="465">
        <v>1</v>
      </c>
      <c r="AE346" s="466">
        <f t="shared" si="145"/>
        <v>0</v>
      </c>
      <c r="AF346" s="308" t="s">
        <v>1253</v>
      </c>
      <c r="AG346" s="433" t="e">
        <f>VLOOKUP(A346,'Feature Summary'!$A$7:$U$4104,21,FALSE)</f>
        <v>#N/A</v>
      </c>
      <c r="AH346" s="310"/>
    </row>
    <row r="347" spans="1:34" ht="150.75" thickBot="1" x14ac:dyDescent="0.3">
      <c r="A347" s="564"/>
      <c r="B347" s="533"/>
      <c r="C347" s="308" t="s">
        <v>406</v>
      </c>
      <c r="D347" s="536" t="s">
        <v>306</v>
      </c>
      <c r="E347" s="308"/>
      <c r="F347" s="533" t="s">
        <v>1264</v>
      </c>
      <c r="G347" s="231" t="e">
        <f>VLOOKUP(A347,'Feature Summary'!$A$7:$C$4104,3,FALSE)</f>
        <v>#N/A</v>
      </c>
      <c r="H347" s="540" t="s">
        <v>1265</v>
      </c>
      <c r="I347" s="540" t="s">
        <v>309</v>
      </c>
      <c r="J347" s="541" t="s">
        <v>1252</v>
      </c>
      <c r="K347" s="548">
        <v>1</v>
      </c>
      <c r="L347" s="549">
        <v>2</v>
      </c>
      <c r="M347" s="545" t="s">
        <v>33</v>
      </c>
      <c r="N347" s="445">
        <v>1</v>
      </c>
      <c r="O347" s="443">
        <v>1</v>
      </c>
      <c r="P347" s="447">
        <f t="shared" si="125"/>
        <v>0.5</v>
      </c>
      <c r="Q347" s="431" t="s">
        <v>45</v>
      </c>
      <c r="R347" s="549">
        <v>2</v>
      </c>
      <c r="S347" s="477">
        <f t="shared" si="142"/>
        <v>1</v>
      </c>
      <c r="T347" s="465">
        <v>1</v>
      </c>
      <c r="U347" s="465"/>
      <c r="V347" s="465"/>
      <c r="W347" s="465"/>
      <c r="X347" s="478">
        <f t="shared" si="143"/>
        <v>1</v>
      </c>
      <c r="Y347" s="432"/>
      <c r="Z347" s="464">
        <f t="shared" si="144"/>
        <v>2</v>
      </c>
      <c r="AA347" s="465"/>
      <c r="AB347" s="465"/>
      <c r="AC347" s="465"/>
      <c r="AD347" s="465">
        <v>2</v>
      </c>
      <c r="AE347" s="466">
        <f t="shared" si="145"/>
        <v>0</v>
      </c>
      <c r="AF347" s="308" t="s">
        <v>1253</v>
      </c>
      <c r="AG347" s="433" t="e">
        <f>VLOOKUP(A347,'Feature Summary'!$A$7:$U$4104,21,FALSE)</f>
        <v>#N/A</v>
      </c>
      <c r="AH347" s="310"/>
    </row>
    <row r="348" spans="1:34" ht="75.75" thickBot="1" x14ac:dyDescent="0.3">
      <c r="A348" s="564"/>
      <c r="B348" s="533"/>
      <c r="C348" s="308" t="s">
        <v>406</v>
      </c>
      <c r="D348" s="536" t="s">
        <v>306</v>
      </c>
      <c r="E348" s="308"/>
      <c r="F348" s="533" t="s">
        <v>1266</v>
      </c>
      <c r="G348" s="231" t="e">
        <f>VLOOKUP(A348,'Feature Summary'!$A$7:$C$4104,3,FALSE)</f>
        <v>#N/A</v>
      </c>
      <c r="H348" s="540" t="s">
        <v>1267</v>
      </c>
      <c r="I348" s="540" t="s">
        <v>309</v>
      </c>
      <c r="J348" s="541" t="s">
        <v>327</v>
      </c>
      <c r="K348" s="548">
        <v>2</v>
      </c>
      <c r="L348" s="549">
        <v>4</v>
      </c>
      <c r="M348" s="545" t="s">
        <v>33</v>
      </c>
      <c r="N348" s="445">
        <v>1</v>
      </c>
      <c r="O348" s="443">
        <v>4</v>
      </c>
      <c r="P348" s="447">
        <f t="shared" si="125"/>
        <v>1</v>
      </c>
      <c r="Q348" s="431" t="s">
        <v>45</v>
      </c>
      <c r="R348" s="549">
        <v>4</v>
      </c>
      <c r="S348" s="477">
        <f t="shared" si="142"/>
        <v>4</v>
      </c>
      <c r="T348" s="465">
        <v>4</v>
      </c>
      <c r="U348" s="465"/>
      <c r="V348" s="465"/>
      <c r="W348" s="465"/>
      <c r="X348" s="478">
        <f t="shared" si="143"/>
        <v>1</v>
      </c>
      <c r="Y348" s="432"/>
      <c r="Z348" s="464">
        <f t="shared" si="144"/>
        <v>4</v>
      </c>
      <c r="AA348" s="465"/>
      <c r="AB348" s="465"/>
      <c r="AC348" s="465"/>
      <c r="AD348" s="465">
        <v>4</v>
      </c>
      <c r="AE348" s="466">
        <f t="shared" si="145"/>
        <v>0</v>
      </c>
      <c r="AF348" s="308" t="s">
        <v>1253</v>
      </c>
      <c r="AG348" s="433" t="e">
        <f>VLOOKUP(A348,'Feature Summary'!$A$7:$U$4104,21,FALSE)</f>
        <v>#N/A</v>
      </c>
      <c r="AH348" s="579" t="s">
        <v>1260</v>
      </c>
    </row>
    <row r="349" spans="1:34" ht="75.75" thickBot="1" x14ac:dyDescent="0.3">
      <c r="A349" s="564"/>
      <c r="B349" s="533"/>
      <c r="C349" s="308" t="s">
        <v>406</v>
      </c>
      <c r="D349" s="536" t="s">
        <v>306</v>
      </c>
      <c r="E349" s="308"/>
      <c r="F349" s="533" t="s">
        <v>1268</v>
      </c>
      <c r="G349" s="231" t="e">
        <f>VLOOKUP(A349,'Feature Summary'!$A$7:$C$4104,3,FALSE)</f>
        <v>#N/A</v>
      </c>
      <c r="H349" s="540" t="s">
        <v>1269</v>
      </c>
      <c r="I349" s="540" t="s">
        <v>309</v>
      </c>
      <c r="J349" s="541" t="s">
        <v>1270</v>
      </c>
      <c r="K349" s="548">
        <v>2</v>
      </c>
      <c r="L349" s="549">
        <v>5</v>
      </c>
      <c r="M349" s="545" t="s">
        <v>33</v>
      </c>
      <c r="N349" s="445">
        <v>1</v>
      </c>
      <c r="O349" s="443">
        <v>5</v>
      </c>
      <c r="P349" s="447">
        <f>IF((O349=0),0,(O349/L349))</f>
        <v>1</v>
      </c>
      <c r="Q349" s="431" t="s">
        <v>45</v>
      </c>
      <c r="R349" s="549">
        <v>5</v>
      </c>
      <c r="S349" s="477">
        <f t="shared" si="142"/>
        <v>5</v>
      </c>
      <c r="T349" s="465">
        <v>5</v>
      </c>
      <c r="U349" s="465"/>
      <c r="V349" s="465"/>
      <c r="W349" s="465"/>
      <c r="X349" s="478">
        <f t="shared" si="143"/>
        <v>1</v>
      </c>
      <c r="Y349" s="432"/>
      <c r="Z349" s="464">
        <f>SUM(AA349:AD349)</f>
        <v>5</v>
      </c>
      <c r="AA349" s="465"/>
      <c r="AB349" s="465"/>
      <c r="AC349" s="465"/>
      <c r="AD349" s="465">
        <v>5</v>
      </c>
      <c r="AE349" s="466">
        <f t="shared" si="145"/>
        <v>0</v>
      </c>
      <c r="AF349" s="308" t="s">
        <v>1253</v>
      </c>
      <c r="AG349" s="433" t="e">
        <f>VLOOKUP(A349,'Feature Summary'!$A$7:$U$4104,21,FALSE)</f>
        <v>#N/A</v>
      </c>
      <c r="AH349" s="579" t="s">
        <v>1271</v>
      </c>
    </row>
    <row r="350" spans="1:34" ht="45.75" thickBot="1" x14ac:dyDescent="0.3">
      <c r="A350" s="564" t="s">
        <v>1272</v>
      </c>
      <c r="B350" s="533" t="s">
        <v>1273</v>
      </c>
      <c r="C350" s="308" t="s">
        <v>1274</v>
      </c>
      <c r="D350" s="536" t="s">
        <v>1275</v>
      </c>
      <c r="E350" s="308"/>
      <c r="F350" s="533" t="s">
        <v>1276</v>
      </c>
      <c r="G350" s="231" t="s">
        <v>254</v>
      </c>
      <c r="H350" s="540" t="s">
        <v>1277</v>
      </c>
      <c r="I350" s="540" t="s">
        <v>309</v>
      </c>
      <c r="J350" s="541" t="s">
        <v>327</v>
      </c>
      <c r="K350" s="548">
        <v>1</v>
      </c>
      <c r="L350" s="549">
        <v>1</v>
      </c>
      <c r="M350" s="644" t="s">
        <v>38</v>
      </c>
      <c r="N350" s="445">
        <v>1</v>
      </c>
      <c r="O350" s="443">
        <v>1</v>
      </c>
      <c r="P350" s="447">
        <f t="shared" ref="P350:P353" si="149">IF((O350=0),0,(O350/L350))</f>
        <v>1</v>
      </c>
      <c r="Q350" s="431" t="s">
        <v>45</v>
      </c>
      <c r="R350" s="549">
        <v>1</v>
      </c>
      <c r="S350" s="477">
        <f t="shared" si="142"/>
        <v>1</v>
      </c>
      <c r="T350" s="465">
        <v>1</v>
      </c>
      <c r="U350" s="465"/>
      <c r="V350" s="465"/>
      <c r="W350" s="465"/>
      <c r="X350" s="478">
        <f t="shared" si="143"/>
        <v>1</v>
      </c>
      <c r="Y350" s="432"/>
      <c r="Z350" s="464">
        <f>SUM(AA350:AD350)</f>
        <v>0</v>
      </c>
      <c r="AA350" s="465"/>
      <c r="AB350" s="465"/>
      <c r="AC350" s="465"/>
      <c r="AD350" s="465"/>
      <c r="AE350" s="466">
        <f t="shared" si="145"/>
        <v>0</v>
      </c>
      <c r="AF350" s="308"/>
      <c r="AG350" s="433" t="str">
        <f>VLOOKUP(A350,'Feature Summary'!$A$7:$U$4104,21,FALSE)</f>
        <v>A/B + 8wks</v>
      </c>
      <c r="AH350" s="579"/>
    </row>
    <row r="351" spans="1:34" ht="45.75" thickBot="1" x14ac:dyDescent="0.3">
      <c r="A351" s="564" t="s">
        <v>1278</v>
      </c>
      <c r="B351" s="533" t="s">
        <v>1279</v>
      </c>
      <c r="C351" s="308" t="s">
        <v>1274</v>
      </c>
      <c r="D351" s="536" t="s">
        <v>1275</v>
      </c>
      <c r="E351" s="308"/>
      <c r="F351" s="533" t="s">
        <v>1280</v>
      </c>
      <c r="G351" s="231" t="s">
        <v>275</v>
      </c>
      <c r="H351" s="540" t="s">
        <v>1281</v>
      </c>
      <c r="I351" s="540" t="s">
        <v>309</v>
      </c>
      <c r="J351" s="541"/>
      <c r="K351" s="548">
        <v>1</v>
      </c>
      <c r="L351" s="549">
        <v>1</v>
      </c>
      <c r="M351" s="644" t="s">
        <v>33</v>
      </c>
      <c r="N351" s="445">
        <v>1</v>
      </c>
      <c r="O351" s="443">
        <v>1</v>
      </c>
      <c r="P351" s="447">
        <f t="shared" si="149"/>
        <v>1</v>
      </c>
      <c r="Q351" s="431" t="s">
        <v>45</v>
      </c>
      <c r="R351" s="549">
        <v>1</v>
      </c>
      <c r="S351" s="477">
        <v>1</v>
      </c>
      <c r="T351" s="465">
        <v>1</v>
      </c>
      <c r="U351" s="465"/>
      <c r="V351" s="465"/>
      <c r="W351" s="465"/>
      <c r="X351" s="478">
        <f t="shared" si="143"/>
        <v>1</v>
      </c>
      <c r="Y351" s="432"/>
      <c r="Z351" s="464">
        <f>SUM(AA351:AD351)</f>
        <v>0</v>
      </c>
      <c r="AA351" s="465"/>
      <c r="AB351" s="465"/>
      <c r="AC351" s="465"/>
      <c r="AD351" s="465"/>
      <c r="AE351" s="466">
        <f t="shared" si="145"/>
        <v>0</v>
      </c>
      <c r="AF351" s="308"/>
      <c r="AG351" s="433" t="str">
        <f>VLOOKUP(A351,'Feature Summary'!$A$7:$U$4104,21,FALSE)</f>
        <v>A/B + 8wks</v>
      </c>
      <c r="AH351" s="579"/>
    </row>
    <row r="352" spans="1:34" ht="45.75" hidden="1" thickBot="1" x14ac:dyDescent="0.3">
      <c r="A352" s="564" t="s">
        <v>1282</v>
      </c>
      <c r="B352" s="533" t="s">
        <v>1283</v>
      </c>
      <c r="C352" s="308" t="s">
        <v>1274</v>
      </c>
      <c r="D352" s="536" t="s">
        <v>1275</v>
      </c>
      <c r="E352" s="308"/>
      <c r="F352" s="533" t="s">
        <v>1284</v>
      </c>
      <c r="G352" s="231" t="s">
        <v>254</v>
      </c>
      <c r="H352" s="540" t="s">
        <v>1285</v>
      </c>
      <c r="I352" s="540"/>
      <c r="J352" s="541"/>
      <c r="K352" s="548"/>
      <c r="L352" s="549"/>
      <c r="M352" s="644"/>
      <c r="N352" s="445"/>
      <c r="O352" s="443"/>
      <c r="P352" s="447">
        <f t="shared" si="149"/>
        <v>0</v>
      </c>
      <c r="Q352" s="431" t="s">
        <v>45</v>
      </c>
      <c r="R352" s="549"/>
      <c r="S352" s="477">
        <f t="shared" si="142"/>
        <v>0</v>
      </c>
      <c r="T352" s="465"/>
      <c r="U352" s="465"/>
      <c r="V352" s="465"/>
      <c r="W352" s="465"/>
      <c r="X352" s="478">
        <f t="shared" si="143"/>
        <v>0</v>
      </c>
      <c r="Y352" s="432"/>
      <c r="Z352" s="464">
        <f t="shared" ref="Z352:Z353" si="150">SUM(AA352:AD352)</f>
        <v>0</v>
      </c>
      <c r="AA352" s="465"/>
      <c r="AB352" s="465"/>
      <c r="AC352" s="465"/>
      <c r="AD352" s="465"/>
      <c r="AE352" s="466">
        <f t="shared" si="145"/>
        <v>0</v>
      </c>
      <c r="AF352" s="308"/>
      <c r="AG352" s="429" t="e">
        <f>VLOOKUP(LEFT(A352,(FIND(",",A352,1)-1)),'Feature Summary'!$A$7:$U$4035,21,FALSE)</f>
        <v>#VALUE!</v>
      </c>
      <c r="AH352" s="579"/>
    </row>
    <row r="353" spans="1:34" ht="60.75" hidden="1" thickBot="1" x14ac:dyDescent="0.3">
      <c r="A353" s="564" t="s">
        <v>1286</v>
      </c>
      <c r="B353" s="533" t="s">
        <v>1287</v>
      </c>
      <c r="C353" s="308" t="s">
        <v>1274</v>
      </c>
      <c r="D353" s="536" t="s">
        <v>1275</v>
      </c>
      <c r="E353" s="308"/>
      <c r="F353" s="533" t="s">
        <v>1288</v>
      </c>
      <c r="G353" s="231" t="s">
        <v>254</v>
      </c>
      <c r="H353" s="540" t="s">
        <v>1285</v>
      </c>
      <c r="I353" s="540"/>
      <c r="J353" s="541"/>
      <c r="K353" s="548"/>
      <c r="L353" s="549"/>
      <c r="M353" s="644"/>
      <c r="N353" s="445"/>
      <c r="O353" s="443"/>
      <c r="P353" s="447">
        <f t="shared" si="149"/>
        <v>0</v>
      </c>
      <c r="Q353" s="431" t="s">
        <v>45</v>
      </c>
      <c r="R353" s="549"/>
      <c r="S353" s="477">
        <f t="shared" si="142"/>
        <v>0</v>
      </c>
      <c r="T353" s="465"/>
      <c r="U353" s="465"/>
      <c r="V353" s="465"/>
      <c r="W353" s="465"/>
      <c r="X353" s="478">
        <f t="shared" si="143"/>
        <v>0</v>
      </c>
      <c r="Y353" s="432"/>
      <c r="Z353" s="464">
        <f t="shared" si="150"/>
        <v>0</v>
      </c>
      <c r="AA353" s="465"/>
      <c r="AB353" s="465"/>
      <c r="AC353" s="465"/>
      <c r="AD353" s="465"/>
      <c r="AE353" s="466">
        <f t="shared" si="145"/>
        <v>0</v>
      </c>
      <c r="AF353" s="308"/>
      <c r="AG353" s="429" t="e">
        <f>VLOOKUP(LEFT(A353,(FIND(",",A353,1)-1)),'Feature Summary'!$A$7:$U$4035,21,FALSE)</f>
        <v>#VALUE!</v>
      </c>
      <c r="AH353" s="579"/>
    </row>
    <row r="354" spans="1:34" ht="30.75" thickBot="1" x14ac:dyDescent="0.3">
      <c r="A354" s="564" t="s">
        <v>1289</v>
      </c>
      <c r="B354" s="533" t="s">
        <v>1290</v>
      </c>
      <c r="C354" s="308" t="s">
        <v>1274</v>
      </c>
      <c r="D354" s="309" t="s">
        <v>839</v>
      </c>
      <c r="E354" s="308"/>
      <c r="F354" s="533" t="s">
        <v>1291</v>
      </c>
      <c r="G354" s="231"/>
      <c r="H354" s="540" t="s">
        <v>1292</v>
      </c>
      <c r="I354" s="540" t="s">
        <v>309</v>
      </c>
      <c r="J354" s="541" t="s">
        <v>327</v>
      </c>
      <c r="K354" s="548">
        <v>1</v>
      </c>
      <c r="L354" s="549">
        <v>1</v>
      </c>
      <c r="M354" s="404" t="s">
        <v>33</v>
      </c>
      <c r="N354" s="445">
        <v>1</v>
      </c>
      <c r="O354" s="443">
        <v>1</v>
      </c>
      <c r="P354" s="447">
        <f t="shared" si="125"/>
        <v>1</v>
      </c>
      <c r="Q354" s="431" t="s">
        <v>45</v>
      </c>
      <c r="R354" s="309">
        <v>1</v>
      </c>
      <c r="S354" s="477">
        <f t="shared" si="142"/>
        <v>0</v>
      </c>
      <c r="T354" s="465"/>
      <c r="U354" s="465"/>
      <c r="V354" s="465"/>
      <c r="W354" s="465"/>
      <c r="X354" s="478">
        <v>1</v>
      </c>
      <c r="Y354" s="432"/>
      <c r="Z354" s="464">
        <f t="shared" ref="Z354:Z359" si="151">SUM(AA354:AD354)</f>
        <v>0</v>
      </c>
      <c r="AA354" s="465"/>
      <c r="AB354" s="465"/>
      <c r="AC354" s="465"/>
      <c r="AD354" s="465"/>
      <c r="AE354" s="466">
        <v>1</v>
      </c>
      <c r="AF354" s="308"/>
      <c r="AG354" s="433" t="str">
        <f>VLOOKUP(A354,'Feature Summary'!$A$7:$U$4104,21,FALSE)</f>
        <v>A/B + 8wks</v>
      </c>
      <c r="AH354" s="310"/>
    </row>
    <row r="355" spans="1:34" ht="30.75" thickBot="1" x14ac:dyDescent="0.3">
      <c r="A355" s="316" t="s">
        <v>1293</v>
      </c>
      <c r="B355" s="533" t="s">
        <v>1294</v>
      </c>
      <c r="C355" s="308" t="s">
        <v>1274</v>
      </c>
      <c r="D355" s="309" t="s">
        <v>839</v>
      </c>
      <c r="E355" s="308"/>
      <c r="F355" s="533" t="s">
        <v>1295</v>
      </c>
      <c r="G355" s="231"/>
      <c r="H355" s="540" t="s">
        <v>1296</v>
      </c>
      <c r="I355" s="540" t="s">
        <v>309</v>
      </c>
      <c r="J355" s="541" t="s">
        <v>598</v>
      </c>
      <c r="K355" s="548">
        <v>1</v>
      </c>
      <c r="L355" s="549">
        <v>1</v>
      </c>
      <c r="M355" s="404" t="s">
        <v>33</v>
      </c>
      <c r="N355" s="445">
        <v>1</v>
      </c>
      <c r="O355" s="443">
        <v>1</v>
      </c>
      <c r="P355" s="447">
        <f t="shared" ref="P355:P363" si="152">IF((O355=0),0,(O355/L355))</f>
        <v>1</v>
      </c>
      <c r="Q355" s="431" t="s">
        <v>45</v>
      </c>
      <c r="R355" s="309">
        <v>1</v>
      </c>
      <c r="S355" s="477">
        <f t="shared" si="142"/>
        <v>0</v>
      </c>
      <c r="T355" s="465"/>
      <c r="U355" s="465"/>
      <c r="V355" s="465"/>
      <c r="W355" s="465"/>
      <c r="X355" s="478">
        <v>1</v>
      </c>
      <c r="Y355" s="432"/>
      <c r="Z355" s="464">
        <f t="shared" si="151"/>
        <v>0</v>
      </c>
      <c r="AA355" s="465"/>
      <c r="AB355" s="465"/>
      <c r="AC355" s="465"/>
      <c r="AD355" s="465"/>
      <c r="AE355" s="466">
        <v>1</v>
      </c>
      <c r="AF355" s="308"/>
      <c r="AG355" s="433" t="e">
        <f>VLOOKUP(A355,'Feature Summary'!$A$7:$U$4104,21,FALSE)</f>
        <v>#N/A</v>
      </c>
      <c r="AH355" s="310"/>
    </row>
    <row r="356" spans="1:34" ht="30.75" thickBot="1" x14ac:dyDescent="0.3">
      <c r="A356" s="564" t="s">
        <v>1289</v>
      </c>
      <c r="B356" s="533" t="s">
        <v>1290</v>
      </c>
      <c r="C356" s="308" t="s">
        <v>1274</v>
      </c>
      <c r="D356" s="309" t="s">
        <v>839</v>
      </c>
      <c r="E356" s="308"/>
      <c r="F356" s="533" t="s">
        <v>1297</v>
      </c>
      <c r="G356" s="231"/>
      <c r="H356" s="540" t="s">
        <v>1298</v>
      </c>
      <c r="I356" s="540" t="s">
        <v>309</v>
      </c>
      <c r="J356" s="541" t="s">
        <v>598</v>
      </c>
      <c r="K356" s="548">
        <v>1</v>
      </c>
      <c r="L356" s="549">
        <v>1</v>
      </c>
      <c r="M356" s="404" t="s">
        <v>33</v>
      </c>
      <c r="N356" s="445">
        <v>1</v>
      </c>
      <c r="O356" s="443">
        <v>1</v>
      </c>
      <c r="P356" s="447">
        <f t="shared" si="152"/>
        <v>1</v>
      </c>
      <c r="Q356" s="431"/>
      <c r="R356" s="309">
        <v>1</v>
      </c>
      <c r="S356" s="477">
        <f t="shared" si="142"/>
        <v>0</v>
      </c>
      <c r="T356" s="465"/>
      <c r="U356" s="465"/>
      <c r="V356" s="465"/>
      <c r="W356" s="465"/>
      <c r="X356" s="478">
        <v>1</v>
      </c>
      <c r="Y356" s="432"/>
      <c r="Z356" s="464">
        <f t="shared" si="151"/>
        <v>0</v>
      </c>
      <c r="AA356" s="465"/>
      <c r="AB356" s="465"/>
      <c r="AC356" s="465"/>
      <c r="AD356" s="465"/>
      <c r="AE356" s="466"/>
      <c r="AF356" s="308"/>
      <c r="AG356" s="433" t="str">
        <f>VLOOKUP(A356,'Feature Summary'!$A$7:$U$4104,21,FALSE)</f>
        <v>A/B + 8wks</v>
      </c>
      <c r="AH356" s="310"/>
    </row>
    <row r="357" spans="1:34" ht="30.75" thickBot="1" x14ac:dyDescent="0.3">
      <c r="A357" s="316" t="s">
        <v>1299</v>
      </c>
      <c r="B357" s="533" t="s">
        <v>1300</v>
      </c>
      <c r="C357" s="308" t="s">
        <v>1274</v>
      </c>
      <c r="D357" s="309" t="s">
        <v>839</v>
      </c>
      <c r="E357" s="308"/>
      <c r="F357" s="533" t="s">
        <v>1301</v>
      </c>
      <c r="G357" s="231"/>
      <c r="H357" s="540" t="s">
        <v>1302</v>
      </c>
      <c r="I357" s="540" t="s">
        <v>309</v>
      </c>
      <c r="J357" s="541" t="s">
        <v>598</v>
      </c>
      <c r="K357" s="548">
        <v>1</v>
      </c>
      <c r="L357" s="549">
        <v>1</v>
      </c>
      <c r="M357" s="404" t="s">
        <v>33</v>
      </c>
      <c r="N357" s="445">
        <v>1</v>
      </c>
      <c r="O357" s="443">
        <v>1</v>
      </c>
      <c r="P357" s="447">
        <f t="shared" si="152"/>
        <v>1</v>
      </c>
      <c r="Q357" s="431" t="s">
        <v>45</v>
      </c>
      <c r="R357" s="309">
        <v>1</v>
      </c>
      <c r="S357" s="477">
        <f t="shared" si="142"/>
        <v>0</v>
      </c>
      <c r="T357" s="465"/>
      <c r="U357" s="465"/>
      <c r="V357" s="465"/>
      <c r="W357" s="465"/>
      <c r="X357" s="478">
        <v>1</v>
      </c>
      <c r="Y357" s="432"/>
      <c r="Z357" s="464">
        <f t="shared" si="151"/>
        <v>0</v>
      </c>
      <c r="AA357" s="465"/>
      <c r="AB357" s="465"/>
      <c r="AC357" s="465"/>
      <c r="AD357" s="465"/>
      <c r="AE357" s="466">
        <v>1</v>
      </c>
      <c r="AF357" s="308"/>
      <c r="AG357" s="433" t="e">
        <f>VLOOKUP(A357,'Feature Summary'!$A$7:$U$4104,21,FALSE)</f>
        <v>#N/A</v>
      </c>
      <c r="AH357" s="310"/>
    </row>
    <row r="358" spans="1:34" ht="30.75" thickBot="1" x14ac:dyDescent="0.3">
      <c r="A358" s="564" t="s">
        <v>1289</v>
      </c>
      <c r="B358" s="533" t="s">
        <v>1303</v>
      </c>
      <c r="C358" s="308" t="s">
        <v>1274</v>
      </c>
      <c r="D358" s="309" t="s">
        <v>839</v>
      </c>
      <c r="E358" s="308"/>
      <c r="F358" s="533" t="s">
        <v>1304</v>
      </c>
      <c r="G358" s="231"/>
      <c r="H358" s="540" t="s">
        <v>1305</v>
      </c>
      <c r="I358" s="540" t="s">
        <v>309</v>
      </c>
      <c r="J358" s="541" t="s">
        <v>327</v>
      </c>
      <c r="K358" s="548">
        <v>1</v>
      </c>
      <c r="L358" s="549">
        <v>1</v>
      </c>
      <c r="M358" s="404" t="s">
        <v>33</v>
      </c>
      <c r="N358" s="445">
        <v>1</v>
      </c>
      <c r="O358" s="443">
        <v>1</v>
      </c>
      <c r="P358" s="447">
        <f t="shared" si="152"/>
        <v>1</v>
      </c>
      <c r="Q358" s="431" t="s">
        <v>45</v>
      </c>
      <c r="R358" s="309">
        <v>1</v>
      </c>
      <c r="S358" s="477">
        <f t="shared" si="142"/>
        <v>0</v>
      </c>
      <c r="T358" s="465"/>
      <c r="U358" s="465"/>
      <c r="V358" s="465"/>
      <c r="W358" s="465"/>
      <c r="X358" s="478">
        <v>1</v>
      </c>
      <c r="Y358" s="432"/>
      <c r="Z358" s="464">
        <f t="shared" si="151"/>
        <v>0</v>
      </c>
      <c r="AA358" s="465"/>
      <c r="AB358" s="465"/>
      <c r="AC358" s="465"/>
      <c r="AD358" s="465"/>
      <c r="AE358" s="466">
        <v>1</v>
      </c>
      <c r="AF358" s="308"/>
      <c r="AG358" s="433" t="str">
        <f>VLOOKUP(A358,'Feature Summary'!$A$7:$U$4104,21,FALSE)</f>
        <v>A/B + 8wks</v>
      </c>
      <c r="AH358" s="310"/>
    </row>
    <row r="359" spans="1:34" ht="30" x14ac:dyDescent="0.25">
      <c r="A359" s="316" t="s">
        <v>1293</v>
      </c>
      <c r="B359" s="533" t="s">
        <v>1294</v>
      </c>
      <c r="C359" s="308" t="s">
        <v>1274</v>
      </c>
      <c r="D359" s="309" t="s">
        <v>839</v>
      </c>
      <c r="E359" s="308"/>
      <c r="F359" s="533" t="s">
        <v>1306</v>
      </c>
      <c r="G359" s="231"/>
      <c r="H359" s="540" t="s">
        <v>1307</v>
      </c>
      <c r="I359" s="540" t="s">
        <v>309</v>
      </c>
      <c r="J359" s="541" t="s">
        <v>598</v>
      </c>
      <c r="K359" s="548">
        <v>1</v>
      </c>
      <c r="L359" s="549">
        <v>1</v>
      </c>
      <c r="M359" s="404" t="s">
        <v>33</v>
      </c>
      <c r="N359" s="445">
        <v>1</v>
      </c>
      <c r="O359" s="443">
        <v>1</v>
      </c>
      <c r="P359" s="447">
        <f t="shared" si="152"/>
        <v>1</v>
      </c>
      <c r="Q359" s="431" t="s">
        <v>45</v>
      </c>
      <c r="R359" s="309">
        <v>1</v>
      </c>
      <c r="S359" s="477">
        <f t="shared" si="142"/>
        <v>0</v>
      </c>
      <c r="T359" s="465"/>
      <c r="U359" s="465"/>
      <c r="V359" s="465"/>
      <c r="W359" s="465"/>
      <c r="X359" s="478">
        <v>1</v>
      </c>
      <c r="Y359" s="432"/>
      <c r="Z359" s="464">
        <f t="shared" si="151"/>
        <v>0</v>
      </c>
      <c r="AA359" s="465"/>
      <c r="AB359" s="465"/>
      <c r="AC359" s="465"/>
      <c r="AD359" s="465"/>
      <c r="AE359" s="466">
        <v>1</v>
      </c>
      <c r="AF359" s="571"/>
      <c r="AG359" s="433" t="e">
        <f>VLOOKUP(A359,'Feature Summary'!$A$7:$U$4104,21,FALSE)</f>
        <v>#N/A</v>
      </c>
      <c r="AH359" s="310"/>
    </row>
    <row r="360" spans="1:34" ht="30" hidden="1" x14ac:dyDescent="0.25">
      <c r="A360" s="316" t="s">
        <v>1308</v>
      </c>
      <c r="B360" s="533" t="s">
        <v>1309</v>
      </c>
      <c r="C360" s="308" t="s">
        <v>1274</v>
      </c>
      <c r="D360" s="309" t="s">
        <v>1275</v>
      </c>
      <c r="E360" s="308"/>
      <c r="F360" s="533" t="s">
        <v>1310</v>
      </c>
      <c r="G360" s="231"/>
      <c r="H360" s="540" t="s">
        <v>1285</v>
      </c>
      <c r="I360" s="540"/>
      <c r="J360" s="541"/>
      <c r="K360" s="548"/>
      <c r="L360" s="549"/>
      <c r="M360" s="404"/>
      <c r="N360" s="445"/>
      <c r="O360" s="641"/>
      <c r="P360" s="447"/>
      <c r="Q360" s="431"/>
      <c r="R360" s="309"/>
      <c r="S360" s="477"/>
      <c r="T360" s="465"/>
      <c r="U360" s="465"/>
      <c r="V360" s="465"/>
      <c r="W360" s="465"/>
      <c r="X360" s="478"/>
      <c r="Y360" s="432"/>
      <c r="Z360" s="464"/>
      <c r="AA360" s="465"/>
      <c r="AB360" s="465"/>
      <c r="AC360" s="465"/>
      <c r="AD360" s="465"/>
      <c r="AE360" s="466"/>
      <c r="AF360" s="571"/>
      <c r="AG360" s="433"/>
      <c r="AH360" s="310"/>
    </row>
    <row r="361" spans="1:34" ht="30" x14ac:dyDescent="0.25">
      <c r="A361" s="316" t="s">
        <v>1311</v>
      </c>
      <c r="B361" s="533" t="s">
        <v>1312</v>
      </c>
      <c r="C361" s="308" t="s">
        <v>357</v>
      </c>
      <c r="D361" s="309" t="s">
        <v>306</v>
      </c>
      <c r="E361" s="308"/>
      <c r="F361" s="533" t="s">
        <v>1313</v>
      </c>
      <c r="G361" s="231"/>
      <c r="H361" s="540" t="s">
        <v>1314</v>
      </c>
      <c r="I361" s="540" t="s">
        <v>331</v>
      </c>
      <c r="J361" s="541"/>
      <c r="K361" s="548">
        <v>1</v>
      </c>
      <c r="L361" s="549">
        <v>1</v>
      </c>
      <c r="M361" s="404" t="s">
        <v>42</v>
      </c>
      <c r="N361" s="445">
        <v>1</v>
      </c>
      <c r="O361" s="641">
        <v>1</v>
      </c>
      <c r="P361" s="447">
        <f t="shared" si="152"/>
        <v>1</v>
      </c>
      <c r="Q361" s="431" t="s">
        <v>46</v>
      </c>
      <c r="R361" s="309">
        <v>1</v>
      </c>
      <c r="S361" s="477">
        <f t="shared" ref="S361:S369" si="153">SUM(T361:W361)</f>
        <v>1</v>
      </c>
      <c r="T361" s="465">
        <v>1</v>
      </c>
      <c r="U361" s="465"/>
      <c r="V361" s="465"/>
      <c r="W361" s="465"/>
      <c r="X361" s="478">
        <f t="shared" ref="X361:X369" si="154">IF((S361=0),0,((T361+U361)/S361*100%))</f>
        <v>1</v>
      </c>
      <c r="Y361" s="432"/>
      <c r="Z361" s="464">
        <f t="shared" ref="Z361:Z366" si="155">SUM(AA361:AD361)</f>
        <v>0</v>
      </c>
      <c r="AA361" s="465"/>
      <c r="AB361" s="465"/>
      <c r="AC361" s="465"/>
      <c r="AD361" s="465"/>
      <c r="AE361" s="466">
        <f t="shared" ref="AE361:AE366" si="156">IF((Z361=0),0,((AA361+AB361)/Z361*100%))</f>
        <v>0</v>
      </c>
      <c r="AF361" s="571"/>
      <c r="AG361" s="433" t="str">
        <f>VLOOKUP(A361,'Feature Summary'!$A$7:$U$4104,21,FALSE)</f>
        <v>A/B + 10wks</v>
      </c>
      <c r="AH361" s="310"/>
    </row>
    <row r="362" spans="1:34" ht="30" x14ac:dyDescent="0.25">
      <c r="A362" s="316" t="s">
        <v>1315</v>
      </c>
      <c r="B362" s="533" t="s">
        <v>1316</v>
      </c>
      <c r="C362" s="308" t="s">
        <v>357</v>
      </c>
      <c r="D362" s="309" t="s">
        <v>388</v>
      </c>
      <c r="E362" s="308"/>
      <c r="F362" s="533" t="s">
        <v>1317</v>
      </c>
      <c r="G362" s="231"/>
      <c r="H362" s="540" t="s">
        <v>1318</v>
      </c>
      <c r="I362" s="540" t="s">
        <v>331</v>
      </c>
      <c r="J362" s="541"/>
      <c r="K362" s="548">
        <v>1</v>
      </c>
      <c r="L362" s="549">
        <v>1</v>
      </c>
      <c r="M362" s="404" t="s">
        <v>42</v>
      </c>
      <c r="N362" s="445">
        <v>1</v>
      </c>
      <c r="O362" s="641">
        <v>1</v>
      </c>
      <c r="P362" s="447">
        <f t="shared" si="152"/>
        <v>1</v>
      </c>
      <c r="Q362" s="431" t="s">
        <v>46</v>
      </c>
      <c r="R362" s="309">
        <v>1</v>
      </c>
      <c r="S362" s="477">
        <f t="shared" si="153"/>
        <v>1</v>
      </c>
      <c r="T362" s="465">
        <v>1</v>
      </c>
      <c r="U362" s="465"/>
      <c r="V362" s="465"/>
      <c r="W362" s="465"/>
      <c r="X362" s="478">
        <f t="shared" si="154"/>
        <v>1</v>
      </c>
      <c r="Y362" s="432"/>
      <c r="Z362" s="464">
        <f t="shared" si="155"/>
        <v>0</v>
      </c>
      <c r="AA362" s="465"/>
      <c r="AB362" s="465"/>
      <c r="AC362" s="465"/>
      <c r="AD362" s="465"/>
      <c r="AE362" s="466">
        <f t="shared" si="156"/>
        <v>0</v>
      </c>
      <c r="AF362" s="571"/>
      <c r="AG362" s="433" t="str">
        <f>VLOOKUP(A362,'Feature Summary'!$A$7:$U$4104,21,FALSE)</f>
        <v>A/B + 10wks</v>
      </c>
      <c r="AH362" s="310"/>
    </row>
    <row r="363" spans="1:34" ht="60" x14ac:dyDescent="0.25">
      <c r="A363" s="316" t="s">
        <v>1319</v>
      </c>
      <c r="B363" s="533" t="s">
        <v>1320</v>
      </c>
      <c r="C363" s="308" t="s">
        <v>1321</v>
      </c>
      <c r="D363" s="309" t="s">
        <v>306</v>
      </c>
      <c r="E363" s="308"/>
      <c r="F363" s="533" t="s">
        <v>1322</v>
      </c>
      <c r="G363" s="231"/>
      <c r="H363" s="540" t="s">
        <v>1323</v>
      </c>
      <c r="I363" s="540" t="s">
        <v>331</v>
      </c>
      <c r="J363" s="541"/>
      <c r="K363" s="548">
        <v>1</v>
      </c>
      <c r="L363" s="549">
        <v>4</v>
      </c>
      <c r="M363" s="404" t="s">
        <v>42</v>
      </c>
      <c r="N363" s="445">
        <v>1</v>
      </c>
      <c r="O363" s="641">
        <v>4</v>
      </c>
      <c r="P363" s="447">
        <f t="shared" si="152"/>
        <v>1</v>
      </c>
      <c r="Q363" s="431" t="s">
        <v>46</v>
      </c>
      <c r="R363" s="309">
        <v>4</v>
      </c>
      <c r="S363" s="477">
        <f t="shared" si="153"/>
        <v>4</v>
      </c>
      <c r="T363" s="465">
        <v>4</v>
      </c>
      <c r="U363" s="465"/>
      <c r="V363" s="465"/>
      <c r="W363" s="465"/>
      <c r="X363" s="478">
        <f t="shared" si="154"/>
        <v>1</v>
      </c>
      <c r="Y363" s="610" t="s">
        <v>1324</v>
      </c>
      <c r="Z363" s="464">
        <f t="shared" si="155"/>
        <v>4</v>
      </c>
      <c r="AA363" s="465">
        <v>4</v>
      </c>
      <c r="AB363" s="465"/>
      <c r="AC363" s="465"/>
      <c r="AD363" s="465"/>
      <c r="AE363" s="466">
        <f t="shared" si="156"/>
        <v>1</v>
      </c>
      <c r="AF363" s="571" t="s">
        <v>1325</v>
      </c>
      <c r="AG363" s="433" t="str">
        <f>VLOOKUP(A363,'Feature Summary'!$A$7:$U$4104,21,FALSE)</f>
        <v>A/B + 5wks</v>
      </c>
      <c r="AH363" s="310"/>
    </row>
    <row r="364" spans="1:34" ht="30" x14ac:dyDescent="0.25">
      <c r="A364" s="316" t="s">
        <v>1326</v>
      </c>
      <c r="B364" s="533" t="s">
        <v>1327</v>
      </c>
      <c r="C364" s="308" t="s">
        <v>1321</v>
      </c>
      <c r="D364" s="309" t="s">
        <v>839</v>
      </c>
      <c r="E364" s="308"/>
      <c r="F364" s="533" t="s">
        <v>1322</v>
      </c>
      <c r="G364" s="231"/>
      <c r="H364" s="540" t="s">
        <v>1328</v>
      </c>
      <c r="I364" s="540" t="s">
        <v>331</v>
      </c>
      <c r="J364" s="541"/>
      <c r="K364" s="548">
        <v>1</v>
      </c>
      <c r="L364" s="549">
        <v>1</v>
      </c>
      <c r="M364" s="404" t="s">
        <v>42</v>
      </c>
      <c r="N364" s="445">
        <v>1</v>
      </c>
      <c r="O364" s="641">
        <v>1</v>
      </c>
      <c r="P364" s="447">
        <f t="shared" ref="P364:P369" si="157">IF((O364=0),0,(O364/L364))</f>
        <v>1</v>
      </c>
      <c r="Q364" s="431" t="s">
        <v>46</v>
      </c>
      <c r="R364" s="309">
        <v>1</v>
      </c>
      <c r="S364" s="477">
        <f t="shared" si="153"/>
        <v>1</v>
      </c>
      <c r="T364" s="465">
        <v>1</v>
      </c>
      <c r="U364" s="465"/>
      <c r="V364" s="465"/>
      <c r="W364" s="465"/>
      <c r="X364" s="478">
        <f t="shared" si="154"/>
        <v>1</v>
      </c>
      <c r="Y364" s="432" t="s">
        <v>1329</v>
      </c>
      <c r="Z364" s="464">
        <f t="shared" si="155"/>
        <v>1</v>
      </c>
      <c r="AA364" s="465">
        <v>1</v>
      </c>
      <c r="AB364" s="465"/>
      <c r="AC364" s="465"/>
      <c r="AD364" s="465"/>
      <c r="AE364" s="466">
        <f t="shared" si="156"/>
        <v>1</v>
      </c>
      <c r="AF364" s="571" t="s">
        <v>1325</v>
      </c>
      <c r="AG364" s="433" t="str">
        <f>VLOOKUP(A364,'Feature Summary'!$A$7:$U$4104,21,FALSE)</f>
        <v>A/B + 5wks</v>
      </c>
      <c r="AH364" s="310"/>
    </row>
    <row r="365" spans="1:34" ht="225" x14ac:dyDescent="0.25">
      <c r="A365" s="316" t="s">
        <v>1330</v>
      </c>
      <c r="B365" s="533" t="s">
        <v>1331</v>
      </c>
      <c r="C365" s="308" t="s">
        <v>1332</v>
      </c>
      <c r="D365" s="309" t="s">
        <v>839</v>
      </c>
      <c r="E365" s="308"/>
      <c r="F365" s="533" t="s">
        <v>1333</v>
      </c>
      <c r="G365" s="231"/>
      <c r="H365" s="540" t="s">
        <v>1334</v>
      </c>
      <c r="I365" s="540" t="s">
        <v>331</v>
      </c>
      <c r="J365" s="541"/>
      <c r="K365" s="548">
        <v>1</v>
      </c>
      <c r="L365" s="549">
        <v>1</v>
      </c>
      <c r="M365" s="404" t="s">
        <v>42</v>
      </c>
      <c r="N365" s="445">
        <v>1</v>
      </c>
      <c r="O365" s="641">
        <v>1</v>
      </c>
      <c r="P365" s="447">
        <f t="shared" si="157"/>
        <v>1</v>
      </c>
      <c r="Q365" s="431" t="s">
        <v>46</v>
      </c>
      <c r="R365" s="309">
        <v>1</v>
      </c>
      <c r="S365" s="477">
        <f t="shared" si="153"/>
        <v>1</v>
      </c>
      <c r="T365" s="465">
        <v>1</v>
      </c>
      <c r="U365" s="465"/>
      <c r="V365" s="465"/>
      <c r="W365" s="465"/>
      <c r="X365" s="478">
        <f t="shared" si="154"/>
        <v>1</v>
      </c>
      <c r="Y365" s="432"/>
      <c r="Z365" s="464">
        <f t="shared" si="155"/>
        <v>1</v>
      </c>
      <c r="AA365" s="465">
        <v>1</v>
      </c>
      <c r="AB365" s="465"/>
      <c r="AC365" s="465"/>
      <c r="AD365" s="465"/>
      <c r="AE365" s="466">
        <f t="shared" si="156"/>
        <v>1</v>
      </c>
      <c r="AF365" s="571" t="s">
        <v>1335</v>
      </c>
      <c r="AG365" s="433" t="str">
        <f>VLOOKUP(A365,'Feature Summary'!$A$7:$U$4104,21,FALSE)</f>
        <v>A/B + 5wks</v>
      </c>
      <c r="AH365" s="310"/>
    </row>
    <row r="366" spans="1:34" ht="30" x14ac:dyDescent="0.25">
      <c r="A366" s="316" t="s">
        <v>1336</v>
      </c>
      <c r="B366" s="533" t="s">
        <v>1337</v>
      </c>
      <c r="C366" s="308" t="s">
        <v>1332</v>
      </c>
      <c r="D366" s="309" t="s">
        <v>839</v>
      </c>
      <c r="E366" s="308"/>
      <c r="F366" s="533" t="s">
        <v>1338</v>
      </c>
      <c r="G366" s="231"/>
      <c r="H366" s="540" t="s">
        <v>1339</v>
      </c>
      <c r="I366" s="540" t="s">
        <v>331</v>
      </c>
      <c r="J366" s="541"/>
      <c r="K366" s="548">
        <v>1</v>
      </c>
      <c r="L366" s="549">
        <v>1</v>
      </c>
      <c r="M366" s="404" t="s">
        <v>42</v>
      </c>
      <c r="N366" s="445">
        <v>1</v>
      </c>
      <c r="O366" s="641">
        <v>1</v>
      </c>
      <c r="P366" s="447">
        <f t="shared" si="157"/>
        <v>1</v>
      </c>
      <c r="Q366" s="431" t="s">
        <v>46</v>
      </c>
      <c r="R366" s="309">
        <v>1</v>
      </c>
      <c r="S366" s="477">
        <f t="shared" si="153"/>
        <v>1</v>
      </c>
      <c r="T366" s="465">
        <v>1</v>
      </c>
      <c r="U366" s="465"/>
      <c r="V366" s="465"/>
      <c r="W366" s="465"/>
      <c r="X366" s="478">
        <f t="shared" si="154"/>
        <v>1</v>
      </c>
      <c r="Y366" s="432"/>
      <c r="Z366" s="464">
        <f t="shared" si="155"/>
        <v>0</v>
      </c>
      <c r="AA366" s="465"/>
      <c r="AB366" s="465"/>
      <c r="AC366" s="465"/>
      <c r="AD366" s="465"/>
      <c r="AE366" s="466">
        <f t="shared" si="156"/>
        <v>0</v>
      </c>
      <c r="AF366" s="571"/>
      <c r="AG366" s="433" t="str">
        <f>VLOOKUP(A366,'Feature Summary'!$A$7:$U$4104,21,FALSE)</f>
        <v>A/B + 5wks</v>
      </c>
      <c r="AH366" s="310"/>
    </row>
    <row r="367" spans="1:34" ht="30" x14ac:dyDescent="0.25">
      <c r="A367" s="316" t="s">
        <v>1340</v>
      </c>
      <c r="B367" s="533" t="s">
        <v>1341</v>
      </c>
      <c r="C367" s="308" t="s">
        <v>499</v>
      </c>
      <c r="D367" s="309" t="s">
        <v>306</v>
      </c>
      <c r="E367" s="308"/>
      <c r="F367" s="533" t="s">
        <v>1342</v>
      </c>
      <c r="G367" s="231"/>
      <c r="H367" s="540" t="s">
        <v>1343</v>
      </c>
      <c r="I367" s="540" t="s">
        <v>309</v>
      </c>
      <c r="J367" s="541"/>
      <c r="K367" s="548">
        <v>1</v>
      </c>
      <c r="L367" s="549">
        <v>1</v>
      </c>
      <c r="M367" s="404" t="s">
        <v>42</v>
      </c>
      <c r="N367" s="445">
        <v>1</v>
      </c>
      <c r="O367" s="641">
        <v>1</v>
      </c>
      <c r="P367" s="447">
        <f t="shared" si="157"/>
        <v>1</v>
      </c>
      <c r="Q367" s="431"/>
      <c r="R367" s="309">
        <v>1</v>
      </c>
      <c r="S367" s="477">
        <f t="shared" si="153"/>
        <v>1</v>
      </c>
      <c r="T367" s="465">
        <v>1</v>
      </c>
      <c r="U367" s="465"/>
      <c r="V367" s="465"/>
      <c r="W367" s="465"/>
      <c r="X367" s="478">
        <f t="shared" si="154"/>
        <v>1</v>
      </c>
      <c r="Y367" s="432"/>
      <c r="Z367" s="464"/>
      <c r="AA367" s="465"/>
      <c r="AB367" s="465"/>
      <c r="AC367" s="465"/>
      <c r="AD367" s="465"/>
      <c r="AE367" s="466"/>
      <c r="AF367" s="571"/>
      <c r="AG367" s="433" t="str">
        <f>VLOOKUP(A367,'Feature Summary'!$A$7:$U$4104,21,FALSE)</f>
        <v>A/B + 8wks</v>
      </c>
      <c r="AH367" s="310"/>
    </row>
    <row r="368" spans="1:34" ht="30" x14ac:dyDescent="0.25">
      <c r="A368" s="316" t="s">
        <v>1344</v>
      </c>
      <c r="B368" s="533" t="s">
        <v>1345</v>
      </c>
      <c r="C368" s="308" t="s">
        <v>357</v>
      </c>
      <c r="D368" s="309" t="s">
        <v>306</v>
      </c>
      <c r="E368" s="308"/>
      <c r="F368" s="533" t="s">
        <v>1346</v>
      </c>
      <c r="G368" s="231"/>
      <c r="H368" s="540" t="s">
        <v>1347</v>
      </c>
      <c r="I368" s="540" t="s">
        <v>331</v>
      </c>
      <c r="J368" s="541"/>
      <c r="K368" s="548">
        <v>1</v>
      </c>
      <c r="L368" s="549">
        <v>1</v>
      </c>
      <c r="M368" s="404" t="s">
        <v>42</v>
      </c>
      <c r="N368" s="445">
        <v>1</v>
      </c>
      <c r="O368" s="641">
        <v>1</v>
      </c>
      <c r="P368" s="447">
        <f t="shared" si="157"/>
        <v>1</v>
      </c>
      <c r="Q368" s="431" t="s">
        <v>46</v>
      </c>
      <c r="R368" s="309">
        <v>1</v>
      </c>
      <c r="S368" s="477">
        <f t="shared" si="153"/>
        <v>1</v>
      </c>
      <c r="T368" s="465">
        <v>1</v>
      </c>
      <c r="U368" s="465"/>
      <c r="V368" s="465"/>
      <c r="W368" s="465"/>
      <c r="X368" s="478">
        <f t="shared" si="154"/>
        <v>1</v>
      </c>
      <c r="Y368" s="432"/>
      <c r="Z368" s="464">
        <f t="shared" ref="Z368:Z369" si="158">SUM(AA368:AD368)</f>
        <v>0</v>
      </c>
      <c r="AA368" s="465"/>
      <c r="AB368" s="465"/>
      <c r="AC368" s="465"/>
      <c r="AD368" s="465"/>
      <c r="AE368" s="466">
        <f t="shared" ref="AE368:AE369" si="159">IF((Z368=0),0,((AA368+AB368)/Z368*100%))</f>
        <v>0</v>
      </c>
      <c r="AF368" s="571"/>
      <c r="AG368" s="433" t="str">
        <f>VLOOKUP(A368,'Feature Summary'!$A$7:$U$4104,21,FALSE)</f>
        <v>A/B + 10wks</v>
      </c>
      <c r="AH368" s="310"/>
    </row>
    <row r="369" spans="1:34" ht="30.75" thickBot="1" x14ac:dyDescent="0.3">
      <c r="A369" s="316" t="s">
        <v>1319</v>
      </c>
      <c r="B369" s="533" t="s">
        <v>1348</v>
      </c>
      <c r="C369" s="308" t="s">
        <v>1321</v>
      </c>
      <c r="D369" s="309" t="s">
        <v>306</v>
      </c>
      <c r="E369" s="308"/>
      <c r="F369" s="533" t="s">
        <v>1349</v>
      </c>
      <c r="G369" s="231"/>
      <c r="H369" s="540" t="s">
        <v>1350</v>
      </c>
      <c r="I369" s="540" t="s">
        <v>331</v>
      </c>
      <c r="J369" s="541"/>
      <c r="K369" s="548">
        <v>1</v>
      </c>
      <c r="L369" s="549">
        <v>4</v>
      </c>
      <c r="M369" s="404" t="s">
        <v>42</v>
      </c>
      <c r="N369" s="445">
        <v>1</v>
      </c>
      <c r="O369" s="641">
        <v>4</v>
      </c>
      <c r="P369" s="447">
        <f t="shared" si="157"/>
        <v>1</v>
      </c>
      <c r="Q369" s="431" t="s">
        <v>46</v>
      </c>
      <c r="R369" s="309">
        <v>4</v>
      </c>
      <c r="S369" s="477">
        <f t="shared" si="153"/>
        <v>4</v>
      </c>
      <c r="T369" s="465">
        <v>4</v>
      </c>
      <c r="U369" s="465"/>
      <c r="V369" s="465"/>
      <c r="W369" s="465"/>
      <c r="X369" s="478">
        <f t="shared" si="154"/>
        <v>1</v>
      </c>
      <c r="Y369" s="432"/>
      <c r="Z369" s="464">
        <f t="shared" si="158"/>
        <v>4</v>
      </c>
      <c r="AA369" s="465">
        <v>4</v>
      </c>
      <c r="AB369" s="465"/>
      <c r="AC369" s="465"/>
      <c r="AD369" s="465"/>
      <c r="AE369" s="466">
        <f t="shared" si="159"/>
        <v>1</v>
      </c>
      <c r="AF369" s="571" t="s">
        <v>1325</v>
      </c>
      <c r="AG369" s="433" t="str">
        <f>VLOOKUP(A369,'Feature Summary'!$A$7:$U$4104,21,FALSE)</f>
        <v>A/B + 5wks</v>
      </c>
      <c r="AH369" s="310"/>
    </row>
    <row r="370" spans="1:34" ht="15.75" hidden="1" thickBot="1" x14ac:dyDescent="0.3">
      <c r="A370" s="316"/>
      <c r="B370" s="533"/>
      <c r="C370" s="308"/>
      <c r="D370" s="309"/>
      <c r="E370" s="308"/>
      <c r="F370" s="533"/>
      <c r="G370" s="231"/>
      <c r="H370" s="540"/>
      <c r="I370" s="540"/>
      <c r="J370" s="541"/>
      <c r="K370" s="548"/>
      <c r="L370" s="549"/>
      <c r="M370" s="404"/>
      <c r="N370" s="445"/>
      <c r="O370" s="641"/>
      <c r="P370" s="447"/>
      <c r="Q370" s="431"/>
      <c r="R370" s="309"/>
      <c r="S370" s="477"/>
      <c r="T370" s="465"/>
      <c r="U370" s="465"/>
      <c r="V370" s="465"/>
      <c r="W370" s="465"/>
      <c r="X370" s="478"/>
      <c r="Y370" s="432"/>
      <c r="Z370" s="464"/>
      <c r="AA370" s="465"/>
      <c r="AB370" s="465"/>
      <c r="AC370" s="465"/>
      <c r="AD370" s="465"/>
      <c r="AE370" s="466"/>
      <c r="AF370" s="571"/>
      <c r="AG370" s="433"/>
      <c r="AH370" s="310"/>
    </row>
    <row r="371" spans="1:34" ht="15.75" hidden="1" thickBot="1" x14ac:dyDescent="0.3">
      <c r="A371" s="316"/>
      <c r="B371" s="533"/>
      <c r="C371" s="308"/>
      <c r="D371" s="309"/>
      <c r="E371" s="308"/>
      <c r="F371" s="533"/>
      <c r="G371" s="231"/>
      <c r="H371" s="540"/>
      <c r="I371" s="540"/>
      <c r="J371" s="541"/>
      <c r="K371" s="548"/>
      <c r="L371" s="549"/>
      <c r="M371" s="404"/>
      <c r="N371" s="445"/>
      <c r="O371" s="641"/>
      <c r="P371" s="447"/>
      <c r="Q371" s="431"/>
      <c r="R371" s="309"/>
      <c r="S371" s="477"/>
      <c r="T371" s="465"/>
      <c r="U371" s="465"/>
      <c r="V371" s="465"/>
      <c r="W371" s="465"/>
      <c r="X371" s="478"/>
      <c r="Y371" s="432"/>
      <c r="Z371" s="464"/>
      <c r="AA371" s="465"/>
      <c r="AB371" s="465"/>
      <c r="AC371" s="465"/>
      <c r="AD371" s="465"/>
      <c r="AE371" s="466"/>
      <c r="AF371" s="571"/>
      <c r="AG371" s="433"/>
      <c r="AH371" s="310"/>
    </row>
    <row r="372" spans="1:34" ht="15.75" hidden="1" thickBot="1" x14ac:dyDescent="0.3">
      <c r="A372" s="316"/>
      <c r="B372" s="533"/>
      <c r="C372" s="308"/>
      <c r="D372" s="309"/>
      <c r="E372" s="308"/>
      <c r="F372" s="533"/>
      <c r="G372" s="231"/>
      <c r="H372" s="540"/>
      <c r="I372" s="540"/>
      <c r="J372" s="541"/>
      <c r="K372" s="548"/>
      <c r="L372" s="549"/>
      <c r="M372" s="404"/>
      <c r="N372" s="445"/>
      <c r="O372" s="641"/>
      <c r="P372" s="447"/>
      <c r="Q372" s="431"/>
      <c r="R372" s="309"/>
      <c r="S372" s="477"/>
      <c r="T372" s="465"/>
      <c r="U372" s="465"/>
      <c r="V372" s="465"/>
      <c r="W372" s="465"/>
      <c r="X372" s="478"/>
      <c r="Y372" s="432"/>
      <c r="Z372" s="464"/>
      <c r="AA372" s="465"/>
      <c r="AB372" s="465"/>
      <c r="AC372" s="465"/>
      <c r="AD372" s="465"/>
      <c r="AE372" s="466"/>
      <c r="AF372" s="571"/>
      <c r="AG372" s="433"/>
      <c r="AH372" s="310"/>
    </row>
    <row r="373" spans="1:34" ht="15.75" hidden="1" thickBot="1" x14ac:dyDescent="0.3">
      <c r="A373" s="316"/>
      <c r="B373" s="533"/>
      <c r="C373" s="308"/>
      <c r="D373" s="309"/>
      <c r="E373" s="308"/>
      <c r="F373" s="533"/>
      <c r="G373" s="231"/>
      <c r="H373" s="540"/>
      <c r="I373" s="540"/>
      <c r="J373" s="541"/>
      <c r="K373" s="548"/>
      <c r="L373" s="549"/>
      <c r="M373" s="404"/>
      <c r="N373" s="445"/>
      <c r="O373" s="641"/>
      <c r="P373" s="447"/>
      <c r="Q373" s="431"/>
      <c r="R373" s="309"/>
      <c r="S373" s="477"/>
      <c r="T373" s="465"/>
      <c r="U373" s="465"/>
      <c r="V373" s="465"/>
      <c r="W373" s="465"/>
      <c r="X373" s="478"/>
      <c r="Y373" s="432"/>
      <c r="Z373" s="464"/>
      <c r="AA373" s="465"/>
      <c r="AB373" s="465"/>
      <c r="AC373" s="465"/>
      <c r="AD373" s="465"/>
      <c r="AE373" s="466"/>
      <c r="AF373" s="571"/>
      <c r="AG373" s="433"/>
      <c r="AH373" s="310"/>
    </row>
    <row r="374" spans="1:34" ht="15.75" hidden="1" thickBot="1" x14ac:dyDescent="0.3">
      <c r="A374" s="316"/>
      <c r="B374" s="533"/>
      <c r="C374" s="308"/>
      <c r="D374" s="309"/>
      <c r="E374" s="308"/>
      <c r="F374" s="533"/>
      <c r="G374" s="231"/>
      <c r="H374" s="540"/>
      <c r="I374" s="540"/>
      <c r="J374" s="541"/>
      <c r="K374" s="548"/>
      <c r="L374" s="549"/>
      <c r="M374" s="404"/>
      <c r="N374" s="445"/>
      <c r="O374" s="641"/>
      <c r="P374" s="447"/>
      <c r="Q374" s="431"/>
      <c r="R374" s="309"/>
      <c r="S374" s="477"/>
      <c r="T374" s="465"/>
      <c r="U374" s="465"/>
      <c r="V374" s="465"/>
      <c r="W374" s="465"/>
      <c r="X374" s="478"/>
      <c r="Y374" s="432"/>
      <c r="Z374" s="464"/>
      <c r="AA374" s="465"/>
      <c r="AB374" s="465"/>
      <c r="AC374" s="465"/>
      <c r="AD374" s="465"/>
      <c r="AE374" s="466"/>
      <c r="AF374" s="571"/>
      <c r="AG374" s="433"/>
      <c r="AH374" s="310"/>
    </row>
    <row r="375" spans="1:34" ht="15.75" hidden="1" thickBot="1" x14ac:dyDescent="0.3">
      <c r="A375" s="316"/>
      <c r="B375" s="533"/>
      <c r="C375" s="308"/>
      <c r="D375" s="309"/>
      <c r="E375" s="308"/>
      <c r="F375" s="533"/>
      <c r="G375" s="231"/>
      <c r="H375" s="540"/>
      <c r="I375" s="540"/>
      <c r="J375" s="541"/>
      <c r="K375" s="548"/>
      <c r="L375" s="549"/>
      <c r="M375" s="404"/>
      <c r="N375" s="445"/>
      <c r="O375" s="641"/>
      <c r="P375" s="447"/>
      <c r="Q375" s="431"/>
      <c r="R375" s="309"/>
      <c r="S375" s="477"/>
      <c r="T375" s="465"/>
      <c r="U375" s="465"/>
      <c r="V375" s="465"/>
      <c r="W375" s="465"/>
      <c r="X375" s="478"/>
      <c r="Y375" s="432"/>
      <c r="Z375" s="464"/>
      <c r="AA375" s="465"/>
      <c r="AB375" s="465"/>
      <c r="AC375" s="465"/>
      <c r="AD375" s="465"/>
      <c r="AE375" s="466"/>
      <c r="AF375" s="571"/>
      <c r="AG375" s="433"/>
      <c r="AH375" s="310"/>
    </row>
    <row r="376" spans="1:34" ht="15.75" hidden="1" thickBot="1" x14ac:dyDescent="0.3">
      <c r="A376" s="316"/>
      <c r="B376" s="533"/>
      <c r="C376" s="308"/>
      <c r="D376" s="309"/>
      <c r="E376" s="308"/>
      <c r="F376" s="533"/>
      <c r="G376" s="231"/>
      <c r="H376" s="540"/>
      <c r="I376" s="540"/>
      <c r="J376" s="541"/>
      <c r="K376" s="548"/>
      <c r="L376" s="549"/>
      <c r="M376" s="404"/>
      <c r="N376" s="445"/>
      <c r="O376" s="641"/>
      <c r="P376" s="447"/>
      <c r="Q376" s="431"/>
      <c r="R376" s="309"/>
      <c r="S376" s="477"/>
      <c r="T376" s="465"/>
      <c r="U376" s="465"/>
      <c r="V376" s="465"/>
      <c r="W376" s="465"/>
      <c r="X376" s="478"/>
      <c r="Y376" s="432"/>
      <c r="Z376" s="464"/>
      <c r="AA376" s="465"/>
      <c r="AB376" s="465"/>
      <c r="AC376" s="465"/>
      <c r="AD376" s="465"/>
      <c r="AE376" s="466"/>
      <c r="AF376" s="571"/>
      <c r="AG376" s="433"/>
      <c r="AH376" s="310"/>
    </row>
    <row r="377" spans="1:34" ht="15.75" hidden="1" thickBot="1" x14ac:dyDescent="0.3">
      <c r="A377" s="316"/>
      <c r="B377" s="533"/>
      <c r="C377" s="308"/>
      <c r="D377" s="309"/>
      <c r="E377" s="308"/>
      <c r="F377" s="533"/>
      <c r="G377" s="231"/>
      <c r="H377" s="540"/>
      <c r="I377" s="540"/>
      <c r="J377" s="541"/>
      <c r="K377" s="548"/>
      <c r="L377" s="549"/>
      <c r="M377" s="404"/>
      <c r="N377" s="445"/>
      <c r="O377" s="641"/>
      <c r="P377" s="447"/>
      <c r="Q377" s="431"/>
      <c r="R377" s="309"/>
      <c r="S377" s="477"/>
      <c r="T377" s="465"/>
      <c r="U377" s="465"/>
      <c r="V377" s="465"/>
      <c r="W377" s="465"/>
      <c r="X377" s="478"/>
      <c r="Y377" s="432"/>
      <c r="Z377" s="464"/>
      <c r="AA377" s="465"/>
      <c r="AB377" s="465"/>
      <c r="AC377" s="465"/>
      <c r="AD377" s="465"/>
      <c r="AE377" s="466"/>
      <c r="AF377" s="571"/>
      <c r="AG377" s="433"/>
      <c r="AH377" s="310"/>
    </row>
    <row r="378" spans="1:34" ht="15.75" hidden="1" thickBot="1" x14ac:dyDescent="0.3">
      <c r="A378" s="564"/>
      <c r="B378" s="533"/>
      <c r="C378" s="308"/>
      <c r="D378" s="309"/>
      <c r="E378" s="308"/>
      <c r="F378" s="533"/>
      <c r="G378" s="231"/>
      <c r="H378" s="540"/>
      <c r="I378" s="540"/>
      <c r="J378" s="541"/>
      <c r="K378" s="548"/>
      <c r="L378" s="549"/>
      <c r="M378" s="404"/>
      <c r="N378" s="445"/>
      <c r="O378" s="446"/>
      <c r="P378" s="447"/>
      <c r="Q378" s="431"/>
      <c r="R378" s="309"/>
      <c r="S378" s="477"/>
      <c r="T378" s="465"/>
      <c r="U378" s="465"/>
      <c r="V378" s="465"/>
      <c r="W378" s="465"/>
      <c r="X378" s="478"/>
      <c r="Y378" s="432"/>
      <c r="Z378" s="464"/>
      <c r="AA378" s="465"/>
      <c r="AB378" s="465"/>
      <c r="AC378" s="465"/>
      <c r="AD378" s="465"/>
      <c r="AE378" s="466"/>
      <c r="AF378" s="308"/>
      <c r="AG378" s="433"/>
      <c r="AH378" s="310"/>
    </row>
    <row r="379" spans="1:34" ht="15.75" hidden="1" thickBot="1" x14ac:dyDescent="0.3">
      <c r="A379" s="341"/>
      <c r="B379" s="342"/>
      <c r="C379" s="342"/>
      <c r="D379" s="343"/>
      <c r="E379" s="342"/>
      <c r="F379" s="572"/>
      <c r="G379" s="343"/>
      <c r="H379" s="402"/>
      <c r="I379" s="402"/>
      <c r="J379" s="572"/>
      <c r="K379" s="342"/>
      <c r="L379" s="344"/>
      <c r="M379" s="345"/>
      <c r="N379" s="445"/>
      <c r="O379" s="449"/>
      <c r="P379" s="447"/>
      <c r="Q379" s="351"/>
      <c r="R379" s="352"/>
      <c r="S379" s="479"/>
      <c r="T379" s="480"/>
      <c r="U379" s="480"/>
      <c r="V379" s="480"/>
      <c r="W379" s="480"/>
      <c r="X379" s="481"/>
      <c r="Y379" s="353"/>
      <c r="Z379" s="467"/>
      <c r="AA379" s="468"/>
      <c r="AB379" s="468"/>
      <c r="AC379" s="468"/>
      <c r="AD379" s="468"/>
      <c r="AE379" s="469"/>
      <c r="AF379" s="357"/>
      <c r="AG379" s="357"/>
      <c r="AH379" s="361"/>
    </row>
    <row r="380" spans="1:34" ht="15.75" hidden="1" thickBot="1" x14ac:dyDescent="0.3">
      <c r="A380" s="341"/>
      <c r="B380" s="342"/>
      <c r="C380" s="342"/>
      <c r="D380" s="343"/>
      <c r="E380" s="342"/>
      <c r="F380" s="572"/>
      <c r="G380" s="343"/>
      <c r="H380" s="402"/>
      <c r="I380" s="402"/>
      <c r="J380" s="572"/>
      <c r="K380" s="342"/>
      <c r="L380" s="344"/>
      <c r="M380" s="345"/>
      <c r="N380" s="445"/>
      <c r="O380" s="449"/>
      <c r="P380" s="447"/>
      <c r="Q380" s="351"/>
      <c r="R380" s="352"/>
      <c r="S380" s="479"/>
      <c r="T380" s="480"/>
      <c r="U380" s="480"/>
      <c r="V380" s="480"/>
      <c r="W380" s="480"/>
      <c r="X380" s="481"/>
      <c r="Y380" s="353"/>
      <c r="Z380" s="467"/>
      <c r="AA380" s="468"/>
      <c r="AB380" s="468"/>
      <c r="AC380" s="468"/>
      <c r="AD380" s="468"/>
      <c r="AE380" s="469"/>
      <c r="AF380" s="357"/>
      <c r="AG380" s="357"/>
      <c r="AH380" s="361"/>
    </row>
    <row r="381" spans="1:34" ht="15.75" hidden="1" thickBot="1" x14ac:dyDescent="0.3">
      <c r="A381" s="346"/>
      <c r="B381" s="347"/>
      <c r="C381" s="347"/>
      <c r="D381" s="348"/>
      <c r="E381" s="347"/>
      <c r="F381" s="573"/>
      <c r="G381" s="348"/>
      <c r="H381" s="403"/>
      <c r="I381" s="403"/>
      <c r="J381" s="573"/>
      <c r="K381" s="347"/>
      <c r="L381" s="349"/>
      <c r="M381" s="350"/>
      <c r="N381" s="445"/>
      <c r="O381" s="451"/>
      <c r="P381" s="452"/>
      <c r="Q381" s="354"/>
      <c r="R381" s="355"/>
      <c r="S381" s="482"/>
      <c r="T381" s="483"/>
      <c r="U381" s="483"/>
      <c r="V381" s="483"/>
      <c r="W381" s="483"/>
      <c r="X381" s="484"/>
      <c r="Y381" s="356"/>
      <c r="Z381" s="470"/>
      <c r="AA381" s="471"/>
      <c r="AB381" s="471"/>
      <c r="AC381" s="471"/>
      <c r="AD381" s="471"/>
      <c r="AE381" s="472"/>
      <c r="AF381" s="358"/>
      <c r="AG381" s="358"/>
      <c r="AH381" s="362"/>
    </row>
    <row r="382" spans="1:34" ht="14.45" hidden="1" customHeight="1" x14ac:dyDescent="0.3">
      <c r="A382" s="613" t="s">
        <v>1351</v>
      </c>
      <c r="B382" s="614"/>
      <c r="C382" s="614"/>
      <c r="D382" s="614"/>
      <c r="E382" s="614"/>
      <c r="F382" s="614"/>
      <c r="G382" s="614"/>
      <c r="H382" s="614"/>
      <c r="I382" s="614"/>
      <c r="J382" s="614"/>
      <c r="K382" s="614"/>
      <c r="L382" s="614"/>
      <c r="M382" s="614"/>
      <c r="N382" s="448"/>
      <c r="O382" s="614"/>
      <c r="P382" s="614"/>
      <c r="Q382" s="614"/>
      <c r="R382" s="614"/>
      <c r="S382" s="614"/>
      <c r="T382" s="614"/>
      <c r="U382" s="614"/>
      <c r="V382" s="614"/>
      <c r="W382" s="614"/>
      <c r="X382" s="614"/>
      <c r="Y382" s="614"/>
      <c r="Z382" s="614"/>
      <c r="AA382" s="614"/>
      <c r="AB382" s="614"/>
      <c r="AC382" s="614"/>
      <c r="AD382" s="614"/>
      <c r="AE382" s="614"/>
      <c r="AF382" s="614"/>
      <c r="AG382" s="614"/>
      <c r="AH382" s="615"/>
    </row>
    <row r="383" spans="1:34" ht="15" hidden="1" customHeight="1" thickBot="1" x14ac:dyDescent="0.3">
      <c r="A383" s="616"/>
      <c r="B383" s="617"/>
      <c r="C383" s="617"/>
      <c r="D383" s="617"/>
      <c r="E383" s="617"/>
      <c r="F383" s="617"/>
      <c r="G383" s="617"/>
      <c r="H383" s="617"/>
      <c r="I383" s="617"/>
      <c r="J383" s="617"/>
      <c r="K383" s="617"/>
      <c r="L383" s="617"/>
      <c r="M383" s="617"/>
      <c r="N383" s="448"/>
      <c r="O383" s="617"/>
      <c r="P383" s="617"/>
      <c r="Q383" s="617"/>
      <c r="R383" s="617"/>
      <c r="S383" s="617"/>
      <c r="T383" s="617"/>
      <c r="U383" s="617"/>
      <c r="V383" s="617"/>
      <c r="W383" s="617"/>
      <c r="X383" s="617"/>
      <c r="Y383" s="617"/>
      <c r="Z383" s="617"/>
      <c r="AA383" s="617"/>
      <c r="AB383" s="617"/>
      <c r="AC383" s="617"/>
      <c r="AD383" s="617"/>
      <c r="AE383" s="617"/>
      <c r="AF383" s="617"/>
      <c r="AG383" s="617"/>
      <c r="AH383" s="618"/>
    </row>
    <row r="384" spans="1:34" ht="19.5" thickBot="1" x14ac:dyDescent="0.3">
      <c r="A384" s="709" t="s">
        <v>297</v>
      </c>
      <c r="B384" s="710"/>
      <c r="C384" s="710"/>
      <c r="D384" s="710"/>
      <c r="E384" s="710"/>
      <c r="F384" s="710"/>
      <c r="G384" s="710"/>
      <c r="H384" s="710"/>
      <c r="I384" s="710"/>
      <c r="J384" s="711"/>
      <c r="K384" s="373">
        <f>SUM(K6:K381)</f>
        <v>472</v>
      </c>
      <c r="L384" s="373">
        <f>SUM(L6:L381)</f>
        <v>779</v>
      </c>
      <c r="M384" s="374"/>
      <c r="N384" s="450"/>
      <c r="O384" s="454">
        <f>SUM(O6:O381)</f>
        <v>776</v>
      </c>
      <c r="P384" s="455">
        <f>SUMPRODUCT(L6:L381,P6:P381)/L384</f>
        <v>0.99614890885750962</v>
      </c>
      <c r="Q384" s="375"/>
      <c r="R384" s="376">
        <f t="shared" ref="R384:W384" si="160">SUM(R6:R381)</f>
        <v>651</v>
      </c>
      <c r="S384" s="456">
        <f t="shared" si="160"/>
        <v>640</v>
      </c>
      <c r="T384" s="456">
        <f t="shared" si="160"/>
        <v>609</v>
      </c>
      <c r="U384" s="456">
        <f t="shared" si="160"/>
        <v>31</v>
      </c>
      <c r="V384" s="376">
        <f t="shared" si="160"/>
        <v>0</v>
      </c>
      <c r="W384" s="376">
        <f t="shared" si="160"/>
        <v>0</v>
      </c>
      <c r="X384" s="457">
        <f>IF((S384=0),0,((T384+U384)/S384*100%))</f>
        <v>1</v>
      </c>
      <c r="Y384" s="377"/>
      <c r="Z384" s="458">
        <f>SUM(Z6:Z381)</f>
        <v>665</v>
      </c>
      <c r="AA384" s="459">
        <f>SUM(AA6:AA381)</f>
        <v>470</v>
      </c>
      <c r="AB384" s="459">
        <f>SUM(AB6:AB381)</f>
        <v>3</v>
      </c>
      <c r="AC384" s="459">
        <f>SUM(AC6:AC381)</f>
        <v>126</v>
      </c>
      <c r="AD384" s="459">
        <f>SUM(AD6:AD381)</f>
        <v>66</v>
      </c>
      <c r="AE384" s="460">
        <f>IF((Z384=0),0,((AA384+AB384)/Z384*100%))</f>
        <v>0.71127819548872184</v>
      </c>
      <c r="AF384" s="378"/>
      <c r="AG384" s="378"/>
      <c r="AH384" s="379"/>
    </row>
    <row r="385" spans="1:34" ht="45" x14ac:dyDescent="0.25">
      <c r="A385" s="316" t="s">
        <v>1352</v>
      </c>
      <c r="B385" s="533" t="s">
        <v>1353</v>
      </c>
      <c r="C385" s="308" t="s">
        <v>1354</v>
      </c>
      <c r="D385" s="309" t="s">
        <v>1275</v>
      </c>
      <c r="E385" s="308"/>
      <c r="F385" s="533" t="s">
        <v>1355</v>
      </c>
      <c r="G385" s="231"/>
      <c r="H385" s="540" t="s">
        <v>1356</v>
      </c>
      <c r="I385" s="540" t="s">
        <v>309</v>
      </c>
      <c r="J385" s="541" t="s">
        <v>1357</v>
      </c>
      <c r="K385" s="548">
        <v>7</v>
      </c>
      <c r="L385" s="549">
        <v>7</v>
      </c>
      <c r="M385" s="404" t="s">
        <v>33</v>
      </c>
      <c r="N385" s="445">
        <v>1</v>
      </c>
      <c r="O385" s="641">
        <v>7</v>
      </c>
      <c r="P385" s="447">
        <f t="shared" ref="P385" si="161">IF((O385=0),0,(O385/L385))</f>
        <v>1</v>
      </c>
      <c r="Q385" s="431" t="s">
        <v>45</v>
      </c>
      <c r="R385" s="309">
        <v>7</v>
      </c>
      <c r="S385" s="477">
        <f t="shared" ref="S385" si="162">SUM(T385:W385)</f>
        <v>7</v>
      </c>
      <c r="T385" s="465">
        <v>7</v>
      </c>
      <c r="U385" s="465"/>
      <c r="V385" s="465"/>
      <c r="W385" s="465"/>
      <c r="X385" s="478">
        <f t="shared" ref="X385" si="163">IF((S385=0),0,((T385+U385)/S385*100%))</f>
        <v>1</v>
      </c>
      <c r="Y385" s="432"/>
      <c r="Z385" s="464">
        <f t="shared" ref="Z385" si="164">SUM(AA385:AD385)</f>
        <v>0</v>
      </c>
      <c r="AA385" s="465"/>
      <c r="AB385" s="465"/>
      <c r="AC385" s="465"/>
      <c r="AD385" s="465"/>
      <c r="AE385" s="466">
        <f t="shared" ref="AE385" si="165">IF((Z385=0),0,((AA385+AB385)/Z385*100%))</f>
        <v>0</v>
      </c>
      <c r="AF385" s="571"/>
      <c r="AG385" s="433" t="str">
        <f>VLOOKUP(A385,'Feature Summary'!$A$7:$U$4104,21,FALSE)</f>
        <v>A/B + 8wks</v>
      </c>
      <c r="AH385" s="310"/>
    </row>
    <row r="386" spans="1:34" ht="19.5" hidden="1" thickBot="1" x14ac:dyDescent="0.3">
      <c r="L386" s="170" t="s">
        <v>622</v>
      </c>
      <c r="N386" s="617"/>
    </row>
    <row r="387" spans="1:34" ht="19.5" hidden="1" thickBot="1" x14ac:dyDescent="0.3">
      <c r="N387" s="453">
        <f>SUMPRODUCT(K6:K381,N6:N381)/K384</f>
        <v>1</v>
      </c>
    </row>
  </sheetData>
  <sheetProtection insertColumns="0" insertRows="0" deleteRows="0" sort="0"/>
  <autoFilter ref="A5:AH387" xr:uid="{00000000-0001-0000-0200-000000000000}">
    <filterColumn colId="14">
      <customFilters>
        <customFilter operator="notEqual" val=" "/>
      </customFilters>
    </filterColumn>
  </autoFilter>
  <mergeCells count="8">
    <mergeCell ref="A1:AH1"/>
    <mergeCell ref="A3:AH3"/>
    <mergeCell ref="A2:J2"/>
    <mergeCell ref="A384:J384"/>
    <mergeCell ref="A4:M4"/>
    <mergeCell ref="N4:P4"/>
    <mergeCell ref="Z4:AH4"/>
    <mergeCell ref="Q4:Y4"/>
  </mergeCells>
  <phoneticPr fontId="30" type="noConversion"/>
  <hyperlinks>
    <hyperlink ref="Y140" r:id="rId1" xr:uid="{2AE09AE7-67BB-454B-9436-CE417A08F48B}"/>
    <hyperlink ref="Y141" r:id="rId2" xr:uid="{E0FA6C18-A2BE-41A5-84B8-E343F5A9DB25}"/>
    <hyperlink ref="Y142" r:id="rId3" xr:uid="{273FD3CD-9F15-48F6-B7EA-CA29E7DEF4B5}"/>
  </hyperlinks>
  <pageMargins left="0.7" right="0.7" top="0.75" bottom="0.75" header="0.3" footer="0.3"/>
  <pageSetup orientation="portrait" r:id="rId4"/>
  <headerFooter>
    <oddHeader>&amp;L&amp;"Arial"&amp;10&amp;K0000FF[AMD Official Use Only]&amp;1#</oddHeader>
  </headerFooter>
  <legacyDrawing r:id="rId5"/>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F3EA239A-476E-4590-924A-7BA0D177C467}">
          <x14:formula1>
            <xm:f>'List Options'!$E$1:$E$6</xm:f>
          </x14:formula1>
          <xm:sqref>Q379:Q381</xm:sqref>
        </x14:dataValidation>
        <x14:dataValidation type="list" allowBlank="1" showInputMessage="1" showErrorMessage="1" xr:uid="{5513F172-4253-4807-A8CE-34D720193895}">
          <x14:formula1>
            <xm:f>'List Options'!$G$1:$G$3</xm:f>
          </x14:formula1>
          <xm:sqref>M309:M312 M336 M295 M273 M322 M354:M381 M385</xm:sqref>
        </x14:dataValidation>
        <x14:dataValidation type="list" allowBlank="1" showInputMessage="1" showErrorMessage="1" xr:uid="{237AC15D-702E-46B4-89E7-DAB1EF5DAEB1}">
          <x14:formula1>
            <xm:f>'List Options'!$E$1:$E$7</xm:f>
          </x14:formula1>
          <xm:sqref>Q6:Q378 Q385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305"/>
  <sheetViews>
    <sheetView workbookViewId="0">
      <pane ySplit="2" topLeftCell="A173" activePane="bottomLeft" state="frozen"/>
      <selection pane="bottomLeft" activeCell="B185" sqref="B185"/>
    </sheetView>
  </sheetViews>
  <sheetFormatPr defaultColWidth="8.85546875" defaultRowHeight="15" x14ac:dyDescent="0.25"/>
  <cols>
    <col min="1" max="1" width="16.85546875" bestFit="1" customWidth="1"/>
    <col min="2" max="2" width="93.5703125" customWidth="1"/>
    <col min="3" max="3" width="10" bestFit="1" customWidth="1"/>
    <col min="4" max="4" width="15.42578125" bestFit="1" customWidth="1"/>
    <col min="5" max="5" width="11.140625" bestFit="1" customWidth="1"/>
    <col min="6" max="6" width="44.140625" customWidth="1"/>
    <col min="7" max="7" width="15.85546875" customWidth="1"/>
    <col min="8" max="8" width="20.42578125" customWidth="1"/>
  </cols>
  <sheetData>
    <row r="1" spans="1:9" ht="39" customHeight="1" thickBot="1" x14ac:dyDescent="0.35">
      <c r="A1" s="734" t="s">
        <v>1358</v>
      </c>
      <c r="B1" s="735"/>
      <c r="C1" s="735"/>
      <c r="D1" s="735"/>
      <c r="E1" s="735"/>
      <c r="F1" s="735"/>
      <c r="G1" s="735"/>
      <c r="H1" s="735"/>
      <c r="I1" s="736"/>
    </row>
    <row r="2" spans="1:9" s="79" customFormat="1" ht="15.75" thickBot="1" x14ac:dyDescent="0.3">
      <c r="A2" s="382" t="s">
        <v>72</v>
      </c>
      <c r="B2" s="383" t="s">
        <v>76</v>
      </c>
      <c r="C2" s="384" t="s">
        <v>91</v>
      </c>
      <c r="D2" s="384" t="s">
        <v>197</v>
      </c>
      <c r="E2" s="385" t="s">
        <v>1</v>
      </c>
    </row>
    <row r="3" spans="1:9" ht="15.75" thickBot="1" x14ac:dyDescent="0.3">
      <c r="A3" s="563" t="s">
        <v>1359</v>
      </c>
      <c r="B3" s="532" t="s">
        <v>304</v>
      </c>
      <c r="C3" s="525" t="s">
        <v>254</v>
      </c>
      <c r="D3" s="526" t="s">
        <v>34</v>
      </c>
      <c r="E3" s="528" t="s">
        <v>38</v>
      </c>
      <c r="G3" s="274" t="s">
        <v>72</v>
      </c>
      <c r="H3" s="275" t="s">
        <v>1360</v>
      </c>
      <c r="I3" s="521">
        <f>COUNTIFS($D3:$D4204,"Driver") + COUNTIFS($D3:$D4204,"Diagnostics") + COUNTIFS($D3:$D4220,"IPSE")</f>
        <v>136</v>
      </c>
    </row>
    <row r="4" spans="1:9" x14ac:dyDescent="0.25">
      <c r="A4" s="564" t="s">
        <v>1361</v>
      </c>
      <c r="B4" s="533" t="s">
        <v>1362</v>
      </c>
      <c r="C4" s="526" t="s">
        <v>275</v>
      </c>
      <c r="D4" s="526" t="s">
        <v>34</v>
      </c>
      <c r="E4" s="568" t="s">
        <v>33</v>
      </c>
      <c r="G4" s="725" t="s">
        <v>91</v>
      </c>
      <c r="H4" s="276" t="s">
        <v>1363</v>
      </c>
      <c r="I4" s="522">
        <f>COUNTIFS($C3:$C4204,"P1")</f>
        <v>49</v>
      </c>
    </row>
    <row r="5" spans="1:9" x14ac:dyDescent="0.25">
      <c r="A5" s="564" t="s">
        <v>1364</v>
      </c>
      <c r="B5" s="533" t="s">
        <v>1199</v>
      </c>
      <c r="C5" s="526" t="s">
        <v>254</v>
      </c>
      <c r="D5" s="526" t="s">
        <v>34</v>
      </c>
      <c r="E5" s="529" t="s">
        <v>38</v>
      </c>
      <c r="G5" s="726"/>
      <c r="H5" s="277" t="s">
        <v>1365</v>
      </c>
      <c r="I5" s="523">
        <f>COUNTIFS($C3:$C4204,"P2")</f>
        <v>93</v>
      </c>
    </row>
    <row r="6" spans="1:9" ht="14.45" customHeight="1" x14ac:dyDescent="0.25">
      <c r="A6" s="564" t="s">
        <v>1366</v>
      </c>
      <c r="B6" s="533" t="s">
        <v>1034</v>
      </c>
      <c r="C6" s="526" t="s">
        <v>275</v>
      </c>
      <c r="D6" s="526" t="s">
        <v>34</v>
      </c>
      <c r="E6" s="529" t="s">
        <v>33</v>
      </c>
      <c r="F6" t="s">
        <v>1367</v>
      </c>
      <c r="G6" s="727"/>
      <c r="H6" s="574" t="s">
        <v>1368</v>
      </c>
      <c r="I6" s="575">
        <f>COUNTIFS($C3:$C4204,"P3")</f>
        <v>0</v>
      </c>
    </row>
    <row r="7" spans="1:9" x14ac:dyDescent="0.25">
      <c r="A7" s="564" t="s">
        <v>1369</v>
      </c>
      <c r="B7" s="533" t="s">
        <v>1370</v>
      </c>
      <c r="C7" s="526" t="s">
        <v>44</v>
      </c>
      <c r="D7" s="526" t="s">
        <v>44</v>
      </c>
      <c r="E7" s="529" t="s">
        <v>33</v>
      </c>
      <c r="F7" t="s">
        <v>1371</v>
      </c>
      <c r="G7" s="728" t="s">
        <v>197</v>
      </c>
      <c r="H7" s="276" t="s">
        <v>1372</v>
      </c>
      <c r="I7" s="522">
        <f>COUNTIFS($D3:$D4204,"Diagnostics")</f>
        <v>101</v>
      </c>
    </row>
    <row r="8" spans="1:9" x14ac:dyDescent="0.25">
      <c r="A8" s="564" t="s">
        <v>1373</v>
      </c>
      <c r="B8" s="533" t="s">
        <v>1374</v>
      </c>
      <c r="C8" s="526" t="s">
        <v>254</v>
      </c>
      <c r="D8" s="526" t="s">
        <v>44</v>
      </c>
      <c r="E8" s="529" t="s">
        <v>38</v>
      </c>
      <c r="F8" t="s">
        <v>1375</v>
      </c>
      <c r="G8" s="729"/>
      <c r="H8" s="277" t="s">
        <v>1376</v>
      </c>
      <c r="I8" s="523">
        <f>COUNTIFS($D3:$D4204,"Driver")</f>
        <v>2</v>
      </c>
    </row>
    <row r="9" spans="1:9" x14ac:dyDescent="0.25">
      <c r="A9" s="564"/>
      <c r="B9" s="533"/>
      <c r="C9" s="526"/>
      <c r="D9" s="526"/>
      <c r="E9" s="529"/>
      <c r="G9" s="730"/>
      <c r="H9" s="642" t="s">
        <v>1377</v>
      </c>
      <c r="I9" s="643">
        <f>COUNTIFS($D3:$D4220,"IPSE")</f>
        <v>33</v>
      </c>
    </row>
    <row r="10" spans="1:9" x14ac:dyDescent="0.25">
      <c r="A10" s="564" t="s">
        <v>1027</v>
      </c>
      <c r="B10" s="533" t="s">
        <v>1028</v>
      </c>
      <c r="C10" s="526" t="s">
        <v>275</v>
      </c>
      <c r="D10" s="526" t="s">
        <v>34</v>
      </c>
      <c r="E10" s="529" t="s">
        <v>33</v>
      </c>
      <c r="G10" s="731"/>
      <c r="H10" s="278" t="s">
        <v>1378</v>
      </c>
      <c r="I10" s="524">
        <f>COUNTIFS($D3:$D4204,"N/A")</f>
        <v>46</v>
      </c>
    </row>
    <row r="11" spans="1:9" ht="15.75" thickBot="1" x14ac:dyDescent="0.3">
      <c r="A11" s="564" t="s">
        <v>1379</v>
      </c>
      <c r="B11" s="533" t="s">
        <v>907</v>
      </c>
      <c r="C11" s="526" t="s">
        <v>254</v>
      </c>
      <c r="D11" s="526" t="s">
        <v>34</v>
      </c>
      <c r="E11" s="529" t="s">
        <v>38</v>
      </c>
      <c r="G11" s="728" t="s">
        <v>1</v>
      </c>
      <c r="H11" s="276" t="s">
        <v>1380</v>
      </c>
      <c r="I11" s="522">
        <f>COUNTIFS($E3:$E4204,"Legacy")</f>
        <v>132</v>
      </c>
    </row>
    <row r="12" spans="1:9" x14ac:dyDescent="0.25">
      <c r="A12" s="564" t="s">
        <v>1381</v>
      </c>
      <c r="B12" s="533" t="s">
        <v>1382</v>
      </c>
      <c r="C12" s="526" t="s">
        <v>275</v>
      </c>
      <c r="D12" s="526" t="s">
        <v>43</v>
      </c>
      <c r="E12" s="529" t="s">
        <v>33</v>
      </c>
      <c r="G12" s="729"/>
      <c r="H12" s="277" t="s">
        <v>1383</v>
      </c>
      <c r="I12" s="523">
        <f>COUNTIFS($E3:$E4204,"Delta")</f>
        <v>32</v>
      </c>
    </row>
    <row r="13" spans="1:9" ht="15.75" thickBot="1" x14ac:dyDescent="0.3">
      <c r="A13" s="564" t="s">
        <v>1384</v>
      </c>
      <c r="B13" s="533" t="s">
        <v>1385</v>
      </c>
      <c r="C13" s="526" t="s">
        <v>275</v>
      </c>
      <c r="D13" s="526" t="s">
        <v>43</v>
      </c>
      <c r="E13" s="529" t="s">
        <v>33</v>
      </c>
      <c r="G13" s="731"/>
      <c r="H13" s="278" t="s">
        <v>1386</v>
      </c>
      <c r="I13" s="524">
        <f>COUNTIFS($E3:$E4204,"New")</f>
        <v>18</v>
      </c>
    </row>
    <row r="14" spans="1:9" ht="15.75" thickBot="1" x14ac:dyDescent="0.3">
      <c r="A14" s="564" t="s">
        <v>1387</v>
      </c>
      <c r="B14" s="533" t="s">
        <v>1388</v>
      </c>
      <c r="C14" s="526" t="s">
        <v>254</v>
      </c>
      <c r="D14" s="526" t="s">
        <v>43</v>
      </c>
      <c r="E14" s="529" t="s">
        <v>38</v>
      </c>
      <c r="G14" s="386" t="s">
        <v>202</v>
      </c>
      <c r="H14" s="732">
        <v>4</v>
      </c>
      <c r="I14" s="733"/>
    </row>
    <row r="15" spans="1:9" x14ac:dyDescent="0.25">
      <c r="A15" s="564" t="s">
        <v>1389</v>
      </c>
      <c r="B15" s="533" t="s">
        <v>1390</v>
      </c>
      <c r="C15" s="526" t="s">
        <v>275</v>
      </c>
      <c r="D15" s="526" t="s">
        <v>43</v>
      </c>
      <c r="E15" s="529" t="s">
        <v>33</v>
      </c>
    </row>
    <row r="16" spans="1:9" x14ac:dyDescent="0.25">
      <c r="A16" s="564" t="s">
        <v>1391</v>
      </c>
      <c r="B16" s="533" t="s">
        <v>1392</v>
      </c>
      <c r="C16" s="526" t="s">
        <v>275</v>
      </c>
      <c r="D16" s="526" t="s">
        <v>44</v>
      </c>
      <c r="E16" s="529" t="s">
        <v>33</v>
      </c>
    </row>
    <row r="17" spans="1:6" x14ac:dyDescent="0.25">
      <c r="A17" s="564" t="s">
        <v>1204</v>
      </c>
      <c r="B17" s="533" t="s">
        <v>1205</v>
      </c>
      <c r="C17" s="526" t="s">
        <v>44</v>
      </c>
      <c r="D17" s="526" t="s">
        <v>44</v>
      </c>
      <c r="E17" s="529" t="s">
        <v>38</v>
      </c>
      <c r="F17" s="640" t="s">
        <v>1393</v>
      </c>
    </row>
    <row r="18" spans="1:6" x14ac:dyDescent="0.25">
      <c r="A18" s="564" t="s">
        <v>1394</v>
      </c>
      <c r="B18" s="533" t="s">
        <v>405</v>
      </c>
      <c r="C18" s="526" t="s">
        <v>254</v>
      </c>
      <c r="D18" s="526" t="s">
        <v>34</v>
      </c>
      <c r="E18" s="529" t="s">
        <v>33</v>
      </c>
    </row>
    <row r="19" spans="1:6" x14ac:dyDescent="0.25">
      <c r="A19" s="564" t="s">
        <v>1043</v>
      </c>
      <c r="B19" s="533" t="s">
        <v>1044</v>
      </c>
      <c r="C19" s="526" t="s">
        <v>275</v>
      </c>
      <c r="D19" s="526" t="s">
        <v>34</v>
      </c>
      <c r="E19" s="529" t="s">
        <v>33</v>
      </c>
    </row>
    <row r="20" spans="1:6" x14ac:dyDescent="0.25">
      <c r="A20" s="564" t="s">
        <v>1395</v>
      </c>
      <c r="B20" s="533" t="s">
        <v>1396</v>
      </c>
      <c r="C20" s="526" t="s">
        <v>44</v>
      </c>
      <c r="D20" s="526" t="s">
        <v>44</v>
      </c>
      <c r="E20" s="529" t="s">
        <v>33</v>
      </c>
      <c r="F20" t="s">
        <v>1397</v>
      </c>
    </row>
    <row r="21" spans="1:6" x14ac:dyDescent="0.25">
      <c r="A21" s="564" t="s">
        <v>1398</v>
      </c>
      <c r="B21" s="533" t="s">
        <v>1399</v>
      </c>
      <c r="C21" s="526" t="s">
        <v>44</v>
      </c>
      <c r="D21" s="526" t="s">
        <v>44</v>
      </c>
      <c r="E21" s="529" t="s">
        <v>33</v>
      </c>
      <c r="F21" t="s">
        <v>1393</v>
      </c>
    </row>
    <row r="22" spans="1:6" x14ac:dyDescent="0.25">
      <c r="A22" s="564" t="s">
        <v>1400</v>
      </c>
      <c r="B22" s="533" t="s">
        <v>1401</v>
      </c>
      <c r="C22" s="526" t="s">
        <v>275</v>
      </c>
      <c r="D22" s="526" t="s">
        <v>34</v>
      </c>
      <c r="E22" s="529" t="s">
        <v>38</v>
      </c>
    </row>
    <row r="23" spans="1:6" x14ac:dyDescent="0.25">
      <c r="A23" s="564" t="s">
        <v>1402</v>
      </c>
      <c r="B23" s="533" t="s">
        <v>1403</v>
      </c>
      <c r="C23" s="526" t="s">
        <v>44</v>
      </c>
      <c r="D23" s="526" t="s">
        <v>44</v>
      </c>
      <c r="E23" s="529" t="s">
        <v>33</v>
      </c>
    </row>
    <row r="24" spans="1:6" x14ac:dyDescent="0.25">
      <c r="A24" s="564" t="s">
        <v>1404</v>
      </c>
      <c r="B24" s="533" t="s">
        <v>490</v>
      </c>
      <c r="C24" s="526" t="s">
        <v>275</v>
      </c>
      <c r="D24" s="526" t="s">
        <v>34</v>
      </c>
      <c r="E24" s="529" t="s">
        <v>33</v>
      </c>
    </row>
    <row r="25" spans="1:6" x14ac:dyDescent="0.25">
      <c r="A25" s="564" t="s">
        <v>1235</v>
      </c>
      <c r="B25" s="533" t="s">
        <v>1236</v>
      </c>
      <c r="C25" s="526" t="s">
        <v>254</v>
      </c>
      <c r="D25" s="526" t="s">
        <v>34</v>
      </c>
      <c r="E25" s="529" t="s">
        <v>38</v>
      </c>
    </row>
    <row r="26" spans="1:6" ht="90" x14ac:dyDescent="0.25">
      <c r="A26" s="564" t="s">
        <v>1405</v>
      </c>
      <c r="B26" s="533" t="s">
        <v>1406</v>
      </c>
      <c r="C26" s="526" t="s">
        <v>275</v>
      </c>
      <c r="D26" s="526" t="s">
        <v>34</v>
      </c>
      <c r="E26" s="529" t="s">
        <v>33</v>
      </c>
    </row>
    <row r="27" spans="1:6" x14ac:dyDescent="0.25">
      <c r="A27" s="564" t="s">
        <v>1047</v>
      </c>
      <c r="B27" s="533" t="s">
        <v>1048</v>
      </c>
      <c r="C27" s="526" t="s">
        <v>254</v>
      </c>
      <c r="D27" s="526" t="s">
        <v>34</v>
      </c>
      <c r="E27" s="529" t="s">
        <v>38</v>
      </c>
    </row>
    <row r="28" spans="1:6" x14ac:dyDescent="0.25">
      <c r="A28" s="564" t="s">
        <v>1407</v>
      </c>
      <c r="B28" s="533" t="s">
        <v>1408</v>
      </c>
      <c r="C28" s="526" t="s">
        <v>44</v>
      </c>
      <c r="D28" s="526" t="s">
        <v>44</v>
      </c>
      <c r="E28" s="529" t="s">
        <v>33</v>
      </c>
    </row>
    <row r="29" spans="1:6" x14ac:dyDescent="0.25">
      <c r="A29" s="564" t="s">
        <v>1409</v>
      </c>
      <c r="B29" s="533" t="s">
        <v>1410</v>
      </c>
      <c r="C29" s="526" t="s">
        <v>44</v>
      </c>
      <c r="D29" s="526" t="s">
        <v>44</v>
      </c>
      <c r="E29" s="529" t="s">
        <v>33</v>
      </c>
      <c r="F29" t="s">
        <v>1397</v>
      </c>
    </row>
    <row r="30" spans="1:6" x14ac:dyDescent="0.25">
      <c r="A30" s="564" t="s">
        <v>461</v>
      </c>
      <c r="B30" s="533" t="s">
        <v>419</v>
      </c>
      <c r="C30" s="526" t="s">
        <v>254</v>
      </c>
      <c r="D30" s="526" t="s">
        <v>34</v>
      </c>
      <c r="E30" s="529" t="s">
        <v>33</v>
      </c>
    </row>
    <row r="31" spans="1:6" x14ac:dyDescent="0.25">
      <c r="A31" s="564" t="s">
        <v>1056</v>
      </c>
      <c r="B31" s="533" t="s">
        <v>1057</v>
      </c>
      <c r="C31" s="526" t="s">
        <v>254</v>
      </c>
      <c r="D31" s="526" t="s">
        <v>34</v>
      </c>
      <c r="E31" s="529" t="s">
        <v>33</v>
      </c>
    </row>
    <row r="32" spans="1:6" x14ac:dyDescent="0.25">
      <c r="A32" s="564" t="s">
        <v>1411</v>
      </c>
      <c r="B32" s="533" t="s">
        <v>1065</v>
      </c>
      <c r="C32" s="526" t="s">
        <v>275</v>
      </c>
      <c r="D32" s="526" t="s">
        <v>34</v>
      </c>
      <c r="E32" s="529" t="s">
        <v>33</v>
      </c>
      <c r="F32" t="s">
        <v>1412</v>
      </c>
    </row>
    <row r="33" spans="1:6" x14ac:dyDescent="0.25">
      <c r="A33" s="564" t="s">
        <v>1413</v>
      </c>
      <c r="B33" s="533" t="s">
        <v>1414</v>
      </c>
      <c r="C33" s="526" t="s">
        <v>254</v>
      </c>
      <c r="D33" s="526" t="s">
        <v>34</v>
      </c>
      <c r="E33" s="529" t="s">
        <v>33</v>
      </c>
      <c r="F33" t="s">
        <v>1415</v>
      </c>
    </row>
    <row r="34" spans="1:6" x14ac:dyDescent="0.25">
      <c r="A34" s="564" t="s">
        <v>843</v>
      </c>
      <c r="B34" s="533" t="s">
        <v>844</v>
      </c>
      <c r="C34" s="526" t="s">
        <v>275</v>
      </c>
      <c r="D34" s="526" t="s">
        <v>34</v>
      </c>
      <c r="E34" s="529" t="s">
        <v>33</v>
      </c>
    </row>
    <row r="35" spans="1:6" x14ac:dyDescent="0.25">
      <c r="A35" s="564" t="s">
        <v>1416</v>
      </c>
      <c r="B35" s="533" t="s">
        <v>1417</v>
      </c>
      <c r="C35" s="526" t="s">
        <v>44</v>
      </c>
      <c r="D35" s="526" t="s">
        <v>44</v>
      </c>
      <c r="E35" s="529" t="s">
        <v>33</v>
      </c>
      <c r="F35" t="s">
        <v>1418</v>
      </c>
    </row>
    <row r="36" spans="1:6" x14ac:dyDescent="0.25">
      <c r="A36" s="564" t="s">
        <v>1419</v>
      </c>
      <c r="B36" s="533" t="s">
        <v>1420</v>
      </c>
      <c r="C36" s="526" t="s">
        <v>44</v>
      </c>
      <c r="D36" s="526" t="s">
        <v>44</v>
      </c>
      <c r="E36" s="529" t="s">
        <v>33</v>
      </c>
      <c r="F36" t="s">
        <v>1421</v>
      </c>
    </row>
    <row r="37" spans="1:6" x14ac:dyDescent="0.25">
      <c r="A37" s="564" t="s">
        <v>1111</v>
      </c>
      <c r="B37" s="533" t="s">
        <v>1112</v>
      </c>
      <c r="C37" s="526" t="s">
        <v>275</v>
      </c>
      <c r="D37" s="526" t="s">
        <v>34</v>
      </c>
      <c r="E37" s="529" t="s">
        <v>33</v>
      </c>
      <c r="F37" t="s">
        <v>1422</v>
      </c>
    </row>
    <row r="38" spans="1:6" x14ac:dyDescent="0.25">
      <c r="A38" s="564" t="s">
        <v>429</v>
      </c>
      <c r="B38" s="533" t="s">
        <v>430</v>
      </c>
      <c r="C38" s="526" t="s">
        <v>275</v>
      </c>
      <c r="D38" s="526" t="s">
        <v>34</v>
      </c>
      <c r="E38" s="529" t="s">
        <v>33</v>
      </c>
    </row>
    <row r="39" spans="1:6" x14ac:dyDescent="0.25">
      <c r="A39" s="564" t="s">
        <v>526</v>
      </c>
      <c r="B39" s="533" t="s">
        <v>527</v>
      </c>
      <c r="C39" s="526" t="s">
        <v>275</v>
      </c>
      <c r="D39" s="526" t="s">
        <v>34</v>
      </c>
      <c r="E39" s="529" t="s">
        <v>33</v>
      </c>
    </row>
    <row r="40" spans="1:6" x14ac:dyDescent="0.25">
      <c r="A40" s="564" t="s">
        <v>475</v>
      </c>
      <c r="B40" s="533" t="s">
        <v>476</v>
      </c>
      <c r="C40" s="526" t="s">
        <v>275</v>
      </c>
      <c r="D40" s="526" t="s">
        <v>34</v>
      </c>
      <c r="E40" s="529" t="s">
        <v>33</v>
      </c>
    </row>
    <row r="41" spans="1:6" x14ac:dyDescent="0.25">
      <c r="A41" s="564" t="s">
        <v>1423</v>
      </c>
      <c r="B41" s="533" t="s">
        <v>495</v>
      </c>
      <c r="C41" s="526" t="s">
        <v>275</v>
      </c>
      <c r="D41" s="526" t="s">
        <v>34</v>
      </c>
      <c r="E41" s="529" t="s">
        <v>33</v>
      </c>
    </row>
    <row r="42" spans="1:6" x14ac:dyDescent="0.25">
      <c r="A42" s="564" t="s">
        <v>522</v>
      </c>
      <c r="B42" s="533" t="s">
        <v>523</v>
      </c>
      <c r="C42" s="526" t="s">
        <v>275</v>
      </c>
      <c r="D42" s="526" t="s">
        <v>34</v>
      </c>
      <c r="E42" s="529" t="s">
        <v>33</v>
      </c>
    </row>
    <row r="43" spans="1:6" ht="30" x14ac:dyDescent="0.25">
      <c r="A43" s="564" t="s">
        <v>541</v>
      </c>
      <c r="B43" s="533" t="s">
        <v>542</v>
      </c>
      <c r="C43" s="526" t="s">
        <v>275</v>
      </c>
      <c r="D43" s="526" t="s">
        <v>34</v>
      </c>
      <c r="E43" s="529" t="s">
        <v>33</v>
      </c>
    </row>
    <row r="44" spans="1:6" ht="30" x14ac:dyDescent="0.25">
      <c r="A44" s="564" t="s">
        <v>546</v>
      </c>
      <c r="B44" s="533" t="s">
        <v>547</v>
      </c>
      <c r="C44" s="526" t="s">
        <v>275</v>
      </c>
      <c r="D44" s="526" t="s">
        <v>34</v>
      </c>
      <c r="E44" s="529" t="s">
        <v>33</v>
      </c>
    </row>
    <row r="45" spans="1:6" ht="30" x14ac:dyDescent="0.25">
      <c r="A45" s="564" t="s">
        <v>1424</v>
      </c>
      <c r="B45" s="533" t="s">
        <v>1425</v>
      </c>
      <c r="C45" s="526" t="s">
        <v>275</v>
      </c>
      <c r="D45" s="526" t="s">
        <v>34</v>
      </c>
      <c r="E45" s="529" t="s">
        <v>33</v>
      </c>
    </row>
    <row r="46" spans="1:6" x14ac:dyDescent="0.25">
      <c r="A46" s="564" t="s">
        <v>1426</v>
      </c>
      <c r="B46" s="533" t="s">
        <v>482</v>
      </c>
      <c r="C46" s="526" t="s">
        <v>275</v>
      </c>
      <c r="D46" s="526" t="s">
        <v>34</v>
      </c>
      <c r="E46" s="529" t="s">
        <v>33</v>
      </c>
    </row>
    <row r="47" spans="1:6" x14ac:dyDescent="0.25">
      <c r="A47" s="564" t="s">
        <v>485</v>
      </c>
      <c r="B47" s="533" t="s">
        <v>486</v>
      </c>
      <c r="C47" s="526" t="s">
        <v>254</v>
      </c>
      <c r="D47" s="526" t="s">
        <v>34</v>
      </c>
      <c r="E47" s="529" t="s">
        <v>38</v>
      </c>
    </row>
    <row r="48" spans="1:6" x14ac:dyDescent="0.25">
      <c r="A48" s="564" t="s">
        <v>1427</v>
      </c>
      <c r="B48" s="533" t="s">
        <v>361</v>
      </c>
      <c r="C48" s="526" t="s">
        <v>275</v>
      </c>
      <c r="D48" s="526" t="s">
        <v>34</v>
      </c>
      <c r="E48" s="529" t="s">
        <v>33</v>
      </c>
    </row>
    <row r="49" spans="1:6" x14ac:dyDescent="0.25">
      <c r="A49" s="564" t="s">
        <v>345</v>
      </c>
      <c r="B49" s="533" t="s">
        <v>346</v>
      </c>
      <c r="C49" s="526" t="s">
        <v>254</v>
      </c>
      <c r="D49" s="526" t="s">
        <v>34</v>
      </c>
      <c r="E49" s="529" t="s">
        <v>38</v>
      </c>
    </row>
    <row r="50" spans="1:6" x14ac:dyDescent="0.25">
      <c r="A50" s="564" t="s">
        <v>351</v>
      </c>
      <c r="B50" s="533" t="s">
        <v>352</v>
      </c>
      <c r="C50" s="526" t="s">
        <v>275</v>
      </c>
      <c r="D50" s="526" t="s">
        <v>34</v>
      </c>
      <c r="E50" s="529" t="s">
        <v>33</v>
      </c>
    </row>
    <row r="51" spans="1:6" x14ac:dyDescent="0.25">
      <c r="A51" s="564" t="s">
        <v>533</v>
      </c>
      <c r="B51" s="533" t="s">
        <v>534</v>
      </c>
      <c r="C51" s="526" t="s">
        <v>275</v>
      </c>
      <c r="D51" s="526" t="s">
        <v>34</v>
      </c>
      <c r="E51" s="529" t="s">
        <v>33</v>
      </c>
    </row>
    <row r="52" spans="1:6" x14ac:dyDescent="0.25">
      <c r="A52" s="564" t="s">
        <v>1428</v>
      </c>
      <c r="B52" s="533" t="s">
        <v>1429</v>
      </c>
      <c r="C52" s="526" t="s">
        <v>254</v>
      </c>
      <c r="D52" s="526" t="s">
        <v>34</v>
      </c>
      <c r="E52" s="529" t="s">
        <v>38</v>
      </c>
    </row>
    <row r="53" spans="1:6" ht="29.45" customHeight="1" x14ac:dyDescent="0.25">
      <c r="A53" s="564" t="s">
        <v>1430</v>
      </c>
      <c r="B53" s="533" t="s">
        <v>1431</v>
      </c>
      <c r="C53" s="526" t="s">
        <v>275</v>
      </c>
      <c r="D53" s="526" t="s">
        <v>34</v>
      </c>
      <c r="E53" s="529" t="s">
        <v>33</v>
      </c>
    </row>
    <row r="54" spans="1:6" x14ac:dyDescent="0.25">
      <c r="A54" s="564" t="s">
        <v>1163</v>
      </c>
      <c r="B54" s="533" t="s">
        <v>1164</v>
      </c>
      <c r="C54" s="526" t="s">
        <v>275</v>
      </c>
      <c r="D54" s="526" t="s">
        <v>34</v>
      </c>
      <c r="E54" s="529" t="s">
        <v>33</v>
      </c>
    </row>
    <row r="55" spans="1:6" x14ac:dyDescent="0.25">
      <c r="A55" s="564" t="s">
        <v>1432</v>
      </c>
      <c r="B55" s="533" t="s">
        <v>1433</v>
      </c>
      <c r="C55" s="526" t="s">
        <v>275</v>
      </c>
      <c r="D55" s="526" t="s">
        <v>34</v>
      </c>
      <c r="E55" s="529" t="s">
        <v>33</v>
      </c>
    </row>
    <row r="56" spans="1:6" x14ac:dyDescent="0.25">
      <c r="A56" s="564" t="s">
        <v>1434</v>
      </c>
      <c r="B56" s="533" t="s">
        <v>1435</v>
      </c>
      <c r="C56" s="526" t="s">
        <v>44</v>
      </c>
      <c r="D56" s="526" t="s">
        <v>44</v>
      </c>
      <c r="E56" s="529" t="s">
        <v>33</v>
      </c>
      <c r="F56" t="s">
        <v>1393</v>
      </c>
    </row>
    <row r="57" spans="1:6" x14ac:dyDescent="0.25">
      <c r="A57" s="564" t="s">
        <v>1436</v>
      </c>
      <c r="B57" s="533" t="s">
        <v>1437</v>
      </c>
      <c r="C57" s="526" t="s">
        <v>44</v>
      </c>
      <c r="D57" s="526" t="s">
        <v>44</v>
      </c>
      <c r="E57" s="529" t="s">
        <v>33</v>
      </c>
      <c r="F57" t="s">
        <v>1438</v>
      </c>
    </row>
    <row r="58" spans="1:6" x14ac:dyDescent="0.25">
      <c r="A58" s="564" t="s">
        <v>1439</v>
      </c>
      <c r="B58" s="533" t="s">
        <v>1440</v>
      </c>
      <c r="C58" s="526" t="s">
        <v>275</v>
      </c>
      <c r="D58" s="526" t="s">
        <v>44</v>
      </c>
      <c r="E58" s="529" t="s">
        <v>33</v>
      </c>
    </row>
    <row r="59" spans="1:6" x14ac:dyDescent="0.25">
      <c r="A59" s="564" t="s">
        <v>1441</v>
      </c>
      <c r="B59" s="533" t="s">
        <v>1442</v>
      </c>
      <c r="C59" s="526" t="s">
        <v>44</v>
      </c>
      <c r="D59" s="526" t="s">
        <v>44</v>
      </c>
      <c r="E59" s="529" t="s">
        <v>33</v>
      </c>
      <c r="F59" t="s">
        <v>1443</v>
      </c>
    </row>
    <row r="60" spans="1:6" x14ac:dyDescent="0.25">
      <c r="A60" s="564" t="s">
        <v>1444</v>
      </c>
      <c r="B60" s="533" t="s">
        <v>1445</v>
      </c>
      <c r="C60" s="526" t="s">
        <v>275</v>
      </c>
      <c r="D60" s="526" t="s">
        <v>34</v>
      </c>
      <c r="E60" s="529" t="s">
        <v>33</v>
      </c>
    </row>
    <row r="61" spans="1:6" x14ac:dyDescent="0.25">
      <c r="A61" s="564" t="s">
        <v>1446</v>
      </c>
      <c r="B61" s="533" t="s">
        <v>1447</v>
      </c>
      <c r="C61" s="526" t="s">
        <v>254</v>
      </c>
      <c r="D61" s="526" t="s">
        <v>34</v>
      </c>
      <c r="E61" s="529" t="s">
        <v>38</v>
      </c>
    </row>
    <row r="62" spans="1:6" ht="30" x14ac:dyDescent="0.25">
      <c r="A62" s="564" t="s">
        <v>1448</v>
      </c>
      <c r="B62" s="533" t="s">
        <v>1449</v>
      </c>
      <c r="C62" s="526" t="s">
        <v>44</v>
      </c>
      <c r="D62" s="526" t="s">
        <v>44</v>
      </c>
      <c r="E62" s="529" t="s">
        <v>38</v>
      </c>
    </row>
    <row r="63" spans="1:6" x14ac:dyDescent="0.25">
      <c r="A63" s="564" t="s">
        <v>1450</v>
      </c>
      <c r="B63" s="533" t="s">
        <v>1451</v>
      </c>
      <c r="C63" s="526" t="s">
        <v>44</v>
      </c>
      <c r="D63" s="526" t="s">
        <v>44</v>
      </c>
      <c r="E63" s="529" t="s">
        <v>33</v>
      </c>
      <c r="F63" t="s">
        <v>1452</v>
      </c>
    </row>
    <row r="64" spans="1:6" x14ac:dyDescent="0.25">
      <c r="A64" s="564" t="s">
        <v>1453</v>
      </c>
      <c r="B64" s="533" t="s">
        <v>1454</v>
      </c>
      <c r="C64" s="526" t="s">
        <v>44</v>
      </c>
      <c r="D64" s="526" t="s">
        <v>44</v>
      </c>
      <c r="E64" s="529" t="s">
        <v>33</v>
      </c>
      <c r="F64" t="s">
        <v>1397</v>
      </c>
    </row>
    <row r="65" spans="1:6" x14ac:dyDescent="0.25">
      <c r="A65" s="564" t="s">
        <v>1455</v>
      </c>
      <c r="B65" s="533" t="s">
        <v>1456</v>
      </c>
      <c r="C65" s="526" t="s">
        <v>275</v>
      </c>
      <c r="D65" s="526" t="s">
        <v>34</v>
      </c>
      <c r="E65" s="529" t="s">
        <v>33</v>
      </c>
    </row>
    <row r="66" spans="1:6" x14ac:dyDescent="0.25">
      <c r="A66" s="564" t="s">
        <v>871</v>
      </c>
      <c r="B66" s="533" t="s">
        <v>872</v>
      </c>
      <c r="C66" s="526" t="s">
        <v>275</v>
      </c>
      <c r="D66" s="526" t="s">
        <v>34</v>
      </c>
      <c r="E66" s="529" t="s">
        <v>33</v>
      </c>
    </row>
    <row r="67" spans="1:6" x14ac:dyDescent="0.25">
      <c r="A67" s="564" t="s">
        <v>1017</v>
      </c>
      <c r="B67" s="533" t="s">
        <v>1018</v>
      </c>
      <c r="C67" s="526" t="s">
        <v>275</v>
      </c>
      <c r="D67" s="526" t="s">
        <v>34</v>
      </c>
      <c r="E67" s="529" t="s">
        <v>33</v>
      </c>
    </row>
    <row r="68" spans="1:6" x14ac:dyDescent="0.25">
      <c r="A68" s="564" t="s">
        <v>1457</v>
      </c>
      <c r="B68" s="533" t="s">
        <v>1458</v>
      </c>
      <c r="C68" s="526" t="s">
        <v>44</v>
      </c>
      <c r="D68" s="526" t="s">
        <v>44</v>
      </c>
      <c r="E68" s="529" t="s">
        <v>33</v>
      </c>
      <c r="F68" t="s">
        <v>1397</v>
      </c>
    </row>
    <row r="69" spans="1:6" x14ac:dyDescent="0.25">
      <c r="A69" s="564" t="s">
        <v>1459</v>
      </c>
      <c r="B69" s="533" t="s">
        <v>1460</v>
      </c>
      <c r="C69" s="526" t="s">
        <v>44</v>
      </c>
      <c r="D69" s="526" t="s">
        <v>44</v>
      </c>
      <c r="E69" s="529" t="s">
        <v>33</v>
      </c>
      <c r="F69" t="s">
        <v>1397</v>
      </c>
    </row>
    <row r="70" spans="1:6" x14ac:dyDescent="0.25">
      <c r="A70" s="564" t="s">
        <v>1461</v>
      </c>
      <c r="B70" s="533" t="s">
        <v>1462</v>
      </c>
      <c r="C70" s="526" t="s">
        <v>275</v>
      </c>
      <c r="D70" s="526" t="s">
        <v>43</v>
      </c>
      <c r="E70" s="529" t="s">
        <v>33</v>
      </c>
    </row>
    <row r="71" spans="1:6" x14ac:dyDescent="0.25">
      <c r="A71" s="564" t="s">
        <v>1463</v>
      </c>
      <c r="B71" s="533" t="s">
        <v>1464</v>
      </c>
      <c r="C71" s="526" t="s">
        <v>275</v>
      </c>
      <c r="D71" s="526" t="s">
        <v>43</v>
      </c>
      <c r="E71" s="529" t="s">
        <v>33</v>
      </c>
    </row>
    <row r="72" spans="1:6" x14ac:dyDescent="0.25">
      <c r="A72" s="564" t="s">
        <v>1465</v>
      </c>
      <c r="B72" s="533" t="s">
        <v>1466</v>
      </c>
      <c r="C72" s="526" t="s">
        <v>275</v>
      </c>
      <c r="D72" s="526" t="s">
        <v>43</v>
      </c>
      <c r="E72" s="529" t="s">
        <v>33</v>
      </c>
    </row>
    <row r="73" spans="1:6" x14ac:dyDescent="0.25">
      <c r="A73" s="564" t="s">
        <v>1467</v>
      </c>
      <c r="B73" s="533" t="s">
        <v>1468</v>
      </c>
      <c r="C73" s="526" t="s">
        <v>275</v>
      </c>
      <c r="D73" s="526" t="s">
        <v>43</v>
      </c>
      <c r="E73" s="529" t="s">
        <v>33</v>
      </c>
    </row>
    <row r="74" spans="1:6" x14ac:dyDescent="0.25">
      <c r="A74" s="564" t="s">
        <v>1004</v>
      </c>
      <c r="B74" s="533" t="s">
        <v>1005</v>
      </c>
      <c r="C74" s="526" t="s">
        <v>254</v>
      </c>
      <c r="D74" s="526" t="s">
        <v>34</v>
      </c>
      <c r="E74" s="529" t="s">
        <v>38</v>
      </c>
    </row>
    <row r="75" spans="1:6" x14ac:dyDescent="0.25">
      <c r="A75" s="564" t="s">
        <v>1114</v>
      </c>
      <c r="B75" s="533" t="s">
        <v>1115</v>
      </c>
      <c r="C75" s="526" t="s">
        <v>275</v>
      </c>
      <c r="D75" s="526" t="s">
        <v>34</v>
      </c>
      <c r="E75" s="529" t="s">
        <v>33</v>
      </c>
      <c r="F75" t="s">
        <v>1469</v>
      </c>
    </row>
    <row r="76" spans="1:6" x14ac:dyDescent="0.25">
      <c r="A76" s="564" t="s">
        <v>1272</v>
      </c>
      <c r="B76" s="533" t="s">
        <v>1273</v>
      </c>
      <c r="C76" s="526" t="s">
        <v>254</v>
      </c>
      <c r="D76" s="526" t="s">
        <v>44</v>
      </c>
      <c r="E76" s="529" t="s">
        <v>38</v>
      </c>
      <c r="F76" t="s">
        <v>1470</v>
      </c>
    </row>
    <row r="77" spans="1:6" x14ac:dyDescent="0.25">
      <c r="A77" s="564" t="s">
        <v>1282</v>
      </c>
      <c r="B77" s="533" t="s">
        <v>1283</v>
      </c>
      <c r="C77" s="526" t="s">
        <v>254</v>
      </c>
      <c r="D77" s="526" t="s">
        <v>34</v>
      </c>
      <c r="E77" s="529" t="s">
        <v>38</v>
      </c>
      <c r="F77" t="s">
        <v>1471</v>
      </c>
    </row>
    <row r="78" spans="1:6" x14ac:dyDescent="0.25">
      <c r="A78" s="564" t="s">
        <v>1472</v>
      </c>
      <c r="B78" s="533" t="s">
        <v>1473</v>
      </c>
      <c r="C78" s="526" t="s">
        <v>44</v>
      </c>
      <c r="D78" s="526" t="s">
        <v>44</v>
      </c>
      <c r="E78" s="529" t="s">
        <v>33</v>
      </c>
      <c r="F78" t="s">
        <v>1471</v>
      </c>
    </row>
    <row r="79" spans="1:6" x14ac:dyDescent="0.25">
      <c r="A79" s="564" t="s">
        <v>1286</v>
      </c>
      <c r="B79" s="533" t="s">
        <v>1287</v>
      </c>
      <c r="C79" s="526" t="s">
        <v>254</v>
      </c>
      <c r="D79" s="526" t="s">
        <v>34</v>
      </c>
      <c r="E79" s="529" t="s">
        <v>42</v>
      </c>
      <c r="F79" t="s">
        <v>1471</v>
      </c>
    </row>
    <row r="80" spans="1:6" x14ac:dyDescent="0.25">
      <c r="A80" s="564" t="s">
        <v>1474</v>
      </c>
      <c r="B80" s="533" t="s">
        <v>1475</v>
      </c>
      <c r="C80" s="526" t="s">
        <v>275</v>
      </c>
      <c r="D80" s="526" t="s">
        <v>43</v>
      </c>
      <c r="E80" s="529" t="s">
        <v>33</v>
      </c>
    </row>
    <row r="81" spans="1:6" x14ac:dyDescent="0.25">
      <c r="A81" s="564" t="s">
        <v>1189</v>
      </c>
      <c r="B81" s="533" t="s">
        <v>1190</v>
      </c>
      <c r="C81" s="526" t="s">
        <v>254</v>
      </c>
      <c r="D81" s="526" t="s">
        <v>34</v>
      </c>
      <c r="E81" s="529" t="s">
        <v>38</v>
      </c>
    </row>
    <row r="82" spans="1:6" x14ac:dyDescent="0.25">
      <c r="A82" s="564" t="s">
        <v>1476</v>
      </c>
      <c r="B82" s="533" t="s">
        <v>1477</v>
      </c>
      <c r="C82" s="526" t="s">
        <v>275</v>
      </c>
      <c r="D82" s="526" t="s">
        <v>43</v>
      </c>
      <c r="E82" s="529" t="s">
        <v>33</v>
      </c>
    </row>
    <row r="83" spans="1:6" x14ac:dyDescent="0.25">
      <c r="A83" s="564" t="s">
        <v>1478</v>
      </c>
      <c r="B83" s="533" t="s">
        <v>1479</v>
      </c>
      <c r="C83" s="526" t="s">
        <v>275</v>
      </c>
      <c r="D83" s="526" t="s">
        <v>43</v>
      </c>
      <c r="E83" s="529" t="s">
        <v>33</v>
      </c>
    </row>
    <row r="84" spans="1:6" x14ac:dyDescent="0.25">
      <c r="A84" s="564" t="s">
        <v>1480</v>
      </c>
      <c r="B84" s="533" t="s">
        <v>1481</v>
      </c>
      <c r="C84" s="526" t="s">
        <v>275</v>
      </c>
      <c r="D84" s="526" t="s">
        <v>43</v>
      </c>
      <c r="E84" s="529" t="s">
        <v>33</v>
      </c>
    </row>
    <row r="85" spans="1:6" x14ac:dyDescent="0.25">
      <c r="A85" s="564" t="s">
        <v>1482</v>
      </c>
      <c r="B85" s="533" t="s">
        <v>1483</v>
      </c>
      <c r="C85" s="526" t="s">
        <v>44</v>
      </c>
      <c r="D85" s="526" t="s">
        <v>44</v>
      </c>
      <c r="E85" s="529" t="s">
        <v>33</v>
      </c>
      <c r="F85" t="s">
        <v>1484</v>
      </c>
    </row>
    <row r="86" spans="1:6" x14ac:dyDescent="0.25">
      <c r="A86" s="564" t="s">
        <v>1311</v>
      </c>
      <c r="B86" s="639" t="s">
        <v>1485</v>
      </c>
      <c r="C86" s="526" t="s">
        <v>254</v>
      </c>
      <c r="D86" s="526" t="s">
        <v>34</v>
      </c>
      <c r="E86" s="529" t="s">
        <v>42</v>
      </c>
    </row>
    <row r="87" spans="1:6" x14ac:dyDescent="0.25">
      <c r="A87" s="564" t="s">
        <v>1486</v>
      </c>
      <c r="B87" s="639" t="s">
        <v>1487</v>
      </c>
      <c r="C87" s="526" t="s">
        <v>275</v>
      </c>
      <c r="D87" s="526" t="s">
        <v>43</v>
      </c>
      <c r="E87" s="529" t="s">
        <v>42</v>
      </c>
      <c r="F87" t="s">
        <v>1488</v>
      </c>
    </row>
    <row r="88" spans="1:6" x14ac:dyDescent="0.25">
      <c r="A88" s="564" t="s">
        <v>1489</v>
      </c>
      <c r="B88" s="639" t="s">
        <v>1490</v>
      </c>
      <c r="C88" s="526" t="s">
        <v>254</v>
      </c>
      <c r="D88" s="526" t="s">
        <v>43</v>
      </c>
      <c r="E88" s="529" t="s">
        <v>42</v>
      </c>
    </row>
    <row r="89" spans="1:6" x14ac:dyDescent="0.25">
      <c r="A89" s="564" t="s">
        <v>1319</v>
      </c>
      <c r="B89" s="639" t="s">
        <v>1491</v>
      </c>
      <c r="C89" s="526" t="s">
        <v>254</v>
      </c>
      <c r="D89" s="526" t="s">
        <v>34</v>
      </c>
      <c r="E89" s="529" t="s">
        <v>42</v>
      </c>
    </row>
    <row r="90" spans="1:6" x14ac:dyDescent="0.25">
      <c r="A90" s="564" t="s">
        <v>1492</v>
      </c>
      <c r="B90" s="639" t="s">
        <v>1493</v>
      </c>
      <c r="C90" s="526" t="s">
        <v>254</v>
      </c>
      <c r="D90" s="526" t="s">
        <v>43</v>
      </c>
      <c r="E90" s="529" t="s">
        <v>42</v>
      </c>
    </row>
    <row r="91" spans="1:6" x14ac:dyDescent="0.25">
      <c r="A91" s="564" t="s">
        <v>1340</v>
      </c>
      <c r="B91" s="639" t="s">
        <v>1341</v>
      </c>
      <c r="C91" s="526" t="s">
        <v>254</v>
      </c>
      <c r="D91" s="526" t="s">
        <v>34</v>
      </c>
      <c r="E91" s="529" t="s">
        <v>42</v>
      </c>
    </row>
    <row r="92" spans="1:6" x14ac:dyDescent="0.25">
      <c r="A92" s="564" t="s">
        <v>1344</v>
      </c>
      <c r="B92" s="639" t="s">
        <v>1345</v>
      </c>
      <c r="C92" s="526" t="s">
        <v>254</v>
      </c>
      <c r="D92" s="526" t="s">
        <v>34</v>
      </c>
      <c r="E92" s="529" t="s">
        <v>42</v>
      </c>
    </row>
    <row r="93" spans="1:6" x14ac:dyDescent="0.25">
      <c r="A93" s="564" t="s">
        <v>1494</v>
      </c>
      <c r="B93" s="639" t="s">
        <v>1495</v>
      </c>
      <c r="C93" s="526" t="s">
        <v>254</v>
      </c>
      <c r="D93" s="526" t="s">
        <v>43</v>
      </c>
      <c r="E93" s="529" t="s">
        <v>42</v>
      </c>
    </row>
    <row r="94" spans="1:6" x14ac:dyDescent="0.25">
      <c r="A94" s="564" t="s">
        <v>1496</v>
      </c>
      <c r="B94" s="639" t="s">
        <v>1497</v>
      </c>
      <c r="C94" s="526" t="s">
        <v>275</v>
      </c>
      <c r="D94" s="526" t="s">
        <v>44</v>
      </c>
      <c r="E94" s="529" t="s">
        <v>33</v>
      </c>
      <c r="F94" t="s">
        <v>1498</v>
      </c>
    </row>
    <row r="95" spans="1:6" x14ac:dyDescent="0.25">
      <c r="A95" s="564" t="s">
        <v>1499</v>
      </c>
      <c r="B95" s="639" t="s">
        <v>1500</v>
      </c>
      <c r="C95" s="526" t="s">
        <v>44</v>
      </c>
      <c r="D95" s="526" t="s">
        <v>44</v>
      </c>
      <c r="E95" s="529" t="s">
        <v>33</v>
      </c>
      <c r="F95" t="s">
        <v>1443</v>
      </c>
    </row>
    <row r="96" spans="1:6" x14ac:dyDescent="0.25">
      <c r="A96" s="564" t="s">
        <v>1501</v>
      </c>
      <c r="B96" s="533" t="s">
        <v>1502</v>
      </c>
      <c r="C96" s="526" t="s">
        <v>254</v>
      </c>
      <c r="D96" s="526" t="s">
        <v>43</v>
      </c>
      <c r="E96" s="529" t="s">
        <v>38</v>
      </c>
    </row>
    <row r="97" spans="1:6" x14ac:dyDescent="0.25">
      <c r="A97" s="564" t="s">
        <v>1503</v>
      </c>
      <c r="B97" s="533" t="s">
        <v>1504</v>
      </c>
      <c r="C97" s="526" t="s">
        <v>254</v>
      </c>
      <c r="D97" s="526" t="s">
        <v>43</v>
      </c>
      <c r="E97" s="529" t="s">
        <v>33</v>
      </c>
    </row>
    <row r="98" spans="1:6" x14ac:dyDescent="0.25">
      <c r="A98" s="564" t="s">
        <v>1505</v>
      </c>
      <c r="B98" s="533" t="s">
        <v>1506</v>
      </c>
      <c r="C98" s="526" t="s">
        <v>254</v>
      </c>
      <c r="D98" s="526" t="s">
        <v>43</v>
      </c>
      <c r="E98" s="529" t="s">
        <v>38</v>
      </c>
      <c r="F98" t="s">
        <v>1507</v>
      </c>
    </row>
    <row r="99" spans="1:6" x14ac:dyDescent="0.25">
      <c r="A99" s="564" t="s">
        <v>1508</v>
      </c>
      <c r="B99" s="533" t="s">
        <v>1509</v>
      </c>
      <c r="C99" s="526" t="s">
        <v>275</v>
      </c>
      <c r="D99" s="526" t="s">
        <v>43</v>
      </c>
      <c r="E99" s="529" t="s">
        <v>33</v>
      </c>
    </row>
    <row r="100" spans="1:6" x14ac:dyDescent="0.25">
      <c r="A100" s="564" t="s">
        <v>1510</v>
      </c>
      <c r="B100" s="533" t="s">
        <v>1511</v>
      </c>
      <c r="C100" s="526" t="s">
        <v>44</v>
      </c>
      <c r="D100" s="526" t="s">
        <v>44</v>
      </c>
      <c r="E100" s="529" t="s">
        <v>33</v>
      </c>
      <c r="F100" t="s">
        <v>1397</v>
      </c>
    </row>
    <row r="101" spans="1:6" x14ac:dyDescent="0.25">
      <c r="A101" s="564" t="s">
        <v>568</v>
      </c>
      <c r="B101" s="533" t="s">
        <v>1512</v>
      </c>
      <c r="C101" s="526" t="s">
        <v>44</v>
      </c>
      <c r="D101" s="526" t="s">
        <v>44</v>
      </c>
      <c r="E101" s="529" t="s">
        <v>38</v>
      </c>
      <c r="F101" t="s">
        <v>1397</v>
      </c>
    </row>
    <row r="102" spans="1:6" ht="45" x14ac:dyDescent="0.25">
      <c r="A102" s="564" t="s">
        <v>1118</v>
      </c>
      <c r="B102" s="533" t="s">
        <v>1052</v>
      </c>
      <c r="C102" s="526" t="s">
        <v>275</v>
      </c>
      <c r="D102" s="526" t="s">
        <v>34</v>
      </c>
      <c r="E102" s="529" t="s">
        <v>33</v>
      </c>
      <c r="F102" s="236" t="s">
        <v>1513</v>
      </c>
    </row>
    <row r="103" spans="1:6" ht="30" x14ac:dyDescent="0.25">
      <c r="A103" s="564" t="s">
        <v>1514</v>
      </c>
      <c r="B103" s="533" t="s">
        <v>1515</v>
      </c>
      <c r="C103" s="526" t="s">
        <v>44</v>
      </c>
      <c r="D103" s="526" t="s">
        <v>44</v>
      </c>
      <c r="E103" s="529" t="s">
        <v>33</v>
      </c>
      <c r="F103" t="s">
        <v>1516</v>
      </c>
    </row>
    <row r="104" spans="1:6" x14ac:dyDescent="0.25">
      <c r="A104" s="564" t="s">
        <v>577</v>
      </c>
      <c r="B104" s="533" t="s">
        <v>578</v>
      </c>
      <c r="C104" s="526" t="s">
        <v>254</v>
      </c>
      <c r="D104" s="526" t="s">
        <v>34</v>
      </c>
      <c r="E104" s="529" t="s">
        <v>33</v>
      </c>
    </row>
    <row r="105" spans="1:6" x14ac:dyDescent="0.25">
      <c r="A105" s="564" t="s">
        <v>1122</v>
      </c>
      <c r="B105" s="533" t="s">
        <v>1123</v>
      </c>
      <c r="C105" s="526" t="s">
        <v>275</v>
      </c>
      <c r="D105" s="526" t="s">
        <v>34</v>
      </c>
      <c r="E105" s="529" t="s">
        <v>33</v>
      </c>
    </row>
    <row r="106" spans="1:6" x14ac:dyDescent="0.25">
      <c r="A106" s="564" t="s">
        <v>861</v>
      </c>
      <c r="B106" s="533" t="s">
        <v>862</v>
      </c>
      <c r="C106" s="526" t="s">
        <v>275</v>
      </c>
      <c r="D106" s="526" t="s">
        <v>34</v>
      </c>
      <c r="E106" s="529" t="s">
        <v>33</v>
      </c>
    </row>
    <row r="107" spans="1:6" x14ac:dyDescent="0.25">
      <c r="A107" s="564" t="s">
        <v>1517</v>
      </c>
      <c r="B107" s="533" t="s">
        <v>1518</v>
      </c>
      <c r="C107" s="526" t="s">
        <v>44</v>
      </c>
      <c r="D107" s="526" t="s">
        <v>44</v>
      </c>
      <c r="E107" s="529" t="s">
        <v>38</v>
      </c>
      <c r="F107" t="s">
        <v>1393</v>
      </c>
    </row>
    <row r="108" spans="1:6" x14ac:dyDescent="0.25">
      <c r="A108" s="564" t="s">
        <v>684</v>
      </c>
      <c r="B108" s="533" t="s">
        <v>1519</v>
      </c>
      <c r="C108" s="526" t="s">
        <v>44</v>
      </c>
      <c r="D108" s="526" t="s">
        <v>44</v>
      </c>
      <c r="E108" s="529" t="s">
        <v>42</v>
      </c>
      <c r="F108" t="s">
        <v>1520</v>
      </c>
    </row>
    <row r="109" spans="1:6" x14ac:dyDescent="0.25">
      <c r="A109" s="564" t="s">
        <v>744</v>
      </c>
      <c r="B109" s="533" t="s">
        <v>745</v>
      </c>
      <c r="C109" s="526" t="s">
        <v>275</v>
      </c>
      <c r="D109" s="526" t="s">
        <v>34</v>
      </c>
      <c r="E109" s="529" t="s">
        <v>33</v>
      </c>
    </row>
    <row r="110" spans="1:6" x14ac:dyDescent="0.25">
      <c r="A110" s="564" t="s">
        <v>753</v>
      </c>
      <c r="B110" s="533" t="s">
        <v>754</v>
      </c>
      <c r="C110" s="526" t="s">
        <v>275</v>
      </c>
      <c r="D110" s="526" t="s">
        <v>34</v>
      </c>
      <c r="E110" s="529" t="s">
        <v>33</v>
      </c>
    </row>
    <row r="111" spans="1:6" x14ac:dyDescent="0.25">
      <c r="A111" s="564" t="s">
        <v>1521</v>
      </c>
      <c r="B111" s="533" t="s">
        <v>698</v>
      </c>
      <c r="C111" s="526" t="s">
        <v>275</v>
      </c>
      <c r="D111" s="526" t="s">
        <v>34</v>
      </c>
      <c r="E111" s="529" t="s">
        <v>33</v>
      </c>
    </row>
    <row r="112" spans="1:6" x14ac:dyDescent="0.25">
      <c r="A112" s="564" t="s">
        <v>1153</v>
      </c>
      <c r="B112" s="533" t="s">
        <v>1154</v>
      </c>
      <c r="C112" s="526" t="s">
        <v>275</v>
      </c>
      <c r="D112" s="526" t="s">
        <v>34</v>
      </c>
      <c r="E112" s="529" t="s">
        <v>33</v>
      </c>
      <c r="F112" t="s">
        <v>1522</v>
      </c>
    </row>
    <row r="113" spans="1:6" x14ac:dyDescent="0.25">
      <c r="A113" s="564" t="s">
        <v>1523</v>
      </c>
      <c r="B113" s="533" t="s">
        <v>1524</v>
      </c>
      <c r="C113" s="526" t="s">
        <v>44</v>
      </c>
      <c r="D113" s="526" t="s">
        <v>44</v>
      </c>
      <c r="E113" s="529" t="s">
        <v>33</v>
      </c>
      <c r="F113" t="s">
        <v>1525</v>
      </c>
    </row>
    <row r="114" spans="1:6" x14ac:dyDescent="0.25">
      <c r="A114" s="564" t="s">
        <v>1526</v>
      </c>
      <c r="B114" s="533" t="s">
        <v>1160</v>
      </c>
      <c r="C114" s="526" t="s">
        <v>254</v>
      </c>
      <c r="D114" s="526" t="s">
        <v>34</v>
      </c>
      <c r="E114" s="529" t="s">
        <v>38</v>
      </c>
      <c r="F114" t="s">
        <v>1527</v>
      </c>
    </row>
    <row r="115" spans="1:6" ht="45" x14ac:dyDescent="0.25">
      <c r="A115" s="564" t="s">
        <v>1528</v>
      </c>
      <c r="B115" s="533" t="s">
        <v>1529</v>
      </c>
      <c r="C115" s="526" t="s">
        <v>275</v>
      </c>
      <c r="D115" s="526" t="s">
        <v>34</v>
      </c>
      <c r="E115" s="529" t="s">
        <v>33</v>
      </c>
      <c r="F115" t="s">
        <v>1527</v>
      </c>
    </row>
    <row r="116" spans="1:6" ht="30" x14ac:dyDescent="0.25">
      <c r="A116" s="564" t="s">
        <v>760</v>
      </c>
      <c r="B116" s="533" t="s">
        <v>761</v>
      </c>
      <c r="C116" s="526" t="s">
        <v>275</v>
      </c>
      <c r="D116" s="526" t="s">
        <v>34</v>
      </c>
      <c r="E116" s="529" t="s">
        <v>33</v>
      </c>
    </row>
    <row r="117" spans="1:6" ht="30" x14ac:dyDescent="0.25">
      <c r="A117" s="564" t="s">
        <v>764</v>
      </c>
      <c r="B117" s="533" t="s">
        <v>765</v>
      </c>
      <c r="C117" s="526" t="s">
        <v>275</v>
      </c>
      <c r="D117" s="526" t="s">
        <v>34</v>
      </c>
      <c r="E117" s="529" t="s">
        <v>33</v>
      </c>
    </row>
    <row r="118" spans="1:6" ht="30" x14ac:dyDescent="0.25">
      <c r="A118" s="564" t="s">
        <v>1530</v>
      </c>
      <c r="B118" s="533" t="s">
        <v>600</v>
      </c>
      <c r="C118" s="526" t="s">
        <v>275</v>
      </c>
      <c r="D118" s="526" t="s">
        <v>34</v>
      </c>
      <c r="E118" s="529" t="s">
        <v>33</v>
      </c>
    </row>
    <row r="119" spans="1:6" x14ac:dyDescent="0.25">
      <c r="A119" s="564" t="s">
        <v>1531</v>
      </c>
      <c r="B119" s="533" t="s">
        <v>675</v>
      </c>
      <c r="C119" s="526" t="s">
        <v>275</v>
      </c>
      <c r="D119" s="526" t="s">
        <v>34</v>
      </c>
      <c r="E119" s="529" t="s">
        <v>33</v>
      </c>
    </row>
    <row r="120" spans="1:6" x14ac:dyDescent="0.25">
      <c r="A120" s="564" t="s">
        <v>1532</v>
      </c>
      <c r="B120" s="533" t="s">
        <v>1519</v>
      </c>
      <c r="C120" s="526" t="s">
        <v>44</v>
      </c>
      <c r="D120" s="526" t="s">
        <v>44</v>
      </c>
      <c r="E120" s="529" t="s">
        <v>42</v>
      </c>
      <c r="F120" t="s">
        <v>1520</v>
      </c>
    </row>
    <row r="121" spans="1:6" x14ac:dyDescent="0.25">
      <c r="A121" s="564" t="s">
        <v>1010</v>
      </c>
      <c r="B121" s="533" t="s">
        <v>1011</v>
      </c>
      <c r="C121" s="526" t="s">
        <v>275</v>
      </c>
      <c r="D121" s="526" t="s">
        <v>34</v>
      </c>
      <c r="E121" s="529" t="s">
        <v>33</v>
      </c>
      <c r="F121" t="s">
        <v>1533</v>
      </c>
    </row>
    <row r="122" spans="1:6" x14ac:dyDescent="0.25">
      <c r="A122" s="564" t="s">
        <v>1534</v>
      </c>
      <c r="B122" s="533" t="s">
        <v>690</v>
      </c>
      <c r="C122" s="526" t="s">
        <v>275</v>
      </c>
      <c r="D122" s="526" t="s">
        <v>34</v>
      </c>
      <c r="E122" s="529" t="s">
        <v>33</v>
      </c>
    </row>
    <row r="123" spans="1:6" ht="30" x14ac:dyDescent="0.25">
      <c r="A123" s="564" t="s">
        <v>1535</v>
      </c>
      <c r="B123" s="533" t="s">
        <v>1536</v>
      </c>
      <c r="C123" s="526" t="s">
        <v>254</v>
      </c>
      <c r="D123" s="526" t="s">
        <v>34</v>
      </c>
      <c r="E123" s="529" t="s">
        <v>33</v>
      </c>
    </row>
    <row r="124" spans="1:6" x14ac:dyDescent="0.25">
      <c r="A124" s="564" t="s">
        <v>1537</v>
      </c>
      <c r="B124" s="533" t="s">
        <v>612</v>
      </c>
      <c r="C124" s="526" t="s">
        <v>275</v>
      </c>
      <c r="D124" s="526" t="s">
        <v>34</v>
      </c>
      <c r="E124" s="529" t="s">
        <v>33</v>
      </c>
    </row>
    <row r="125" spans="1:6" x14ac:dyDescent="0.25">
      <c r="A125" s="564" t="s">
        <v>584</v>
      </c>
      <c r="B125" s="533" t="s">
        <v>585</v>
      </c>
      <c r="C125" s="526" t="s">
        <v>254</v>
      </c>
      <c r="D125" s="526" t="s">
        <v>34</v>
      </c>
      <c r="E125" s="529" t="s">
        <v>38</v>
      </c>
      <c r="F125" t="s">
        <v>1538</v>
      </c>
    </row>
    <row r="126" spans="1:6" x14ac:dyDescent="0.25">
      <c r="A126" s="564" t="s">
        <v>588</v>
      </c>
      <c r="B126" s="533" t="s">
        <v>589</v>
      </c>
      <c r="C126" s="526" t="s">
        <v>275</v>
      </c>
      <c r="D126" s="526" t="s">
        <v>34</v>
      </c>
      <c r="E126" s="529" t="s">
        <v>38</v>
      </c>
    </row>
    <row r="127" spans="1:6" x14ac:dyDescent="0.25">
      <c r="A127" s="564" t="s">
        <v>748</v>
      </c>
      <c r="B127" s="533" t="s">
        <v>749</v>
      </c>
      <c r="C127" s="526" t="s">
        <v>275</v>
      </c>
      <c r="D127" s="526" t="s">
        <v>34</v>
      </c>
      <c r="E127" s="529" t="s">
        <v>33</v>
      </c>
    </row>
    <row r="128" spans="1:6" x14ac:dyDescent="0.25">
      <c r="A128" s="564" t="s">
        <v>1539</v>
      </c>
      <c r="B128" s="533" t="s">
        <v>1540</v>
      </c>
      <c r="C128" s="526" t="s">
        <v>44</v>
      </c>
      <c r="D128" s="526" t="s">
        <v>44</v>
      </c>
      <c r="E128" s="529" t="s">
        <v>33</v>
      </c>
      <c r="F128" t="s">
        <v>1541</v>
      </c>
    </row>
    <row r="129" spans="1:6" x14ac:dyDescent="0.25">
      <c r="A129" s="564" t="s">
        <v>1181</v>
      </c>
      <c r="B129" s="533" t="s">
        <v>1182</v>
      </c>
      <c r="C129" s="526" t="s">
        <v>254</v>
      </c>
      <c r="D129" s="526" t="s">
        <v>34</v>
      </c>
      <c r="E129" s="529" t="s">
        <v>38</v>
      </c>
    </row>
    <row r="130" spans="1:6" x14ac:dyDescent="0.25">
      <c r="A130" s="564" t="s">
        <v>395</v>
      </c>
      <c r="B130" s="533" t="s">
        <v>396</v>
      </c>
      <c r="C130" s="526" t="s">
        <v>275</v>
      </c>
      <c r="D130" s="526" t="s">
        <v>34</v>
      </c>
      <c r="E130" s="529" t="s">
        <v>33</v>
      </c>
    </row>
    <row r="131" spans="1:6" x14ac:dyDescent="0.25">
      <c r="A131" s="564" t="s">
        <v>1542</v>
      </c>
      <c r="B131" s="533" t="s">
        <v>1543</v>
      </c>
      <c r="C131" s="526" t="s">
        <v>275</v>
      </c>
      <c r="D131" s="526" t="s">
        <v>34</v>
      </c>
      <c r="E131" s="529" t="s">
        <v>33</v>
      </c>
    </row>
    <row r="132" spans="1:6" x14ac:dyDescent="0.25">
      <c r="A132" s="564" t="s">
        <v>1544</v>
      </c>
      <c r="B132" s="533" t="s">
        <v>1545</v>
      </c>
      <c r="C132" s="526" t="s">
        <v>275</v>
      </c>
      <c r="D132" s="526" t="s">
        <v>39</v>
      </c>
      <c r="E132" s="529" t="s">
        <v>33</v>
      </c>
    </row>
    <row r="133" spans="1:6" x14ac:dyDescent="0.25">
      <c r="A133" s="564" t="s">
        <v>768</v>
      </c>
      <c r="B133" s="533" t="s">
        <v>769</v>
      </c>
      <c r="C133" s="526" t="s">
        <v>44</v>
      </c>
      <c r="D133" s="526" t="s">
        <v>44</v>
      </c>
      <c r="E133" s="529" t="s">
        <v>33</v>
      </c>
      <c r="F133" t="s">
        <v>1393</v>
      </c>
    </row>
    <row r="134" spans="1:6" x14ac:dyDescent="0.25">
      <c r="A134" s="564" t="s">
        <v>1546</v>
      </c>
      <c r="B134" s="533" t="s">
        <v>1547</v>
      </c>
      <c r="C134" s="526" t="s">
        <v>275</v>
      </c>
      <c r="D134" s="526" t="s">
        <v>34</v>
      </c>
      <c r="E134" s="529" t="s">
        <v>33</v>
      </c>
    </row>
    <row r="135" spans="1:6" x14ac:dyDescent="0.25">
      <c r="A135" s="564" t="s">
        <v>1548</v>
      </c>
      <c r="B135" s="533" t="s">
        <v>1549</v>
      </c>
      <c r="C135" s="526" t="s">
        <v>44</v>
      </c>
      <c r="D135" s="526" t="s">
        <v>44</v>
      </c>
      <c r="E135" s="529" t="s">
        <v>33</v>
      </c>
      <c r="F135" t="s">
        <v>1393</v>
      </c>
    </row>
    <row r="136" spans="1:6" x14ac:dyDescent="0.25">
      <c r="A136" s="564" t="s">
        <v>1550</v>
      </c>
      <c r="B136" s="533" t="s">
        <v>1551</v>
      </c>
      <c r="C136" s="526" t="s">
        <v>275</v>
      </c>
      <c r="D136" s="526" t="s">
        <v>34</v>
      </c>
      <c r="E136" s="529" t="s">
        <v>33</v>
      </c>
    </row>
    <row r="137" spans="1:6" x14ac:dyDescent="0.25">
      <c r="A137" s="564" t="s">
        <v>1552</v>
      </c>
      <c r="B137" s="533" t="s">
        <v>1553</v>
      </c>
      <c r="C137" s="526" t="s">
        <v>275</v>
      </c>
      <c r="D137" s="526" t="s">
        <v>44</v>
      </c>
      <c r="E137" s="529" t="s">
        <v>33</v>
      </c>
    </row>
    <row r="138" spans="1:6" x14ac:dyDescent="0.25">
      <c r="A138" s="564" t="s">
        <v>1554</v>
      </c>
      <c r="B138" s="533" t="s">
        <v>1555</v>
      </c>
      <c r="C138" s="526" t="s">
        <v>254</v>
      </c>
      <c r="D138" s="526" t="s">
        <v>34</v>
      </c>
      <c r="E138" s="529" t="s">
        <v>38</v>
      </c>
    </row>
    <row r="139" spans="1:6" x14ac:dyDescent="0.25">
      <c r="A139" s="564" t="s">
        <v>1556</v>
      </c>
      <c r="B139" s="533" t="s">
        <v>1557</v>
      </c>
      <c r="C139" s="526" t="s">
        <v>275</v>
      </c>
      <c r="D139" s="526" t="s">
        <v>34</v>
      </c>
      <c r="E139" s="529" t="s">
        <v>33</v>
      </c>
    </row>
    <row r="140" spans="1:6" x14ac:dyDescent="0.25">
      <c r="A140" s="564" t="s">
        <v>939</v>
      </c>
      <c r="B140" s="533" t="s">
        <v>940</v>
      </c>
      <c r="C140" s="526" t="s">
        <v>254</v>
      </c>
      <c r="D140" s="526" t="s">
        <v>34</v>
      </c>
      <c r="E140" s="529" t="s">
        <v>38</v>
      </c>
      <c r="F140" t="s">
        <v>1538</v>
      </c>
    </row>
    <row r="141" spans="1:6" x14ac:dyDescent="0.25">
      <c r="A141" s="564" t="s">
        <v>1230</v>
      </c>
      <c r="B141" s="533" t="s">
        <v>1231</v>
      </c>
      <c r="C141" s="526" t="s">
        <v>254</v>
      </c>
      <c r="D141" s="526" t="s">
        <v>34</v>
      </c>
      <c r="E141" s="529" t="s">
        <v>33</v>
      </c>
      <c r="F141" t="s">
        <v>1558</v>
      </c>
    </row>
    <row r="142" spans="1:6" x14ac:dyDescent="0.25">
      <c r="A142" s="564" t="s">
        <v>1220</v>
      </c>
      <c r="B142" s="533" t="s">
        <v>1221</v>
      </c>
      <c r="C142" s="526" t="s">
        <v>275</v>
      </c>
      <c r="D142" s="526" t="s">
        <v>34</v>
      </c>
      <c r="E142" s="529" t="s">
        <v>33</v>
      </c>
    </row>
    <row r="143" spans="1:6" x14ac:dyDescent="0.25">
      <c r="A143" s="564" t="s">
        <v>1559</v>
      </c>
      <c r="B143" s="533" t="s">
        <v>901</v>
      </c>
      <c r="C143" s="526" t="s">
        <v>44</v>
      </c>
      <c r="D143" s="526" t="s">
        <v>44</v>
      </c>
      <c r="E143" s="529" t="s">
        <v>33</v>
      </c>
    </row>
    <row r="144" spans="1:6" x14ac:dyDescent="0.25">
      <c r="A144" s="564" t="s">
        <v>1560</v>
      </c>
      <c r="B144" s="533" t="s">
        <v>1561</v>
      </c>
      <c r="C144" s="526" t="s">
        <v>275</v>
      </c>
      <c r="D144" s="526" t="s">
        <v>34</v>
      </c>
      <c r="E144" s="529" t="s">
        <v>33</v>
      </c>
    </row>
    <row r="145" spans="1:6" x14ac:dyDescent="0.25">
      <c r="A145" s="564" t="s">
        <v>883</v>
      </c>
      <c r="B145" s="533" t="s">
        <v>884</v>
      </c>
      <c r="C145" s="526" t="s">
        <v>275</v>
      </c>
      <c r="D145" s="526" t="s">
        <v>34</v>
      </c>
      <c r="E145" s="529" t="s">
        <v>33</v>
      </c>
    </row>
    <row r="146" spans="1:6" x14ac:dyDescent="0.25">
      <c r="A146" s="564" t="s">
        <v>1225</v>
      </c>
      <c r="B146" s="533" t="s">
        <v>1226</v>
      </c>
      <c r="C146" s="526" t="s">
        <v>254</v>
      </c>
      <c r="D146" s="526" t="s">
        <v>34</v>
      </c>
      <c r="E146" s="529" t="s">
        <v>33</v>
      </c>
      <c r="F146" t="s">
        <v>1562</v>
      </c>
    </row>
    <row r="147" spans="1:6" x14ac:dyDescent="0.25">
      <c r="A147" s="564" t="s">
        <v>1563</v>
      </c>
      <c r="B147" s="533" t="s">
        <v>1564</v>
      </c>
      <c r="C147" s="526" t="s">
        <v>44</v>
      </c>
      <c r="D147" s="526" t="s">
        <v>44</v>
      </c>
      <c r="E147" s="529" t="s">
        <v>33</v>
      </c>
      <c r="F147" t="s">
        <v>1565</v>
      </c>
    </row>
    <row r="148" spans="1:6" x14ac:dyDescent="0.25">
      <c r="A148" s="564" t="s">
        <v>733</v>
      </c>
      <c r="B148" s="533" t="s">
        <v>1566</v>
      </c>
      <c r="C148" s="526" t="s">
        <v>275</v>
      </c>
      <c r="D148" s="526" t="s">
        <v>34</v>
      </c>
      <c r="E148" s="529" t="s">
        <v>33</v>
      </c>
    </row>
    <row r="149" spans="1:6" x14ac:dyDescent="0.25">
      <c r="A149" s="564" t="s">
        <v>1567</v>
      </c>
      <c r="B149" s="533" t="s">
        <v>1568</v>
      </c>
      <c r="C149" s="526" t="s">
        <v>44</v>
      </c>
      <c r="D149" s="526" t="s">
        <v>44</v>
      </c>
      <c r="E149" s="529" t="s">
        <v>33</v>
      </c>
      <c r="F149" t="s">
        <v>1569</v>
      </c>
    </row>
    <row r="150" spans="1:6" x14ac:dyDescent="0.25">
      <c r="A150" s="564" t="s">
        <v>1194</v>
      </c>
      <c r="B150" s="533" t="s">
        <v>1195</v>
      </c>
      <c r="C150" s="526" t="s">
        <v>254</v>
      </c>
      <c r="D150" s="526" t="s">
        <v>34</v>
      </c>
      <c r="E150" s="529" t="s">
        <v>38</v>
      </c>
    </row>
    <row r="151" spans="1:6" x14ac:dyDescent="0.25">
      <c r="A151" s="564" t="s">
        <v>1570</v>
      </c>
      <c r="B151" s="533" t="s">
        <v>1571</v>
      </c>
      <c r="C151" s="526" t="s">
        <v>44</v>
      </c>
      <c r="D151" s="526" t="s">
        <v>44</v>
      </c>
      <c r="E151" s="529" t="s">
        <v>33</v>
      </c>
      <c r="F151" t="s">
        <v>1484</v>
      </c>
    </row>
    <row r="152" spans="1:6" x14ac:dyDescent="0.25">
      <c r="A152" s="564" t="s">
        <v>1572</v>
      </c>
      <c r="B152" s="533" t="s">
        <v>1573</v>
      </c>
      <c r="C152" s="526" t="s">
        <v>254</v>
      </c>
      <c r="D152" s="526" t="s">
        <v>34</v>
      </c>
      <c r="E152" s="529" t="s">
        <v>42</v>
      </c>
    </row>
    <row r="153" spans="1:6" x14ac:dyDescent="0.25">
      <c r="A153" s="564" t="s">
        <v>1574</v>
      </c>
      <c r="B153" s="533" t="s">
        <v>1575</v>
      </c>
      <c r="C153" s="526" t="s">
        <v>254</v>
      </c>
      <c r="D153" s="526" t="s">
        <v>34</v>
      </c>
      <c r="E153" s="529" t="s">
        <v>42</v>
      </c>
    </row>
    <row r="154" spans="1:6" x14ac:dyDescent="0.25">
      <c r="A154" s="564" t="s">
        <v>1576</v>
      </c>
      <c r="B154" s="533" t="s">
        <v>1577</v>
      </c>
      <c r="C154" s="526" t="s">
        <v>254</v>
      </c>
      <c r="D154" s="526" t="s">
        <v>43</v>
      </c>
      <c r="E154" s="529" t="s">
        <v>42</v>
      </c>
    </row>
    <row r="155" spans="1:6" x14ac:dyDescent="0.25">
      <c r="A155" s="564" t="s">
        <v>1315</v>
      </c>
      <c r="B155" s="533" t="s">
        <v>1578</v>
      </c>
      <c r="C155" s="526" t="s">
        <v>254</v>
      </c>
      <c r="D155" s="526" t="s">
        <v>34</v>
      </c>
      <c r="E155" s="529" t="s">
        <v>42</v>
      </c>
    </row>
    <row r="156" spans="1:6" x14ac:dyDescent="0.25">
      <c r="A156" s="564" t="s">
        <v>1579</v>
      </c>
      <c r="B156" s="533" t="s">
        <v>1580</v>
      </c>
      <c r="C156" s="526" t="s">
        <v>254</v>
      </c>
      <c r="D156" s="526" t="s">
        <v>34</v>
      </c>
      <c r="E156" s="529" t="s">
        <v>38</v>
      </c>
    </row>
    <row r="157" spans="1:6" x14ac:dyDescent="0.25">
      <c r="A157" s="564" t="s">
        <v>1581</v>
      </c>
      <c r="B157" s="533" t="s">
        <v>1582</v>
      </c>
      <c r="C157" s="526" t="s">
        <v>275</v>
      </c>
      <c r="D157" s="526" t="s">
        <v>34</v>
      </c>
      <c r="E157" s="529" t="s">
        <v>33</v>
      </c>
      <c r="F157" s="582" t="s">
        <v>1583</v>
      </c>
    </row>
    <row r="158" spans="1:6" x14ac:dyDescent="0.25">
      <c r="A158" s="564" t="s">
        <v>1584</v>
      </c>
      <c r="B158" s="533" t="s">
        <v>1585</v>
      </c>
      <c r="C158" s="526" t="s">
        <v>275</v>
      </c>
      <c r="D158" s="526" t="s">
        <v>43</v>
      </c>
      <c r="E158" s="529" t="s">
        <v>33</v>
      </c>
    </row>
    <row r="159" spans="1:6" x14ac:dyDescent="0.25">
      <c r="A159" s="564" t="s">
        <v>1586</v>
      </c>
      <c r="B159" s="533" t="s">
        <v>1587</v>
      </c>
      <c r="C159" s="526" t="s">
        <v>275</v>
      </c>
      <c r="D159" s="526" t="s">
        <v>34</v>
      </c>
      <c r="E159" s="529" t="s">
        <v>33</v>
      </c>
      <c r="F159" t="s">
        <v>1367</v>
      </c>
    </row>
    <row r="160" spans="1:6" x14ac:dyDescent="0.25">
      <c r="A160" s="564" t="s">
        <v>1588</v>
      </c>
      <c r="B160" s="533" t="s">
        <v>1589</v>
      </c>
      <c r="C160" s="526" t="s">
        <v>44</v>
      </c>
      <c r="D160" s="526" t="s">
        <v>44</v>
      </c>
      <c r="E160" s="529" t="s">
        <v>38</v>
      </c>
      <c r="F160" t="s">
        <v>1569</v>
      </c>
    </row>
    <row r="161" spans="1:6" x14ac:dyDescent="0.25">
      <c r="A161" s="564" t="s">
        <v>1590</v>
      </c>
      <c r="B161" s="533" t="s">
        <v>1591</v>
      </c>
      <c r="C161" s="526" t="s">
        <v>44</v>
      </c>
      <c r="D161" s="526" t="s">
        <v>44</v>
      </c>
      <c r="E161" s="529" t="s">
        <v>33</v>
      </c>
      <c r="F161" t="s">
        <v>1397</v>
      </c>
    </row>
    <row r="162" spans="1:6" x14ac:dyDescent="0.25">
      <c r="A162" s="564" t="s">
        <v>1592</v>
      </c>
      <c r="B162" s="533" t="s">
        <v>1593</v>
      </c>
      <c r="C162" s="526" t="s">
        <v>275</v>
      </c>
      <c r="D162" s="526" t="s">
        <v>43</v>
      </c>
      <c r="E162" s="529" t="s">
        <v>33</v>
      </c>
    </row>
    <row r="163" spans="1:6" ht="30" x14ac:dyDescent="0.25">
      <c r="A163" s="564" t="s">
        <v>771</v>
      </c>
      <c r="B163" s="533" t="s">
        <v>772</v>
      </c>
      <c r="C163" s="526" t="s">
        <v>44</v>
      </c>
      <c r="D163" s="526" t="s">
        <v>44</v>
      </c>
      <c r="E163" s="529" t="s">
        <v>33</v>
      </c>
      <c r="F163" t="s">
        <v>1393</v>
      </c>
    </row>
    <row r="164" spans="1:6" x14ac:dyDescent="0.25">
      <c r="A164" s="564" t="s">
        <v>1594</v>
      </c>
      <c r="B164" s="533" t="s">
        <v>1595</v>
      </c>
      <c r="C164" s="526" t="s">
        <v>275</v>
      </c>
      <c r="D164" s="526" t="s">
        <v>43</v>
      </c>
      <c r="E164" s="529" t="s">
        <v>33</v>
      </c>
    </row>
    <row r="165" spans="1:6" x14ac:dyDescent="0.25">
      <c r="A165" s="564" t="s">
        <v>1596</v>
      </c>
      <c r="B165" s="533" t="s">
        <v>1597</v>
      </c>
      <c r="C165" s="526" t="s">
        <v>275</v>
      </c>
      <c r="D165" s="526" t="s">
        <v>43</v>
      </c>
      <c r="E165" s="529" t="s">
        <v>33</v>
      </c>
    </row>
    <row r="166" spans="1:6" x14ac:dyDescent="0.25">
      <c r="A166" s="564" t="s">
        <v>1598</v>
      </c>
      <c r="B166" s="533" t="s">
        <v>1599</v>
      </c>
      <c r="C166" s="526" t="s">
        <v>275</v>
      </c>
      <c r="D166" s="526" t="s">
        <v>39</v>
      </c>
      <c r="E166" s="529" t="s">
        <v>33</v>
      </c>
    </row>
    <row r="167" spans="1:6" x14ac:dyDescent="0.25">
      <c r="A167" s="564" t="s">
        <v>1289</v>
      </c>
      <c r="B167" s="533" t="s">
        <v>1290</v>
      </c>
      <c r="C167" s="526" t="s">
        <v>275</v>
      </c>
      <c r="D167" s="526" t="s">
        <v>34</v>
      </c>
      <c r="E167" s="529" t="s">
        <v>33</v>
      </c>
      <c r="F167" t="s">
        <v>1600</v>
      </c>
    </row>
    <row r="168" spans="1:6" x14ac:dyDescent="0.25">
      <c r="A168" s="564" t="s">
        <v>1601</v>
      </c>
      <c r="B168" s="533" t="s">
        <v>1602</v>
      </c>
      <c r="C168" s="526" t="s">
        <v>44</v>
      </c>
      <c r="D168" s="526" t="s">
        <v>44</v>
      </c>
      <c r="E168" s="529" t="s">
        <v>33</v>
      </c>
      <c r="F168" t="s">
        <v>1603</v>
      </c>
    </row>
    <row r="169" spans="1:6" x14ac:dyDescent="0.25">
      <c r="A169" s="564" t="s">
        <v>1278</v>
      </c>
      <c r="B169" s="533" t="s">
        <v>1279</v>
      </c>
      <c r="C169" s="526" t="s">
        <v>275</v>
      </c>
      <c r="D169" s="526" t="s">
        <v>34</v>
      </c>
      <c r="E169" s="529" t="s">
        <v>33</v>
      </c>
      <c r="F169" t="s">
        <v>1470</v>
      </c>
    </row>
    <row r="170" spans="1:6" x14ac:dyDescent="0.25">
      <c r="A170" s="564" t="s">
        <v>1604</v>
      </c>
      <c r="B170" s="533" t="s">
        <v>1605</v>
      </c>
      <c r="C170" s="526" t="s">
        <v>44</v>
      </c>
      <c r="D170" s="526" t="s">
        <v>44</v>
      </c>
      <c r="E170" s="529" t="s">
        <v>33</v>
      </c>
      <c r="F170" t="s">
        <v>1470</v>
      </c>
    </row>
    <row r="171" spans="1:6" x14ac:dyDescent="0.25">
      <c r="A171" s="564" t="s">
        <v>1606</v>
      </c>
      <c r="B171" s="533" t="s">
        <v>1607</v>
      </c>
      <c r="C171" s="526" t="s">
        <v>275</v>
      </c>
      <c r="D171" s="526" t="s">
        <v>43</v>
      </c>
      <c r="E171" s="529" t="s">
        <v>33</v>
      </c>
    </row>
    <row r="172" spans="1:6" x14ac:dyDescent="0.25">
      <c r="A172" s="564" t="s">
        <v>1608</v>
      </c>
      <c r="B172" s="533" t="s">
        <v>1609</v>
      </c>
      <c r="C172" s="526" t="s">
        <v>275</v>
      </c>
      <c r="D172" s="526" t="s">
        <v>43</v>
      </c>
      <c r="E172" s="529" t="s">
        <v>33</v>
      </c>
    </row>
    <row r="173" spans="1:6" x14ac:dyDescent="0.25">
      <c r="A173" s="564" t="s">
        <v>1610</v>
      </c>
      <c r="B173" s="533" t="s">
        <v>1611</v>
      </c>
      <c r="C173" s="526" t="s">
        <v>275</v>
      </c>
      <c r="D173" s="526" t="s">
        <v>43</v>
      </c>
      <c r="E173" s="529" t="s">
        <v>33</v>
      </c>
    </row>
    <row r="174" spans="1:6" x14ac:dyDescent="0.25">
      <c r="A174" s="564" t="s">
        <v>1612</v>
      </c>
      <c r="B174" s="533" t="s">
        <v>1613</v>
      </c>
      <c r="C174" s="526" t="s">
        <v>275</v>
      </c>
      <c r="D174" s="526" t="s">
        <v>43</v>
      </c>
      <c r="E174" s="529" t="s">
        <v>33</v>
      </c>
    </row>
    <row r="175" spans="1:6" x14ac:dyDescent="0.25">
      <c r="A175" s="564" t="s">
        <v>1326</v>
      </c>
      <c r="B175" s="533" t="s">
        <v>1327</v>
      </c>
      <c r="C175" s="526" t="s">
        <v>254</v>
      </c>
      <c r="D175" s="526" t="s">
        <v>34</v>
      </c>
      <c r="E175" s="529" t="s">
        <v>42</v>
      </c>
    </row>
    <row r="176" spans="1:6" x14ac:dyDescent="0.25">
      <c r="A176" s="564" t="s">
        <v>1330</v>
      </c>
      <c r="B176" s="533" t="s">
        <v>1331</v>
      </c>
      <c r="C176" s="526" t="s">
        <v>254</v>
      </c>
      <c r="D176" s="526" t="s">
        <v>34</v>
      </c>
      <c r="E176" s="529" t="s">
        <v>42</v>
      </c>
    </row>
    <row r="177" spans="1:6" x14ac:dyDescent="0.25">
      <c r="A177" s="564" t="s">
        <v>1336</v>
      </c>
      <c r="B177" s="533" t="s">
        <v>1337</v>
      </c>
      <c r="C177" s="526" t="s">
        <v>254</v>
      </c>
      <c r="D177" s="526" t="s">
        <v>34</v>
      </c>
      <c r="E177" s="529" t="s">
        <v>42</v>
      </c>
    </row>
    <row r="178" spans="1:6" x14ac:dyDescent="0.25">
      <c r="A178" s="564" t="s">
        <v>1308</v>
      </c>
      <c r="B178" s="533" t="s">
        <v>1309</v>
      </c>
      <c r="C178" s="526" t="s">
        <v>254</v>
      </c>
      <c r="D178" s="526" t="s">
        <v>34</v>
      </c>
      <c r="E178" s="529" t="s">
        <v>38</v>
      </c>
      <c r="F178" t="s">
        <v>1470</v>
      </c>
    </row>
    <row r="179" spans="1:6" x14ac:dyDescent="0.25">
      <c r="A179" s="564" t="s">
        <v>1614</v>
      </c>
      <c r="B179" s="533" t="s">
        <v>1615</v>
      </c>
      <c r="C179" s="526" t="s">
        <v>275</v>
      </c>
      <c r="D179" s="526" t="s">
        <v>43</v>
      </c>
      <c r="E179" s="529" t="s">
        <v>33</v>
      </c>
    </row>
    <row r="180" spans="1:6" x14ac:dyDescent="0.25">
      <c r="A180" s="564" t="s">
        <v>1616</v>
      </c>
      <c r="B180" s="533" t="s">
        <v>1617</v>
      </c>
      <c r="C180" s="526" t="s">
        <v>275</v>
      </c>
      <c r="D180" s="526" t="s">
        <v>43</v>
      </c>
      <c r="E180" s="529" t="s">
        <v>33</v>
      </c>
    </row>
    <row r="181" spans="1:6" x14ac:dyDescent="0.25">
      <c r="A181" s="564" t="s">
        <v>1618</v>
      </c>
      <c r="B181" s="533" t="s">
        <v>1619</v>
      </c>
      <c r="C181" s="526" t="s">
        <v>275</v>
      </c>
      <c r="D181" s="526" t="s">
        <v>43</v>
      </c>
      <c r="E181" s="529" t="s">
        <v>33</v>
      </c>
    </row>
    <row r="182" spans="1:6" x14ac:dyDescent="0.25">
      <c r="A182" s="564" t="s">
        <v>1620</v>
      </c>
      <c r="B182" s="533" t="s">
        <v>1621</v>
      </c>
      <c r="C182" s="526" t="s">
        <v>44</v>
      </c>
      <c r="D182" s="526" t="s">
        <v>44</v>
      </c>
      <c r="E182" s="529" t="s">
        <v>33</v>
      </c>
    </row>
    <row r="183" spans="1:6" x14ac:dyDescent="0.25">
      <c r="A183" s="564" t="s">
        <v>1622</v>
      </c>
      <c r="B183" s="533" t="s">
        <v>1623</v>
      </c>
      <c r="C183" s="526" t="s">
        <v>275</v>
      </c>
      <c r="D183" s="526" t="s">
        <v>43</v>
      </c>
      <c r="E183" s="529" t="s">
        <v>33</v>
      </c>
    </row>
    <row r="184" spans="1:6" x14ac:dyDescent="0.25">
      <c r="A184" s="564" t="s">
        <v>1624</v>
      </c>
      <c r="B184" s="533" t="s">
        <v>1625</v>
      </c>
      <c r="C184" s="526" t="s">
        <v>275</v>
      </c>
      <c r="D184" s="526" t="s">
        <v>34</v>
      </c>
      <c r="E184" s="529" t="s">
        <v>33</v>
      </c>
    </row>
    <row r="185" spans="1:6" x14ac:dyDescent="0.25">
      <c r="A185" s="564" t="s">
        <v>1352</v>
      </c>
      <c r="B185" s="533" t="s">
        <v>1353</v>
      </c>
      <c r="C185" s="526" t="s">
        <v>275</v>
      </c>
      <c r="D185" s="526" t="s">
        <v>34</v>
      </c>
      <c r="E185" s="529" t="s">
        <v>33</v>
      </c>
      <c r="F185" t="s">
        <v>1275</v>
      </c>
    </row>
    <row r="186" spans="1:6" x14ac:dyDescent="0.25">
      <c r="A186" s="564"/>
      <c r="B186" s="533"/>
      <c r="C186" s="526"/>
      <c r="D186" s="526"/>
      <c r="E186" s="529"/>
    </row>
    <row r="187" spans="1:6" x14ac:dyDescent="0.25">
      <c r="A187" s="564"/>
      <c r="B187" s="533"/>
      <c r="C187" s="526"/>
      <c r="D187" s="526"/>
      <c r="E187" s="529"/>
    </row>
    <row r="188" spans="1:6" x14ac:dyDescent="0.25">
      <c r="A188" s="564"/>
      <c r="B188" s="533"/>
      <c r="C188" s="526"/>
      <c r="D188" s="526"/>
      <c r="E188" s="529"/>
    </row>
    <row r="189" spans="1:6" x14ac:dyDescent="0.25">
      <c r="A189" s="564"/>
      <c r="B189" s="533"/>
      <c r="C189" s="526"/>
      <c r="D189" s="526"/>
      <c r="E189" s="529"/>
    </row>
    <row r="190" spans="1:6" x14ac:dyDescent="0.25">
      <c r="A190" s="564"/>
      <c r="B190" s="533"/>
      <c r="C190" s="526"/>
      <c r="D190" s="526"/>
      <c r="E190" s="529"/>
    </row>
    <row r="191" spans="1:6" x14ac:dyDescent="0.25">
      <c r="A191" s="564"/>
      <c r="B191" s="533"/>
      <c r="C191" s="526"/>
      <c r="D191" s="526"/>
      <c r="E191" s="529"/>
    </row>
    <row r="192" spans="1:6" x14ac:dyDescent="0.25">
      <c r="A192" s="564"/>
      <c r="B192" s="533"/>
      <c r="C192" s="526"/>
      <c r="D192" s="526"/>
      <c r="E192" s="529"/>
    </row>
    <row r="193" spans="1:5" x14ac:dyDescent="0.25">
      <c r="A193" s="564"/>
      <c r="B193" s="533"/>
      <c r="C193" s="526"/>
      <c r="D193" s="526"/>
      <c r="E193" s="529"/>
    </row>
    <row r="194" spans="1:5" x14ac:dyDescent="0.25">
      <c r="A194" s="564"/>
      <c r="B194" s="533"/>
      <c r="C194" s="526"/>
      <c r="D194" s="526"/>
      <c r="E194" s="529"/>
    </row>
    <row r="195" spans="1:5" x14ac:dyDescent="0.25">
      <c r="A195" s="564"/>
      <c r="B195" s="533"/>
      <c r="C195" s="526"/>
      <c r="D195" s="526"/>
      <c r="E195" s="529"/>
    </row>
    <row r="196" spans="1:5" x14ac:dyDescent="0.25">
      <c r="A196" s="564"/>
      <c r="B196" s="533"/>
      <c r="C196" s="526"/>
      <c r="D196" s="526"/>
      <c r="E196" s="529"/>
    </row>
    <row r="197" spans="1:5" x14ac:dyDescent="0.25">
      <c r="A197" s="564"/>
      <c r="B197" s="533"/>
      <c r="C197" s="526"/>
      <c r="D197" s="526"/>
      <c r="E197" s="529"/>
    </row>
    <row r="198" spans="1:5" x14ac:dyDescent="0.25">
      <c r="A198" s="564"/>
      <c r="B198" s="533"/>
      <c r="C198" s="526"/>
      <c r="D198" s="526"/>
      <c r="E198" s="529"/>
    </row>
    <row r="199" spans="1:5" x14ac:dyDescent="0.25">
      <c r="A199" s="564"/>
      <c r="B199" s="533"/>
      <c r="C199" s="526"/>
      <c r="D199" s="526"/>
      <c r="E199" s="529"/>
    </row>
    <row r="200" spans="1:5" x14ac:dyDescent="0.25">
      <c r="A200" s="564"/>
      <c r="B200" s="533"/>
      <c r="C200" s="526"/>
      <c r="D200" s="526"/>
      <c r="E200" s="529"/>
    </row>
    <row r="201" spans="1:5" x14ac:dyDescent="0.25">
      <c r="A201" s="564"/>
      <c r="B201" s="533"/>
      <c r="C201" s="526"/>
      <c r="D201" s="526"/>
      <c r="E201" s="529"/>
    </row>
    <row r="202" spans="1:5" x14ac:dyDescent="0.25">
      <c r="A202" s="564"/>
      <c r="B202" s="533"/>
      <c r="C202" s="526"/>
      <c r="D202" s="526"/>
      <c r="E202" s="529"/>
    </row>
    <row r="203" spans="1:5" x14ac:dyDescent="0.25">
      <c r="A203" s="564"/>
      <c r="B203" s="533"/>
      <c r="C203" s="526"/>
      <c r="D203" s="526"/>
      <c r="E203" s="529"/>
    </row>
    <row r="204" spans="1:5" x14ac:dyDescent="0.25">
      <c r="A204" s="564"/>
      <c r="B204" s="533"/>
      <c r="C204" s="526"/>
      <c r="D204" s="526"/>
      <c r="E204" s="529"/>
    </row>
    <row r="205" spans="1:5" x14ac:dyDescent="0.25">
      <c r="A205" s="564"/>
      <c r="B205" s="533"/>
      <c r="C205" s="526"/>
      <c r="D205" s="526"/>
      <c r="E205" s="529"/>
    </row>
    <row r="206" spans="1:5" x14ac:dyDescent="0.25">
      <c r="A206" s="564"/>
      <c r="B206" s="533"/>
      <c r="C206" s="526"/>
      <c r="D206" s="526"/>
      <c r="E206" s="529"/>
    </row>
    <row r="207" spans="1:5" x14ac:dyDescent="0.25">
      <c r="A207" s="564"/>
      <c r="B207" s="533"/>
      <c r="C207" s="526"/>
      <c r="D207" s="526"/>
      <c r="E207" s="529"/>
    </row>
    <row r="208" spans="1:5" x14ac:dyDescent="0.25">
      <c r="A208" s="564"/>
      <c r="B208" s="533"/>
      <c r="C208" s="526"/>
      <c r="D208" s="526"/>
      <c r="E208" s="529"/>
    </row>
    <row r="209" spans="1:5" x14ac:dyDescent="0.25">
      <c r="A209" s="564"/>
      <c r="B209" s="533"/>
      <c r="C209" s="526"/>
      <c r="D209" s="526"/>
      <c r="E209" s="529"/>
    </row>
    <row r="210" spans="1:5" x14ac:dyDescent="0.25">
      <c r="A210" s="564"/>
      <c r="B210" s="533"/>
      <c r="C210" s="526"/>
      <c r="D210" s="526"/>
      <c r="E210" s="529"/>
    </row>
    <row r="211" spans="1:5" x14ac:dyDescent="0.25">
      <c r="A211" s="564"/>
      <c r="B211" s="533"/>
      <c r="C211" s="526"/>
      <c r="D211" s="526"/>
      <c r="E211" s="529"/>
    </row>
    <row r="212" spans="1:5" x14ac:dyDescent="0.25">
      <c r="A212" s="564"/>
      <c r="B212" s="533"/>
      <c r="C212" s="526"/>
      <c r="D212" s="526"/>
      <c r="E212" s="529"/>
    </row>
    <row r="213" spans="1:5" x14ac:dyDescent="0.25">
      <c r="A213" s="564"/>
      <c r="B213" s="533"/>
      <c r="C213" s="526"/>
      <c r="D213" s="526"/>
      <c r="E213" s="529"/>
    </row>
    <row r="214" spans="1:5" x14ac:dyDescent="0.25">
      <c r="A214" s="564"/>
      <c r="B214" s="533"/>
      <c r="C214" s="526"/>
      <c r="D214" s="526"/>
      <c r="E214" s="529"/>
    </row>
    <row r="215" spans="1:5" x14ac:dyDescent="0.25">
      <c r="A215" s="564"/>
      <c r="B215" s="533"/>
      <c r="C215" s="526"/>
      <c r="D215" s="526"/>
      <c r="E215" s="529"/>
    </row>
    <row r="216" spans="1:5" x14ac:dyDescent="0.25">
      <c r="A216" s="564"/>
      <c r="B216" s="533"/>
      <c r="C216" s="526"/>
      <c r="D216" s="526"/>
      <c r="E216" s="529"/>
    </row>
    <row r="217" spans="1:5" x14ac:dyDescent="0.25">
      <c r="A217" s="564"/>
      <c r="B217" s="533"/>
      <c r="C217" s="526"/>
      <c r="D217" s="526"/>
      <c r="E217" s="529"/>
    </row>
    <row r="218" spans="1:5" x14ac:dyDescent="0.25">
      <c r="A218" s="564"/>
      <c r="B218" s="533"/>
      <c r="C218" s="526"/>
      <c r="D218" s="526"/>
      <c r="E218" s="529"/>
    </row>
    <row r="219" spans="1:5" x14ac:dyDescent="0.25">
      <c r="A219" s="564"/>
      <c r="B219" s="533"/>
      <c r="C219" s="526"/>
      <c r="D219" s="526"/>
      <c r="E219" s="529"/>
    </row>
    <row r="220" spans="1:5" x14ac:dyDescent="0.25">
      <c r="A220" s="564"/>
      <c r="B220" s="533"/>
      <c r="C220" s="526"/>
      <c r="D220" s="526"/>
      <c r="E220" s="529"/>
    </row>
    <row r="221" spans="1:5" x14ac:dyDescent="0.25">
      <c r="A221" s="564"/>
      <c r="B221" s="533"/>
      <c r="C221" s="526"/>
      <c r="D221" s="526"/>
      <c r="E221" s="529"/>
    </row>
    <row r="222" spans="1:5" x14ac:dyDescent="0.25">
      <c r="A222" s="564"/>
      <c r="B222" s="533"/>
      <c r="C222" s="526"/>
      <c r="D222" s="526"/>
      <c r="E222" s="529"/>
    </row>
    <row r="223" spans="1:5" x14ac:dyDescent="0.25">
      <c r="A223" s="564"/>
      <c r="B223" s="533"/>
      <c r="C223" s="526"/>
      <c r="D223" s="526"/>
      <c r="E223" s="529"/>
    </row>
    <row r="224" spans="1:5" x14ac:dyDescent="0.25">
      <c r="A224" s="564"/>
      <c r="B224" s="533"/>
      <c r="C224" s="526"/>
      <c r="D224" s="526"/>
      <c r="E224" s="529"/>
    </row>
    <row r="225" spans="1:5" x14ac:dyDescent="0.25">
      <c r="A225" s="564"/>
      <c r="B225" s="533"/>
      <c r="C225" s="526"/>
      <c r="D225" s="526"/>
      <c r="E225" s="529"/>
    </row>
    <row r="226" spans="1:5" x14ac:dyDescent="0.25">
      <c r="A226" s="564"/>
      <c r="B226" s="533"/>
      <c r="C226" s="526"/>
      <c r="D226" s="526"/>
      <c r="E226" s="529"/>
    </row>
    <row r="227" spans="1:5" x14ac:dyDescent="0.25">
      <c r="A227" s="564"/>
      <c r="B227" s="533"/>
      <c r="C227" s="526"/>
      <c r="D227" s="526"/>
      <c r="E227" s="529"/>
    </row>
    <row r="228" spans="1:5" x14ac:dyDescent="0.25">
      <c r="A228" s="564"/>
      <c r="B228" s="533"/>
      <c r="C228" s="526"/>
      <c r="D228" s="526"/>
      <c r="E228" s="529"/>
    </row>
    <row r="229" spans="1:5" x14ac:dyDescent="0.25">
      <c r="A229" s="564"/>
      <c r="B229" s="533"/>
      <c r="C229" s="526"/>
      <c r="D229" s="526"/>
      <c r="E229" s="529"/>
    </row>
    <row r="230" spans="1:5" x14ac:dyDescent="0.25">
      <c r="A230" s="564"/>
      <c r="B230" s="533"/>
      <c r="C230" s="526"/>
      <c r="D230" s="526"/>
      <c r="E230" s="529"/>
    </row>
    <row r="231" spans="1:5" x14ac:dyDescent="0.25">
      <c r="A231" s="564"/>
      <c r="B231" s="533"/>
      <c r="C231" s="526"/>
      <c r="D231" s="526"/>
      <c r="E231" s="529"/>
    </row>
    <row r="232" spans="1:5" x14ac:dyDescent="0.25">
      <c r="A232" s="564"/>
      <c r="B232" s="533"/>
      <c r="C232" s="526"/>
      <c r="D232" s="526"/>
      <c r="E232" s="529"/>
    </row>
    <row r="233" spans="1:5" x14ac:dyDescent="0.25">
      <c r="A233" s="564"/>
      <c r="B233" s="533"/>
      <c r="C233" s="526"/>
      <c r="D233" s="526"/>
      <c r="E233" s="529"/>
    </row>
    <row r="234" spans="1:5" x14ac:dyDescent="0.25">
      <c r="A234" s="564"/>
      <c r="B234" s="533"/>
      <c r="C234" s="526"/>
      <c r="D234" s="526"/>
      <c r="E234" s="529"/>
    </row>
    <row r="235" spans="1:5" x14ac:dyDescent="0.25">
      <c r="A235" s="564"/>
      <c r="B235" s="533"/>
      <c r="C235" s="526"/>
      <c r="D235" s="526"/>
      <c r="E235" s="529"/>
    </row>
    <row r="236" spans="1:5" x14ac:dyDescent="0.25">
      <c r="A236" s="564"/>
      <c r="B236" s="533"/>
      <c r="C236" s="526"/>
      <c r="D236" s="526"/>
      <c r="E236" s="529"/>
    </row>
    <row r="237" spans="1:5" x14ac:dyDescent="0.25">
      <c r="A237" s="564"/>
      <c r="B237" s="533"/>
      <c r="C237" s="526"/>
      <c r="D237" s="526"/>
      <c r="E237" s="529"/>
    </row>
    <row r="238" spans="1:5" x14ac:dyDescent="0.25">
      <c r="A238" s="564"/>
      <c r="B238" s="533"/>
      <c r="C238" s="526"/>
      <c r="D238" s="526"/>
      <c r="E238" s="529"/>
    </row>
    <row r="239" spans="1:5" x14ac:dyDescent="0.25">
      <c r="A239" s="564"/>
      <c r="B239" s="533"/>
      <c r="C239" s="526"/>
      <c r="D239" s="526"/>
      <c r="E239" s="529"/>
    </row>
    <row r="240" spans="1:5" x14ac:dyDescent="0.25">
      <c r="A240" s="564"/>
      <c r="B240" s="533"/>
      <c r="C240" s="526"/>
      <c r="D240" s="526"/>
      <c r="E240" s="529"/>
    </row>
    <row r="241" spans="1:5" x14ac:dyDescent="0.25">
      <c r="A241" s="564"/>
      <c r="B241" s="533"/>
      <c r="C241" s="526"/>
      <c r="D241" s="526"/>
      <c r="E241" s="529"/>
    </row>
    <row r="242" spans="1:5" x14ac:dyDescent="0.25">
      <c r="A242" s="564"/>
      <c r="B242" s="533"/>
      <c r="C242" s="526"/>
      <c r="D242" s="526"/>
      <c r="E242" s="529"/>
    </row>
    <row r="243" spans="1:5" x14ac:dyDescent="0.25">
      <c r="A243" s="564"/>
      <c r="B243" s="533"/>
      <c r="C243" s="526"/>
      <c r="D243" s="526"/>
      <c r="E243" s="529"/>
    </row>
    <row r="244" spans="1:5" x14ac:dyDescent="0.25">
      <c r="A244" s="564"/>
      <c r="B244" s="533"/>
      <c r="C244" s="526"/>
      <c r="D244" s="526"/>
      <c r="E244" s="529"/>
    </row>
    <row r="245" spans="1:5" x14ac:dyDescent="0.25">
      <c r="A245" s="564"/>
      <c r="B245" s="533"/>
      <c r="C245" s="526"/>
      <c r="D245" s="526"/>
      <c r="E245" s="529"/>
    </row>
    <row r="246" spans="1:5" x14ac:dyDescent="0.25">
      <c r="A246" s="564"/>
      <c r="B246" s="533"/>
      <c r="C246" s="526"/>
      <c r="D246" s="526"/>
      <c r="E246" s="529"/>
    </row>
    <row r="247" spans="1:5" x14ac:dyDescent="0.25">
      <c r="A247" s="564"/>
      <c r="B247" s="533"/>
      <c r="C247" s="526"/>
      <c r="D247" s="526"/>
      <c r="E247" s="529"/>
    </row>
    <row r="248" spans="1:5" x14ac:dyDescent="0.25">
      <c r="A248" s="564"/>
      <c r="B248" s="533"/>
      <c r="C248" s="526"/>
      <c r="D248" s="526"/>
      <c r="E248" s="529"/>
    </row>
    <row r="249" spans="1:5" x14ac:dyDescent="0.25">
      <c r="A249" s="564"/>
      <c r="B249" s="533"/>
      <c r="C249" s="526"/>
      <c r="D249" s="526"/>
      <c r="E249" s="529"/>
    </row>
    <row r="250" spans="1:5" x14ac:dyDescent="0.25">
      <c r="A250" s="564"/>
      <c r="B250" s="533"/>
      <c r="C250" s="526"/>
      <c r="D250" s="526"/>
      <c r="E250" s="529"/>
    </row>
    <row r="251" spans="1:5" x14ac:dyDescent="0.25">
      <c r="A251" s="564"/>
      <c r="B251" s="533"/>
      <c r="C251" s="526"/>
      <c r="D251" s="526"/>
      <c r="E251" s="529"/>
    </row>
    <row r="252" spans="1:5" x14ac:dyDescent="0.25">
      <c r="A252" s="564"/>
      <c r="B252" s="533"/>
      <c r="C252" s="526"/>
      <c r="D252" s="526"/>
      <c r="E252" s="529"/>
    </row>
    <row r="253" spans="1:5" x14ac:dyDescent="0.25">
      <c r="A253" s="564"/>
      <c r="B253" s="533"/>
      <c r="C253" s="526"/>
      <c r="D253" s="526"/>
      <c r="E253" s="529"/>
    </row>
    <row r="254" spans="1:5" x14ac:dyDescent="0.25">
      <c r="A254" s="564"/>
      <c r="B254" s="533"/>
      <c r="C254" s="526"/>
      <c r="D254" s="526"/>
      <c r="E254" s="529"/>
    </row>
    <row r="255" spans="1:5" x14ac:dyDescent="0.25">
      <c r="A255" s="564"/>
      <c r="B255" s="533"/>
      <c r="C255" s="526"/>
      <c r="D255" s="526"/>
      <c r="E255" s="529"/>
    </row>
    <row r="256" spans="1:5" x14ac:dyDescent="0.25">
      <c r="A256" s="564"/>
      <c r="B256" s="533"/>
      <c r="C256" s="526"/>
      <c r="D256" s="526"/>
      <c r="E256" s="529"/>
    </row>
    <row r="257" spans="1:5" x14ac:dyDescent="0.25">
      <c r="A257" s="564"/>
      <c r="B257" s="533"/>
      <c r="C257" s="526"/>
      <c r="D257" s="526"/>
      <c r="E257" s="529"/>
    </row>
    <row r="258" spans="1:5" x14ac:dyDescent="0.25">
      <c r="A258" s="564"/>
      <c r="B258" s="533"/>
      <c r="C258" s="526"/>
      <c r="D258" s="526"/>
      <c r="E258" s="529"/>
    </row>
    <row r="259" spans="1:5" x14ac:dyDescent="0.25">
      <c r="A259" s="564"/>
      <c r="B259" s="533"/>
      <c r="C259" s="526"/>
      <c r="D259" s="526"/>
      <c r="E259" s="529"/>
    </row>
    <row r="260" spans="1:5" x14ac:dyDescent="0.25">
      <c r="A260" s="564"/>
      <c r="B260" s="533"/>
      <c r="C260" s="526"/>
      <c r="D260" s="526"/>
      <c r="E260" s="529"/>
    </row>
    <row r="261" spans="1:5" x14ac:dyDescent="0.25">
      <c r="A261" s="564"/>
      <c r="B261" s="533"/>
      <c r="C261" s="526"/>
      <c r="D261" s="526"/>
      <c r="E261" s="529"/>
    </row>
    <row r="262" spans="1:5" x14ac:dyDescent="0.25">
      <c r="A262" s="564"/>
      <c r="B262" s="533"/>
      <c r="C262" s="526"/>
      <c r="D262" s="526"/>
      <c r="E262" s="529"/>
    </row>
    <row r="263" spans="1:5" x14ac:dyDescent="0.25">
      <c r="A263" s="564"/>
      <c r="B263" s="533"/>
      <c r="C263" s="526"/>
      <c r="D263" s="526"/>
      <c r="E263" s="529"/>
    </row>
    <row r="264" spans="1:5" x14ac:dyDescent="0.25">
      <c r="A264" s="564"/>
      <c r="B264" s="533"/>
      <c r="C264" s="526"/>
      <c r="D264" s="526"/>
      <c r="E264" s="529"/>
    </row>
    <row r="265" spans="1:5" x14ac:dyDescent="0.25">
      <c r="A265" s="564"/>
      <c r="B265" s="533"/>
      <c r="C265" s="526"/>
      <c r="D265" s="526"/>
      <c r="E265" s="529"/>
    </row>
    <row r="266" spans="1:5" x14ac:dyDescent="0.25">
      <c r="A266" s="564"/>
      <c r="B266" s="533"/>
      <c r="C266" s="526"/>
      <c r="D266" s="526"/>
      <c r="E266" s="529"/>
    </row>
    <row r="267" spans="1:5" x14ac:dyDescent="0.25">
      <c r="A267" s="564"/>
      <c r="B267" s="533"/>
      <c r="C267" s="526"/>
      <c r="D267" s="526"/>
      <c r="E267" s="529"/>
    </row>
    <row r="268" spans="1:5" x14ac:dyDescent="0.25">
      <c r="A268" s="564"/>
      <c r="B268" s="533"/>
      <c r="C268" s="526"/>
      <c r="D268" s="526"/>
      <c r="E268" s="529"/>
    </row>
    <row r="269" spans="1:5" x14ac:dyDescent="0.25">
      <c r="A269" s="564"/>
      <c r="B269" s="533"/>
      <c r="C269" s="526"/>
      <c r="D269" s="526"/>
      <c r="E269" s="529"/>
    </row>
    <row r="270" spans="1:5" x14ac:dyDescent="0.25">
      <c r="A270" s="564"/>
      <c r="B270" s="533"/>
      <c r="C270" s="526"/>
      <c r="D270" s="526"/>
      <c r="E270" s="529"/>
    </row>
    <row r="271" spans="1:5" x14ac:dyDescent="0.25">
      <c r="A271" s="564"/>
      <c r="B271" s="533"/>
      <c r="C271" s="526"/>
      <c r="D271" s="526"/>
      <c r="E271" s="529"/>
    </row>
    <row r="272" spans="1:5" x14ac:dyDescent="0.25">
      <c r="A272" s="564"/>
      <c r="B272" s="533"/>
      <c r="C272" s="526"/>
      <c r="D272" s="526"/>
      <c r="E272" s="529"/>
    </row>
    <row r="273" spans="1:5" x14ac:dyDescent="0.25">
      <c r="A273" s="564"/>
      <c r="B273" s="533"/>
      <c r="C273" s="526"/>
      <c r="D273" s="526"/>
      <c r="E273" s="529"/>
    </row>
    <row r="274" spans="1:5" x14ac:dyDescent="0.25">
      <c r="A274" s="564"/>
      <c r="B274" s="533"/>
      <c r="C274" s="526"/>
      <c r="D274" s="526"/>
      <c r="E274" s="529"/>
    </row>
    <row r="275" spans="1:5" x14ac:dyDescent="0.25">
      <c r="A275" s="564"/>
      <c r="B275" s="533"/>
      <c r="C275" s="526"/>
      <c r="D275" s="526"/>
      <c r="E275" s="529"/>
    </row>
    <row r="276" spans="1:5" x14ac:dyDescent="0.25">
      <c r="A276" s="564"/>
      <c r="B276" s="533"/>
      <c r="C276" s="526"/>
      <c r="D276" s="526"/>
      <c r="E276" s="529"/>
    </row>
    <row r="277" spans="1:5" x14ac:dyDescent="0.25">
      <c r="A277" s="564"/>
      <c r="B277" s="533"/>
      <c r="C277" s="526"/>
      <c r="D277" s="526"/>
      <c r="E277" s="529"/>
    </row>
    <row r="278" spans="1:5" x14ac:dyDescent="0.25">
      <c r="A278" s="564"/>
      <c r="B278" s="533"/>
      <c r="C278" s="526"/>
      <c r="D278" s="526"/>
      <c r="E278" s="529"/>
    </row>
    <row r="279" spans="1:5" x14ac:dyDescent="0.25">
      <c r="A279" s="564"/>
      <c r="B279" s="533"/>
      <c r="C279" s="526"/>
      <c r="D279" s="526"/>
      <c r="E279" s="529"/>
    </row>
    <row r="280" spans="1:5" x14ac:dyDescent="0.25">
      <c r="A280" s="564"/>
      <c r="B280" s="533"/>
      <c r="C280" s="526"/>
      <c r="D280" s="526"/>
      <c r="E280" s="529"/>
    </row>
    <row r="281" spans="1:5" x14ac:dyDescent="0.25">
      <c r="A281" s="564"/>
      <c r="B281" s="533"/>
      <c r="C281" s="526"/>
      <c r="D281" s="526"/>
      <c r="E281" s="529"/>
    </row>
    <row r="282" spans="1:5" x14ac:dyDescent="0.25">
      <c r="A282" s="564"/>
      <c r="B282" s="533"/>
      <c r="C282" s="526"/>
      <c r="D282" s="526"/>
      <c r="E282" s="529"/>
    </row>
    <row r="283" spans="1:5" x14ac:dyDescent="0.25">
      <c r="A283" s="564"/>
      <c r="B283" s="533"/>
      <c r="C283" s="526"/>
      <c r="D283" s="526"/>
      <c r="E283" s="529"/>
    </row>
    <row r="284" spans="1:5" x14ac:dyDescent="0.25">
      <c r="A284" s="564"/>
      <c r="B284" s="533"/>
      <c r="C284" s="526"/>
      <c r="D284" s="526"/>
      <c r="E284" s="529"/>
    </row>
    <row r="285" spans="1:5" x14ac:dyDescent="0.25">
      <c r="A285" s="564"/>
      <c r="B285" s="533"/>
      <c r="C285" s="526"/>
      <c r="D285" s="526"/>
      <c r="E285" s="529"/>
    </row>
    <row r="286" spans="1:5" x14ac:dyDescent="0.25">
      <c r="A286" s="564"/>
      <c r="B286" s="533"/>
      <c r="C286" s="526"/>
      <c r="D286" s="526"/>
      <c r="E286" s="529"/>
    </row>
    <row r="287" spans="1:5" x14ac:dyDescent="0.25">
      <c r="A287" s="564"/>
      <c r="B287" s="533"/>
      <c r="C287" s="526"/>
      <c r="D287" s="526"/>
      <c r="E287" s="529"/>
    </row>
    <row r="288" spans="1:5" x14ac:dyDescent="0.25">
      <c r="A288" s="564"/>
      <c r="B288" s="533"/>
      <c r="C288" s="526"/>
      <c r="D288" s="526"/>
      <c r="E288" s="529"/>
    </row>
    <row r="289" spans="1:5" x14ac:dyDescent="0.25">
      <c r="A289" s="564"/>
      <c r="B289" s="533"/>
      <c r="C289" s="526"/>
      <c r="D289" s="526"/>
      <c r="E289" s="529"/>
    </row>
    <row r="290" spans="1:5" x14ac:dyDescent="0.25">
      <c r="A290" s="564"/>
      <c r="B290" s="533"/>
      <c r="C290" s="526"/>
      <c r="D290" s="526"/>
      <c r="E290" s="529"/>
    </row>
    <row r="291" spans="1:5" x14ac:dyDescent="0.25">
      <c r="A291" s="564"/>
      <c r="B291" s="533"/>
      <c r="C291" s="526"/>
      <c r="D291" s="526"/>
      <c r="E291" s="529"/>
    </row>
    <row r="292" spans="1:5" x14ac:dyDescent="0.25">
      <c r="A292" s="564"/>
      <c r="B292" s="533"/>
      <c r="C292" s="526"/>
      <c r="D292" s="526"/>
      <c r="E292" s="529"/>
    </row>
    <row r="293" spans="1:5" x14ac:dyDescent="0.25">
      <c r="A293" s="564"/>
      <c r="B293" s="533"/>
      <c r="C293" s="526"/>
      <c r="D293" s="526"/>
      <c r="E293" s="529"/>
    </row>
    <row r="294" spans="1:5" x14ac:dyDescent="0.25">
      <c r="A294" s="569"/>
      <c r="B294" s="533"/>
      <c r="C294" s="526"/>
      <c r="D294" s="526"/>
      <c r="E294" s="529"/>
    </row>
    <row r="295" spans="1:5" x14ac:dyDescent="0.25">
      <c r="A295" s="565"/>
      <c r="B295" s="566"/>
      <c r="C295" s="567"/>
      <c r="D295" s="567"/>
      <c r="E295" s="568"/>
    </row>
    <row r="296" spans="1:5" x14ac:dyDescent="0.25">
      <c r="A296" s="320"/>
      <c r="B296" s="321"/>
      <c r="C296" s="526"/>
      <c r="D296" s="526"/>
      <c r="E296" s="529"/>
    </row>
    <row r="297" spans="1:5" x14ac:dyDescent="0.25">
      <c r="A297" s="320"/>
      <c r="B297" s="321"/>
      <c r="C297" s="526"/>
      <c r="D297" s="526"/>
      <c r="E297" s="529"/>
    </row>
    <row r="298" spans="1:5" x14ac:dyDescent="0.25">
      <c r="A298" s="320"/>
      <c r="B298" s="321"/>
      <c r="C298" s="526"/>
      <c r="D298" s="526"/>
      <c r="E298" s="529"/>
    </row>
    <row r="299" spans="1:5" x14ac:dyDescent="0.25">
      <c r="A299" s="320"/>
      <c r="B299" s="321"/>
      <c r="C299" s="526"/>
      <c r="D299" s="526"/>
      <c r="E299" s="529"/>
    </row>
    <row r="300" spans="1:5" x14ac:dyDescent="0.25">
      <c r="A300" s="320"/>
      <c r="B300" s="321"/>
      <c r="C300" s="526"/>
      <c r="D300" s="526"/>
      <c r="E300" s="529"/>
    </row>
    <row r="301" spans="1:5" x14ac:dyDescent="0.25">
      <c r="A301" s="320"/>
      <c r="B301" s="321"/>
      <c r="C301" s="526"/>
      <c r="D301" s="526"/>
      <c r="E301" s="529"/>
    </row>
    <row r="302" spans="1:5" x14ac:dyDescent="0.25">
      <c r="A302" s="320"/>
      <c r="B302" s="321"/>
      <c r="C302" s="526"/>
      <c r="D302" s="526"/>
      <c r="E302" s="529"/>
    </row>
    <row r="303" spans="1:5" x14ac:dyDescent="0.25">
      <c r="A303" s="320"/>
      <c r="B303" s="321"/>
      <c r="C303" s="526"/>
      <c r="D303" s="526"/>
      <c r="E303" s="529"/>
    </row>
    <row r="304" spans="1:5" x14ac:dyDescent="0.25">
      <c r="A304" s="320"/>
      <c r="B304" s="321"/>
      <c r="C304" s="526"/>
      <c r="D304" s="526"/>
      <c r="E304" s="529"/>
    </row>
    <row r="305" spans="1:5" ht="15.75" thickBot="1" x14ac:dyDescent="0.3">
      <c r="A305" s="322"/>
      <c r="B305" s="323"/>
      <c r="C305" s="527"/>
      <c r="D305" s="527"/>
      <c r="E305" s="530"/>
    </row>
  </sheetData>
  <autoFilter ref="A2:E305"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D3:D305</xm:sqref>
        </x14:dataValidation>
        <x14:dataValidation type="list" allowBlank="1" showInputMessage="1" showErrorMessage="1" xr:uid="{AA1AC074-A7B7-4C8D-9132-118B458773B2}">
          <x14:formula1>
            <xm:f>'List Options'!$G$1:$G$3</xm:f>
          </x14:formula1>
          <xm:sqref>E3:E305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6" activePane="bottomRight" state="frozen"/>
      <selection pane="topRight" activeCell="B1" sqref="B1"/>
      <selection pane="bottomLeft" activeCell="A4" sqref="A4"/>
      <selection pane="bottomRight" activeCell="G14" sqref="G14"/>
    </sheetView>
  </sheetViews>
  <sheetFormatPr defaultColWidth="8.85546875" defaultRowHeight="15" x14ac:dyDescent="0.25"/>
  <cols>
    <col min="1" max="1" width="27.7109375" customWidth="1"/>
    <col min="2" max="2" width="15.7109375" bestFit="1" customWidth="1"/>
    <col min="3" max="3" width="27.85546875" bestFit="1" customWidth="1"/>
    <col min="4" max="4" width="6" bestFit="1" customWidth="1"/>
    <col min="5" max="5" width="14.42578125" bestFit="1" customWidth="1"/>
    <col min="6" max="6" width="15.140625" bestFit="1" customWidth="1"/>
    <col min="7" max="7" width="9.28515625" customWidth="1"/>
    <col min="8" max="8" width="5" bestFit="1" customWidth="1"/>
    <col min="9" max="10" width="9.140625" customWidth="1"/>
    <col min="11" max="11" width="9.140625" hidden="1" customWidth="1"/>
    <col min="12" max="13" width="11.28515625" customWidth="1"/>
    <col min="14" max="14" width="11.42578125" customWidth="1"/>
    <col min="15" max="15" width="9.28515625" customWidth="1"/>
    <col min="20" max="21" width="11.28515625" bestFit="1" customWidth="1"/>
    <col min="22" max="22" width="11.42578125" bestFit="1" customWidth="1"/>
  </cols>
  <sheetData>
    <row r="1" spans="1:22" ht="39" customHeight="1" thickBot="1" x14ac:dyDescent="0.3">
      <c r="A1" s="737" t="s">
        <v>1626</v>
      </c>
      <c r="B1" s="738"/>
      <c r="C1" s="738"/>
      <c r="D1" s="738"/>
      <c r="E1" s="738"/>
      <c r="F1" s="738"/>
      <c r="G1" s="738"/>
      <c r="H1" s="738"/>
      <c r="I1" s="738"/>
      <c r="J1" s="738"/>
      <c r="K1" s="738"/>
      <c r="L1" s="738"/>
      <c r="M1" s="738"/>
      <c r="N1" s="738"/>
      <c r="O1" s="738"/>
      <c r="P1" s="738"/>
      <c r="Q1" s="738"/>
      <c r="R1" s="738"/>
      <c r="S1" s="738"/>
      <c r="T1" s="738"/>
      <c r="U1" s="738"/>
      <c r="V1" s="739"/>
    </row>
    <row r="2" spans="1:22" ht="15.75" thickBot="1" x14ac:dyDescent="0.3">
      <c r="A2" s="213" t="s">
        <v>1627</v>
      </c>
      <c r="B2" s="740" t="s">
        <v>161</v>
      </c>
      <c r="C2" s="740"/>
      <c r="D2" s="740"/>
      <c r="E2" s="740"/>
      <c r="F2" s="740"/>
      <c r="G2" s="741" t="s">
        <v>172</v>
      </c>
      <c r="H2" s="742"/>
      <c r="I2" s="742"/>
      <c r="J2" s="742"/>
      <c r="K2" s="742"/>
      <c r="L2" s="742"/>
      <c r="M2" s="742"/>
      <c r="N2" s="743"/>
      <c r="O2" s="744" t="s">
        <v>139</v>
      </c>
      <c r="P2" s="745"/>
      <c r="Q2" s="745"/>
      <c r="R2" s="745"/>
      <c r="S2" s="745"/>
      <c r="T2" s="745"/>
      <c r="U2" s="745"/>
      <c r="V2" s="746"/>
    </row>
    <row r="3" spans="1:22" s="236" customFormat="1" ht="30.75" thickBot="1" x14ac:dyDescent="0.3">
      <c r="A3" s="239" t="s">
        <v>83</v>
      </c>
      <c r="B3" s="296" t="s">
        <v>162</v>
      </c>
      <c r="C3" s="297" t="s">
        <v>123</v>
      </c>
      <c r="D3" s="298" t="s">
        <v>100</v>
      </c>
      <c r="E3" s="298" t="s">
        <v>168</v>
      </c>
      <c r="F3" s="299" t="s">
        <v>170</v>
      </c>
      <c r="G3" s="300" t="s">
        <v>127</v>
      </c>
      <c r="H3" s="301" t="s">
        <v>30</v>
      </c>
      <c r="I3" s="301" t="s">
        <v>130</v>
      </c>
      <c r="J3" s="301" t="s">
        <v>35</v>
      </c>
      <c r="K3" s="301" t="s">
        <v>133</v>
      </c>
      <c r="L3" s="301" t="s">
        <v>179</v>
      </c>
      <c r="M3" s="301" t="s">
        <v>135</v>
      </c>
      <c r="N3" s="302" t="s">
        <v>182</v>
      </c>
      <c r="O3" s="303" t="s">
        <v>127</v>
      </c>
      <c r="P3" s="304" t="s">
        <v>30</v>
      </c>
      <c r="Q3" s="304" t="s">
        <v>130</v>
      </c>
      <c r="R3" s="304" t="s">
        <v>35</v>
      </c>
      <c r="S3" s="304" t="s">
        <v>133</v>
      </c>
      <c r="T3" s="304" t="s">
        <v>179</v>
      </c>
      <c r="U3" s="304" t="s">
        <v>135</v>
      </c>
      <c r="V3" s="305" t="s">
        <v>182</v>
      </c>
    </row>
    <row r="4" spans="1:22" x14ac:dyDescent="0.25">
      <c r="A4" s="319" t="s">
        <v>306</v>
      </c>
      <c r="B4" s="237">
        <f>SUMIFS('Diags Raw Data'!$L$6:$L$4996,'Diags Raw Data'!$D$6:$D$4996,$A4)</f>
        <v>484</v>
      </c>
      <c r="C4" s="230">
        <f>SUMIFS('Diags Raw Data'!$R$6:$R$4996,'Diags Raw Data'!$D$6:$D$4996,$A4)</f>
        <v>368</v>
      </c>
      <c r="D4" s="230">
        <f>SUMIFS('Diags Raw Data'!$K$6:$K$4996,'Diags Raw Data'!$D$6:$D$4996,$A4)</f>
        <v>283</v>
      </c>
      <c r="E4" s="230">
        <f>SUMIFS('Diags Raw Data'!$O$6:$O$4996,'Diags Raw Data'!$D$6:$D$4996,$A4)</f>
        <v>481</v>
      </c>
      <c r="F4" s="234">
        <f>IF(NOT($B4=0), E4/$B4, "---")</f>
        <v>0.99380165289256195</v>
      </c>
      <c r="G4" s="215">
        <f>SUMIFS('Diags Raw Data'!$S$6:$S$4996,'Diags Raw Data'!$D$6:$D$4996,$A4)</f>
        <v>383</v>
      </c>
      <c r="H4" s="216">
        <f>SUMIFS('Diags Raw Data'!$T$6:$T$4996,'Diags Raw Data'!$D$6:$D$4996,$A4)</f>
        <v>358</v>
      </c>
      <c r="I4" s="218">
        <f>SUMIFS('Diags Raw Data'!$U$6:$U$4996,'Diags Raw Data'!$D$6:$D$4996,$A4)</f>
        <v>25</v>
      </c>
      <c r="J4" s="216">
        <f>SUMIFS('Diags Raw Data'!$V$6:$V$4996,'Diags Raw Data'!$D$6:$D$4996,$A4)</f>
        <v>0</v>
      </c>
      <c r="K4" s="218">
        <f>SUMIFS('Diags Raw Data'!$W$6:$W$4996,'Diags Raw Data'!$D$6:$D$4996,$A4)</f>
        <v>0</v>
      </c>
      <c r="L4" s="217">
        <f>IF(NOT($C4=0), G4/$C4, "---")</f>
        <v>1.0407608695652173</v>
      </c>
      <c r="M4" s="219">
        <f>IF(NOT($G4=0), (H4+I4)/$G4, "---")</f>
        <v>1</v>
      </c>
      <c r="N4" s="221">
        <f>IF(NOT($C4=0), (H4+I4)/$C4, "---")</f>
        <v>1.0407608695652173</v>
      </c>
      <c r="O4" s="209">
        <f>SUMIFS('Diags Raw Data'!$Z$6:$Z$4996,'Diags Raw Data'!$D$6:$D$4996,$A4)</f>
        <v>420</v>
      </c>
      <c r="P4" s="206">
        <f>SUMIFS('Diags Raw Data'!$AA$6:$AA$4996,'Diags Raw Data'!$D$6:$D$4996,$A4)</f>
        <v>311</v>
      </c>
      <c r="Q4" s="208">
        <f>SUMIFS('Diags Raw Data'!$AB$6:$AB$4996,'Diags Raw Data'!$D$6:$D$4996,$A4)</f>
        <v>2</v>
      </c>
      <c r="R4" s="206">
        <f>SUMIFS('Diags Raw Data'!$AC$6:$AC$4996,'Diags Raw Data'!$D$6:$D$4996,$A4)</f>
        <v>58</v>
      </c>
      <c r="S4" s="208">
        <f>SUMIFS('Diags Raw Data'!$AD$6:$AD$4996,'Diags Raw Data'!$D$6:$D$4996,$A4)</f>
        <v>49</v>
      </c>
      <c r="T4" s="207">
        <f>IF(NOT($B4=0), O4/$B4, "---")</f>
        <v>0.86776859504132231</v>
      </c>
      <c r="U4" s="220">
        <f>IF(NOT($O4=0), (P4+Q4)/$O4, "---")</f>
        <v>0.74523809523809526</v>
      </c>
      <c r="V4" s="229">
        <f>IF(NOT($B4=0), (P4+Q4)/$B4, "---")</f>
        <v>0.64669421487603307</v>
      </c>
    </row>
    <row r="5" spans="1:22" x14ac:dyDescent="0.25">
      <c r="A5" s="319" t="s">
        <v>388</v>
      </c>
      <c r="B5" s="238">
        <f>SUMIFS('Diags Raw Data'!$L$6:$L$4996,'Diags Raw Data'!$D$6:$D$4996,$A5)</f>
        <v>282</v>
      </c>
      <c r="C5" s="231">
        <f>SUMIFS('Diags Raw Data'!$R$6:$R$4996,'Diags Raw Data'!$D$6:$D$4996,$A5)</f>
        <v>270</v>
      </c>
      <c r="D5" s="231">
        <f>SUMIFS('Diags Raw Data'!$K$6:$K$4996,'Diags Raw Data'!$D$6:$D$4996,$A5)</f>
        <v>177</v>
      </c>
      <c r="E5" s="231">
        <f>SUMIFS('Diags Raw Data'!$O$6:$O$4996,'Diags Raw Data'!$D$6:$D$4996,$A5)</f>
        <v>282</v>
      </c>
      <c r="F5" s="235">
        <f t="shared" ref="F5:F6" si="0">IF(NOT($B5=0), E5/$B5, "---")</f>
        <v>1</v>
      </c>
      <c r="G5" s="226">
        <f>SUMIFS('Diags Raw Data'!$S$6:$S$4996,'Diags Raw Data'!$D$6:$D$4996,$A5)</f>
        <v>250</v>
      </c>
      <c r="H5" s="222">
        <f>SUMIFS('Diags Raw Data'!$T$6:$T$4996,'Diags Raw Data'!$D$6:$D$4996,$A5)</f>
        <v>244</v>
      </c>
      <c r="I5" s="223">
        <f>SUMIFS('Diags Raw Data'!$U$6:$U$4996,'Diags Raw Data'!$D$6:$D$4996,$A5)</f>
        <v>6</v>
      </c>
      <c r="J5" s="222">
        <f>SUMIFS('Diags Raw Data'!$V$6:$V$4996,'Diags Raw Data'!$D$6:$D$4996,$A5)</f>
        <v>0</v>
      </c>
      <c r="K5" s="223">
        <f>SUMIFS('Diags Raw Data'!$W$6:$W$4996,'Diags Raw Data'!$D$6:$D$4996,$A5)</f>
        <v>0</v>
      </c>
      <c r="L5" s="232">
        <f t="shared" ref="L5:L6" si="1">IF(NOT($C5=0), G5/$C5, "---")</f>
        <v>0.92592592592592593</v>
      </c>
      <c r="M5" s="224">
        <f t="shared" ref="M5:M6" si="2">IF(NOT($G5=0), (H5+I5)/$G5, "---")</f>
        <v>1</v>
      </c>
      <c r="N5" s="228">
        <f t="shared" ref="N5:N6" si="3">IF(NOT($C5=0), (H5+I5)/$C5, "---")</f>
        <v>0.92592592592592593</v>
      </c>
      <c r="O5" s="210">
        <f>SUMIFS('Diags Raw Data'!$Z$6:$Z$4996,'Diags Raw Data'!$D$6:$D$4996,$A5)</f>
        <v>241</v>
      </c>
      <c r="P5" s="203">
        <f>SUMIFS('Diags Raw Data'!$AA$6:$AA$4996,'Diags Raw Data'!$D$6:$D$4996,$A5)</f>
        <v>156</v>
      </c>
      <c r="Q5" s="205">
        <f>SUMIFS('Diags Raw Data'!$AB$6:$AB$4996,'Diags Raw Data'!$D$6:$D$4996,$A5)</f>
        <v>1</v>
      </c>
      <c r="R5" s="203">
        <f>SUMIFS('Diags Raw Data'!$AC$6:$AC$4996,'Diags Raw Data'!$D$6:$D$4996,$A5)</f>
        <v>67</v>
      </c>
      <c r="S5" s="205">
        <f>SUMIFS('Diags Raw Data'!$AD$6:$AD$4996,'Diags Raw Data'!$D$6:$D$4996,$A5)</f>
        <v>17</v>
      </c>
      <c r="T5" s="204">
        <f t="shared" ref="T5:T6" si="4">IF(NOT($B5=0), O5/$B5, "---")</f>
        <v>0.85460992907801414</v>
      </c>
      <c r="U5" s="225">
        <f t="shared" ref="U5:U6" si="5">IF(NOT($O5=0), (P5+Q5)/$O5, "---")</f>
        <v>0.65145228215767637</v>
      </c>
      <c r="V5" s="227">
        <f t="shared" ref="V5:V6" si="6">IF(NOT($B5=0), (P5+Q5)/$B5, "---")</f>
        <v>0.55673758865248224</v>
      </c>
    </row>
    <row r="6" spans="1:22" ht="15.75" thickBot="1" x14ac:dyDescent="0.3">
      <c r="A6" s="319" t="s">
        <v>839</v>
      </c>
      <c r="B6" s="238">
        <f>SUMIFS('Diags Raw Data'!$L$6:$L$4996,'Diags Raw Data'!$D$6:$D$4996,$A6)</f>
        <v>11</v>
      </c>
      <c r="C6" s="231">
        <f>SUMIFS('Diags Raw Data'!$R$6:$R$4996,'Diags Raw Data'!$D$6:$D$4996,$A6)</f>
        <v>11</v>
      </c>
      <c r="D6" s="231">
        <f>SUMIFS('Diags Raw Data'!$K$6:$K$4996,'Diags Raw Data'!$D$6:$D$4996,$A6)</f>
        <v>10</v>
      </c>
      <c r="E6" s="231">
        <f>SUMIFS('Diags Raw Data'!$O$6:$O$4996,'Diags Raw Data'!$D$6:$D$4996,$A6)</f>
        <v>11</v>
      </c>
      <c r="F6" s="235">
        <f t="shared" si="0"/>
        <v>1</v>
      </c>
      <c r="G6" s="226">
        <f>SUMIFS('Diags Raw Data'!$S$6:$S$4996,'Diags Raw Data'!$D$6:$D$4996,$A6)</f>
        <v>5</v>
      </c>
      <c r="H6" s="222">
        <f>SUMIFS('Diags Raw Data'!$T$6:$T$4996,'Diags Raw Data'!$D$6:$D$4996,$A6)</f>
        <v>5</v>
      </c>
      <c r="I6" s="223">
        <f>SUMIFS('Diags Raw Data'!$U$6:$U$4996,'Diags Raw Data'!$D$6:$D$4996,$A6)</f>
        <v>0</v>
      </c>
      <c r="J6" s="222">
        <f>SUMIFS('Diags Raw Data'!$V$6:$V$4996,'Diags Raw Data'!$D$6:$D$4996,$A6)</f>
        <v>0</v>
      </c>
      <c r="K6" s="223">
        <f>SUMIFS('Diags Raw Data'!$W$6:$W$4996,'Diags Raw Data'!$D$6:$D$4996,$A6)</f>
        <v>0</v>
      </c>
      <c r="L6" s="232">
        <f t="shared" si="1"/>
        <v>0.45454545454545453</v>
      </c>
      <c r="M6" s="224">
        <f t="shared" si="2"/>
        <v>1</v>
      </c>
      <c r="N6" s="228">
        <f t="shared" si="3"/>
        <v>0.45454545454545453</v>
      </c>
      <c r="O6" s="210">
        <f>SUMIFS('Diags Raw Data'!$Z$6:$Z$4996,'Diags Raw Data'!$D$6:$D$4996,$A6)</f>
        <v>4</v>
      </c>
      <c r="P6" s="203">
        <f>SUMIFS('Diags Raw Data'!$AA$6:$AA$4996,'Diags Raw Data'!$D$6:$D$4996,$A6)</f>
        <v>3</v>
      </c>
      <c r="Q6" s="205">
        <f>SUMIFS('Diags Raw Data'!$AB$6:$AB$4996,'Diags Raw Data'!$D$6:$D$4996,$A6)</f>
        <v>0</v>
      </c>
      <c r="R6" s="203">
        <f>SUMIFS('Diags Raw Data'!$AC$6:$AC$4996,'Diags Raw Data'!$D$6:$D$4996,$A6)</f>
        <v>1</v>
      </c>
      <c r="S6" s="205">
        <f>SUMIFS('Diags Raw Data'!$AD$6:$AD$4996,'Diags Raw Data'!$D$6:$D$4996,$A6)</f>
        <v>0</v>
      </c>
      <c r="T6" s="204">
        <f t="shared" si="4"/>
        <v>0.36363636363636365</v>
      </c>
      <c r="U6" s="225">
        <f t="shared" si="5"/>
        <v>0.75</v>
      </c>
      <c r="V6" s="227">
        <f t="shared" si="6"/>
        <v>0.27272727272727271</v>
      </c>
    </row>
    <row r="7" spans="1:22" ht="16.5" thickBot="1" x14ac:dyDescent="0.3">
      <c r="A7" s="257" t="s">
        <v>1628</v>
      </c>
      <c r="B7" s="241">
        <f>SUM(B4:B6)</f>
        <v>777</v>
      </c>
      <c r="C7" s="242">
        <f>SUM(C4:C6)</f>
        <v>649</v>
      </c>
      <c r="D7" s="242">
        <f>SUM(D4:D6)</f>
        <v>470</v>
      </c>
      <c r="E7" s="242">
        <f>SUM(E4:E6)</f>
        <v>774</v>
      </c>
      <c r="F7" s="243" cm="1">
        <f t="array" ref="F7">SUMPRODUCT(--(ISNUMBER(SEARCH("New",'Diags Raw Data'!$M$6:$M$4996))),'Diags Raw Data'!$K$6:$K$4996,'Diags Raw Data'!$P$6:$P$4996)/D7+SUMPRODUCT(--(ISNUMBER(SEARCH("Delta",'Diags Raw Data'!$M$6:$M$4996))),'Diags Raw Data'!$K$6:$K$4996,'Diags Raw Data'!$P$6:$P$4996)/D7+SUMPRODUCT(--(ISNUMBER(SEARCH("Legacy",'Diags Raw Data'!$M$6:$M$4996))),'Diags Raw Data'!$K$6:$K$4996,'Diags Raw Data'!$P$6:$P$4996)/D7</f>
        <v>1.0148936170212766</v>
      </c>
      <c r="G7" s="244">
        <f>SUM(G4:G6)</f>
        <v>638</v>
      </c>
      <c r="H7" s="245">
        <f>SUM(H4:H6)</f>
        <v>607</v>
      </c>
      <c r="I7" s="246">
        <f>SUM(I4:I6)</f>
        <v>31</v>
      </c>
      <c r="J7" s="245">
        <f>SUM(J4:J6)</f>
        <v>0</v>
      </c>
      <c r="K7" s="246">
        <f>SUM(K4:K6)</f>
        <v>0</v>
      </c>
      <c r="L7" s="247">
        <f>IF(NOT($C7=0), G7/$C7, "---")</f>
        <v>0.98305084745762716</v>
      </c>
      <c r="M7" s="248">
        <f>IF(NOT($G7=0), (H7+I7)/$G7, "---")</f>
        <v>1</v>
      </c>
      <c r="N7" s="249">
        <f>IF(NOT($C7=0), (H7+I7)/$C7, "---")</f>
        <v>0.98305084745762716</v>
      </c>
      <c r="O7" s="250">
        <f>SUM(O4:O6)</f>
        <v>665</v>
      </c>
      <c r="P7" s="251">
        <f>SUM(P4:P6)</f>
        <v>470</v>
      </c>
      <c r="Q7" s="252">
        <f>SUM(Q4:Q6)</f>
        <v>3</v>
      </c>
      <c r="R7" s="251">
        <f>SUM(R4:R6)</f>
        <v>126</v>
      </c>
      <c r="S7" s="252">
        <f>SUM(S4:S6)</f>
        <v>66</v>
      </c>
      <c r="T7" s="253">
        <f>IF(NOT($B7=0), O7/$B7, "---")</f>
        <v>0.85585585585585588</v>
      </c>
      <c r="U7" s="254">
        <f>IF(NOT($O7=0), (P7+Q7)/$O7, "---")</f>
        <v>0.71127819548872184</v>
      </c>
      <c r="V7" s="255">
        <f>IF(NOT($B7=0), (P7+Q7)/$B7, "---")</f>
        <v>0.60875160875160872</v>
      </c>
    </row>
    <row r="8" spans="1:22" ht="15.75" thickBot="1" x14ac:dyDescent="0.3"/>
    <row r="9" spans="1:22" ht="15.75" thickBot="1" x14ac:dyDescent="0.3">
      <c r="A9" s="211" t="s">
        <v>1629</v>
      </c>
      <c r="B9" s="740" t="s">
        <v>161</v>
      </c>
      <c r="C9" s="740"/>
      <c r="D9" s="740"/>
      <c r="E9" s="740"/>
      <c r="F9" s="740"/>
      <c r="G9" s="741" t="s">
        <v>172</v>
      </c>
      <c r="H9" s="742"/>
      <c r="I9" s="742"/>
      <c r="J9" s="742"/>
      <c r="K9" s="742"/>
      <c r="L9" s="742"/>
      <c r="M9" s="742"/>
      <c r="N9" s="743"/>
      <c r="O9" s="744" t="s">
        <v>139</v>
      </c>
      <c r="P9" s="745"/>
      <c r="Q9" s="745"/>
      <c r="R9" s="745"/>
      <c r="S9" s="745"/>
      <c r="T9" s="745"/>
      <c r="U9" s="745"/>
      <c r="V9" s="746"/>
    </row>
    <row r="10" spans="1:22" s="236" customFormat="1" ht="30.75" thickBot="1" x14ac:dyDescent="0.3">
      <c r="A10" s="239" t="s">
        <v>83</v>
      </c>
      <c r="B10" s="296" t="s">
        <v>162</v>
      </c>
      <c r="C10" s="297" t="s">
        <v>123</v>
      </c>
      <c r="D10" s="298" t="s">
        <v>100</v>
      </c>
      <c r="E10" s="298" t="s">
        <v>168</v>
      </c>
      <c r="F10" s="299" t="s">
        <v>170</v>
      </c>
      <c r="G10" s="300" t="s">
        <v>127</v>
      </c>
      <c r="H10" s="301" t="s">
        <v>30</v>
      </c>
      <c r="I10" s="301" t="s">
        <v>130</v>
      </c>
      <c r="J10" s="301" t="s">
        <v>35</v>
      </c>
      <c r="K10" s="301" t="s">
        <v>133</v>
      </c>
      <c r="L10" s="301" t="s">
        <v>179</v>
      </c>
      <c r="M10" s="301" t="s">
        <v>135</v>
      </c>
      <c r="N10" s="302" t="s">
        <v>182</v>
      </c>
      <c r="O10" s="303" t="s">
        <v>127</v>
      </c>
      <c r="P10" s="304" t="s">
        <v>30</v>
      </c>
      <c r="Q10" s="304" t="s">
        <v>130</v>
      </c>
      <c r="R10" s="304" t="s">
        <v>35</v>
      </c>
      <c r="S10" s="304" t="s">
        <v>133</v>
      </c>
      <c r="T10" s="304" t="s">
        <v>179</v>
      </c>
      <c r="U10" s="304" t="s">
        <v>135</v>
      </c>
      <c r="V10" s="305" t="s">
        <v>182</v>
      </c>
    </row>
    <row r="11" spans="1:22" x14ac:dyDescent="0.25">
      <c r="A11" s="319" t="s">
        <v>306</v>
      </c>
      <c r="B11" s="237">
        <f>SUMIFS('Diags Raw Data'!$L$6:$L$4996,'Diags Raw Data'!$D$6:$D$4996,$A11,'Diags Raw Data'!$M$6:$M$4996,"New")+SUMIFS('Diags Raw Data'!$L$6:$L$4996,'Diags Raw Data'!$D$6:$D$4996,$A11,'Diags Raw Data'!$M$6:$M$4996,"Delta")</f>
        <v>191</v>
      </c>
      <c r="C11" s="230">
        <f>SUMIFS('Diags Raw Data'!$R$6:$R$4996,'Diags Raw Data'!$D$6:$D$4996,$A11,'Diags Raw Data'!$M$6:$M$4996,"New")+SUMIFS('Diags Raw Data'!$R$6:$R$4996,'Diags Raw Data'!$D$6:$D$4996,$A11,'Diags Raw Data'!$M$6:$M$4996,"Delta")</f>
        <v>75</v>
      </c>
      <c r="D11" s="230">
        <f>SUMIFS('Diags Raw Data'!$K$6:$K$4996,'Diags Raw Data'!$D$6:$D$4996,$A11,'Diags Raw Data'!$M$6:$M$4996,"New")+SUMIFS('Diags Raw Data'!$K$6:$K$4996,'Diags Raw Data'!$D$6:$D$4996,$A11,'Diags Raw Data'!$M$6:$M$4996,"Delta")</f>
        <v>51</v>
      </c>
      <c r="E11" s="230">
        <f>SUMIFS('Diags Raw Data'!$O$6:$O$4996,'Diags Raw Data'!$D$6:$D$4996,$A11,'Diags Raw Data'!$M$6:$M$4996,"New")+SUMIFS('Diags Raw Data'!$O$6:$O$4996,'Diags Raw Data'!$D$6:$D$4996,$A11,'Diags Raw Data'!$M$6:$M$4996,"Delta")</f>
        <v>191</v>
      </c>
      <c r="F11" s="234">
        <f t="shared" ref="F11:F12" si="7">IF(NOT($B11=0), E11/$B11, "---")</f>
        <v>1</v>
      </c>
      <c r="G11" s="215">
        <f>SUMIFS('Diags Raw Data'!$S$6:$S$4996,'Diags Raw Data'!$D$6:$D$4996,$A11,'Diags Raw Data'!$M$6:$M$4996,"New")+SUMIFS('Diags Raw Data'!$S$6:$S$4996,'Diags Raw Data'!$D$6:$D$4996,$A11,'Diags Raw Data'!$M$6:$M$4996,"Delta")</f>
        <v>93</v>
      </c>
      <c r="H11" s="216">
        <f>SUMIFS('Diags Raw Data'!$T$6:$T$4996,'Diags Raw Data'!$D$6:$D$4996,$A11,'Diags Raw Data'!$M$6:$M$4996,"New")+SUMIFS('Diags Raw Data'!$T$6:$T$4996,'Diags Raw Data'!$D$6:$D$4996,$A11,'Diags Raw Data'!$M$6:$M$4996,"Delta")</f>
        <v>93</v>
      </c>
      <c r="I11" s="216">
        <f>SUMIFS('Diags Raw Data'!$U$6:$U$4996,'Diags Raw Data'!$D$6:$D$4996,$A11,'Diags Raw Data'!$M$6:$M$4996,"New")+SUMIFS('Diags Raw Data'!$U$6:$U$4996,'Diags Raw Data'!$D$6:$D$4996,$A11,'Diags Raw Data'!$M$6:$M$4996,"Delta")</f>
        <v>0</v>
      </c>
      <c r="J11" s="216">
        <f>SUMIFS('Diags Raw Data'!$V$6:$V$4996,'Diags Raw Data'!$D$6:$D$4996,$A11,'Diags Raw Data'!$M$6:$M$4996,"New")+SUMIFS('Diags Raw Data'!$V$6:$V$4996,'Diags Raw Data'!$D$6:$D$4996,$A11,'Diags Raw Data'!$M$6:$M$4996,"Delta")</f>
        <v>0</v>
      </c>
      <c r="K11" s="216">
        <f>SUMIFS('Diags Raw Data'!$W$6:$W$4996,'Diags Raw Data'!$D$6:$D$4996,$A11,'Diags Raw Data'!$M$6:$M$4996,"New")+SUMIFS('Diags Raw Data'!$W$6:$W$4996,'Diags Raw Data'!$D$6:$D$4996,$A11,'Diags Raw Data'!$M$6:$M$4996,"Delta")</f>
        <v>0</v>
      </c>
      <c r="L11" s="217">
        <f>IF(NOT($C11=0), G11/$C11, "---")</f>
        <v>1.24</v>
      </c>
      <c r="M11" s="219">
        <f>IF(NOT($G11=0), (H11+I11)/$G11, "---")</f>
        <v>1</v>
      </c>
      <c r="N11" s="221">
        <f>IF(NOT($C11=0), (H11+I11)/$C11, "---")</f>
        <v>1.24</v>
      </c>
      <c r="O11" s="209">
        <f>SUMIFS('Diags Raw Data'!$Z$6:$Z$4996,'Diags Raw Data'!$D$6:$D$4996,$A11,'Diags Raw Data'!$M$6:$M$4996,"New")+SUMIFS('Diags Raw Data'!$Z$6:$Z$4996,'Diags Raw Data'!$D$6:$D$4996,$A11,'Diags Raw Data'!$M$6:$M$4996,"Delta")</f>
        <v>148</v>
      </c>
      <c r="P11" s="206">
        <f>SUMIFS('Diags Raw Data'!$AA$6:$AA$4996,'Diags Raw Data'!$D$6:$D$4996,$A11,'Diags Raw Data'!$M$6:$M$4996,"New")+SUMIFS('Diags Raw Data'!$AA$6:$AA$4996,'Diags Raw Data'!$D$6:$D$4996,$A11,'Diags Raw Data'!$M$6:$M$4996,"Delta")</f>
        <v>123</v>
      </c>
      <c r="Q11" s="206">
        <f>SUMIFS('Diags Raw Data'!$AB$6:$AB$4996,'Diags Raw Data'!$D$6:$D$4996,$A11,'Diags Raw Data'!$M$6:$M$4996,"New")+SUMIFS('Diags Raw Data'!$AB$6:$AB$4996,'Diags Raw Data'!$D$6:$D$4996,$A11,'Diags Raw Data'!$M$6:$M$4996,"Delta")</f>
        <v>0</v>
      </c>
      <c r="R11" s="206">
        <f>SUMIFS('Diags Raw Data'!$AC$6:$AC$4996,'Diags Raw Data'!$D$6:$D$4996,$A11,'Diags Raw Data'!$M$6:$M$4996,"New")+SUMIFS('Diags Raw Data'!$AC$6:$AC$4996,'Diags Raw Data'!$D$6:$D$4996,$A11,'Diags Raw Data'!$M$6:$M$4996,"Delta")</f>
        <v>24</v>
      </c>
      <c r="S11" s="206">
        <f>SUMIFS('Diags Raw Data'!$AD$6:$AD$4996,'Diags Raw Data'!$D$6:$D$4996,$A11,'Diags Raw Data'!$M$6:$M$4996,"New")+SUMIFS('Diags Raw Data'!$AD$6:$AD$4996,'Diags Raw Data'!$D$6:$D$4996,$A11,'Diags Raw Data'!$M$6:$M$4996,"Delta")</f>
        <v>1</v>
      </c>
      <c r="T11" s="207">
        <f>IF(NOT($B11=0), O11/$B11, "---")</f>
        <v>0.77486910994764402</v>
      </c>
      <c r="U11" s="220">
        <f>IF(NOT($O11=0), (P11+Q11)/$O11, "---")</f>
        <v>0.83108108108108103</v>
      </c>
      <c r="V11" s="229">
        <f>IF(NOT($B11=0), (P11+Q11)/$B11, "---")</f>
        <v>0.64397905759162299</v>
      </c>
    </row>
    <row r="12" spans="1:22" x14ac:dyDescent="0.25">
      <c r="A12" s="319" t="s">
        <v>388</v>
      </c>
      <c r="B12" s="238">
        <f>SUMIFS('Diags Raw Data'!$L$6:$L$4996,'Diags Raw Data'!$D$6:$D$4996,$A12,'Diags Raw Data'!$M$6:$M$4996,"New")+SUMIFS('Diags Raw Data'!$L$6:$L$4996,'Diags Raw Data'!$D$6:$D$4996,$A12,'Diags Raw Data'!$M$6:$M$4996,"Delta")</f>
        <v>25</v>
      </c>
      <c r="C12" s="231">
        <f>SUMIFS('Diags Raw Data'!$R$6:$R$4996,'Diags Raw Data'!$D$6:$D$4996,$A12,'Diags Raw Data'!$M$6:$M$4996,"New")+SUMIFS('Diags Raw Data'!$R$6:$R$4996,'Diags Raw Data'!$D$6:$D$4996,$A12,'Diags Raw Data'!$M$6:$M$4996,"Delta")</f>
        <v>13</v>
      </c>
      <c r="D12" s="231">
        <f>SUMIFS('Diags Raw Data'!$K$6:$K$4996,'Diags Raw Data'!$D$6:$D$4996,$A12,'Diags Raw Data'!$M$6:$M$4996,"New")+SUMIFS('Diags Raw Data'!$K$6:$K$4996,'Diags Raw Data'!$D$6:$D$4996,$A12,'Diags Raw Data'!$M$6:$M$4996,"Delta")</f>
        <v>7</v>
      </c>
      <c r="E12" s="231">
        <f>SUMIFS('Diags Raw Data'!$O$6:$O$4996,'Diags Raw Data'!$D$6:$D$4996,$A12,'Diags Raw Data'!$M$6:$M$4996,"New")+SUMIFS('Diags Raw Data'!$O$6:$O$4996,'Diags Raw Data'!$D$6:$D$4996,$A12,'Diags Raw Data'!$M$6:$M$4996,"Delta")</f>
        <v>25</v>
      </c>
      <c r="F12" s="235">
        <f t="shared" si="7"/>
        <v>1</v>
      </c>
      <c r="G12" s="226">
        <f>SUMIFS('Diags Raw Data'!$S$6:$S$4996,'Diags Raw Data'!$D$6:$D$4996,$A12,'Diags Raw Data'!$M$6:$M$4996,"New")+SUMIFS('Diags Raw Data'!$S$6:$S$4996,'Diags Raw Data'!$D$6:$D$4996,$A12,'Diags Raw Data'!$M$6:$M$4996,"Delta")</f>
        <v>1</v>
      </c>
      <c r="H12" s="222">
        <f>SUMIFS('Diags Raw Data'!$T$6:$T$4996,'Diags Raw Data'!$D$6:$D$4996,$A12,'Diags Raw Data'!$M$6:$M$4996,"New")+SUMIFS('Diags Raw Data'!$T$6:$T$4996,'Diags Raw Data'!$D$6:$D$4996,$A12,'Diags Raw Data'!$M$6:$M$4996,"Delta")</f>
        <v>1</v>
      </c>
      <c r="I12" s="222">
        <f>SUMIFS('Diags Raw Data'!$U$6:$U$4996,'Diags Raw Data'!$D$6:$D$4996,$A12,'Diags Raw Data'!$M$6:$M$4996,"New")+SUMIFS('Diags Raw Data'!$U$6:$U$4996,'Diags Raw Data'!$D$6:$D$4996,$A12,'Diags Raw Data'!$M$6:$M$4996,"Delta")</f>
        <v>0</v>
      </c>
      <c r="J12" s="222">
        <f>SUMIFS('Diags Raw Data'!$V$6:$V$4996,'Diags Raw Data'!$D$6:$D$4996,$A12,'Diags Raw Data'!$M$6:$M$4996,"New")+SUMIFS('Diags Raw Data'!$V$6:$V$4996,'Diags Raw Data'!$D$6:$D$4996,$A12,'Diags Raw Data'!$M$6:$M$4996,"Delta")</f>
        <v>0</v>
      </c>
      <c r="K12" s="222">
        <f>SUMIFS('Diags Raw Data'!$W$6:$W$4996,'Diags Raw Data'!$D$6:$D$4996,$A12,'Diags Raw Data'!$M$6:$M$4996,"New")+SUMIFS('Diags Raw Data'!$W$6:$W$4996,'Diags Raw Data'!$D$6:$D$4996,$A12,'Diags Raw Data'!$M$6:$M$4996,"Delta")</f>
        <v>0</v>
      </c>
      <c r="L12" s="232">
        <f>IF(NOT($C12=0), G12/$C12, "---")</f>
        <v>7.6923076923076927E-2</v>
      </c>
      <c r="M12" s="224">
        <f>IF(NOT($G12=0), (H12+I12)/$G12, "---")</f>
        <v>1</v>
      </c>
      <c r="N12" s="228">
        <f>IF(NOT($C12=0), (H12+I12)/$C12, "---")</f>
        <v>7.6923076923076927E-2</v>
      </c>
      <c r="O12" s="210">
        <f>SUMIFS('Diags Raw Data'!$Z$6:$Z$4996,'Diags Raw Data'!$D$6:$D$4996,$A12,'Diags Raw Data'!$M$6:$M$4996,"New")+SUMIFS('Diags Raw Data'!$Z$6:$Z$4996,'Diags Raw Data'!$D$6:$D$4996,$A12,'Diags Raw Data'!$M$6:$M$4996,"Delta")</f>
        <v>8</v>
      </c>
      <c r="P12" s="203">
        <f>SUMIFS('Diags Raw Data'!$AA$6:$AA$4996,'Diags Raw Data'!$D$6:$D$4996,$A12,'Diags Raw Data'!$M$6:$M$4996,"New")+SUMIFS('Diags Raw Data'!$AA$6:$AA$4996,'Diags Raw Data'!$D$6:$D$4996,$A12,'Diags Raw Data'!$M$6:$M$4996,"Delta")</f>
        <v>4</v>
      </c>
      <c r="Q12" s="203">
        <f>SUMIFS('Diags Raw Data'!$AB$6:$AB$4996,'Diags Raw Data'!$D$6:$D$4996,$A12,'Diags Raw Data'!$M$6:$M$4996,"New")+SUMIFS('Diags Raw Data'!$AB$6:$AB$4996,'Diags Raw Data'!$D$6:$D$4996,$A12,'Diags Raw Data'!$M$6:$M$4996,"Delta")</f>
        <v>0</v>
      </c>
      <c r="R12" s="203">
        <f>SUMIFS('Diags Raw Data'!$AC$6:$AC$4996,'Diags Raw Data'!$D$6:$D$4996,$A12,'Diags Raw Data'!$M$6:$M$4996,"New")+SUMIFS('Diags Raw Data'!$AC$6:$AC$4996,'Diags Raw Data'!$D$6:$D$4996,$A12,'Diags Raw Data'!$M$6:$M$4996,"Delta")</f>
        <v>4</v>
      </c>
      <c r="S12" s="203">
        <f>SUMIFS('Diags Raw Data'!$AD$6:$AD$4996,'Diags Raw Data'!$D$6:$D$4996,$A12,'Diags Raw Data'!$M$6:$M$4996,"New")+SUMIFS('Diags Raw Data'!$AD$6:$AD$4996,'Diags Raw Data'!$D$6:$D$4996,$A12,'Diags Raw Data'!$M$6:$M$4996,"Delta")</f>
        <v>0</v>
      </c>
      <c r="T12" s="204">
        <f>IF(NOT($B12=0), O12/$B12, "---")</f>
        <v>0.32</v>
      </c>
      <c r="U12" s="225">
        <f>IF(NOT($O12=0), (P12+Q12)/$O12, "---")</f>
        <v>0.5</v>
      </c>
      <c r="V12" s="227">
        <f t="shared" ref="V12:V14" si="8">IF(NOT($B12=0), (P12+Q12)/$B12, "---")</f>
        <v>0.16</v>
      </c>
    </row>
    <row r="13" spans="1:22" ht="15.75" thickBot="1" x14ac:dyDescent="0.3">
      <c r="A13" s="319" t="s">
        <v>839</v>
      </c>
      <c r="B13" s="238">
        <f>SUMIFS('Diags Raw Data'!$L$6:$L$4996,'Diags Raw Data'!$D$6:$D$4996,$A13,'Diags Raw Data'!$M$6:$M$4996,"New")+SUMIFS('Diags Raw Data'!$L$6:$L$4996,'Diags Raw Data'!$D$6:$D$4996,$A13,'Diags Raw Data'!$M$6:$M$4996,"Delta")</f>
        <v>3</v>
      </c>
      <c r="C13" s="231">
        <f>SUMIFS('Diags Raw Data'!$R$6:$R$4996,'Diags Raw Data'!$D$6:$D$4996,$A13,'Diags Raw Data'!$M$6:$M$4996,"New")+SUMIFS('Diags Raw Data'!$R$6:$R$4996,'Diags Raw Data'!$D$6:$D$4996,$A13,'Diags Raw Data'!$M$6:$M$4996,"Delta")</f>
        <v>3</v>
      </c>
      <c r="D13" s="231">
        <f>SUMIFS('Diags Raw Data'!$K$6:$K$4996,'Diags Raw Data'!$D$6:$D$4996,$A13,'Diags Raw Data'!$M$6:$M$4996,"New")+SUMIFS('Diags Raw Data'!$K$6:$K$4996,'Diags Raw Data'!$D$6:$D$4996,$A13,'Diags Raw Data'!$M$6:$M$4996,"Delta")</f>
        <v>3</v>
      </c>
      <c r="E13" s="231">
        <f>SUMIFS('Diags Raw Data'!$O$6:$O$4996,'Diags Raw Data'!$D$6:$D$4996,$A13,'Diags Raw Data'!$M$6:$M$4996,"New")+SUMIFS('Diags Raw Data'!$O$6:$O$4996,'Diags Raw Data'!$D$6:$D$4996,$A13,'Diags Raw Data'!$M$6:$M$4996,"Delta")</f>
        <v>3</v>
      </c>
      <c r="F13" s="235">
        <f>IF(NOT($B13=0), E13/$B13, "---")</f>
        <v>1</v>
      </c>
      <c r="G13" s="226">
        <f>SUMIFS('Diags Raw Data'!$S$6:$S$4996,'Diags Raw Data'!$D$6:$D$4996,$A13,'Diags Raw Data'!$M$6:$M$4996,"New")+SUMIFS('Diags Raw Data'!$S$6:$S$4996,'Diags Raw Data'!$D$6:$D$4996,$A13,'Diags Raw Data'!$M$6:$M$4996,"Delta")</f>
        <v>3</v>
      </c>
      <c r="H13" s="222">
        <f>SUMIFS('Diags Raw Data'!$T$6:$T$4996,'Diags Raw Data'!$D$6:$D$4996,$A13,'Diags Raw Data'!$M$6:$M$4996,"New")+SUMIFS('Diags Raw Data'!$T$6:$T$4996,'Diags Raw Data'!$D$6:$D$4996,$A13,'Diags Raw Data'!$M$6:$M$4996,"Delta")</f>
        <v>3</v>
      </c>
      <c r="I13" s="222">
        <f>SUMIFS('Diags Raw Data'!$U$6:$U$4996,'Diags Raw Data'!$D$6:$D$4996,$A13,'Diags Raw Data'!$M$6:$M$4996,"New")+SUMIFS('Diags Raw Data'!$U$6:$U$4996,'Diags Raw Data'!$D$6:$D$4996,$A13,'Diags Raw Data'!$M$6:$M$4996,"Delta")</f>
        <v>0</v>
      </c>
      <c r="J13" s="222">
        <f>SUMIFS('Diags Raw Data'!$V$6:$V$4996,'Diags Raw Data'!$D$6:$D$4996,$A13,'Diags Raw Data'!$M$6:$M$4996,"New")+SUMIFS('Diags Raw Data'!$V$6:$V$4996,'Diags Raw Data'!$D$6:$D$4996,$A13,'Diags Raw Data'!$M$6:$M$4996,"Delta")</f>
        <v>0</v>
      </c>
      <c r="K13" s="222">
        <f>SUMIFS('Diags Raw Data'!$W$6:$W$4996,'Diags Raw Data'!$D$6:$D$4996,$A13,'Diags Raw Data'!$M$6:$M$4996,"New")+SUMIFS('Diags Raw Data'!$W$6:$W$4996,'Diags Raw Data'!$D$6:$D$4996,$A13,'Diags Raw Data'!$M$6:$M$4996,"Delta")</f>
        <v>0</v>
      </c>
      <c r="L13" s="232">
        <f t="shared" ref="L13" si="9">IF(NOT($C13=0), G13/$C13, "---")</f>
        <v>1</v>
      </c>
      <c r="M13" s="224">
        <f>IF(NOT($G13=0), (H13+I13)/$G13, "---")</f>
        <v>1</v>
      </c>
      <c r="N13" s="228">
        <f t="shared" ref="N13" si="10">IF(NOT($C13=0), (H13+I13)/$C13, "---")</f>
        <v>1</v>
      </c>
      <c r="O13" s="210">
        <f>SUMIFS('Diags Raw Data'!$Z$6:$Z$4996,'Diags Raw Data'!$D$6:$D$4996,$A13,'Diags Raw Data'!$M$6:$M$4996,"New")+SUMIFS('Diags Raw Data'!$Z$6:$Z$4996,'Diags Raw Data'!$D$6:$D$4996,$A13,'Diags Raw Data'!$M$6:$M$4996,"Delta")</f>
        <v>2</v>
      </c>
      <c r="P13" s="203">
        <f>SUMIFS('Diags Raw Data'!$AA$6:$AA$4996,'Diags Raw Data'!$D$6:$D$4996,$A13,'Diags Raw Data'!$M$6:$M$4996,"New")+SUMIFS('Diags Raw Data'!$AA$6:$AA$4996,'Diags Raw Data'!$D$6:$D$4996,$A13,'Diags Raw Data'!$M$6:$M$4996,"Delta")</f>
        <v>2</v>
      </c>
      <c r="Q13" s="203">
        <f>SUMIFS('Diags Raw Data'!$AB$6:$AB$4996,'Diags Raw Data'!$D$6:$D$4996,$A13,'Diags Raw Data'!$M$6:$M$4996,"New")+SUMIFS('Diags Raw Data'!$AB$6:$AB$4996,'Diags Raw Data'!$D$6:$D$4996,$A13,'Diags Raw Data'!$M$6:$M$4996,"Delta")</f>
        <v>0</v>
      </c>
      <c r="R13" s="203">
        <f>SUMIFS('Diags Raw Data'!$AC$6:$AC$4996,'Diags Raw Data'!$D$6:$D$4996,$A13,'Diags Raw Data'!$M$6:$M$4996,"New")+SUMIFS('Diags Raw Data'!$AC$6:$AC$4996,'Diags Raw Data'!$D$6:$D$4996,$A13,'Diags Raw Data'!$M$6:$M$4996,"Delta")</f>
        <v>0</v>
      </c>
      <c r="S13" s="203">
        <f>SUMIFS('Diags Raw Data'!$AD$6:$AD$4996,'Diags Raw Data'!$D$6:$D$4996,$A13,'Diags Raw Data'!$M$6:$M$4996,"New")+SUMIFS('Diags Raw Data'!$AD$6:$AD$4996,'Diags Raw Data'!$D$6:$D$4996,$A13,'Diags Raw Data'!$M$6:$M$4996,"Delta")</f>
        <v>0</v>
      </c>
      <c r="T13" s="204">
        <f t="shared" ref="T13" si="11">IF(NOT($B13=0), O13/$B13, "---")</f>
        <v>0.66666666666666663</v>
      </c>
      <c r="U13" s="225">
        <f t="shared" ref="U13:U14" si="12">IF(NOT($O13=0), (P13+Q13)/$O13, "---")</f>
        <v>1</v>
      </c>
      <c r="V13" s="227">
        <f>IF(NOT($B13=0), (P13+Q13)/$B13, "---")</f>
        <v>0.66666666666666663</v>
      </c>
    </row>
    <row r="14" spans="1:22" ht="16.5" thickBot="1" x14ac:dyDescent="0.3">
      <c r="A14" s="240" t="s">
        <v>1630</v>
      </c>
      <c r="B14" s="241">
        <f>SUM(B11:B13)</f>
        <v>219</v>
      </c>
      <c r="C14" s="242">
        <f>SUM(C11:C13)</f>
        <v>91</v>
      </c>
      <c r="D14" s="242">
        <f>SUM(D11:D13)</f>
        <v>61</v>
      </c>
      <c r="E14" s="242">
        <f>SUM(E11:E13)</f>
        <v>219</v>
      </c>
      <c r="F14" s="243" cm="1">
        <f t="array" ref="F14">SUMPRODUCT(--(ISNUMBER(SEARCH("New",'Diags Raw Data'!$M$6:$M$4996))),'Diags Raw Data'!$K$6:$K$4996,'Diags Raw Data'!$P$6:$P$4996)/D14+SUMPRODUCT(--(ISNUMBER(SEARCH("Delta",'Diags Raw Data'!$M$6:$M$4996))),'Diags Raw Data'!$K$6:$K$4996,'Diags Raw Data'!$P$6:$P$4996)/D14</f>
        <v>1.0163934426229508</v>
      </c>
      <c r="G14" s="244">
        <f>SUM(G11:G13)</f>
        <v>97</v>
      </c>
      <c r="H14" s="245">
        <f>SUM(H11:H13)</f>
        <v>97</v>
      </c>
      <c r="I14" s="246">
        <f>SUM(I11:I13)</f>
        <v>0</v>
      </c>
      <c r="J14" s="245">
        <f>SUM(J11:J13)</f>
        <v>0</v>
      </c>
      <c r="K14" s="246">
        <f>SUM(K11:K13)</f>
        <v>0</v>
      </c>
      <c r="L14" s="247">
        <f>IF(NOT($C14=0), G14/$C14, "---")</f>
        <v>1.0659340659340659</v>
      </c>
      <c r="M14" s="248">
        <f t="shared" ref="M14" si="13">IF(NOT($G14=0), (H14+I14)/$G14, "---")</f>
        <v>1</v>
      </c>
      <c r="N14" s="249">
        <f>IF(NOT($C14=0), (H14+I14)/$C14, "---")</f>
        <v>1.0659340659340659</v>
      </c>
      <c r="O14" s="250">
        <f>SUM(O11:O13)</f>
        <v>158</v>
      </c>
      <c r="P14" s="251">
        <f>SUM(P11:P13)</f>
        <v>129</v>
      </c>
      <c r="Q14" s="252">
        <f>SUM(Q11:Q13)</f>
        <v>0</v>
      </c>
      <c r="R14" s="251">
        <f>SUM(R11:R13)</f>
        <v>28</v>
      </c>
      <c r="S14" s="252">
        <f>SUM(S11:S13)</f>
        <v>1</v>
      </c>
      <c r="T14" s="253">
        <f>IF(NOT($B14=0), O14/$B14, "---")</f>
        <v>0.72146118721461183</v>
      </c>
      <c r="U14" s="254">
        <f t="shared" si="12"/>
        <v>0.81645569620253167</v>
      </c>
      <c r="V14" s="255">
        <f t="shared" si="8"/>
        <v>0.58904109589041098</v>
      </c>
    </row>
    <row r="15" spans="1:22" ht="15.75" thickBot="1" x14ac:dyDescent="0.3">
      <c r="A15" s="233"/>
      <c r="B15" s="233"/>
      <c r="C15" s="233"/>
      <c r="D15" s="233"/>
      <c r="E15" s="233"/>
      <c r="F15" s="233"/>
      <c r="G15" s="233"/>
      <c r="H15" s="233"/>
      <c r="I15" s="233"/>
      <c r="J15" s="233"/>
      <c r="K15" s="233"/>
      <c r="L15" s="233"/>
      <c r="M15" s="233"/>
      <c r="N15" s="233"/>
      <c r="O15" s="233"/>
      <c r="P15" s="233"/>
      <c r="Q15" s="233"/>
      <c r="R15" s="233"/>
      <c r="S15" s="233"/>
      <c r="T15" s="233"/>
      <c r="U15" s="233"/>
      <c r="V15" s="233"/>
    </row>
    <row r="16" spans="1:22" ht="15.75" thickBot="1" x14ac:dyDescent="0.3">
      <c r="A16" s="212" t="s">
        <v>33</v>
      </c>
      <c r="B16" s="740" t="s">
        <v>161</v>
      </c>
      <c r="C16" s="740"/>
      <c r="D16" s="740"/>
      <c r="E16" s="740"/>
      <c r="F16" s="740"/>
      <c r="G16" s="741" t="s">
        <v>172</v>
      </c>
      <c r="H16" s="742"/>
      <c r="I16" s="742"/>
      <c r="J16" s="742"/>
      <c r="K16" s="742"/>
      <c r="L16" s="742"/>
      <c r="M16" s="742"/>
      <c r="N16" s="743"/>
      <c r="O16" s="744" t="s">
        <v>139</v>
      </c>
      <c r="P16" s="745"/>
      <c r="Q16" s="745"/>
      <c r="R16" s="745"/>
      <c r="S16" s="745"/>
      <c r="T16" s="745"/>
      <c r="U16" s="745"/>
      <c r="V16" s="746"/>
    </row>
    <row r="17" spans="1:22" s="236" customFormat="1" ht="30.75" thickBot="1" x14ac:dyDescent="0.3">
      <c r="A17" s="239" t="s">
        <v>83</v>
      </c>
      <c r="B17" s="296" t="s">
        <v>162</v>
      </c>
      <c r="C17" s="297" t="s">
        <v>123</v>
      </c>
      <c r="D17" s="298" t="s">
        <v>100</v>
      </c>
      <c r="E17" s="298" t="s">
        <v>168</v>
      </c>
      <c r="F17" s="299" t="s">
        <v>170</v>
      </c>
      <c r="G17" s="300" t="s">
        <v>127</v>
      </c>
      <c r="H17" s="301" t="s">
        <v>30</v>
      </c>
      <c r="I17" s="301" t="s">
        <v>130</v>
      </c>
      <c r="J17" s="301" t="s">
        <v>35</v>
      </c>
      <c r="K17" s="301" t="s">
        <v>133</v>
      </c>
      <c r="L17" s="301" t="s">
        <v>179</v>
      </c>
      <c r="M17" s="301" t="s">
        <v>135</v>
      </c>
      <c r="N17" s="302" t="s">
        <v>182</v>
      </c>
      <c r="O17" s="303" t="s">
        <v>127</v>
      </c>
      <c r="P17" s="304" t="s">
        <v>30</v>
      </c>
      <c r="Q17" s="304" t="s">
        <v>130</v>
      </c>
      <c r="R17" s="304" t="s">
        <v>35</v>
      </c>
      <c r="S17" s="304" t="s">
        <v>133</v>
      </c>
      <c r="T17" s="304" t="s">
        <v>179</v>
      </c>
      <c r="U17" s="304" t="s">
        <v>135</v>
      </c>
      <c r="V17" s="305" t="s">
        <v>182</v>
      </c>
    </row>
    <row r="18" spans="1:22" x14ac:dyDescent="0.25">
      <c r="A18" s="319" t="s">
        <v>306</v>
      </c>
      <c r="B18" s="237">
        <f>SUMIFS('Diags Raw Data'!$L$6:$L$4996,'Diags Raw Data'!$D$6:$D$4996,$A18,'Diags Raw Data'!$M$6:$M$4996,"Legacy")</f>
        <v>293</v>
      </c>
      <c r="C18" s="230">
        <f>SUMIFS('Diags Raw Data'!$R$6:$R$4996,'Diags Raw Data'!$D$6:$D$4996,$A18,'Diags Raw Data'!$M$6:$M$4996,"Legacy")</f>
        <v>293</v>
      </c>
      <c r="D18" s="230">
        <f>SUMIFS('Diags Raw Data'!$K$6:$K$4996,'Diags Raw Data'!$D$6:$D$4996,$A18,'Diags Raw Data'!$M$6:$M$4996,"Legacy")</f>
        <v>232</v>
      </c>
      <c r="E18" s="230">
        <f>SUMIFS('Diags Raw Data'!$O$6:$O$4996,'Diags Raw Data'!$D$6:$D$4996,$A18,'Diags Raw Data'!$M$6:$M$4996,"Legacy")</f>
        <v>290</v>
      </c>
      <c r="F18" s="234">
        <f>IF(NOT($B18=0), E18/$B18, "---")</f>
        <v>0.98976109215017061</v>
      </c>
      <c r="G18" s="215">
        <f>SUMIFS('Diags Raw Data'!$S$6:$S$4996,'Diags Raw Data'!$D$6:$D$4996,$A18,'Diags Raw Data'!$M$6:$M$4996,"Legacy")</f>
        <v>290</v>
      </c>
      <c r="H18" s="216">
        <f>SUMIFS('Diags Raw Data'!$T$6:$T$4996,'Diags Raw Data'!$D$6:$D$4996,$A18,'Diags Raw Data'!$M$6:$M$4996,"Legacy")</f>
        <v>265</v>
      </c>
      <c r="I18" s="218">
        <f>SUMIFS('Diags Raw Data'!$U$6:$U$4996,'Diags Raw Data'!$D$6:$D$4996,$A18,'Diags Raw Data'!$M$6:$M$4996,"Legacy")</f>
        <v>25</v>
      </c>
      <c r="J18" s="216">
        <f>SUMIFS('Diags Raw Data'!$V$6:$V$4996,'Diags Raw Data'!$D$6:$D$4996,$A18,'Diags Raw Data'!$M$6:$M$4996,"Legacy")</f>
        <v>0</v>
      </c>
      <c r="K18" s="218">
        <f>SUMIFS('Diags Raw Data'!$W$6:$W$4996,'Diags Raw Data'!$D$6:$D$4996,$A18,'Diags Raw Data'!$M$6:$M$4996,"Legacy")</f>
        <v>0</v>
      </c>
      <c r="L18" s="217">
        <f>IF(NOT($C18=0), G18/$C18, "---")</f>
        <v>0.98976109215017061</v>
      </c>
      <c r="M18" s="219">
        <f>IF(NOT($G18=0), (H18+I18)/$G18, "---")</f>
        <v>1</v>
      </c>
      <c r="N18" s="221">
        <f>IF(NOT($C18=0), (H18+I18)/$C18, "---")</f>
        <v>0.98976109215017061</v>
      </c>
      <c r="O18" s="209">
        <f>SUMIFS('Diags Raw Data'!$Z$6:$Z$4996,'Diags Raw Data'!$D$6:$D$4996,$A18,'Diags Raw Data'!$M$6:$M$4996,"Legacy")</f>
        <v>272</v>
      </c>
      <c r="P18" s="206">
        <f>SUMIFS('Diags Raw Data'!$AA$6:$AA$4996,'Diags Raw Data'!$D$6:$D$4996,$A18,'Diags Raw Data'!$M$6:$M$4996,"Legacy")</f>
        <v>188</v>
      </c>
      <c r="Q18" s="208">
        <f>SUMIFS('Diags Raw Data'!$AB$6:$AB$4996,'Diags Raw Data'!$D$6:$D$4996,$A18,'Diags Raw Data'!$M$6:$M$4996,"Legacy")</f>
        <v>2</v>
      </c>
      <c r="R18" s="206">
        <f>SUMIFS('Diags Raw Data'!$AC$6:$AC$4996,'Diags Raw Data'!$D$6:$D$4996,$A18,'Diags Raw Data'!$M$6:$M$4996,"Legacy")</f>
        <v>34</v>
      </c>
      <c r="S18" s="208">
        <f>SUMIFS('Diags Raw Data'!$AD$6:$AD$4996,'Diags Raw Data'!$D$6:$D$4996,$A18,'Diags Raw Data'!$M$6:$M$4996,"Legacy")</f>
        <v>48</v>
      </c>
      <c r="T18" s="207">
        <f>IF(NOT($B18=0), O18/$B18, "---")</f>
        <v>0.92832764505119458</v>
      </c>
      <c r="U18" s="220">
        <f>IF(NOT($O18=0), (P18+Q18)/$O18, "---")</f>
        <v>0.69852941176470584</v>
      </c>
      <c r="V18" s="229">
        <f>IF(NOT($B18=0), (P18+Q18)/$B18, "---")</f>
        <v>0.64846416382252559</v>
      </c>
    </row>
    <row r="19" spans="1:22" x14ac:dyDescent="0.25">
      <c r="A19" s="319" t="s">
        <v>388</v>
      </c>
      <c r="B19" s="238">
        <f>SUMIFS('Diags Raw Data'!$L$6:$L$4996,'Diags Raw Data'!$D$6:$D$4996,$A19,'Diags Raw Data'!$M$6:$M$4996,"Legacy")</f>
        <v>257</v>
      </c>
      <c r="C19" s="231">
        <f>SUMIFS('Diags Raw Data'!$R$6:$R$4996,'Diags Raw Data'!$D$6:$D$4996,$A19,'Diags Raw Data'!$M$6:$M$4996,"Legacy")</f>
        <v>257</v>
      </c>
      <c r="D19" s="231">
        <f>SUMIFS('Diags Raw Data'!$K$6:$K$4996,'Diags Raw Data'!$D$6:$D$4996,$A19,'Diags Raw Data'!$M$6:$M$4996,"Legacy")</f>
        <v>170</v>
      </c>
      <c r="E19" s="231">
        <f>SUMIFS('Diags Raw Data'!$O$6:$O$4996,'Diags Raw Data'!$D$6:$D$4996,$A19,'Diags Raw Data'!$M$6:$M$4996,"Legacy")</f>
        <v>257</v>
      </c>
      <c r="F19" s="235">
        <f t="shared" ref="F19:F20" si="14">IF(NOT($B19=0), E19/$B19, "---")</f>
        <v>1</v>
      </c>
      <c r="G19" s="226">
        <f>SUMIFS('Diags Raw Data'!$S$6:$S$4996,'Diags Raw Data'!$D$6:$D$4996,$A19,'Diags Raw Data'!$M$6:$M$4996,"Legacy")</f>
        <v>249</v>
      </c>
      <c r="H19" s="222">
        <f>SUMIFS('Diags Raw Data'!$T$6:$T$4996,'Diags Raw Data'!$D$6:$D$4996,$A19,'Diags Raw Data'!$M$6:$M$4996,"Legacy")</f>
        <v>243</v>
      </c>
      <c r="I19" s="223">
        <f>SUMIFS('Diags Raw Data'!$U$6:$U$4996,'Diags Raw Data'!$D$6:$D$4996,$A19,'Diags Raw Data'!$M$6:$M$4996,"Legacy")</f>
        <v>6</v>
      </c>
      <c r="J19" s="222">
        <f>SUMIFS('Diags Raw Data'!$V$6:$V$4996,'Diags Raw Data'!$D$6:$D$4996,$A19,'Diags Raw Data'!$M$6:$M$4996,"Legacy")</f>
        <v>0</v>
      </c>
      <c r="K19" s="223">
        <f>SUMIFS('Diags Raw Data'!$W$6:$W$4996,'Diags Raw Data'!$D$6:$D$4996,$A19,'Diags Raw Data'!$M$6:$M$4996,"Legacy")</f>
        <v>0</v>
      </c>
      <c r="L19" s="232">
        <f t="shared" ref="L19:L20" si="15">IF(NOT($C19=0), G19/$C19, "---")</f>
        <v>0.9688715953307393</v>
      </c>
      <c r="M19" s="224">
        <f t="shared" ref="M19:M21" si="16">IF(NOT($G19=0), (H19+I19)/$G19, "---")</f>
        <v>1</v>
      </c>
      <c r="N19" s="228">
        <f t="shared" ref="N19:N21" si="17">IF(NOT($C19=0), (H19+I19)/$C19, "---")</f>
        <v>0.9688715953307393</v>
      </c>
      <c r="O19" s="210">
        <f>SUMIFS('Diags Raw Data'!$Z$6:$Z$4996,'Diags Raw Data'!$D$6:$D$4996,$A19,'Diags Raw Data'!$M$6:$M$4996,"Legacy")</f>
        <v>233</v>
      </c>
      <c r="P19" s="203">
        <f>SUMIFS('Diags Raw Data'!$AA$6:$AA$4996,'Diags Raw Data'!$D$6:$D$4996,$A19,'Diags Raw Data'!$M$6:$M$4996,"Legacy")</f>
        <v>152</v>
      </c>
      <c r="Q19" s="205">
        <f>SUMIFS('Diags Raw Data'!$AB$6:$AB$4996,'Diags Raw Data'!$D$6:$D$4996,$A19,'Diags Raw Data'!$M$6:$M$4996,"Legacy")</f>
        <v>1</v>
      </c>
      <c r="R19" s="203">
        <f>SUMIFS('Diags Raw Data'!$AC$6:$AC$4996,'Diags Raw Data'!$D$6:$D$4996,$A19,'Diags Raw Data'!$M$6:$M$4996,"Legacy")</f>
        <v>63</v>
      </c>
      <c r="S19" s="205">
        <f>SUMIFS('Diags Raw Data'!$AD$6:$AD$4996,'Diags Raw Data'!$D$6:$D$4996,$A19,'Diags Raw Data'!$M$6:$M$4996,"Legacy")</f>
        <v>17</v>
      </c>
      <c r="T19" s="204">
        <f t="shared" ref="T19:T20" si="18">IF(NOT($B19=0), O19/$B19, "---")</f>
        <v>0.9066147859922179</v>
      </c>
      <c r="U19" s="225">
        <f t="shared" ref="U19:U21" si="19">IF(NOT($O19=0), (P19+Q19)/$O19, "---")</f>
        <v>0.6566523605150214</v>
      </c>
      <c r="V19" s="227">
        <f t="shared" ref="V19:V20" si="20">IF(NOT($B19=0), (P19+Q19)/$B19, "---")</f>
        <v>0.59533073929961089</v>
      </c>
    </row>
    <row r="20" spans="1:22" ht="15.75" thickBot="1" x14ac:dyDescent="0.3">
      <c r="A20" s="319" t="s">
        <v>839</v>
      </c>
      <c r="B20" s="238">
        <f>SUMIFS('Diags Raw Data'!$L$6:$L$4996,'Diags Raw Data'!$D$6:$D$4996,$A20,'Diags Raw Data'!$M$6:$M$4996,"Legacy")</f>
        <v>8</v>
      </c>
      <c r="C20" s="231">
        <f>SUMIFS('Diags Raw Data'!$R$6:$R$4996,'Diags Raw Data'!$D$6:$D$4996,$A20,'Diags Raw Data'!$M$6:$M$4996,"Legacy")</f>
        <v>8</v>
      </c>
      <c r="D20" s="231">
        <f>SUMIFS('Diags Raw Data'!$K$6:$K$4996,'Diags Raw Data'!$D$6:$D$4996,$A20,'Diags Raw Data'!$M$6:$M$4996,"Legacy")</f>
        <v>7</v>
      </c>
      <c r="E20" s="231">
        <f>SUMIFS('Diags Raw Data'!$O$6:$O$4996,'Diags Raw Data'!$D$6:$D$4996,$A20,'Diags Raw Data'!$M$6:$M$4996,"Legacy")</f>
        <v>8</v>
      </c>
      <c r="F20" s="235">
        <f t="shared" si="14"/>
        <v>1</v>
      </c>
      <c r="G20" s="226">
        <f>SUMIFS('Diags Raw Data'!$S$6:$S$4996,'Diags Raw Data'!$D$6:$D$4996,$A20,'Diags Raw Data'!$M$6:$M$4996,"Legacy")</f>
        <v>2</v>
      </c>
      <c r="H20" s="222">
        <f>SUMIFS('Diags Raw Data'!$T$6:$T$4996,'Diags Raw Data'!$D$6:$D$4996,$A20,'Diags Raw Data'!$M$6:$M$4996,"Legacy")</f>
        <v>2</v>
      </c>
      <c r="I20" s="223">
        <f>SUMIFS('Diags Raw Data'!$U$6:$U$4996,'Diags Raw Data'!$D$6:$D$4996,$A20,'Diags Raw Data'!$M$6:$M$4996,"Legacy")</f>
        <v>0</v>
      </c>
      <c r="J20" s="222">
        <f>SUMIFS('Diags Raw Data'!$V$6:$V$4996,'Diags Raw Data'!$D$6:$D$4996,$A20,'Diags Raw Data'!$M$6:$M$4996,"Legacy")</f>
        <v>0</v>
      </c>
      <c r="K20" s="223">
        <f>SUMIFS('Diags Raw Data'!$W$6:$W$4996,'Diags Raw Data'!$D$6:$D$4996,$A20,'Diags Raw Data'!$M$6:$M$4996,"Legacy")</f>
        <v>0</v>
      </c>
      <c r="L20" s="232">
        <f t="shared" si="15"/>
        <v>0.25</v>
      </c>
      <c r="M20" s="224">
        <f t="shared" si="16"/>
        <v>1</v>
      </c>
      <c r="N20" s="228">
        <f t="shared" si="17"/>
        <v>0.25</v>
      </c>
      <c r="O20" s="210">
        <f>SUMIFS('Diags Raw Data'!$Z$6:$Z$4996,'Diags Raw Data'!$D$6:$D$4996,$A20,'Diags Raw Data'!$M$6:$M$4996,"Legacy")</f>
        <v>2</v>
      </c>
      <c r="P20" s="203">
        <f>SUMIFS('Diags Raw Data'!$AA$6:$AA$4996,'Diags Raw Data'!$D$6:$D$4996,$A20,'Diags Raw Data'!$M$6:$M$4996,"Legacy")</f>
        <v>1</v>
      </c>
      <c r="Q20" s="205">
        <f>SUMIFS('Diags Raw Data'!$AB$6:$AB$4996,'Diags Raw Data'!$D$6:$D$4996,$A20,'Diags Raw Data'!$M$6:$M$4996,"Legacy")</f>
        <v>0</v>
      </c>
      <c r="R20" s="203">
        <f>SUMIFS('Diags Raw Data'!$AC$6:$AC$4996,'Diags Raw Data'!$D$6:$D$4996,$A20,'Diags Raw Data'!$M$6:$M$4996,"Legacy")</f>
        <v>1</v>
      </c>
      <c r="S20" s="205">
        <f>SUMIFS('Diags Raw Data'!$AD$6:$AD$4996,'Diags Raw Data'!$D$6:$D$4996,$A20,'Diags Raw Data'!$M$6:$M$4996,"Legacy")</f>
        <v>0</v>
      </c>
      <c r="T20" s="204">
        <f t="shared" si="18"/>
        <v>0.25</v>
      </c>
      <c r="U20" s="225">
        <f t="shared" si="19"/>
        <v>0.5</v>
      </c>
      <c r="V20" s="227">
        <f t="shared" si="20"/>
        <v>0.125</v>
      </c>
    </row>
    <row r="21" spans="1:22" ht="16.5" thickBot="1" x14ac:dyDescent="0.3">
      <c r="A21" s="256" t="s">
        <v>1631</v>
      </c>
      <c r="B21" s="241">
        <f>SUM(B18:B20)</f>
        <v>558</v>
      </c>
      <c r="C21" s="242">
        <f>SUM(C18:C20)</f>
        <v>558</v>
      </c>
      <c r="D21" s="242">
        <f>SUM(D18:D20)</f>
        <v>409</v>
      </c>
      <c r="E21" s="242">
        <f>SUM(E18:E20)</f>
        <v>555</v>
      </c>
      <c r="F21" s="243" cm="1">
        <f t="array" ref="F21">SUMPRODUCT(--(ISNUMBER(SEARCH("Legacy",'Diags Raw Data'!$M$6:$M$4996))),'Diags Raw Data'!$K$6:$K$4996,'Diags Raw Data'!$P$6:$P$4996)/D21</f>
        <v>1.0146699266503667</v>
      </c>
      <c r="G21" s="244">
        <f>SUM(G18:G20)</f>
        <v>541</v>
      </c>
      <c r="H21" s="245">
        <f>SUM(H18:H20)</f>
        <v>510</v>
      </c>
      <c r="I21" s="246">
        <f>SUM(I18:I20)</f>
        <v>31</v>
      </c>
      <c r="J21" s="245">
        <f>SUM(J18:J20)</f>
        <v>0</v>
      </c>
      <c r="K21" s="246">
        <f>SUM(K18:K20)</f>
        <v>0</v>
      </c>
      <c r="L21" s="247">
        <f>IF(NOT($C21=0), G21/$C21, "---")</f>
        <v>0.96953405017921146</v>
      </c>
      <c r="M21" s="248">
        <f t="shared" si="16"/>
        <v>1</v>
      </c>
      <c r="N21" s="249">
        <f t="shared" si="17"/>
        <v>0.96953405017921146</v>
      </c>
      <c r="O21" s="250">
        <f>SUM(O18:O20)</f>
        <v>507</v>
      </c>
      <c r="P21" s="251">
        <f>SUM(P18:P20)</f>
        <v>341</v>
      </c>
      <c r="Q21" s="252">
        <f>SUM(Q18:Q20)</f>
        <v>3</v>
      </c>
      <c r="R21" s="251">
        <f>SUM(R18:R20)</f>
        <v>98</v>
      </c>
      <c r="S21" s="252">
        <f>SUM(S18:S20)</f>
        <v>65</v>
      </c>
      <c r="T21" s="253">
        <f>IF(NOT($B21=0), O21/$B21, "---")</f>
        <v>0.90860215053763438</v>
      </c>
      <c r="U21" s="254">
        <f t="shared" si="19"/>
        <v>0.67850098619329391</v>
      </c>
      <c r="V21" s="255">
        <f>IF(NOT($B21=0), (P21+Q21)/$B21, "---")</f>
        <v>0.61648745519713266</v>
      </c>
    </row>
    <row r="22" spans="1:22" x14ac:dyDescent="0.25">
      <c r="A22" s="233"/>
      <c r="B22" s="233"/>
      <c r="C22" s="233"/>
      <c r="D22" s="233"/>
      <c r="E22" s="233"/>
      <c r="F22" s="233"/>
      <c r="G22" s="233"/>
      <c r="H22" s="233"/>
      <c r="I22" s="233"/>
      <c r="J22" s="233"/>
      <c r="K22" s="233"/>
      <c r="L22" s="233"/>
      <c r="M22" s="233"/>
      <c r="N22" s="233"/>
      <c r="O22" s="233"/>
      <c r="P22" s="233"/>
      <c r="Q22" s="233"/>
      <c r="R22" s="233"/>
      <c r="S22" s="233"/>
      <c r="T22" s="233"/>
      <c r="U22" s="233"/>
      <c r="V22" s="233"/>
    </row>
    <row r="24" spans="1:22" x14ac:dyDescent="0.25">
      <c r="F24" s="130"/>
    </row>
    <row r="27" spans="1:22" x14ac:dyDescent="0.25">
      <c r="F27" s="388"/>
    </row>
    <row r="28" spans="1:22" x14ac:dyDescent="0.25">
      <c r="F28" s="387"/>
    </row>
    <row r="29" spans="1:22" x14ac:dyDescent="0.25">
      <c r="F29" s="387"/>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F6">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fRule type="colorScale" priority="100">
      <colorScale>
        <cfvo type="percentile" val="10"/>
        <cfvo type="percentile" val="50"/>
        <cfvo type="percentile" val="90"/>
        <color rgb="FFF8696B"/>
        <color rgb="FFFFEB84"/>
        <color rgb="FF63BE7B"/>
      </colorScale>
    </cfRule>
    <cfRule type="colorScale" priority="101">
      <colorScale>
        <cfvo type="percent" val="0"/>
        <cfvo type="percent" val="50"/>
        <cfvo type="percent" val="100"/>
        <color rgb="FFF8696B"/>
        <color rgb="FFFFEB84"/>
        <color rgb="FF63BE7B"/>
      </colorScale>
    </cfRule>
    <cfRule type="colorScale" priority="102">
      <colorScale>
        <cfvo type="percentile" val="10"/>
        <cfvo type="percentile" val="50"/>
        <cfvo type="percentile" val="90"/>
        <color rgb="FFF8696B"/>
        <color rgb="FFFFEB84"/>
        <color rgb="FF63BE7B"/>
      </colorScale>
    </cfRule>
    <cfRule type="colorScale" priority="103">
      <colorScale>
        <cfvo type="percent" val="20"/>
        <cfvo type="percent" val="50"/>
        <cfvo type="percent" val="100"/>
        <color rgb="FFF8696B"/>
        <color rgb="FFFFEB84"/>
        <color rgb="FF63BE7B"/>
      </colorScale>
    </cfRule>
    <cfRule type="colorScale" priority="104">
      <colorScale>
        <cfvo type="min"/>
        <cfvo type="percentile" val="50"/>
        <cfvo type="max"/>
        <color rgb="FFF8696B"/>
        <color rgb="FFFFEB84"/>
        <color rgb="FF63BE7B"/>
      </colorScale>
    </cfRule>
  </conditionalFormatting>
  <conditionalFormatting sqref="F11:F13">
    <cfRule type="colorScale" priority="137">
      <colorScale>
        <cfvo type="percentile" val="10"/>
        <cfvo type="percentile" val="50"/>
        <cfvo type="percentile" val="90"/>
        <color rgb="FFF8696B"/>
        <color rgb="FFFFEB84"/>
        <color rgb="FF63BE7B"/>
      </colorScale>
    </cfRule>
    <cfRule type="colorScale" priority="136">
      <colorScale>
        <cfvo type="percent" val="0"/>
        <cfvo type="percent" val="50"/>
        <cfvo type="percent" val="100"/>
        <color rgb="FFF8696B"/>
        <color rgb="FFFFEB84"/>
        <color rgb="FF63BE7B"/>
      </colorScale>
    </cfRule>
    <cfRule type="colorScale" priority="135">
      <colorScale>
        <cfvo type="percent" val="0"/>
        <cfvo type="percent" val="50"/>
        <cfvo type="percent" val="100"/>
        <color rgb="FFF8696B"/>
        <color rgb="FFFFEB84"/>
        <color rgb="FF63BE7B"/>
      </colorScale>
    </cfRule>
    <cfRule type="colorScale" priority="141">
      <colorScale>
        <cfvo type="min"/>
        <cfvo type="percentile" val="50"/>
        <cfvo type="max"/>
        <color rgb="FFF8696B"/>
        <color rgb="FFFFEB84"/>
        <color rgb="FF63BE7B"/>
      </colorScale>
    </cfRule>
    <cfRule type="colorScale" priority="140">
      <colorScale>
        <cfvo type="percent" val="20"/>
        <cfvo type="percent" val="50"/>
        <cfvo type="percent" val="100"/>
        <color rgb="FFF8696B"/>
        <color rgb="FFFFEB84"/>
        <color rgb="FF63BE7B"/>
      </colorScale>
    </cfRule>
    <cfRule type="colorScale" priority="139">
      <colorScale>
        <cfvo type="percentile" val="10"/>
        <cfvo type="percentile" val="50"/>
        <cfvo type="percentile" val="90"/>
        <color rgb="FFF8696B"/>
        <color rgb="FFFFEB84"/>
        <color rgb="FF63BE7B"/>
      </colorScale>
    </cfRule>
    <cfRule type="colorScale" priority="138">
      <colorScale>
        <cfvo type="percent" val="0"/>
        <cfvo type="percent" val="50"/>
        <cfvo type="percent" val="100"/>
        <color rgb="FFF8696B"/>
        <color rgb="FFFFEB84"/>
        <color rgb="FF63BE7B"/>
      </colorScale>
    </cfRule>
  </conditionalFormatting>
  <conditionalFormatting sqref="F18:F20">
    <cfRule type="colorScale" priority="122">
      <colorScale>
        <cfvo type="percentile" val="10"/>
        <cfvo type="percentile" val="50"/>
        <cfvo type="percentile" val="90"/>
        <color rgb="FFF8696B"/>
        <color rgb="FFFFEB84"/>
        <color rgb="FF63BE7B"/>
      </colorScale>
    </cfRule>
    <cfRule type="colorScale" priority="123">
      <colorScale>
        <cfvo type="percent" val="20"/>
        <cfvo type="percent" val="50"/>
        <cfvo type="percent" val="100"/>
        <color rgb="FFF8696B"/>
        <color rgb="FFFFEB84"/>
        <color rgb="FF63BE7B"/>
      </colorScale>
    </cfRule>
    <cfRule type="colorScale" priority="124">
      <colorScale>
        <cfvo type="min"/>
        <cfvo type="percentile" val="50"/>
        <cfvo type="max"/>
        <color rgb="FFF8696B"/>
        <color rgb="FFFFEB84"/>
        <color rgb="FF63BE7B"/>
      </colorScale>
    </cfRule>
    <cfRule type="colorScale" priority="115">
      <colorScale>
        <cfvo type="percent" val="0"/>
        <cfvo type="percent" val="50"/>
        <cfvo type="percent" val="100"/>
        <color rgb="FFF8696B"/>
        <color rgb="FFFFEB84"/>
        <color rgb="FF63BE7B"/>
      </colorScale>
    </cfRule>
    <cfRule type="colorScale" priority="116">
      <colorScale>
        <cfvo type="percent" val="20"/>
        <cfvo type="percent" val="60"/>
        <cfvo type="percent" val="90"/>
        <color rgb="FFF8696B"/>
        <color rgb="FFFFEB84"/>
        <color rgb="FF63BE7B"/>
      </colorScale>
    </cfRule>
    <cfRule type="colorScale" priority="117">
      <colorScale>
        <cfvo type="percent" val="0"/>
        <cfvo type="percent" val="50"/>
        <cfvo type="percent" val="100"/>
        <color rgb="FFF8696B"/>
        <color rgb="FFFFEB84"/>
        <color rgb="FF63BE7B"/>
      </colorScale>
    </cfRule>
    <cfRule type="colorScale" priority="118">
      <colorScale>
        <cfvo type="percent" val="0"/>
        <cfvo type="percent" val="50"/>
        <cfvo type="percent" val="100"/>
        <color rgb="FFF8696B"/>
        <color rgb="FFFFEB84"/>
        <color rgb="FF63BE7B"/>
      </colorScale>
    </cfRule>
    <cfRule type="colorScale" priority="119">
      <colorScale>
        <cfvo type="percent" val="0"/>
        <cfvo type="percent" val="50"/>
        <cfvo type="percent" val="100"/>
        <color rgb="FFF8696B"/>
        <color rgb="FFFFEB84"/>
        <color rgb="FF63BE7B"/>
      </colorScale>
    </cfRule>
    <cfRule type="colorScale" priority="120">
      <colorScale>
        <cfvo type="percentile" val="10"/>
        <cfvo type="percentile" val="50"/>
        <cfvo type="percentile" val="90"/>
        <color rgb="FFF8696B"/>
        <color rgb="FFFFEB84"/>
        <color rgb="FF63BE7B"/>
      </colorScale>
    </cfRule>
    <cfRule type="colorScale" priority="121">
      <colorScale>
        <cfvo type="percent" val="0"/>
        <cfvo type="percent" val="50"/>
        <cfvo type="percent" val="100"/>
        <color rgb="FFF8696B"/>
        <color rgb="FFFFEB84"/>
        <color rgb="FF63BE7B"/>
      </colorScale>
    </cfRule>
  </conditionalFormatting>
  <conditionalFormatting sqref="L4:L6">
    <cfRule type="colorScale" priority="105">
      <colorScale>
        <cfvo type="percent" val="0"/>
        <cfvo type="percent" val="50"/>
        <cfvo type="percent" val="100"/>
        <color rgb="FFF8696B"/>
        <color rgb="FFFFEB84"/>
        <color rgb="FF63BE7B"/>
      </colorScale>
    </cfRule>
  </conditionalFormatting>
  <conditionalFormatting sqref="L11:L13 N11:N13">
    <cfRule type="colorScale" priority="142">
      <colorScale>
        <cfvo type="percent" val="0"/>
        <cfvo type="percent" val="50"/>
        <cfvo type="percent" val="100"/>
        <color rgb="FFF8696B"/>
        <color rgb="FFFFEB84"/>
        <color rgb="FF63BE7B"/>
      </colorScale>
    </cfRule>
    <cfRule type="colorScale" priority="143">
      <colorScale>
        <cfvo type="percent" val="0"/>
        <cfvo type="percent" val="50"/>
        <cfvo type="percent" val="100"/>
        <color rgb="FFF8696B"/>
        <color rgb="FFFFEB84"/>
        <color rgb="FF63BE7B"/>
      </colorScale>
    </cfRule>
  </conditionalFormatting>
  <conditionalFormatting sqref="L18:L20">
    <cfRule type="colorScale" priority="125">
      <colorScale>
        <cfvo type="percent" val="0"/>
        <cfvo type="percent" val="50"/>
        <cfvo type="percent" val="100"/>
        <color rgb="FFF8696B"/>
        <color rgb="FFFFEB84"/>
        <color rgb="FF63BE7B"/>
      </colorScale>
    </cfRule>
  </conditionalFormatting>
  <conditionalFormatting sqref="L4:N6">
    <cfRule type="colorScale" priority="113">
      <colorScale>
        <cfvo type="percent" val="0"/>
        <cfvo type="percent" val="50"/>
        <cfvo type="percent" val="100"/>
        <color rgb="FFF8696B"/>
        <color rgb="FFFFEB84"/>
        <color rgb="FF63BE7B"/>
      </colorScale>
    </cfRule>
  </conditionalFormatting>
  <conditionalFormatting sqref="L11:N13">
    <cfRule type="colorScale" priority="151">
      <colorScale>
        <cfvo type="percent" val="0"/>
        <cfvo type="percentile" val="50"/>
        <cfvo type="percent" val="100"/>
        <color rgb="FFF8696B"/>
        <color rgb="FFFFEB84"/>
        <color rgb="FF63BE7B"/>
      </colorScale>
    </cfRule>
  </conditionalFormatting>
  <conditionalFormatting sqref="L18:N20">
    <cfRule type="colorScale" priority="133">
      <colorScale>
        <cfvo type="percent" val="0"/>
        <cfvo type="percent" val="50"/>
        <cfvo type="percent" val="100"/>
        <color rgb="FFF8696B"/>
        <color rgb="FFFFEB84"/>
        <color rgb="FF63BE7B"/>
      </colorScale>
    </cfRule>
  </conditionalFormatting>
  <conditionalFormatting sqref="M4:M6">
    <cfRule type="colorScale" priority="107">
      <colorScale>
        <cfvo type="percent" val="0"/>
        <cfvo type="percent" val="50"/>
        <cfvo type="percent" val="100"/>
        <color rgb="FFF8696B"/>
        <color rgb="FFFFEB84"/>
        <color rgb="FF63BE7B"/>
      </colorScale>
    </cfRule>
    <cfRule type="colorScale" priority="108">
      <colorScale>
        <cfvo type="percent" val="0"/>
        <cfvo type="percent" val="50"/>
        <cfvo type="percent" val="100"/>
        <color rgb="FFF8696B"/>
        <color rgb="FFFFEB84"/>
        <color rgb="FF63BE7B"/>
      </colorScale>
    </cfRule>
  </conditionalFormatting>
  <conditionalFormatting sqref="M11:M13">
    <cfRule type="colorScale" priority="149">
      <colorScale>
        <cfvo type="percent" val="0"/>
        <cfvo type="percent" val="50"/>
        <cfvo type="percent" val="100"/>
        <color rgb="FFF8696B"/>
        <color rgb="FFFFEB84"/>
        <color rgb="FF63BE7B"/>
      </colorScale>
    </cfRule>
    <cfRule type="colorScale" priority="150">
      <colorScale>
        <cfvo type="percent" val="0"/>
        <cfvo type="percent" val="50"/>
        <cfvo type="percent" val="100"/>
        <color rgb="FFF8696B"/>
        <color rgb="FFFFEB84"/>
        <color rgb="FF63BE7B"/>
      </colorScale>
    </cfRule>
  </conditionalFormatting>
  <conditionalFormatting sqref="M18:M20">
    <cfRule type="colorScale" priority="127">
      <colorScale>
        <cfvo type="percent" val="0"/>
        <cfvo type="percent" val="50"/>
        <cfvo type="percent" val="100"/>
        <color rgb="FFF8696B"/>
        <color rgb="FFFFEB84"/>
        <color rgb="FF63BE7B"/>
      </colorScale>
    </cfRule>
    <cfRule type="colorScale" priority="128">
      <colorScale>
        <cfvo type="percent" val="0"/>
        <cfvo type="percent" val="50"/>
        <cfvo type="percent" val="100"/>
        <color rgb="FFF8696B"/>
        <color rgb="FFFFEB84"/>
        <color rgb="FF63BE7B"/>
      </colorScale>
    </cfRule>
  </conditionalFormatting>
  <conditionalFormatting sqref="N4:N6">
    <cfRule type="colorScale" priority="111">
      <colorScale>
        <cfvo type="percent" val="0"/>
        <cfvo type="percent" val="50"/>
        <cfvo type="percent" val="100"/>
        <color rgb="FFF8696B"/>
        <color rgb="FFFFEB84"/>
        <color rgb="FF63BE7B"/>
      </colorScale>
    </cfRule>
    <cfRule type="colorScale" priority="110">
      <colorScale>
        <cfvo type="percent" val="0"/>
        <cfvo type="percent" val="50"/>
        <cfvo type="percent" val="100"/>
        <color rgb="FFF8696B"/>
        <color rgb="FFFFEB84"/>
        <color rgb="FF63BE7B"/>
      </colorScale>
    </cfRule>
  </conditionalFormatting>
  <conditionalFormatting sqref="N18:N20">
    <cfRule type="colorScale" priority="130">
      <colorScale>
        <cfvo type="percent" val="0"/>
        <cfvo type="percent" val="50"/>
        <cfvo type="percent" val="100"/>
        <color rgb="FFF8696B"/>
        <color rgb="FFFFEB84"/>
        <color rgb="FF63BE7B"/>
      </colorScale>
    </cfRule>
    <cfRule type="colorScale" priority="131">
      <colorScale>
        <cfvo type="percent" val="0"/>
        <cfvo type="percent" val="50"/>
        <cfvo type="percent" val="100"/>
        <color rgb="FFF8696B"/>
        <color rgb="FFFFEB84"/>
        <color rgb="FF63BE7B"/>
      </colorScale>
    </cfRule>
  </conditionalFormatting>
  <conditionalFormatting sqref="T4:T6">
    <cfRule type="colorScale" priority="106">
      <colorScale>
        <cfvo type="percent" val="0"/>
        <cfvo type="percent" val="50"/>
        <cfvo type="percent" val="100"/>
        <color rgb="FFF8696B"/>
        <color rgb="FFFFEB84"/>
        <color rgb="FF63BE7B"/>
      </colorScale>
    </cfRule>
  </conditionalFormatting>
  <conditionalFormatting sqref="T11:T13 V11:V13">
    <cfRule type="colorScale" priority="146">
      <colorScale>
        <cfvo type="percent" val="0"/>
        <cfvo type="percent" val="50"/>
        <cfvo type="percent" val="100"/>
        <color rgb="FFF8696B"/>
        <color rgb="FFFFEB84"/>
        <color rgb="FF63BE7B"/>
      </colorScale>
    </cfRule>
  </conditionalFormatting>
  <conditionalFormatting sqref="T18:T20">
    <cfRule type="colorScale" priority="126">
      <colorScale>
        <cfvo type="percent" val="0"/>
        <cfvo type="percent" val="50"/>
        <cfvo type="percent" val="100"/>
        <color rgb="FFF8696B"/>
        <color rgb="FFFFEB84"/>
        <color rgb="FF63BE7B"/>
      </colorScale>
    </cfRule>
  </conditionalFormatting>
  <conditionalFormatting sqref="T4:V6">
    <cfRule type="colorScale" priority="114">
      <colorScale>
        <cfvo type="percent" val="0"/>
        <cfvo type="percent" val="50"/>
        <cfvo type="percent" val="100"/>
        <color rgb="FFF8696B"/>
        <color rgb="FFFFEB84"/>
        <color rgb="FF63BE7B"/>
      </colorScale>
    </cfRule>
  </conditionalFormatting>
  <conditionalFormatting sqref="T11:V13">
    <cfRule type="colorScale" priority="152">
      <colorScale>
        <cfvo type="percent" val="0"/>
        <cfvo type="percent" val="50"/>
        <cfvo type="percent" val="100"/>
        <color rgb="FFF8696B"/>
        <color rgb="FFFFEB84"/>
        <color rgb="FF63BE7B"/>
      </colorScale>
    </cfRule>
  </conditionalFormatting>
  <conditionalFormatting sqref="T18:V20">
    <cfRule type="colorScale" priority="134">
      <colorScale>
        <cfvo type="percent" val="0"/>
        <cfvo type="percent" val="50"/>
        <cfvo type="percent" val="100"/>
        <color rgb="FFF8696B"/>
        <color rgb="FFFFEB84"/>
        <color rgb="FF63BE7B"/>
      </colorScale>
    </cfRule>
  </conditionalFormatting>
  <conditionalFormatting sqref="U4:U6">
    <cfRule type="colorScale" priority="109">
      <colorScale>
        <cfvo type="percent" val="0"/>
        <cfvo type="percent" val="50"/>
        <cfvo type="percent" val="100"/>
        <color rgb="FFF8696B"/>
        <color rgb="FFFFEB84"/>
        <color rgb="FF63BE7B"/>
      </colorScale>
    </cfRule>
  </conditionalFormatting>
  <conditionalFormatting sqref="U11:U13">
    <cfRule type="colorScale" priority="148">
      <colorScale>
        <cfvo type="percent" val="0"/>
        <cfvo type="percent" val="50"/>
        <cfvo type="percent" val="100"/>
        <color rgb="FFF8696B"/>
        <color rgb="FFFFEB84"/>
        <color rgb="FF63BE7B"/>
      </colorScale>
    </cfRule>
  </conditionalFormatting>
  <conditionalFormatting sqref="U18:U20">
    <cfRule type="colorScale" priority="129">
      <colorScale>
        <cfvo type="percent" val="0"/>
        <cfvo type="percent" val="50"/>
        <cfvo type="percent" val="100"/>
        <color rgb="FFF8696B"/>
        <color rgb="FFFFEB84"/>
        <color rgb="FF63BE7B"/>
      </colorScale>
    </cfRule>
  </conditionalFormatting>
  <conditionalFormatting sqref="V4:V6">
    <cfRule type="colorScale" priority="112">
      <colorScale>
        <cfvo type="percent" val="0"/>
        <cfvo type="percent" val="50"/>
        <cfvo type="percent" val="100"/>
        <color rgb="FFF8696B"/>
        <color rgb="FFFFEB84"/>
        <color rgb="FF63BE7B"/>
      </colorScale>
    </cfRule>
  </conditionalFormatting>
  <conditionalFormatting sqref="V18:V20">
    <cfRule type="colorScale" priority="132">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1632</v>
      </c>
      <c r="C1" s="36" t="s">
        <v>1633</v>
      </c>
      <c r="D1" s="36" t="s">
        <v>1634</v>
      </c>
      <c r="E1" s="36" t="s">
        <v>1635</v>
      </c>
      <c r="F1" s="36" t="s">
        <v>1636</v>
      </c>
      <c r="G1" s="37" t="s">
        <v>1637</v>
      </c>
      <c r="H1" s="12"/>
      <c r="I1" s="12"/>
      <c r="J1" s="12"/>
      <c r="K1" s="12"/>
      <c r="L1" s="13"/>
      <c r="M1" s="1"/>
      <c r="N1" s="11"/>
      <c r="X1" s="11"/>
      <c r="AB1" s="747" t="s">
        <v>1638</v>
      </c>
      <c r="AM1" s="747" t="s">
        <v>1639</v>
      </c>
    </row>
    <row r="2" spans="1:40" s="14" customFormat="1" ht="12" x14ac:dyDescent="0.2">
      <c r="A2" s="35" t="s">
        <v>1640</v>
      </c>
      <c r="B2" s="15">
        <v>42994</v>
      </c>
      <c r="C2" s="15">
        <v>43190</v>
      </c>
      <c r="D2" s="16" t="e">
        <f>#REF!</f>
        <v>#REF!</v>
      </c>
      <c r="E2" s="16" t="e">
        <f>#REF!</f>
        <v>#REF!</v>
      </c>
      <c r="F2" s="16">
        <f>(C2-B2)/7</f>
        <v>28</v>
      </c>
      <c r="G2" s="17" t="e">
        <f>E2/F2</f>
        <v>#REF!</v>
      </c>
      <c r="H2" s="18"/>
      <c r="I2" s="18"/>
      <c r="J2" s="18"/>
      <c r="K2" s="18"/>
      <c r="L2" s="19"/>
      <c r="M2" s="20"/>
      <c r="N2" s="21"/>
      <c r="X2" s="21"/>
      <c r="AB2" s="748"/>
      <c r="AM2" s="748"/>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49" t="s">
        <v>1641</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50"/>
      <c r="B5" s="47" t="s">
        <v>1642</v>
      </c>
      <c r="C5" s="47" t="s">
        <v>1643</v>
      </c>
      <c r="D5" s="47" t="s">
        <v>1644</v>
      </c>
      <c r="E5" s="47" t="s">
        <v>1645</v>
      </c>
      <c r="F5" s="47" t="s">
        <v>1646</v>
      </c>
      <c r="G5" s="47" t="s">
        <v>1647</v>
      </c>
      <c r="H5" s="47" t="s">
        <v>1648</v>
      </c>
      <c r="I5" s="47" t="s">
        <v>1649</v>
      </c>
      <c r="J5" s="47" t="s">
        <v>1650</v>
      </c>
      <c r="K5" s="47" t="s">
        <v>1651</v>
      </c>
      <c r="L5" s="47" t="s">
        <v>1652</v>
      </c>
      <c r="M5" s="47" t="s">
        <v>1653</v>
      </c>
      <c r="N5" s="47" t="s">
        <v>1654</v>
      </c>
      <c r="O5" s="47" t="s">
        <v>1655</v>
      </c>
      <c r="P5" s="47" t="s">
        <v>1656</v>
      </c>
      <c r="Q5" s="47" t="s">
        <v>1657</v>
      </c>
      <c r="R5" s="47" t="s">
        <v>1658</v>
      </c>
      <c r="S5" s="47" t="s">
        <v>1659</v>
      </c>
      <c r="T5" s="47" t="s">
        <v>1660</v>
      </c>
      <c r="U5" s="47" t="s">
        <v>1661</v>
      </c>
      <c r="V5" s="47" t="s">
        <v>1662</v>
      </c>
      <c r="W5" s="47" t="s">
        <v>1663</v>
      </c>
      <c r="X5" s="47" t="s">
        <v>1664</v>
      </c>
      <c r="Y5" s="47" t="s">
        <v>1665</v>
      </c>
      <c r="Z5" s="47" t="s">
        <v>1666</v>
      </c>
      <c r="AA5" s="47" t="s">
        <v>1667</v>
      </c>
      <c r="AB5" s="47" t="s">
        <v>1668</v>
      </c>
      <c r="AC5" s="47" t="s">
        <v>1669</v>
      </c>
      <c r="AD5" s="47" t="s">
        <v>1670</v>
      </c>
      <c r="AE5" s="47" t="s">
        <v>1671</v>
      </c>
      <c r="AF5" s="47" t="s">
        <v>1672</v>
      </c>
      <c r="AG5" s="47" t="s">
        <v>1673</v>
      </c>
      <c r="AH5" s="47" t="s">
        <v>1674</v>
      </c>
      <c r="AI5" s="47" t="s">
        <v>1675</v>
      </c>
      <c r="AJ5" s="47" t="s">
        <v>1676</v>
      </c>
      <c r="AK5" s="47" t="s">
        <v>1677</v>
      </c>
      <c r="AL5" s="66" t="s">
        <v>1678</v>
      </c>
      <c r="AM5" s="65" t="s">
        <v>1679</v>
      </c>
      <c r="AN5" s="50"/>
    </row>
    <row r="6" spans="1:40" ht="12" x14ac:dyDescent="0.2">
      <c r="A6" s="48" t="s">
        <v>1680</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1681</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49" t="s">
        <v>1682</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51"/>
      <c r="B10" s="32" t="s">
        <v>1642</v>
      </c>
      <c r="C10" s="32" t="s">
        <v>1643</v>
      </c>
      <c r="D10" s="32" t="s">
        <v>1644</v>
      </c>
      <c r="E10" s="32" t="s">
        <v>1645</v>
      </c>
      <c r="F10" s="32" t="s">
        <v>1646</v>
      </c>
      <c r="G10" s="32" t="s">
        <v>1647</v>
      </c>
      <c r="H10" s="32" t="s">
        <v>1648</v>
      </c>
      <c r="I10" s="32" t="s">
        <v>1649</v>
      </c>
      <c r="J10" s="32" t="s">
        <v>1650</v>
      </c>
      <c r="K10" s="32" t="s">
        <v>1651</v>
      </c>
      <c r="L10" s="32" t="s">
        <v>1652</v>
      </c>
      <c r="M10" s="32" t="s">
        <v>1653</v>
      </c>
      <c r="N10" s="32" t="s">
        <v>1654</v>
      </c>
      <c r="O10" s="32" t="s">
        <v>1655</v>
      </c>
      <c r="P10" s="32" t="s">
        <v>1656</v>
      </c>
      <c r="Q10" s="32" t="s">
        <v>1657</v>
      </c>
      <c r="R10" s="32" t="s">
        <v>1658</v>
      </c>
      <c r="S10" s="32" t="s">
        <v>1659</v>
      </c>
      <c r="T10" s="32" t="s">
        <v>1660</v>
      </c>
      <c r="U10" s="32" t="s">
        <v>1661</v>
      </c>
      <c r="V10" s="32" t="s">
        <v>1662</v>
      </c>
      <c r="W10" s="32" t="s">
        <v>1663</v>
      </c>
      <c r="X10" s="32" t="s">
        <v>1664</v>
      </c>
      <c r="Y10" s="32" t="s">
        <v>1665</v>
      </c>
      <c r="Z10" s="32" t="s">
        <v>1666</v>
      </c>
      <c r="AA10" s="32" t="s">
        <v>1667</v>
      </c>
      <c r="AB10" s="32" t="s">
        <v>1668</v>
      </c>
      <c r="AC10" s="32" t="s">
        <v>1669</v>
      </c>
      <c r="AD10" s="32" t="s">
        <v>1670</v>
      </c>
      <c r="AE10" s="32" t="s">
        <v>1671</v>
      </c>
      <c r="AF10" s="32" t="s">
        <v>1672</v>
      </c>
      <c r="AG10" s="32" t="s">
        <v>1673</v>
      </c>
      <c r="AH10" s="32" t="s">
        <v>1674</v>
      </c>
      <c r="AI10" s="32" t="s">
        <v>1675</v>
      </c>
      <c r="AJ10" s="64" t="s">
        <v>1676</v>
      </c>
      <c r="AK10" s="63" t="s">
        <v>1677</v>
      </c>
      <c r="AL10" s="47" t="s">
        <v>1678</v>
      </c>
      <c r="AM10" s="72" t="s">
        <v>1679</v>
      </c>
      <c r="AN10" s="68"/>
    </row>
    <row r="11" spans="1:40" x14ac:dyDescent="0.25">
      <c r="A11" s="42" t="s">
        <v>1680</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1681</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1683</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1684</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X213"/>
  <sheetViews>
    <sheetView topLeftCell="A58" zoomScaleNormal="100" workbookViewId="0">
      <selection activeCell="U82" sqref="U82"/>
    </sheetView>
  </sheetViews>
  <sheetFormatPr defaultColWidth="8.42578125" defaultRowHeight="15" x14ac:dyDescent="0.25"/>
  <cols>
    <col min="1" max="1" width="16.85546875" style="181" bestFit="1" customWidth="1"/>
    <col min="2" max="2" width="44.7109375" style="190" customWidth="1"/>
    <col min="3" max="3" width="9.85546875" style="190" bestFit="1" customWidth="1"/>
    <col min="4" max="4" width="39" style="181" customWidth="1"/>
    <col min="5" max="5" width="14.140625" style="190" bestFit="1" customWidth="1"/>
    <col min="6" max="6" width="11.140625" style="190" bestFit="1" customWidth="1"/>
    <col min="7" max="7" width="11.28515625" style="190" bestFit="1" customWidth="1"/>
    <col min="8" max="8" width="14.28515625" style="190" bestFit="1" customWidth="1"/>
    <col min="9" max="9" width="8.42578125" style="192" bestFit="1" customWidth="1"/>
    <col min="10" max="10" width="20" style="192" customWidth="1"/>
    <col min="11" max="11" width="13.140625" style="196" customWidth="1"/>
    <col min="12" max="12" width="15.140625" style="196" customWidth="1"/>
    <col min="13" max="13" width="12" style="197" customWidth="1"/>
    <col min="14" max="14" width="10.85546875" style="197" customWidth="1"/>
    <col min="15" max="15" width="13.42578125" style="196" customWidth="1"/>
    <col min="16" max="16" width="12.85546875" style="80" customWidth="1"/>
    <col min="17" max="17" width="10.85546875" style="80" customWidth="1"/>
    <col min="18" max="18" width="13.42578125" style="200" customWidth="1"/>
    <col min="19" max="19" width="10.140625" style="200" customWidth="1"/>
    <col min="20" max="20" width="10.7109375" style="201" customWidth="1"/>
    <col min="21" max="21" width="11.140625" style="181" customWidth="1"/>
    <col min="22" max="22" width="38.140625" style="181" customWidth="1"/>
    <col min="23" max="23" width="32.140625" style="181" customWidth="1"/>
    <col min="24" max="24" width="15.7109375" style="181" customWidth="1"/>
    <col min="25" max="16384" width="8.42578125" style="181"/>
  </cols>
  <sheetData>
    <row r="1" spans="1:24" s="177" customFormat="1" ht="19.5" thickBot="1" x14ac:dyDescent="0.3">
      <c r="A1" s="758" t="s">
        <v>1685</v>
      </c>
      <c r="B1" s="776"/>
      <c r="C1" s="776"/>
      <c r="D1" s="776"/>
      <c r="E1" s="776"/>
      <c r="F1" s="776"/>
      <c r="G1" s="776"/>
      <c r="H1" s="776"/>
      <c r="I1" s="776"/>
      <c r="J1" s="776"/>
      <c r="K1" s="776"/>
      <c r="L1" s="776"/>
      <c r="M1" s="776"/>
      <c r="N1" s="776"/>
      <c r="O1" s="776"/>
      <c r="P1" s="776"/>
      <c r="Q1" s="776"/>
      <c r="R1" s="776"/>
      <c r="S1" s="776"/>
      <c r="T1" s="776"/>
      <c r="U1" s="777"/>
      <c r="V1" s="176"/>
    </row>
    <row r="2" spans="1:24" s="187" customFormat="1" ht="18.75" x14ac:dyDescent="0.25">
      <c r="A2" s="752" t="s">
        <v>297</v>
      </c>
      <c r="B2" s="753"/>
      <c r="C2" s="753"/>
      <c r="D2" s="753"/>
      <c r="E2" s="753"/>
      <c r="F2" s="754"/>
      <c r="G2" s="380">
        <f>COUNTIF(G7:G208,"Yes")</f>
        <v>110</v>
      </c>
      <c r="H2" s="380">
        <f>COUNTIF(H7:H208,"Yes")</f>
        <v>102</v>
      </c>
      <c r="I2" s="772">
        <f>'Diags Raw Data'!K384</f>
        <v>472</v>
      </c>
      <c r="J2" s="782">
        <f>'Diags Raw Data'!L384</f>
        <v>779</v>
      </c>
      <c r="K2" s="784">
        <f>'Diags Raw Data'!N387</f>
        <v>1</v>
      </c>
      <c r="L2" s="786">
        <f>'Diags Raw Data'!P384</f>
        <v>0.99614890885750962</v>
      </c>
      <c r="M2" s="788">
        <f>'Diags Raw Data'!R384</f>
        <v>651</v>
      </c>
      <c r="N2" s="790">
        <f>SUM('Diags Raw Data'!T384+'Diags Raw Data'!U384)</f>
        <v>640</v>
      </c>
      <c r="O2" s="778">
        <f>IF((M211=0),0,N211/M211)</f>
        <v>0.98310291858678955</v>
      </c>
      <c r="P2" s="780">
        <f>'Diags Raw Data'!Z384</f>
        <v>665</v>
      </c>
      <c r="Q2" s="768">
        <f>SUM('Diags Raw Data'!AA384+'Diags Raw Data'!AB384)</f>
        <v>473</v>
      </c>
      <c r="R2" s="770">
        <f>IF((J211=0),0,P211/J211)</f>
        <v>0.85365853658536583</v>
      </c>
      <c r="S2" s="770">
        <f>IF((P211=0),0,Q211/P211)</f>
        <v>0.71127819548872184</v>
      </c>
      <c r="T2" s="770">
        <f>R211*S211</f>
        <v>0.60718870346598208</v>
      </c>
      <c r="U2" s="801"/>
      <c r="V2" s="186"/>
    </row>
    <row r="3" spans="1:24" ht="19.5" thickBot="1" x14ac:dyDescent="0.3">
      <c r="A3" s="755"/>
      <c r="B3" s="756"/>
      <c r="C3" s="756"/>
      <c r="D3" s="756"/>
      <c r="E3" s="756"/>
      <c r="F3" s="757"/>
      <c r="G3" s="381">
        <f>COUNTIF(G7:G208,"Yes")/COUNTA(A7:A208)</f>
        <v>0.8029197080291971</v>
      </c>
      <c r="H3" s="381">
        <f>(COUNTIF(H7:H208,"Yes")/G211)</f>
        <v>0.92727272727272725</v>
      </c>
      <c r="I3" s="773"/>
      <c r="J3" s="783"/>
      <c r="K3" s="785"/>
      <c r="L3" s="787"/>
      <c r="M3" s="789"/>
      <c r="N3" s="791"/>
      <c r="O3" s="779"/>
      <c r="P3" s="781"/>
      <c r="Q3" s="769"/>
      <c r="R3" s="771"/>
      <c r="S3" s="771"/>
      <c r="T3" s="771"/>
      <c r="U3" s="802"/>
      <c r="V3" s="180"/>
    </row>
    <row r="4" spans="1:24" ht="19.5" thickBot="1" x14ac:dyDescent="0.3">
      <c r="A4" s="792" t="s">
        <v>1686</v>
      </c>
      <c r="B4" s="793"/>
      <c r="C4" s="793"/>
      <c r="D4" s="793"/>
      <c r="E4" s="793"/>
      <c r="F4" s="793"/>
      <c r="G4" s="793"/>
      <c r="H4" s="793"/>
      <c r="I4" s="793"/>
      <c r="J4" s="793"/>
      <c r="K4" s="793"/>
      <c r="L4" s="793"/>
      <c r="M4" s="793"/>
      <c r="N4" s="793"/>
      <c r="O4" s="793"/>
      <c r="P4" s="793"/>
      <c r="Q4" s="793"/>
      <c r="R4" s="793"/>
      <c r="S4" s="793"/>
      <c r="T4" s="793"/>
      <c r="U4" s="794"/>
      <c r="V4" s="180"/>
    </row>
    <row r="5" spans="1:24" s="177" customFormat="1" ht="31.5" customHeight="1" thickBot="1" x14ac:dyDescent="0.3">
      <c r="A5" s="805" t="s">
        <v>71</v>
      </c>
      <c r="B5" s="806"/>
      <c r="C5" s="806"/>
      <c r="D5" s="806"/>
      <c r="E5" s="806"/>
      <c r="F5" s="806"/>
      <c r="G5" s="806"/>
      <c r="H5" s="806"/>
      <c r="I5" s="806"/>
      <c r="J5" s="807"/>
      <c r="K5" s="803" t="s">
        <v>108</v>
      </c>
      <c r="L5" s="804"/>
      <c r="M5" s="808" t="s">
        <v>119</v>
      </c>
      <c r="N5" s="809"/>
      <c r="O5" s="810"/>
      <c r="P5" s="811" t="s">
        <v>139</v>
      </c>
      <c r="Q5" s="812"/>
      <c r="R5" s="812"/>
      <c r="S5" s="812"/>
      <c r="T5" s="812"/>
      <c r="U5" s="813"/>
      <c r="V5" s="176"/>
    </row>
    <row r="6" spans="1:24" s="178" customFormat="1" ht="30.75" thickBot="1" x14ac:dyDescent="0.3">
      <c r="A6" s="336" t="s">
        <v>72</v>
      </c>
      <c r="B6" s="363" t="s">
        <v>76</v>
      </c>
      <c r="C6" s="363" t="s">
        <v>91</v>
      </c>
      <c r="D6" s="363" t="s">
        <v>207</v>
      </c>
      <c r="E6" s="363" t="s">
        <v>83</v>
      </c>
      <c r="F6" s="363" t="s">
        <v>1</v>
      </c>
      <c r="G6" s="364" t="s">
        <v>210</v>
      </c>
      <c r="H6" s="364" t="s">
        <v>213</v>
      </c>
      <c r="I6" s="365" t="s">
        <v>100</v>
      </c>
      <c r="J6" s="365" t="s">
        <v>216</v>
      </c>
      <c r="K6" s="338" t="s">
        <v>109</v>
      </c>
      <c r="L6" s="339" t="s">
        <v>116</v>
      </c>
      <c r="M6" s="329" t="s">
        <v>222</v>
      </c>
      <c r="N6" s="330" t="s">
        <v>224</v>
      </c>
      <c r="O6" s="328" t="s">
        <v>182</v>
      </c>
      <c r="P6" s="340" t="s">
        <v>227</v>
      </c>
      <c r="Q6" s="331" t="s">
        <v>224</v>
      </c>
      <c r="R6" s="332" t="s">
        <v>179</v>
      </c>
      <c r="S6" s="332" t="s">
        <v>135</v>
      </c>
      <c r="T6" s="333" t="s">
        <v>182</v>
      </c>
      <c r="U6" s="334" t="s">
        <v>152</v>
      </c>
      <c r="V6" s="583" t="s">
        <v>1687</v>
      </c>
      <c r="W6" s="584" t="s">
        <v>1688</v>
      </c>
      <c r="X6" s="178" t="s">
        <v>52</v>
      </c>
    </row>
    <row r="7" spans="1:24" ht="138.6" customHeight="1" x14ac:dyDescent="0.25">
      <c r="A7" s="563" t="s">
        <v>1359</v>
      </c>
      <c r="B7" s="434" t="str">
        <f>VLOOKUP(A7,'Feature Raw Data'!$A$3:$B$4204,2,FALSE)</f>
        <v>MMHUB:SOC - SOC-15 SDP Interfaces</v>
      </c>
      <c r="C7" s="435" t="str">
        <f>VLOOKUP(A7,'Feature Raw Data'!$A$3:$C$4204,3,FALSE)</f>
        <v>P1</v>
      </c>
      <c r="D7" s="436" t="str" cm="1">
        <f t="array" ref="D7">_xlfn.TEXTJOIN("",TRUE,IF(ISNUMBER(SEARCH($A7,'Diags Raw Data'!$A$6:$A$3992)),CONCATENATE('Diags Raw Data'!$H$6:$H$3992,", "),""))</f>
        <v xml:space="preserve">mhub001.1, mhub001.2, mhub001.3, mhub001.4, mhub001.5, mhub001.6, mhub001.7, mhub001.9, mhub002.1-15, mhub002.1-15, mhub002.16, mhub002.16, mhub002.17, mhub002.18, </v>
      </c>
      <c r="E7" s="437" t="e">
        <f>VLOOKUP(A7,'Diags Raw Data'!$A$6:$D$3992,4,FALSE)</f>
        <v>#N/A</v>
      </c>
      <c r="F7" s="437" t="str">
        <f>VLOOKUP(A7,'Feature Raw Data'!$A$3:$E$4204,5,FALSE)</f>
        <v>Delta</v>
      </c>
      <c r="G7" s="437" t="str">
        <f>IF(D7="","No","Yes")</f>
        <v>Yes</v>
      </c>
      <c r="H7" s="437" t="str">
        <f t="shared" ref="H7:H41" si="0">IF(D7="","No","Yes")</f>
        <v>Yes</v>
      </c>
      <c r="I7" s="435">
        <f>SUMIF('Diags Raw Data'!$A$6:$A$3992,"*"&amp;$A7&amp;"*",'Diags Raw Data'!$K$6:$K$3992)</f>
        <v>14</v>
      </c>
      <c r="J7" s="438">
        <f>SUMIF('Diags Raw Data'!$A$6:$A$3992,"*"&amp;$A7&amp;"*",'Diags Raw Data'!$L$6:$L$3992)</f>
        <v>42</v>
      </c>
      <c r="K7" s="485" t="e" cm="1">
        <f t="array" ref="K7">IF(D7="",0, SUMPRODUCT(--(ISNUMBER(SEARCH($A7,'Diags Raw Data'!$A$6:$A$3992))),'Diags Raw Data'!$L$6:$L$3992,'Diags Raw Data'!$N$6:$N$3995)/J7)</f>
        <v>#VALUE!</v>
      </c>
      <c r="L7" s="486" cm="1">
        <f t="array" ref="L7">IF(D7="",0, SUMPRODUCT(--(ISNUMBER(SEARCH($A7,'Diags Raw Data'!$A$6:$A$3992))),'Diags Raw Data'!$L$6:$L$3992,'Diags Raw Data'!$P$6:$P$3992)/J7)</f>
        <v>1</v>
      </c>
      <c r="M7" s="487" cm="1">
        <f t="array" ref="M7">SUMPRODUCT(--(ISNUMBER(SEARCH($A7,'Diags Raw Data'!$A$6:$A$3992))),--('Diags Raw Data'!$Q$6:$Q$3992&lt;&gt;"N/A"),'Diags Raw Data'!$R$6:$R$3992)</f>
        <v>42</v>
      </c>
      <c r="N7" s="488" cm="1">
        <f t="array" ref="N7">SUMPRODUCT(--(ISNUMBER(SEARCH($A7,'Diags Raw Data'!$A$6:$A$3992))),--('Diags Raw Data'!$Q$6:$Q$3992&lt;&gt;"N/A"),'Diags Raw Data'!$T$6:$T$3992)+SUMPRODUCT(--(ISNUMBER(SEARCH($A7,'Diags Raw Data'!$A$6:$A$3992))),--('Diags Raw Data'!$Q$6:$Q$3992&lt;&gt;"N/A"),'Diags Raw Data'!$U$6:$U$3992)</f>
        <v>42</v>
      </c>
      <c r="O7" s="489">
        <f>IF((M7=0),0,N7/M7)</f>
        <v>1</v>
      </c>
      <c r="P7" s="490">
        <f>SUMIF('Diags Raw Data'!$A$6:$A$3992,"*"&amp;$A7&amp;"*",'Diags Raw Data'!$Z$6:$Z$3992)</f>
        <v>42</v>
      </c>
      <c r="Q7" s="491">
        <f>SUM(SUMIF('Diags Raw Data'!$A$6:$A$3992,"*"&amp;$A7&amp;"*",'Diags Raw Data'!$AA$6:$AA$3992),SUMIF('Diags Raw Data'!$A$6:$A$3992,"*"&amp;$A7&amp;"*",'Diags Raw Data'!$AB$6:$AB$3992))</f>
        <v>42</v>
      </c>
      <c r="R7" s="492">
        <f>IF((J7=0),0,P7/J7)</f>
        <v>1</v>
      </c>
      <c r="S7" s="492">
        <f>IF((P7=0),0,Q7/P7)</f>
        <v>1</v>
      </c>
      <c r="T7" s="493">
        <f>R7*S7</f>
        <v>1</v>
      </c>
      <c r="U7" s="570" t="s">
        <v>1689</v>
      </c>
      <c r="V7" s="180"/>
    </row>
    <row r="8" spans="1:24" ht="58.9" customHeight="1" x14ac:dyDescent="0.25">
      <c r="A8" s="564" t="s">
        <v>1361</v>
      </c>
      <c r="B8" s="439" t="str">
        <f>VLOOKUP(A8,'Feature Raw Data'!$A$3:$B$4204,2,FALSE)</f>
        <v>MMHUB:SOC - SOC-15 SCF/SMN interfaces</v>
      </c>
      <c r="C8" s="440" t="str">
        <f>VLOOKUP(A8,'Feature Raw Data'!$A$3:$C$4204,3,FALSE)</f>
        <v>P2</v>
      </c>
      <c r="D8" s="441" t="str" cm="1">
        <f t="array" ref="D8">_xlfn.TEXTJOIN("",TRUE,IF(ISNUMBER(SEARCH($A8,'Diags Raw Data'!$A$6:$A$3992)),CONCATENATE('Diags Raw Data'!$H$6:$H$3992,", "),""))</f>
        <v xml:space="preserve">mhub001.1, mhub001.2, mhub001.3, mhub001.4, mhub001.5, mhub001.6, mhub001.7, mhub001.9, mhub002.1-15, mhub002.1-15, mhub002.16, mhub002.16, mhub002.17, mhub002.18, </v>
      </c>
      <c r="E8" s="325" t="e">
        <f>VLOOKUP(A8,'Diags Raw Data'!$A$6:$D$3992,4,FALSE)</f>
        <v>#N/A</v>
      </c>
      <c r="F8" s="325" t="str">
        <f>VLOOKUP(A8,'Feature Raw Data'!$A$3:$E$4204,5,FALSE)</f>
        <v>Legacy</v>
      </c>
      <c r="G8" s="325" t="str">
        <f>IF(D8="","No","Yes")</f>
        <v>Yes</v>
      </c>
      <c r="H8" s="325" t="str">
        <f t="shared" si="0"/>
        <v>Yes</v>
      </c>
      <c r="I8" s="440">
        <f>SUMIF('Diags Raw Data'!$A$6:$A$3992,"*"&amp;$A8&amp;"*",'Diags Raw Data'!$K$6:$K$3992)</f>
        <v>14</v>
      </c>
      <c r="J8" s="442">
        <f>SUMIF('Diags Raw Data'!$A$6:$A$3992,"*"&amp;$A8&amp;"*",'Diags Raw Data'!$L$6:$L$3992)</f>
        <v>42</v>
      </c>
      <c r="K8" s="494" t="e" cm="1">
        <f t="array" ref="K8">IF(D8="",0, SUMPRODUCT(--(ISNUMBER(SEARCH($A8,'Diags Raw Data'!$A$6:$A$3992))),'Diags Raw Data'!$L$6:$L$3992,'Diags Raw Data'!$N$6:$N$3995)/J8)</f>
        <v>#VALUE!</v>
      </c>
      <c r="L8" s="495" cm="1">
        <f t="array" ref="L8">IF(D8="",0, SUMPRODUCT(--(ISNUMBER(SEARCH($A8,'Diags Raw Data'!$A$6:$A$3992))),'Diags Raw Data'!$L$6:$L$3992,'Diags Raw Data'!$P$6:$P$3992)/J8)</f>
        <v>1</v>
      </c>
      <c r="M8" s="496" cm="1">
        <f t="array" ref="M8">SUMPRODUCT(--(ISNUMBER(SEARCH($A8,'Diags Raw Data'!$A$6:$A$3992))),--('Diags Raw Data'!$Q$6:$Q$3992&lt;&gt;"N/A"),'Diags Raw Data'!$R$6:$R$3992)</f>
        <v>42</v>
      </c>
      <c r="N8" s="497" cm="1">
        <f t="array" ref="N8">SUMPRODUCT(--(ISNUMBER(SEARCH($A8,'Diags Raw Data'!$A$6:$A$3992))),--('Diags Raw Data'!$Q$6:$Q$3992&lt;&gt;"N/A"),'Diags Raw Data'!$T$6:$T$3992)+SUMPRODUCT(--(ISNUMBER(SEARCH($A8,'Diags Raw Data'!$A$6:$A$3992))),--('Diags Raw Data'!$Q$6:$Q$3992&lt;&gt;"N/A"),'Diags Raw Data'!$U$6:$U$3992)</f>
        <v>42</v>
      </c>
      <c r="O8" s="498">
        <f t="shared" ref="O8:O73" si="1">IF((M8=0),0,N8/M8)</f>
        <v>1</v>
      </c>
      <c r="P8" s="499">
        <f>SUMIF('Diags Raw Data'!$A$6:$A$3992,"*"&amp;$A8&amp;"*",'Diags Raw Data'!$Z$6:$Z$3992)</f>
        <v>42</v>
      </c>
      <c r="Q8" s="500">
        <f>SUM(SUMIF('Diags Raw Data'!$A$6:$A$3992,"*"&amp;$A8&amp;"*",'Diags Raw Data'!$AA$6:$AA$3992),SUMIF('Diags Raw Data'!$A$6:$A$3992,"*"&amp;$A8&amp;"*",'Diags Raw Data'!$AB$6:$AB$3992))</f>
        <v>42</v>
      </c>
      <c r="R8" s="501">
        <f t="shared" ref="R8:R73" si="2">IF((J8=0),0,P8/J8)</f>
        <v>1</v>
      </c>
      <c r="S8" s="501">
        <f t="shared" ref="S8:S73" si="3">IF((P8=0),0,Q8/P8)</f>
        <v>1</v>
      </c>
      <c r="T8" s="502">
        <f t="shared" ref="T8:T73" si="4">R8*S8</f>
        <v>1</v>
      </c>
      <c r="U8" s="570" t="s">
        <v>1689</v>
      </c>
      <c r="V8" s="180"/>
    </row>
    <row r="9" spans="1:24" ht="60.6" customHeight="1" x14ac:dyDescent="0.25">
      <c r="A9" s="564" t="s">
        <v>1364</v>
      </c>
      <c r="B9" s="439" t="str">
        <f>VLOOKUP(A9,'Feature Raw Data'!$A$3:$B$4204,2,FALSE)</f>
        <v>MMHUB:SOC - AXI4 client interface</v>
      </c>
      <c r="C9" s="440" t="str">
        <f>VLOOKUP(A9,'Feature Raw Data'!$A$3:$C$4204,3,FALSE)</f>
        <v>P1</v>
      </c>
      <c r="D9" s="441" t="str" cm="1">
        <f t="array" ref="D9">_xlfn.TEXTJOIN("",TRUE,IF(ISNUMBER(SEARCH($A9,'Diags Raw Data'!$A$6:$A$3992)),CONCATENATE('Diags Raw Data'!$H$6:$H$3992,", "),""))</f>
        <v xml:space="preserve">mhub001.1, mhub001.2, mhub001.3, mhub001.4, mhub001.5, mhub001.6, mhub001.7, mhub001.9, mhub002.1-15, mhub002.1-15, mhub002.16, mhub002.16, mhub002.17, mhub002.18, mhub164.1, </v>
      </c>
      <c r="E9" s="325" t="e">
        <f>VLOOKUP(A9,'Diags Raw Data'!$A$6:$D$3992,4,FALSE)</f>
        <v>#N/A</v>
      </c>
      <c r="F9" s="325" t="str">
        <f>VLOOKUP(A9,'Feature Raw Data'!$A$3:$E$4204,5,FALSE)</f>
        <v>Delta</v>
      </c>
      <c r="G9" s="325" t="str">
        <f t="shared" ref="G9:G41" si="5">IF(D9="","No","Yes")</f>
        <v>Yes</v>
      </c>
      <c r="H9" s="325" t="str">
        <f t="shared" si="0"/>
        <v>Yes</v>
      </c>
      <c r="I9" s="440">
        <f>SUMIF('Diags Raw Data'!$A$6:$A$3992,"*"&amp;$A9&amp;"*",'Diags Raw Data'!$K$6:$K$3992)</f>
        <v>26</v>
      </c>
      <c r="J9" s="442">
        <f>SUMIF('Diags Raw Data'!$A$6:$A$3992,"*"&amp;$A9&amp;"*",'Diags Raw Data'!$L$6:$L$3992)</f>
        <v>43</v>
      </c>
      <c r="K9" s="494" t="e" cm="1">
        <f t="array" ref="K9">IF(D9="",0, SUMPRODUCT(--(ISNUMBER(SEARCH($A9,'Diags Raw Data'!$A$6:$A$3992))),'Diags Raw Data'!$L$6:$L$3992,'Diags Raw Data'!$N$6:$N$3995)/J9)</f>
        <v>#VALUE!</v>
      </c>
      <c r="L9" s="495" cm="1">
        <f t="array" ref="L9">IF(D9="",0, SUMPRODUCT(--(ISNUMBER(SEARCH($A9,'Diags Raw Data'!$A$6:$A$3992))),'Diags Raw Data'!$L$6:$L$3992,'Diags Raw Data'!$P$6:$P$3992)/J9)</f>
        <v>1</v>
      </c>
      <c r="M9" s="496" cm="1">
        <f t="array" ref="M9">SUMPRODUCT(--(ISNUMBER(SEARCH($A9,'Diags Raw Data'!$A$6:$A$3992))),--('Diags Raw Data'!$Q$6:$Q$3992&lt;&gt;"N/A"),'Diags Raw Data'!$R$6:$R$3992)</f>
        <v>43</v>
      </c>
      <c r="N9" s="497" cm="1">
        <f t="array" ref="N9">SUMPRODUCT(--(ISNUMBER(SEARCH($A9,'Diags Raw Data'!$A$6:$A$3992))),--('Diags Raw Data'!$Q$6:$Q$3992&lt;&gt;"N/A"),'Diags Raw Data'!$T$6:$T$3992)+SUMPRODUCT(--(ISNUMBER(SEARCH($A9,'Diags Raw Data'!$A$6:$A$3992))),--('Diags Raw Data'!$Q$6:$Q$3992&lt;&gt;"N/A"),'Diags Raw Data'!$U$6:$U$3992)</f>
        <v>43</v>
      </c>
      <c r="O9" s="498">
        <f t="shared" si="1"/>
        <v>1</v>
      </c>
      <c r="P9" s="499">
        <f>SUMIF('Diags Raw Data'!$A$6:$A$3992,"*"&amp;$A9&amp;"*",'Diags Raw Data'!$Z$6:$Z$3992)</f>
        <v>43</v>
      </c>
      <c r="Q9" s="500">
        <f>SUM(SUMIF('Diags Raw Data'!$A$6:$A$3992,"*"&amp;$A9&amp;"*",'Diags Raw Data'!$AA$6:$AA$3992),SUMIF('Diags Raw Data'!$A$6:$A$3992,"*"&amp;$A9&amp;"*",'Diags Raw Data'!$AB$6:$AB$3992))</f>
        <v>42</v>
      </c>
      <c r="R9" s="501">
        <f t="shared" si="2"/>
        <v>1</v>
      </c>
      <c r="S9" s="501">
        <f t="shared" si="3"/>
        <v>0.97674418604651159</v>
      </c>
      <c r="T9" s="502">
        <f t="shared" si="4"/>
        <v>0.97674418604651159</v>
      </c>
      <c r="U9" s="570" t="s">
        <v>1690</v>
      </c>
      <c r="V9" s="180"/>
    </row>
    <row r="10" spans="1:24" hidden="1" x14ac:dyDescent="0.25">
      <c r="A10" s="564" t="s">
        <v>1366</v>
      </c>
      <c r="B10" s="439" t="str">
        <f>VLOOKUP(A10,'Feature Raw Data'!$A$3:$B$4204,2,FALSE)</f>
        <v>MMHUB:SOC - OpenCL Platform Atomics</v>
      </c>
      <c r="C10" s="440" t="str">
        <f>VLOOKUP(A10,'Feature Raw Data'!$A$3:$C$4204,3,FALSE)</f>
        <v>P2</v>
      </c>
      <c r="D10" s="441" t="str" cm="1">
        <f t="array" ref="D10">_xlfn.TEXTJOIN("",TRUE,IF(ISNUMBER(SEARCH($A10,'Diags Raw Data'!$A$6:$A$3992)),CONCATENATE('Diags Raw Data'!$H$6:$H$3992,", "),""))</f>
        <v xml:space="preserve">vcn005.1-4, </v>
      </c>
      <c r="E10" s="325" t="e">
        <f>VLOOKUP(A10,'Diags Raw Data'!$A$6:$D$3992,4,FALSE)</f>
        <v>#N/A</v>
      </c>
      <c r="F10" s="325" t="str">
        <f>VLOOKUP(A10,'Feature Raw Data'!$A$3:$E$4204,5,FALSE)</f>
        <v>Legacy</v>
      </c>
      <c r="G10" s="325" t="str">
        <f t="shared" ref="G10" si="6">IF(D10="","No","Yes")</f>
        <v>Yes</v>
      </c>
      <c r="H10" s="325" t="str">
        <f t="shared" ref="H10" si="7">IF(D10="","No","Yes")</f>
        <v>Yes</v>
      </c>
      <c r="I10" s="440">
        <f>SUMIF('Diags Raw Data'!$A$6:$A$3992,"*"&amp;$A10&amp;"*",'Diags Raw Data'!$K$6:$K$3992)</f>
        <v>0</v>
      </c>
      <c r="J10" s="442">
        <f>SUMIF('Diags Raw Data'!$A$6:$A$3992,"*"&amp;$A10&amp;"*",'Diags Raw Data'!$L$6:$L$3992)</f>
        <v>0</v>
      </c>
      <c r="K10" s="494" t="e" cm="1">
        <f t="array" ref="K10">IF(D10="",0, SUMPRODUCT(--(ISNUMBER(SEARCH($A10,'Diags Raw Data'!$A$6:$A$3992))),'Diags Raw Data'!$L$6:$L$3992,'Diags Raw Data'!$N$6:$N$3995)/J10)</f>
        <v>#VALUE!</v>
      </c>
      <c r="L10" s="495" t="e" cm="1">
        <f t="array" ref="L10">IF(D10="",0, SUMPRODUCT(--(ISNUMBER(SEARCH($A10,'Diags Raw Data'!$A$6:$A$3992))),'Diags Raw Data'!$L$6:$L$3992,'Diags Raw Data'!$P$6:$P$3992)/J10)</f>
        <v>#DIV/0!</v>
      </c>
      <c r="M10" s="496" cm="1">
        <f t="array" ref="M10">SUMPRODUCT(--(ISNUMBER(SEARCH($A10,'Diags Raw Data'!$A$6:$A$3992))),--('Diags Raw Data'!$Q$6:$Q$3992&lt;&gt;"N/A"),'Diags Raw Data'!$R$6:$R$3992)</f>
        <v>0</v>
      </c>
      <c r="N10" s="497" cm="1">
        <f t="array" ref="N10">SUMPRODUCT(--(ISNUMBER(SEARCH($A10,'Diags Raw Data'!$A$6:$A$3992))),--('Diags Raw Data'!$Q$6:$Q$3992&lt;&gt;"N/A"),'Diags Raw Data'!$T$6:$T$3992)+SUMPRODUCT(--(ISNUMBER(SEARCH($A10,'Diags Raw Data'!$A$6:$A$3992))),--('Diags Raw Data'!$Q$6:$Q$3992&lt;&gt;"N/A"),'Diags Raw Data'!$U$6:$U$3992)</f>
        <v>0</v>
      </c>
      <c r="O10" s="498">
        <f t="shared" ref="O10" si="8">IF((M10=0),0,N10/M10)</f>
        <v>0</v>
      </c>
      <c r="P10" s="499">
        <f>SUMIF('Diags Raw Data'!$A$6:$A$3992,"*"&amp;$A10&amp;"*",'Diags Raw Data'!$Z$6:$Z$3992)</f>
        <v>0</v>
      </c>
      <c r="Q10" s="500">
        <f>SUM(SUMIF('Diags Raw Data'!$A$6:$A$3992,"*"&amp;$A10&amp;"*",'Diags Raw Data'!$AA$6:$AA$3992),SUMIF('Diags Raw Data'!$A$6:$A$3992,"*"&amp;$A10&amp;"*",'Diags Raw Data'!$AB$6:$AB$3992))</f>
        <v>0</v>
      </c>
      <c r="R10" s="501">
        <f t="shared" ref="R10" si="9">IF((J10=0),0,P10/J10)</f>
        <v>0</v>
      </c>
      <c r="S10" s="501">
        <f t="shared" ref="S10" si="10">IF((P10=0),0,Q10/P10)</f>
        <v>0</v>
      </c>
      <c r="T10" s="502">
        <f t="shared" ref="T10" si="11">R10*S10</f>
        <v>0</v>
      </c>
      <c r="U10" s="570" t="s">
        <v>1690</v>
      </c>
      <c r="V10" s="180"/>
    </row>
    <row r="11" spans="1:24" hidden="1" x14ac:dyDescent="0.25">
      <c r="A11" s="564"/>
      <c r="B11" s="439"/>
      <c r="C11" s="440"/>
      <c r="D11" s="441"/>
      <c r="E11" s="325"/>
      <c r="F11" s="325"/>
      <c r="G11" s="325"/>
      <c r="H11" s="325"/>
      <c r="I11" s="440"/>
      <c r="J11" s="442"/>
      <c r="K11" s="494"/>
      <c r="L11" s="495"/>
      <c r="M11" s="496"/>
      <c r="N11" s="497"/>
      <c r="O11" s="498"/>
      <c r="P11" s="499"/>
      <c r="Q11" s="500"/>
      <c r="R11" s="501"/>
      <c r="S11" s="501"/>
      <c r="T11" s="502"/>
      <c r="U11" s="570"/>
      <c r="V11" s="180"/>
    </row>
    <row r="12" spans="1:24" ht="25.5" hidden="1" customHeight="1" x14ac:dyDescent="0.25">
      <c r="A12" s="564"/>
      <c r="B12" s="439"/>
      <c r="C12" s="440"/>
      <c r="D12" s="441"/>
      <c r="E12" s="325"/>
      <c r="F12" s="325"/>
      <c r="G12" s="325"/>
      <c r="H12" s="325"/>
      <c r="I12" s="440"/>
      <c r="J12" s="442"/>
      <c r="K12" s="494"/>
      <c r="L12" s="495"/>
      <c r="M12" s="496"/>
      <c r="N12" s="497"/>
      <c r="O12" s="498"/>
      <c r="P12" s="499"/>
      <c r="Q12" s="500"/>
      <c r="R12" s="501"/>
      <c r="S12" s="501"/>
      <c r="T12" s="502"/>
      <c r="U12" s="570"/>
      <c r="V12" s="180"/>
    </row>
    <row r="13" spans="1:24" ht="30" hidden="1" x14ac:dyDescent="0.25">
      <c r="A13" s="564" t="s">
        <v>1476</v>
      </c>
      <c r="B13" s="439" t="str">
        <f>VLOOKUP(A13,'Feature Raw Data'!$A$3:$B$4204,2,FALSE)</f>
        <v>MMHUB:DAGB - Clock Gating (was Repeater FGCG in tap chain)</v>
      </c>
      <c r="C13" s="440" t="str">
        <f>VLOOKUP(A13,'Feature Raw Data'!$A$3:$C$4204,3,FALSE)</f>
        <v>P2</v>
      </c>
      <c r="D13" s="441" t="str" cm="1">
        <f t="array" ref="D13">_xlfn.TEXTJOIN("",TRUE,IF(ISNUMBER(SEARCH($A13,'Diags Raw Data'!$A$6:$A$3992)),CONCATENATE('Diags Raw Data'!$H$6:$H$3992,", "),""))</f>
        <v/>
      </c>
      <c r="E13" s="325" t="e">
        <f>VLOOKUP(A13,'Diags Raw Data'!$A$6:$D$3992,4,FALSE)</f>
        <v>#N/A</v>
      </c>
      <c r="F13" s="325" t="str">
        <f>VLOOKUP(A13,'Feature Raw Data'!$A$3:$E$4204,5,FALSE)</f>
        <v>Legacy</v>
      </c>
      <c r="G13" s="325" t="str">
        <f t="shared" ref="G13" si="12">IF(D13="","No","Yes")</f>
        <v>No</v>
      </c>
      <c r="H13" s="325" t="str">
        <f t="shared" ref="H13" si="13">IF(D13="","No","Yes")</f>
        <v>No</v>
      </c>
      <c r="I13" s="440">
        <f>SUMIF('Diags Raw Data'!$A$6:$A$3992,"*"&amp;$A13&amp;"*",'Diags Raw Data'!$K$6:$K$3992)</f>
        <v>0</v>
      </c>
      <c r="J13" s="442">
        <f>SUMIF('Diags Raw Data'!$A$6:$A$3992,"*"&amp;$A13&amp;"*",'Diags Raw Data'!$L$6:$L$3992)</f>
        <v>0</v>
      </c>
      <c r="K13" s="494" cm="1">
        <f t="array" ref="K13">IF(D13="",0, SUMPRODUCT(--(ISNUMBER(SEARCH($A13,'Diags Raw Data'!$A$6:$A$3992))),'Diags Raw Data'!$L$6:$L$3992,'Diags Raw Data'!$N$6:$N$3995)/J13)</f>
        <v>0</v>
      </c>
      <c r="L13" s="495" cm="1">
        <f t="array" ref="L13">IF(D13="",0, SUMPRODUCT(--(ISNUMBER(SEARCH($A13,'Diags Raw Data'!$A$6:$A$3992))),'Diags Raw Data'!$L$6:$L$3992,'Diags Raw Data'!$P$6:$P$3992)/J13)</f>
        <v>0</v>
      </c>
      <c r="M13" s="496" cm="1">
        <f t="array" ref="M13">SUMPRODUCT(--(ISNUMBER(SEARCH($A13,'Diags Raw Data'!$A$6:$A$3992))),--('Diags Raw Data'!$Q$6:$Q$3992&lt;&gt;"N/A"),'Diags Raw Data'!$R$6:$R$3992)</f>
        <v>0</v>
      </c>
      <c r="N13" s="497" cm="1">
        <f t="array" ref="N13">SUMPRODUCT(--(ISNUMBER(SEARCH($A13,'Diags Raw Data'!$A$6:$A$3992))),--('Diags Raw Data'!$Q$6:$Q$3992&lt;&gt;"N/A"),'Diags Raw Data'!$T$6:$T$3992)+SUMPRODUCT(--(ISNUMBER(SEARCH($A13,'Diags Raw Data'!$A$6:$A$3992))),--('Diags Raw Data'!$Q$6:$Q$3992&lt;&gt;"N/A"),'Diags Raw Data'!$U$6:$U$3992)</f>
        <v>0</v>
      </c>
      <c r="O13" s="498">
        <f>IF((M13=0),0,N13/M13)</f>
        <v>0</v>
      </c>
      <c r="P13" s="499">
        <f>SUMIF('Diags Raw Data'!$A$6:$A$3992,"*"&amp;$A13&amp;"*",'Diags Raw Data'!$Z$6:$Z$3992)</f>
        <v>0</v>
      </c>
      <c r="Q13" s="500">
        <f>SUM(SUMIF('Diags Raw Data'!$A$6:$A$3992,"*"&amp;$A13&amp;"*",'Diags Raw Data'!$AA$6:$AA$3992),SUMIF('Diags Raw Data'!$A$6:$A$3992,"*"&amp;$A13&amp;"*",'Diags Raw Data'!$AB$6:$AB$3992))</f>
        <v>0</v>
      </c>
      <c r="R13" s="501">
        <f>IF((J13=0),0,P13/J13)</f>
        <v>0</v>
      </c>
      <c r="S13" s="501">
        <f>IF((P13=0),0,Q13/P13)</f>
        <v>0</v>
      </c>
      <c r="T13" s="502">
        <f>R13*S13</f>
        <v>0</v>
      </c>
      <c r="U13" s="570" t="s">
        <v>44</v>
      </c>
      <c r="V13" s="180" t="s">
        <v>1691</v>
      </c>
    </row>
    <row r="14" spans="1:24" ht="30" x14ac:dyDescent="0.25">
      <c r="A14" s="564" t="s">
        <v>1027</v>
      </c>
      <c r="B14" s="439" t="str">
        <f>VLOOKUP(A14,'Feature Raw Data'!$A$3:$B$4204,2,FALSE)</f>
        <v>MMHUB:DAGB - “GPU Snoop” aka ‘gcc’ support in DAGB</v>
      </c>
      <c r="C14" s="440" t="str">
        <f>VLOOKUP(A14,'Feature Raw Data'!$A$3:$C$4204,3,FALSE)</f>
        <v>P2</v>
      </c>
      <c r="D14" s="441" t="str" cm="1">
        <f t="array" ref="D14">_xlfn.TEXTJOIN("",TRUE,IF(ISNUMBER(SEARCH($A14,'Diags Raw Data'!$A$6:$A$3992)),CONCATENATE('Diags Raw Data'!$H$6:$H$3992,", "),""))</f>
        <v xml:space="preserve">mhub415.1-4,11-14,21-24,31-34, </v>
      </c>
      <c r="E14" s="325" t="str">
        <f>VLOOKUP(A14,'Diags Raw Data'!$A$6:$D$3992,4,FALSE)</f>
        <v>MMHUB</v>
      </c>
      <c r="F14" s="325" t="str">
        <f>VLOOKUP(A14,'Feature Raw Data'!$A$3:$E$4204,5,FALSE)</f>
        <v>Legacy</v>
      </c>
      <c r="G14" s="325" t="str">
        <f>IF(D14="","No","Yes")</f>
        <v>Yes</v>
      </c>
      <c r="H14" s="325" t="str">
        <f t="shared" si="0"/>
        <v>Yes</v>
      </c>
      <c r="I14" s="440">
        <f>SUMIF('Diags Raw Data'!$A$6:$A$3992,"*"&amp;$A14&amp;"*",'Diags Raw Data'!$K$6:$K$3992)</f>
        <v>1</v>
      </c>
      <c r="J14" s="442">
        <f>SUMIF('Diags Raw Data'!$A$6:$A$3992,"*"&amp;$A14&amp;"*",'Diags Raw Data'!$L$6:$L$3992)</f>
        <v>16</v>
      </c>
      <c r="K14" s="494" t="e" cm="1">
        <f t="array" ref="K14">IF(D14="",0, SUMPRODUCT(--(ISNUMBER(SEARCH($A14,'Diags Raw Data'!$A$6:$A$3992))),'Diags Raw Data'!$L$6:$L$3992,'Diags Raw Data'!$N$6:$N$3995)/J14)</f>
        <v>#VALUE!</v>
      </c>
      <c r="L14" s="495" cm="1">
        <f t="array" ref="L14">IF(D14="",0, SUMPRODUCT(--(ISNUMBER(SEARCH($A14,'Diags Raw Data'!$A$6:$A$3992))),'Diags Raw Data'!$L$6:$L$3992,'Diags Raw Data'!$P$6:$P$3992)/J14)</f>
        <v>1</v>
      </c>
      <c r="M14" s="496" cm="1">
        <f t="array" ref="M14">SUMPRODUCT(--(ISNUMBER(SEARCH($A14,'Diags Raw Data'!$A$6:$A$3992))),--('Diags Raw Data'!$Q$6:$Q$3992&lt;&gt;"N/A"),'Diags Raw Data'!$R$6:$R$3992)</f>
        <v>16</v>
      </c>
      <c r="N14" s="497" cm="1">
        <f t="array" ref="N14">SUMPRODUCT(--(ISNUMBER(SEARCH($A14,'Diags Raw Data'!$A$6:$A$3992))),--('Diags Raw Data'!$Q$6:$Q$3992&lt;&gt;"N/A"),'Diags Raw Data'!$T$6:$T$3992)+SUMPRODUCT(--(ISNUMBER(SEARCH($A14,'Diags Raw Data'!$A$6:$A$3992))),--('Diags Raw Data'!$Q$6:$Q$3992&lt;&gt;"N/A"),'Diags Raw Data'!$U$6:$U$3992)</f>
        <v>16</v>
      </c>
      <c r="O14" s="498">
        <f>IF((M14=0),0,N14/M14)</f>
        <v>1</v>
      </c>
      <c r="P14" s="499">
        <f>SUMIF('Diags Raw Data'!$A$6:$A$3992,"*"&amp;$A14&amp;"*",'Diags Raw Data'!$Z$6:$Z$3992)</f>
        <v>16</v>
      </c>
      <c r="Q14" s="500">
        <f>SUM(SUMIF('Diags Raw Data'!$A$6:$A$3992,"*"&amp;$A14&amp;"*",'Diags Raw Data'!$AA$6:$AA$3992),SUMIF('Diags Raw Data'!$A$6:$A$3992,"*"&amp;$A14&amp;"*",'Diags Raw Data'!$AB$6:$AB$3992))</f>
        <v>0</v>
      </c>
      <c r="R14" s="501">
        <f t="shared" si="2"/>
        <v>1</v>
      </c>
      <c r="S14" s="501">
        <f t="shared" si="3"/>
        <v>0</v>
      </c>
      <c r="T14" s="502">
        <f t="shared" si="4"/>
        <v>0</v>
      </c>
      <c r="U14" s="570" t="s">
        <v>1692</v>
      </c>
      <c r="V14" s="180"/>
    </row>
    <row r="15" spans="1:24" ht="180" x14ac:dyDescent="0.25">
      <c r="A15" s="564" t="s">
        <v>1379</v>
      </c>
      <c r="B15" s="439" t="str">
        <f>VLOOKUP(A15,'Feature Raw Data'!$A$3:$B$4204,2,FALSE)</f>
        <v>MMHUB:DAGB - MALL ("noalloc") support</v>
      </c>
      <c r="C15" s="440" t="str">
        <f>VLOOKUP(A15,'Feature Raw Data'!$A$3:$C$4204,3,FALSE)</f>
        <v>P1</v>
      </c>
      <c r="D15" s="441" t="str" cm="1">
        <f t="array" ref="D15">_xlfn.TEXTJOIN("",TRUE,IF(ISNUMBER(SEARCH($A15,'Diags Raw Data'!$A$6:$A$3992)),CONCATENATE('Diags Raw Data'!$H$6:$H$3992,", "),""))</f>
        <v xml:space="preserve">mhub153.1,7,401,407, mhub153.2,8,402,408, mhub153.201,204,211,214, mhub153.301,304,311,314, mhub153.5-6,11-12,405-406,411-412, mhub153.203,206,213,216, mhub153.303,306,313,316, mhub153.525,531,533,539, mhub153.526,532,534,540, mhub153.221-252, mhub153.321-352, mhub153.421-452, mhub153.111-112, mhub153.21-28, mhub153.31-38, mhub153.41-48, </v>
      </c>
      <c r="E15" s="325" t="e">
        <f>VLOOKUP(A15,'Diags Raw Data'!$A$6:$D$3992,4,FALSE)</f>
        <v>#N/A</v>
      </c>
      <c r="F15" s="325" t="str">
        <f>VLOOKUP(A15,'Feature Raw Data'!$A$3:$E$4204,5,FALSE)</f>
        <v>Delta</v>
      </c>
      <c r="G15" s="325" t="str">
        <f t="shared" si="5"/>
        <v>Yes</v>
      </c>
      <c r="H15" s="325" t="str">
        <f t="shared" si="0"/>
        <v>Yes</v>
      </c>
      <c r="I15" s="440">
        <f>SUMIF('Diags Raw Data'!$A$6:$A$3992,"*"&amp;$A15&amp;"*",'Diags Raw Data'!$K$6:$K$3992)</f>
        <v>19</v>
      </c>
      <c r="J15" s="442">
        <f>SUMIF('Diags Raw Data'!$A$6:$A$3992,"*"&amp;$A15&amp;"*",'Diags Raw Data'!$L$6:$L$3992)</f>
        <v>136</v>
      </c>
      <c r="K15" s="494" t="e" cm="1">
        <f t="array" ref="K15">IF(D15="",0, SUMPRODUCT(--(ISNUMBER(SEARCH($A15,'Diags Raw Data'!$A$6:$A$3992))),'Diags Raw Data'!$L$6:$L$3992,'Diags Raw Data'!$N$6:$N$3995)/J15)</f>
        <v>#VALUE!</v>
      </c>
      <c r="L15" s="495" cm="1">
        <f t="array" ref="L15">IF(D15="",0, SUMPRODUCT(--(ISNUMBER(SEARCH($A15,'Diags Raw Data'!$A$6:$A$3992))),'Diags Raw Data'!$L$6:$L$3992,'Diags Raw Data'!$P$6:$P$3992)/J15)</f>
        <v>1</v>
      </c>
      <c r="M15" s="496" cm="1">
        <f t="array" ref="M15">SUMPRODUCT(--(ISNUMBER(SEARCH($A15,'Diags Raw Data'!$A$6:$A$3992))),--('Diags Raw Data'!$Q$6:$Q$3992&lt;&gt;"N/A"),'Diags Raw Data'!$R$6:$R$3992)</f>
        <v>20</v>
      </c>
      <c r="N15" s="497" cm="1">
        <f t="array" ref="N15">SUMPRODUCT(--(ISNUMBER(SEARCH($A15,'Diags Raw Data'!$A$6:$A$3992))),--('Diags Raw Data'!$Q$6:$Q$3992&lt;&gt;"N/A"),'Diags Raw Data'!$T$6:$T$3992)+SUMPRODUCT(--(ISNUMBER(SEARCH($A15,'Diags Raw Data'!$A$6:$A$3992))),--('Diags Raw Data'!$Q$6:$Q$3992&lt;&gt;"N/A"),'Diags Raw Data'!$U$6:$U$3992)</f>
        <v>38</v>
      </c>
      <c r="O15" s="498">
        <f t="shared" si="1"/>
        <v>1.9</v>
      </c>
      <c r="P15" s="499">
        <f>SUMIF('Diags Raw Data'!$A$6:$A$3992,"*"&amp;$A15&amp;"*",'Diags Raw Data'!$Z$6:$Z$3992)</f>
        <v>96</v>
      </c>
      <c r="Q15" s="500">
        <f>SUM(SUMIF('Diags Raw Data'!$A$6:$A$3992,"*"&amp;$A15&amp;"*",'Diags Raw Data'!$AA$6:$AA$3992),SUMIF('Diags Raw Data'!$A$6:$A$3992,"*"&amp;$A15&amp;"*",'Diags Raw Data'!$AB$6:$AB$3992))</f>
        <v>72</v>
      </c>
      <c r="R15" s="501">
        <f t="shared" si="2"/>
        <v>0.70588235294117652</v>
      </c>
      <c r="S15" s="501">
        <f t="shared" si="3"/>
        <v>0.75</v>
      </c>
      <c r="T15" s="502">
        <f t="shared" si="4"/>
        <v>0.52941176470588236</v>
      </c>
      <c r="U15" s="570" t="s">
        <v>1692</v>
      </c>
      <c r="V15" s="180"/>
    </row>
    <row r="16" spans="1:24" ht="30" hidden="1" x14ac:dyDescent="0.25">
      <c r="A16" s="564" t="s">
        <v>1381</v>
      </c>
      <c r="B16" s="439" t="str">
        <f>VLOOKUP(A16,'Feature Raw Data'!$A$3:$B$4204,2,FALSE)</f>
        <v>MMHUB:DAGB - Safe TDR for GPU Driver Reset Mode 2 Support</v>
      </c>
      <c r="C16" s="440" t="str">
        <f>VLOOKUP(A16,'Feature Raw Data'!$A$3:$C$4204,3,FALSE)</f>
        <v>P2</v>
      </c>
      <c r="D16" s="441" t="str" cm="1">
        <f t="array" ref="D16">_xlfn.TEXTJOIN("",TRUE,IF(ISNUMBER(SEARCH($A16,'Diags Raw Data'!$A$6:$A$3992)),CONCATENATE('Diags Raw Data'!$H$6:$H$3992,", "),""))</f>
        <v/>
      </c>
      <c r="E16" s="325" t="e">
        <f>VLOOKUP(A16,'Diags Raw Data'!$A$6:$D$3992,4,FALSE)</f>
        <v>#N/A</v>
      </c>
      <c r="F16" s="325" t="str">
        <f>VLOOKUP(A16,'Feature Raw Data'!$A$3:$E$4204,5,FALSE)</f>
        <v>Legacy</v>
      </c>
      <c r="G16" s="325" t="str">
        <f>IF(D16="","No","Yes")</f>
        <v>No</v>
      </c>
      <c r="H16" s="325" t="str">
        <f t="shared" si="0"/>
        <v>No</v>
      </c>
      <c r="I16" s="440">
        <f>SUMIF('Diags Raw Data'!$A$6:$A$3992,"*"&amp;$A16&amp;"*",'Diags Raw Data'!$K$6:$K$3992)</f>
        <v>0</v>
      </c>
      <c r="J16" s="442">
        <f>SUMIF('Diags Raw Data'!$A$6:$A$3992,"*"&amp;$A16&amp;"*",'Diags Raw Data'!$L$6:$L$3992)</f>
        <v>0</v>
      </c>
      <c r="K16" s="494" cm="1">
        <f t="array" ref="K16">IF(D16="",0, SUMPRODUCT(--(ISNUMBER(SEARCH($A16,'Diags Raw Data'!$A$6:$A$3992))),'Diags Raw Data'!$L$6:$L$3992,'Diags Raw Data'!$N$6:$N$3995)/J16)</f>
        <v>0</v>
      </c>
      <c r="L16" s="495" cm="1">
        <f t="array" ref="L16">IF(D16="",0, SUMPRODUCT(--(ISNUMBER(SEARCH($A16,'Diags Raw Data'!$A$6:$A$3992))),'Diags Raw Data'!$L$6:$L$3992,'Diags Raw Data'!$P$6:$P$3992)/J16)</f>
        <v>0</v>
      </c>
      <c r="M16" s="496" cm="1">
        <f t="array" ref="M16">SUMPRODUCT(--(ISNUMBER(SEARCH($A16,'Diags Raw Data'!$A$6:$A$3992))),--('Diags Raw Data'!$Q$6:$Q$3992&lt;&gt;"N/A"),'Diags Raw Data'!$R$6:$R$3992)</f>
        <v>0</v>
      </c>
      <c r="N16" s="497" cm="1">
        <f t="array" ref="N16">SUMPRODUCT(--(ISNUMBER(SEARCH($A16,'Diags Raw Data'!$A$6:$A$3992))),--('Diags Raw Data'!$Q$6:$Q$3992&lt;&gt;"N/A"),'Diags Raw Data'!$T$6:$T$3992)+SUMPRODUCT(--(ISNUMBER(SEARCH($A16,'Diags Raw Data'!$A$6:$A$3992))),--('Diags Raw Data'!$Q$6:$Q$3992&lt;&gt;"N/A"),'Diags Raw Data'!$U$6:$U$3992)</f>
        <v>0</v>
      </c>
      <c r="O16" s="498">
        <f t="shared" si="1"/>
        <v>0</v>
      </c>
      <c r="P16" s="499">
        <f>SUMIF('Diags Raw Data'!$A$6:$A$3992,"*"&amp;$A16&amp;"*",'Diags Raw Data'!$Z$6:$Z$3992)</f>
        <v>0</v>
      </c>
      <c r="Q16" s="500">
        <f>SUM(SUMIF('Diags Raw Data'!$A$6:$A$3992,"*"&amp;$A16&amp;"*",'Diags Raw Data'!$AA$6:$AA$3992),SUMIF('Diags Raw Data'!$A$6:$A$3992,"*"&amp;$A16&amp;"*",'Diags Raw Data'!$AB$6:$AB$3992))</f>
        <v>0</v>
      </c>
      <c r="R16" s="501">
        <f t="shared" si="2"/>
        <v>0</v>
      </c>
      <c r="S16" s="501">
        <f t="shared" si="3"/>
        <v>0</v>
      </c>
      <c r="T16" s="502">
        <f t="shared" si="4"/>
        <v>0</v>
      </c>
      <c r="U16" s="570" t="s">
        <v>44</v>
      </c>
      <c r="V16" s="180" t="s">
        <v>1693</v>
      </c>
    </row>
    <row r="17" spans="1:22" ht="27" hidden="1" customHeight="1" x14ac:dyDescent="0.25">
      <c r="A17" s="564" t="s">
        <v>1384</v>
      </c>
      <c r="B17" s="439" t="str">
        <f>VLOOKUP(A17,'Feature Raw Data'!$A$3:$B$4204,2,FALSE)</f>
        <v>MMHUB:DAGB - HDP Performance for Mixed RD/WR</v>
      </c>
      <c r="C17" s="440" t="str">
        <f>VLOOKUP(A17,'Feature Raw Data'!$A$3:$C$4204,3,FALSE)</f>
        <v>P2</v>
      </c>
      <c r="D17" s="441" t="str" cm="1">
        <f t="array" ref="D17">_xlfn.TEXTJOIN("",TRUE,IF(ISNUMBER(SEARCH($A17,'Diags Raw Data'!$A$6:$A$3992)),CONCATENATE('Diags Raw Data'!$H$6:$H$3992,", "),""))</f>
        <v/>
      </c>
      <c r="E17" s="325" t="e">
        <f>VLOOKUP(A17,'Diags Raw Data'!$A$6:$D$3992,4,FALSE)</f>
        <v>#N/A</v>
      </c>
      <c r="F17" s="325" t="str">
        <f>VLOOKUP(A17,'Feature Raw Data'!$A$3:$E$4204,5,FALSE)</f>
        <v>Legacy</v>
      </c>
      <c r="G17" s="325" t="str">
        <f t="shared" si="5"/>
        <v>No</v>
      </c>
      <c r="H17" s="325" t="str">
        <f t="shared" si="0"/>
        <v>No</v>
      </c>
      <c r="I17" s="440">
        <f>SUMIF('Diags Raw Data'!$A$6:$A$3992,"*"&amp;$A17&amp;"*",'Diags Raw Data'!$K$6:$K$3992)</f>
        <v>0</v>
      </c>
      <c r="J17" s="442">
        <f>SUMIF('Diags Raw Data'!$A$6:$A$3992,"*"&amp;$A17&amp;"*",'Diags Raw Data'!$L$6:$L$3992)</f>
        <v>0</v>
      </c>
      <c r="K17" s="494" cm="1">
        <f t="array" ref="K17">IF(D17="",0, SUMPRODUCT(--(ISNUMBER(SEARCH($A17,'Diags Raw Data'!$A$6:$A$3992))),'Diags Raw Data'!$L$6:$L$3992,'Diags Raw Data'!$N$6:$N$3995)/J17)</f>
        <v>0</v>
      </c>
      <c r="L17" s="495" cm="1">
        <f t="array" ref="L17">IF(D17="",0, SUMPRODUCT(--(ISNUMBER(SEARCH($A17,'Diags Raw Data'!$A$6:$A$3992))),'Diags Raw Data'!$L$6:$L$3992,'Diags Raw Data'!$P$6:$P$3992)/J17)</f>
        <v>0</v>
      </c>
      <c r="M17" s="496" cm="1">
        <f t="array" ref="M17">SUMPRODUCT(--(ISNUMBER(SEARCH($A17,'Diags Raw Data'!$A$6:$A$3992))),--('Diags Raw Data'!$Q$6:$Q$3992&lt;&gt;"N/A"),'Diags Raw Data'!$R$6:$R$3992)</f>
        <v>0</v>
      </c>
      <c r="N17" s="497" cm="1">
        <f t="array" ref="N17">SUMPRODUCT(--(ISNUMBER(SEARCH($A17,'Diags Raw Data'!$A$6:$A$3992))),--('Diags Raw Data'!$Q$6:$Q$3992&lt;&gt;"N/A"),'Diags Raw Data'!$T$6:$T$3992)+SUMPRODUCT(--(ISNUMBER(SEARCH($A17,'Diags Raw Data'!$A$6:$A$3992))),--('Diags Raw Data'!$Q$6:$Q$3992&lt;&gt;"N/A"),'Diags Raw Data'!$U$6:$U$3992)</f>
        <v>0</v>
      </c>
      <c r="O17" s="498">
        <f t="shared" si="1"/>
        <v>0</v>
      </c>
      <c r="P17" s="499">
        <f>SUMIF('Diags Raw Data'!$A$6:$A$3992,"*"&amp;$A17&amp;"*",'Diags Raw Data'!$Z$6:$Z$3992)</f>
        <v>0</v>
      </c>
      <c r="Q17" s="500">
        <f>SUM(SUMIF('Diags Raw Data'!$A$6:$A$3992,"*"&amp;$A17&amp;"*",'Diags Raw Data'!$AA$6:$AA$3992),SUMIF('Diags Raw Data'!$A$6:$A$3992,"*"&amp;$A17&amp;"*",'Diags Raw Data'!$AB$6:$AB$3992))</f>
        <v>0</v>
      </c>
      <c r="R17" s="501">
        <f t="shared" si="2"/>
        <v>0</v>
      </c>
      <c r="S17" s="501">
        <f t="shared" si="3"/>
        <v>0</v>
      </c>
      <c r="T17" s="502">
        <f t="shared" si="4"/>
        <v>0</v>
      </c>
      <c r="U17" s="570" t="s">
        <v>44</v>
      </c>
      <c r="V17" s="180" t="s">
        <v>1694</v>
      </c>
    </row>
    <row r="18" spans="1:22" s="183" customFormat="1" ht="30" hidden="1" x14ac:dyDescent="0.25">
      <c r="A18" s="564" t="s">
        <v>1387</v>
      </c>
      <c r="B18" s="439" t="str">
        <f>VLOOKUP(A18,'Feature Raw Data'!$A$3:$B$4204,2,FALSE)</f>
        <v>MMHUB:DAGB - SDP arbitration and interface capability</v>
      </c>
      <c r="C18" s="440" t="str">
        <f>VLOOKUP(A18,'Feature Raw Data'!$A$3:$C$4204,3,FALSE)</f>
        <v>P1</v>
      </c>
      <c r="D18" s="441" t="str" cm="1">
        <f t="array" ref="D18">_xlfn.TEXTJOIN("",TRUE,IF(ISNUMBER(SEARCH($A18,'Diags Raw Data'!$A$6:$A$3992)),CONCATENATE('Diags Raw Data'!$H$6:$H$3992,", "),""))</f>
        <v/>
      </c>
      <c r="E18" s="325" t="e">
        <f>VLOOKUP(A18,'Diags Raw Data'!$A$6:$D$3992,4,FALSE)</f>
        <v>#N/A</v>
      </c>
      <c r="F18" s="325" t="str">
        <f>VLOOKUP(A18,'Feature Raw Data'!$A$3:$E$4204,5,FALSE)</f>
        <v>Delta</v>
      </c>
      <c r="G18" s="325" t="s">
        <v>31</v>
      </c>
      <c r="H18" s="325" t="str">
        <f t="shared" si="0"/>
        <v>No</v>
      </c>
      <c r="I18" s="440">
        <f>SUMIF('Diags Raw Data'!$A$6:$A$3992,"*"&amp;$A18&amp;"*",'Diags Raw Data'!$K$6:$K$3992)</f>
        <v>0</v>
      </c>
      <c r="J18" s="442">
        <f>SUMIF('Diags Raw Data'!$A$6:$A$3992,"*"&amp;$A18&amp;"*",'Diags Raw Data'!$L$6:$L$3992)</f>
        <v>0</v>
      </c>
      <c r="K18" s="494" cm="1">
        <f t="array" ref="K18">IF(D18="",0, SUMPRODUCT(--(ISNUMBER(SEARCH($A18,'Diags Raw Data'!$A$6:$A$3992))),'Diags Raw Data'!$L$6:$L$3992,'Diags Raw Data'!$N$6:$N$3995)/J18)</f>
        <v>0</v>
      </c>
      <c r="L18" s="495" cm="1">
        <f t="array" ref="L18">IF(D18="",0, SUMPRODUCT(--(ISNUMBER(SEARCH($A18,'Diags Raw Data'!$A$6:$A$3992))),'Diags Raw Data'!$L$6:$L$3992,'Diags Raw Data'!$P$6:$P$3992)/J18)</f>
        <v>0</v>
      </c>
      <c r="M18" s="496" cm="1">
        <f t="array" ref="M18">SUMPRODUCT(--(ISNUMBER(SEARCH($A18,'Diags Raw Data'!$A$6:$A$3992))),--('Diags Raw Data'!$Q$6:$Q$3992&lt;&gt;"N/A"),'Diags Raw Data'!$R$6:$R$3992)</f>
        <v>0</v>
      </c>
      <c r="N18" s="497" cm="1">
        <f t="array" ref="N18">SUMPRODUCT(--(ISNUMBER(SEARCH($A18,'Diags Raw Data'!$A$6:$A$3992))),--('Diags Raw Data'!$Q$6:$Q$3992&lt;&gt;"N/A"),'Diags Raw Data'!$T$6:$T$3992)+SUMPRODUCT(--(ISNUMBER(SEARCH($A18,'Diags Raw Data'!$A$6:$A$3992))),--('Diags Raw Data'!$Q$6:$Q$3992&lt;&gt;"N/A"),'Diags Raw Data'!$U$6:$U$3992)</f>
        <v>0</v>
      </c>
      <c r="O18" s="498">
        <f t="shared" si="1"/>
        <v>0</v>
      </c>
      <c r="P18" s="499">
        <f>SUMIF('Diags Raw Data'!$A$6:$A$3992,"*"&amp;$A18&amp;"*",'Diags Raw Data'!$Z$6:$Z$3992)</f>
        <v>0</v>
      </c>
      <c r="Q18" s="500">
        <f>SUM(SUMIF('Diags Raw Data'!$A$6:$A$3992,"*"&amp;$A18&amp;"*",'Diags Raw Data'!$AA$6:$AA$3992),SUMIF('Diags Raw Data'!$A$6:$A$3992,"*"&amp;$A18&amp;"*",'Diags Raw Data'!$AB$6:$AB$3992))</f>
        <v>0</v>
      </c>
      <c r="R18" s="501">
        <f t="shared" si="2"/>
        <v>0</v>
      </c>
      <c r="S18" s="501">
        <f t="shared" si="3"/>
        <v>0</v>
      </c>
      <c r="T18" s="502">
        <f t="shared" si="4"/>
        <v>0</v>
      </c>
      <c r="U18" s="570" t="s">
        <v>1690</v>
      </c>
      <c r="V18" s="182" t="s">
        <v>1695</v>
      </c>
    </row>
    <row r="19" spans="1:22" s="183" customFormat="1" ht="30" hidden="1" x14ac:dyDescent="0.25">
      <c r="A19" s="564" t="s">
        <v>1478</v>
      </c>
      <c r="B19" s="439" t="str">
        <f>VLOOKUP(A19,'Feature Raw Data'!$A$3:$B$4204,2,FALSE)</f>
        <v>MMHUB:DAGB - Programmable priority per VC on SDP</v>
      </c>
      <c r="C19" s="440" t="str">
        <f>VLOOKUP(A19,'Feature Raw Data'!$A$3:$C$4204,3,FALSE)</f>
        <v>P2</v>
      </c>
      <c r="D19" s="441" t="str" cm="1">
        <f t="array" ref="D19">_xlfn.TEXTJOIN("",TRUE,IF(ISNUMBER(SEARCH($A19,'Diags Raw Data'!$A$6:$A$3992)),CONCATENATE('Diags Raw Data'!$H$6:$H$3992,", "),""))</f>
        <v/>
      </c>
      <c r="E19" s="325" t="e">
        <f>VLOOKUP(A19,'Diags Raw Data'!$A$6:$D$3992,4,FALSE)</f>
        <v>#N/A</v>
      </c>
      <c r="F19" s="325" t="str">
        <f>VLOOKUP(A19,'Feature Raw Data'!$A$3:$E$4204,5,FALSE)</f>
        <v>Legacy</v>
      </c>
      <c r="G19" s="325" t="str">
        <f t="shared" ref="G19:G20" si="14">IF(D19="","No","Yes")</f>
        <v>No</v>
      </c>
      <c r="H19" s="325" t="str">
        <f t="shared" ref="H19:H20" si="15">IF(D19="","No","Yes")</f>
        <v>No</v>
      </c>
      <c r="I19" s="440">
        <f>SUMIF('Diags Raw Data'!$A$6:$A$3992,"*"&amp;$A19&amp;"*",'Diags Raw Data'!$K$6:$K$3992)</f>
        <v>0</v>
      </c>
      <c r="J19" s="442">
        <f>SUMIF('Diags Raw Data'!$A$6:$A$3992,"*"&amp;$A19&amp;"*",'Diags Raw Data'!$L$6:$L$3992)</f>
        <v>0</v>
      </c>
      <c r="K19" s="494" cm="1">
        <f t="array" ref="K19">IF(D19="",0, SUMPRODUCT(--(ISNUMBER(SEARCH($A19,'Diags Raw Data'!$A$6:$A$3992))),'Diags Raw Data'!$L$6:$L$3992,'Diags Raw Data'!$N$6:$N$3995)/J19)</f>
        <v>0</v>
      </c>
      <c r="L19" s="495" cm="1">
        <f t="array" ref="L19">IF(D19="",0, SUMPRODUCT(--(ISNUMBER(SEARCH($A19,'Diags Raw Data'!$A$6:$A$3992))),'Diags Raw Data'!$L$6:$L$3992,'Diags Raw Data'!$P$6:$P$3992)/J19)</f>
        <v>0</v>
      </c>
      <c r="M19" s="496" cm="1">
        <f t="array" ref="M19">SUMPRODUCT(--(ISNUMBER(SEARCH($A19,'Diags Raw Data'!$A$6:$A$3992))),--('Diags Raw Data'!$Q$6:$Q$3992&lt;&gt;"N/A"),'Diags Raw Data'!$R$6:$R$3992)</f>
        <v>0</v>
      </c>
      <c r="N19" s="497" cm="1">
        <f t="array" ref="N19">SUMPRODUCT(--(ISNUMBER(SEARCH($A19,'Diags Raw Data'!$A$6:$A$3992))),--('Diags Raw Data'!$Q$6:$Q$3992&lt;&gt;"N/A"),'Diags Raw Data'!$T$6:$T$3992)+SUMPRODUCT(--(ISNUMBER(SEARCH($A19,'Diags Raw Data'!$A$6:$A$3992))),--('Diags Raw Data'!$Q$6:$Q$3992&lt;&gt;"N/A"),'Diags Raw Data'!$U$6:$U$3992)</f>
        <v>0</v>
      </c>
      <c r="O19" s="498">
        <f t="shared" ref="O19:O20" si="16">IF((M19=0),0,N19/M19)</f>
        <v>0</v>
      </c>
      <c r="P19" s="499">
        <f>SUMIF('Diags Raw Data'!$A$6:$A$3992,"*"&amp;$A19&amp;"*",'Diags Raw Data'!$Z$6:$Z$3992)</f>
        <v>0</v>
      </c>
      <c r="Q19" s="500">
        <f>SUM(SUMIF('Diags Raw Data'!$A$6:$A$3992,"*"&amp;$A19&amp;"*",'Diags Raw Data'!$AA$6:$AA$3992),SUMIF('Diags Raw Data'!$A$6:$A$3992,"*"&amp;$A19&amp;"*",'Diags Raw Data'!$AB$6:$AB$3992))</f>
        <v>0</v>
      </c>
      <c r="R19" s="501">
        <f t="shared" ref="R19:R20" si="17">IF((J19=0),0,P19/J19)</f>
        <v>0</v>
      </c>
      <c r="S19" s="501">
        <f t="shared" ref="S19:S20" si="18">IF((P19=0),0,Q19/P19)</f>
        <v>0</v>
      </c>
      <c r="T19" s="502">
        <f t="shared" ref="T19:T20" si="19">R19*S19</f>
        <v>0</v>
      </c>
      <c r="U19" s="570" t="s">
        <v>44</v>
      </c>
      <c r="V19" s="182" t="s">
        <v>1696</v>
      </c>
    </row>
    <row r="20" spans="1:22" s="183" customFormat="1" ht="31.5" hidden="1" customHeight="1" x14ac:dyDescent="0.25">
      <c r="A20" s="564" t="s">
        <v>1480</v>
      </c>
      <c r="B20" s="439" t="str">
        <f>VLOOKUP(A20,'Feature Raw Data'!$A$3:$B$4204,2,FALSE)</f>
        <v xml:space="preserve">MMHUB:DAGB - Programmable override priority per client on SDP </v>
      </c>
      <c r="C20" s="440" t="str">
        <f>VLOOKUP(A20,'Feature Raw Data'!$A$3:$C$4204,3,FALSE)</f>
        <v>P2</v>
      </c>
      <c r="D20" s="441" t="str" cm="1">
        <f t="array" ref="D20">_xlfn.TEXTJOIN("",TRUE,IF(ISNUMBER(SEARCH($A20,'Diags Raw Data'!$A$6:$A$3992)),CONCATENATE('Diags Raw Data'!$H$6:$H$3992,", "),""))</f>
        <v/>
      </c>
      <c r="E20" s="325" t="e">
        <f>VLOOKUP(A20,'Diags Raw Data'!$A$6:$D$3992,4,FALSE)</f>
        <v>#N/A</v>
      </c>
      <c r="F20" s="325" t="str">
        <f>VLOOKUP(A20,'Feature Raw Data'!$A$3:$E$4204,5,FALSE)</f>
        <v>Legacy</v>
      </c>
      <c r="G20" s="325" t="str">
        <f t="shared" si="14"/>
        <v>No</v>
      </c>
      <c r="H20" s="325" t="str">
        <f t="shared" si="15"/>
        <v>No</v>
      </c>
      <c r="I20" s="440">
        <f>SUMIF('Diags Raw Data'!$A$6:$A$3992,"*"&amp;$A20&amp;"*",'Diags Raw Data'!$K$6:$K$3992)</f>
        <v>0</v>
      </c>
      <c r="J20" s="442">
        <f>SUMIF('Diags Raw Data'!$A$6:$A$3992,"*"&amp;$A20&amp;"*",'Diags Raw Data'!$L$6:$L$3992)</f>
        <v>0</v>
      </c>
      <c r="K20" s="494" cm="1">
        <f t="array" ref="K20">IF(D20="",0, SUMPRODUCT(--(ISNUMBER(SEARCH($A20,'Diags Raw Data'!$A$6:$A$3992))),'Diags Raw Data'!$L$6:$L$3992,'Diags Raw Data'!$N$6:$N$3995)/J20)</f>
        <v>0</v>
      </c>
      <c r="L20" s="495" cm="1">
        <f t="array" ref="L20">IF(D20="",0, SUMPRODUCT(--(ISNUMBER(SEARCH($A20,'Diags Raw Data'!$A$6:$A$3992))),'Diags Raw Data'!$L$6:$L$3992,'Diags Raw Data'!$P$6:$P$3992)/J20)</f>
        <v>0</v>
      </c>
      <c r="M20" s="496" cm="1">
        <f t="array" ref="M20">SUMPRODUCT(--(ISNUMBER(SEARCH($A20,'Diags Raw Data'!$A$6:$A$3992))),--('Diags Raw Data'!$Q$6:$Q$3992&lt;&gt;"N/A"),'Diags Raw Data'!$R$6:$R$3992)</f>
        <v>0</v>
      </c>
      <c r="N20" s="497" cm="1">
        <f t="array" ref="N20">SUMPRODUCT(--(ISNUMBER(SEARCH($A20,'Diags Raw Data'!$A$6:$A$3992))),--('Diags Raw Data'!$Q$6:$Q$3992&lt;&gt;"N/A"),'Diags Raw Data'!$T$6:$T$3992)+SUMPRODUCT(--(ISNUMBER(SEARCH($A20,'Diags Raw Data'!$A$6:$A$3992))),--('Diags Raw Data'!$Q$6:$Q$3992&lt;&gt;"N/A"),'Diags Raw Data'!$U$6:$U$3992)</f>
        <v>0</v>
      </c>
      <c r="O20" s="498">
        <f t="shared" si="16"/>
        <v>0</v>
      </c>
      <c r="P20" s="499">
        <f>SUMIF('Diags Raw Data'!$A$6:$A$3992,"*"&amp;$A20&amp;"*",'Diags Raw Data'!$Z$6:$Z$3992)</f>
        <v>0</v>
      </c>
      <c r="Q20" s="500">
        <f>SUM(SUMIF('Diags Raw Data'!$A$6:$A$3992,"*"&amp;$A20&amp;"*",'Diags Raw Data'!$AA$6:$AA$3992),SUMIF('Diags Raw Data'!$A$6:$A$3992,"*"&amp;$A20&amp;"*",'Diags Raw Data'!$AB$6:$AB$3992))</f>
        <v>0</v>
      </c>
      <c r="R20" s="501">
        <f t="shared" si="17"/>
        <v>0</v>
      </c>
      <c r="S20" s="501">
        <f t="shared" si="18"/>
        <v>0</v>
      </c>
      <c r="T20" s="502">
        <f t="shared" si="19"/>
        <v>0</v>
      </c>
      <c r="U20" s="570" t="s">
        <v>44</v>
      </c>
      <c r="V20" s="182" t="s">
        <v>1697</v>
      </c>
    </row>
    <row r="21" spans="1:22" ht="30" hidden="1" x14ac:dyDescent="0.25">
      <c r="A21" s="564" t="s">
        <v>1389</v>
      </c>
      <c r="B21" s="439" t="str">
        <f>VLOOKUP(A21,'Feature Raw Data'!$A$3:$B$4204,2,FALSE)</f>
        <v>MMHUB:Performance - SOC-15 QoS 1.0</v>
      </c>
      <c r="C21" s="440" t="str">
        <f>VLOOKUP(A21,'Feature Raw Data'!$A$3:$C$4204,3,FALSE)</f>
        <v>P2</v>
      </c>
      <c r="D21" s="441" t="str" cm="1">
        <f t="array" ref="D21">_xlfn.TEXTJOIN("",TRUE,IF(ISNUMBER(SEARCH($A21,'Diags Raw Data'!$A$6:$A$3992)),CONCATENATE('Diags Raw Data'!$H$6:$H$3992,", "),""))</f>
        <v/>
      </c>
      <c r="E21" s="325" t="e">
        <f>VLOOKUP(A21,'Diags Raw Data'!$A$6:$D$3992,4,FALSE)</f>
        <v>#N/A</v>
      </c>
      <c r="F21" s="325" t="str">
        <f>VLOOKUP(A21,'Feature Raw Data'!$A$3:$E$4204,5,FALSE)</f>
        <v>Legacy</v>
      </c>
      <c r="G21" s="325" t="str">
        <f>IF(D21="","No","Yes")</f>
        <v>No</v>
      </c>
      <c r="H21" s="325" t="str">
        <f t="shared" si="0"/>
        <v>No</v>
      </c>
      <c r="I21" s="440">
        <f>SUMIF('Diags Raw Data'!$A$6:$A$3992,"*"&amp;$A21&amp;"*",'Diags Raw Data'!$K$6:$K$3992)</f>
        <v>0</v>
      </c>
      <c r="J21" s="442">
        <f>SUMIF('Diags Raw Data'!$A$6:$A$3992,"*"&amp;$A21&amp;"*",'Diags Raw Data'!$L$6:$L$3992)</f>
        <v>0</v>
      </c>
      <c r="K21" s="494" cm="1">
        <f t="array" ref="K21">IF(D21="",0, SUMPRODUCT(--(ISNUMBER(SEARCH($A21,'Diags Raw Data'!$A$6:$A$3992))),'Diags Raw Data'!$L$6:$L$3992,'Diags Raw Data'!$N$6:$N$3995)/J21)</f>
        <v>0</v>
      </c>
      <c r="L21" s="495" cm="1">
        <f t="array" ref="L21">IF(D21="",0, SUMPRODUCT(--(ISNUMBER(SEARCH($A21,'Diags Raw Data'!$A$6:$A$3992))),'Diags Raw Data'!$L$6:$L$3992,'Diags Raw Data'!$P$6:$P$3992)/J21)</f>
        <v>0</v>
      </c>
      <c r="M21" s="496" cm="1">
        <f t="array" ref="M21">SUMPRODUCT(--(ISNUMBER(SEARCH($A21,'Diags Raw Data'!$A$6:$A$3992))),--('Diags Raw Data'!$Q$6:$Q$3992&lt;&gt;"N/A"),'Diags Raw Data'!$R$6:$R$3992)</f>
        <v>0</v>
      </c>
      <c r="N21" s="497" cm="1">
        <f t="array" ref="N21">SUMPRODUCT(--(ISNUMBER(SEARCH($A21,'Diags Raw Data'!$A$6:$A$3992))),--('Diags Raw Data'!$Q$6:$Q$3992&lt;&gt;"N/A"),'Diags Raw Data'!$T$6:$T$3992)+SUMPRODUCT(--(ISNUMBER(SEARCH($A21,'Diags Raw Data'!$A$6:$A$3992))),--('Diags Raw Data'!$Q$6:$Q$3992&lt;&gt;"N/A"),'Diags Raw Data'!$U$6:$U$3992)</f>
        <v>0</v>
      </c>
      <c r="O21" s="498">
        <f t="shared" si="1"/>
        <v>0</v>
      </c>
      <c r="P21" s="499">
        <f>SUMIF('Diags Raw Data'!$A$6:$A$3992,"*"&amp;$A21&amp;"*",'Diags Raw Data'!$Z$6:$Z$3992)</f>
        <v>0</v>
      </c>
      <c r="Q21" s="500">
        <f>SUM(SUMIF('Diags Raw Data'!$A$6:$A$3992,"*"&amp;$A21&amp;"*",'Diags Raw Data'!$AA$6:$AA$3992),SUMIF('Diags Raw Data'!$A$6:$A$3992,"*"&amp;$A21&amp;"*",'Diags Raw Data'!$AB$6:$AB$3992))</f>
        <v>0</v>
      </c>
      <c r="R21" s="501">
        <f t="shared" si="2"/>
        <v>0</v>
      </c>
      <c r="S21" s="501">
        <f t="shared" si="3"/>
        <v>0</v>
      </c>
      <c r="T21" s="502">
        <f t="shared" si="4"/>
        <v>0</v>
      </c>
      <c r="U21" s="570" t="s">
        <v>44</v>
      </c>
      <c r="V21" s="180" t="s">
        <v>1698</v>
      </c>
    </row>
    <row r="22" spans="1:22" hidden="1" x14ac:dyDescent="0.25">
      <c r="A22" s="564"/>
      <c r="B22" s="439"/>
      <c r="C22" s="440"/>
      <c r="D22" s="441"/>
      <c r="E22" s="325"/>
      <c r="F22" s="325"/>
      <c r="G22" s="325"/>
      <c r="H22" s="325"/>
      <c r="I22" s="440"/>
      <c r="J22" s="442"/>
      <c r="K22" s="494"/>
      <c r="L22" s="495"/>
      <c r="M22" s="496"/>
      <c r="N22" s="497"/>
      <c r="O22" s="498"/>
      <c r="P22" s="499"/>
      <c r="Q22" s="500"/>
      <c r="R22" s="501"/>
      <c r="S22" s="501"/>
      <c r="T22" s="502"/>
      <c r="U22" s="570"/>
      <c r="V22" s="180"/>
    </row>
    <row r="23" spans="1:22" ht="61.5" hidden="1" customHeight="1" x14ac:dyDescent="0.25">
      <c r="A23" s="564"/>
      <c r="B23" s="439"/>
      <c r="C23" s="440"/>
      <c r="D23" s="441"/>
      <c r="E23" s="325"/>
      <c r="F23" s="325"/>
      <c r="G23" s="325"/>
      <c r="H23" s="325"/>
      <c r="I23" s="440"/>
      <c r="J23" s="442"/>
      <c r="K23" s="494"/>
      <c r="L23" s="495"/>
      <c r="M23" s="496"/>
      <c r="N23" s="497"/>
      <c r="O23" s="498"/>
      <c r="P23" s="499"/>
      <c r="Q23" s="500"/>
      <c r="R23" s="501"/>
      <c r="S23" s="501"/>
      <c r="T23" s="502"/>
      <c r="U23" s="570"/>
      <c r="V23" s="180"/>
    </row>
    <row r="24" spans="1:22" ht="45" customHeight="1" x14ac:dyDescent="0.25">
      <c r="A24" s="564" t="s">
        <v>1394</v>
      </c>
      <c r="B24" s="439" t="str">
        <f>VLOOKUP(A24,'Feature Raw Data'!$A$3:$B$4204,2,FALSE)</f>
        <v>MMHUB:UTCL1 - TLBs</v>
      </c>
      <c r="C24" s="440" t="str">
        <f>VLOOKUP(A24,'Feature Raw Data'!$A$3:$C$4204,3,FALSE)</f>
        <v>P1</v>
      </c>
      <c r="D24" s="441" t="str" cm="1">
        <f t="array" ref="D24">_xlfn.TEXTJOIN("",TRUE,IF(ISNUMBER(SEARCH($A24,'Diags Raw Data'!$A$6:$A$3992)),CONCATENATE('Diags Raw Data'!$H$6:$H$3992,", "),""))</f>
        <v xml:space="preserve">mhub027.1,2, mhub028.1,2, mhub029.1,2, mhub030.1-3, </v>
      </c>
      <c r="E24" s="325" t="e">
        <f>VLOOKUP(A24,'Diags Raw Data'!$A$6:$D$3992,4,FALSE)</f>
        <v>#N/A</v>
      </c>
      <c r="F24" s="325" t="str">
        <f>VLOOKUP(A24,'Feature Raw Data'!$A$3:$E$4204,5,FALSE)</f>
        <v>Legacy</v>
      </c>
      <c r="G24" s="325" t="str">
        <f t="shared" si="5"/>
        <v>Yes</v>
      </c>
      <c r="H24" s="325" t="str">
        <f t="shared" si="0"/>
        <v>Yes</v>
      </c>
      <c r="I24" s="440">
        <f>SUMIF('Diags Raw Data'!$A$6:$A$3992,"*"&amp;$A24&amp;"*",'Diags Raw Data'!$K$6:$K$3992)</f>
        <v>12</v>
      </c>
      <c r="J24" s="442">
        <f>SUMIF('Diags Raw Data'!$A$6:$A$3992,"*"&amp;$A24&amp;"*",'Diags Raw Data'!$L$6:$L$3992)</f>
        <v>7</v>
      </c>
      <c r="K24" s="494" t="e" cm="1">
        <f t="array" ref="K24">IF(D24="",0, SUMPRODUCT(--(ISNUMBER(SEARCH($A24,'Diags Raw Data'!$A$6:$A$3992))),'Diags Raw Data'!$L$6:$L$3992,'Diags Raw Data'!$N$6:$N$3995)/J24)</f>
        <v>#VALUE!</v>
      </c>
      <c r="L24" s="495" cm="1">
        <f t="array" ref="L24">IF(D24="",0, SUMPRODUCT(--(ISNUMBER(SEARCH($A24,'Diags Raw Data'!$A$6:$A$3992))),'Diags Raw Data'!$L$6:$L$3992,'Diags Raw Data'!$P$6:$P$3992)/J24)</f>
        <v>1</v>
      </c>
      <c r="M24" s="496" cm="1">
        <f t="array" ref="M24">SUMPRODUCT(--(ISNUMBER(SEARCH($A24,'Diags Raw Data'!$A$6:$A$3992))),--('Diags Raw Data'!$Q$6:$Q$3992&lt;&gt;"N/A"),'Diags Raw Data'!$R$6:$R$3992)</f>
        <v>7</v>
      </c>
      <c r="N24" s="497" cm="1">
        <f t="array" ref="N24">SUMPRODUCT(--(ISNUMBER(SEARCH($A24,'Diags Raw Data'!$A$6:$A$3992))),--('Diags Raw Data'!$Q$6:$Q$3992&lt;&gt;"N/A"),'Diags Raw Data'!$T$6:$T$3992)+SUMPRODUCT(--(ISNUMBER(SEARCH($A24,'Diags Raw Data'!$A$6:$A$3992))),--('Diags Raw Data'!$Q$6:$Q$3992&lt;&gt;"N/A"),'Diags Raw Data'!$U$6:$U$3992)</f>
        <v>7</v>
      </c>
      <c r="O24" s="498">
        <f t="shared" si="1"/>
        <v>1</v>
      </c>
      <c r="P24" s="499">
        <f>SUMIF('Diags Raw Data'!$A$6:$A$3992,"*"&amp;$A24&amp;"*",'Diags Raw Data'!$Z$6:$Z$3992)</f>
        <v>7</v>
      </c>
      <c r="Q24" s="500">
        <f>SUM(SUMIF('Diags Raw Data'!$A$6:$A$3992,"*"&amp;$A24&amp;"*",'Diags Raw Data'!$AA$6:$AA$3992),SUMIF('Diags Raw Data'!$A$6:$A$3992,"*"&amp;$A24&amp;"*",'Diags Raw Data'!$AB$6:$AB$3992))</f>
        <v>7</v>
      </c>
      <c r="R24" s="501">
        <f t="shared" si="2"/>
        <v>1</v>
      </c>
      <c r="S24" s="501">
        <f t="shared" si="3"/>
        <v>1</v>
      </c>
      <c r="T24" s="502">
        <f t="shared" si="4"/>
        <v>1</v>
      </c>
      <c r="U24" s="570" t="s">
        <v>1692</v>
      </c>
      <c r="V24" s="180"/>
    </row>
    <row r="25" spans="1:22" ht="30" x14ac:dyDescent="0.25">
      <c r="A25" s="564" t="s">
        <v>1043</v>
      </c>
      <c r="B25" s="439" t="str">
        <f>VLOOKUP(A25,'Feature Raw Data'!$A$3:$B$4204,2,FALSE)</f>
        <v>MMHUB:UTCL1 - CPU Visible Frame-Buffer Surface Remapping</v>
      </c>
      <c r="C25" s="440" t="str">
        <f>VLOOKUP(A25,'Feature Raw Data'!$A$3:$C$4204,3,FALSE)</f>
        <v>P2</v>
      </c>
      <c r="D25" s="441" t="str" cm="1">
        <f t="array" ref="D25">_xlfn.TEXTJOIN("",TRUE,IF(ISNUMBER(SEARCH($A25,'Diags Raw Data'!$A$6:$A$3992)),CONCATENATE('Diags Raw Data'!$H$6:$H$3992,", "),""))</f>
        <v xml:space="preserve">mhub165.1-9, mhub999.277, </v>
      </c>
      <c r="E25" s="325" t="str">
        <f>VLOOKUP(A25,'Diags Raw Data'!$A$6:$D$3992,4,FALSE)</f>
        <v>MMHUB</v>
      </c>
      <c r="F25" s="325" t="str">
        <f>VLOOKUP(A25,'Feature Raw Data'!$A$3:$E$4204,5,FALSE)</f>
        <v>Legacy</v>
      </c>
      <c r="G25" s="325" t="str">
        <f t="shared" si="5"/>
        <v>Yes</v>
      </c>
      <c r="H25" s="325" t="str">
        <f t="shared" si="0"/>
        <v>Yes</v>
      </c>
      <c r="I25" s="440">
        <f>SUMIF('Diags Raw Data'!$A$6:$A$3992,"*"&amp;$A25&amp;"*",'Diags Raw Data'!$K$6:$K$3992)</f>
        <v>18</v>
      </c>
      <c r="J25" s="442">
        <f>SUMIF('Diags Raw Data'!$A$6:$A$3992,"*"&amp;$A25&amp;"*",'Diags Raw Data'!$L$6:$L$3992)</f>
        <v>10</v>
      </c>
      <c r="K25" s="494" t="e" cm="1">
        <f t="array" ref="K25">IF(D25="",0, SUMPRODUCT(--(ISNUMBER(SEARCH($A25,'Diags Raw Data'!$A$6:$A$3992))),'Diags Raw Data'!$L$6:$L$3992,'Diags Raw Data'!$N$6:$N$3995)/J25)</f>
        <v>#VALUE!</v>
      </c>
      <c r="L25" s="495" cm="1">
        <f t="array" ref="L25">IF(D25="",0, SUMPRODUCT(--(ISNUMBER(SEARCH($A25,'Diags Raw Data'!$A$6:$A$3992))),'Diags Raw Data'!$L$6:$L$3992,'Diags Raw Data'!$P$6:$P$3992)/J25)</f>
        <v>1</v>
      </c>
      <c r="M25" s="496" cm="1">
        <f t="array" ref="M25">SUMPRODUCT(--(ISNUMBER(SEARCH($A25,'Diags Raw Data'!$A$6:$A$3992))),--('Diags Raw Data'!$Q$6:$Q$3992&lt;&gt;"N/A"),'Diags Raw Data'!$R$6:$R$3992)</f>
        <v>10</v>
      </c>
      <c r="N25" s="497" cm="1">
        <f t="array" ref="N25">SUMPRODUCT(--(ISNUMBER(SEARCH($A25,'Diags Raw Data'!$A$6:$A$3992))),--('Diags Raw Data'!$Q$6:$Q$3992&lt;&gt;"N/A"),'Diags Raw Data'!$T$6:$T$3992)+SUMPRODUCT(--(ISNUMBER(SEARCH($A25,'Diags Raw Data'!$A$6:$A$3992))),--('Diags Raw Data'!$Q$6:$Q$3992&lt;&gt;"N/A"),'Diags Raw Data'!$U$6:$U$3992)</f>
        <v>10</v>
      </c>
      <c r="O25" s="498">
        <f t="shared" si="1"/>
        <v>1</v>
      </c>
      <c r="P25" s="499">
        <f>SUMIF('Diags Raw Data'!$A$6:$A$3992,"*"&amp;$A25&amp;"*",'Diags Raw Data'!$Z$6:$Z$3992)</f>
        <v>10</v>
      </c>
      <c r="Q25" s="500">
        <f>SUM(SUMIF('Diags Raw Data'!$A$6:$A$3992,"*"&amp;$A25&amp;"*",'Diags Raw Data'!$AA$6:$AA$3992),SUMIF('Diags Raw Data'!$A$6:$A$3992,"*"&amp;$A25&amp;"*",'Diags Raw Data'!$AB$6:$AB$3992))</f>
        <v>6</v>
      </c>
      <c r="R25" s="501">
        <f t="shared" si="2"/>
        <v>1</v>
      </c>
      <c r="S25" s="501">
        <f t="shared" si="3"/>
        <v>0.6</v>
      </c>
      <c r="T25" s="502">
        <f t="shared" si="4"/>
        <v>0.6</v>
      </c>
      <c r="U25" s="570" t="s">
        <v>1692</v>
      </c>
      <c r="V25" s="180"/>
    </row>
    <row r="26" spans="1:22" hidden="1" x14ac:dyDescent="0.25">
      <c r="A26" s="564"/>
      <c r="B26" s="439"/>
      <c r="C26" s="440"/>
      <c r="D26" s="441"/>
      <c r="E26" s="325"/>
      <c r="F26" s="325"/>
      <c r="G26" s="325"/>
      <c r="H26" s="325"/>
      <c r="I26" s="440"/>
      <c r="J26" s="442"/>
      <c r="K26" s="494"/>
      <c r="L26" s="495"/>
      <c r="M26" s="496"/>
      <c r="N26" s="497"/>
      <c r="O26" s="498"/>
      <c r="P26" s="499"/>
      <c r="Q26" s="500"/>
      <c r="R26" s="501"/>
      <c r="S26" s="501"/>
      <c r="T26" s="502"/>
      <c r="U26" s="570"/>
      <c r="V26" s="180"/>
    </row>
    <row r="27" spans="1:22" ht="165" x14ac:dyDescent="0.25">
      <c r="A27" s="564" t="s">
        <v>1400</v>
      </c>
      <c r="B27" s="439" t="str">
        <f>VLOOKUP(A27,'Feature Raw Data'!$A$3:$B$4204,2,FALSE)</f>
        <v>MMHUB:UTCL1 - “GPU Snoop” aka ‘gcc’ support in GPUVM L1</v>
      </c>
      <c r="C27" s="440" t="str">
        <f>VLOOKUP(A27,'Feature Raw Data'!$A$3:$C$4204,3,FALSE)</f>
        <v>P2</v>
      </c>
      <c r="D27" s="441" t="str" cm="1">
        <f t="array" ref="D27">_xlfn.TEXTJOIN("",TRUE,IF(ISNUMBER(SEARCH($A27,'Diags Raw Data'!$A$6:$A$3992)),CONCATENATE('Diags Raw Data'!$H$6:$H$3992,", "),""))</f>
        <v xml:space="preserve">mhub408.101, mhub408.103, mhub408.105, mhub408.107, mhub408.151, mhub408.153, mhub408.155, mhub408.157, mhub408.161, mhub408.163, mhub408.165, mhub408.167, mhub408.171, mhub408.173, mhub408.175, mhub408.177, mhub408.81, mhub408.83, mhub408.85, mhub408.87, mhub408.91, mhub408.93, mhub408.95, mhub408.97, </v>
      </c>
      <c r="E27" s="325" t="e">
        <f>VLOOKUP(A27,'Diags Raw Data'!$A$6:$D$3992,4,FALSE)</f>
        <v>#N/A</v>
      </c>
      <c r="F27" s="325" t="str">
        <f>VLOOKUP(A27,'Feature Raw Data'!$A$3:$E$4204,5,FALSE)</f>
        <v>Delta</v>
      </c>
      <c r="G27" s="325" t="str">
        <f t="shared" si="5"/>
        <v>Yes</v>
      </c>
      <c r="H27" s="325" t="str">
        <f t="shared" si="0"/>
        <v>Yes</v>
      </c>
      <c r="I27" s="440">
        <f>SUMIF('Diags Raw Data'!$A$6:$A$3992,"*"&amp;$A27&amp;"*",'Diags Raw Data'!$K$6:$K$3992)</f>
        <v>27</v>
      </c>
      <c r="J27" s="442">
        <f>SUMIF('Diags Raw Data'!$A$6:$A$3992,"*"&amp;$A27&amp;"*",'Diags Raw Data'!$L$6:$L$3992)</f>
        <v>24</v>
      </c>
      <c r="K27" s="494" t="e" cm="1">
        <f t="array" ref="K27">IF(D27="",0, SUMPRODUCT(--(ISNUMBER(SEARCH($A27,'Diags Raw Data'!$A$6:$A$3992))),'Diags Raw Data'!$L$6:$L$3992,'Diags Raw Data'!$N$6:$N$3995)/J27)</f>
        <v>#VALUE!</v>
      </c>
      <c r="L27" s="495" cm="1">
        <f t="array" ref="L27">IF(D27="",0, SUMPRODUCT(--(ISNUMBER(SEARCH($A27,'Diags Raw Data'!$A$6:$A$3992))),'Diags Raw Data'!$L$6:$L$3992,'Diags Raw Data'!$P$6:$P$3992)/J27)</f>
        <v>1</v>
      </c>
      <c r="M27" s="496" cm="1">
        <f t="array" ref="M27">SUMPRODUCT(--(ISNUMBER(SEARCH($A27,'Diags Raw Data'!$A$6:$A$3992))),--('Diags Raw Data'!$Q$6:$Q$3992&lt;&gt;"N/A"),'Diags Raw Data'!$R$6:$R$3992)</f>
        <v>24</v>
      </c>
      <c r="N27" s="497" cm="1">
        <f t="array" ref="N27">SUMPRODUCT(--(ISNUMBER(SEARCH($A27,'Diags Raw Data'!$A$6:$A$3992))),--('Diags Raw Data'!$Q$6:$Q$3992&lt;&gt;"N/A"),'Diags Raw Data'!$T$6:$T$3992)+SUMPRODUCT(--(ISNUMBER(SEARCH($A27,'Diags Raw Data'!$A$6:$A$3992))),--('Diags Raw Data'!$Q$6:$Q$3992&lt;&gt;"N/A"),'Diags Raw Data'!$U$6:$U$3992)</f>
        <v>24</v>
      </c>
      <c r="O27" s="498">
        <f t="shared" si="1"/>
        <v>1</v>
      </c>
      <c r="P27" s="499">
        <f>SUMIF('Diags Raw Data'!$A$6:$A$3992,"*"&amp;$A27&amp;"*",'Diags Raw Data'!$Z$6:$Z$3992)</f>
        <v>24</v>
      </c>
      <c r="Q27" s="500">
        <f>SUM(SUMIF('Diags Raw Data'!$A$6:$A$3992,"*"&amp;$A27&amp;"*",'Diags Raw Data'!$AA$6:$AA$3992),SUMIF('Diags Raw Data'!$A$6:$A$3992,"*"&amp;$A27&amp;"*",'Diags Raw Data'!$AB$6:$AB$3992))</f>
        <v>24</v>
      </c>
      <c r="R27" s="501">
        <f t="shared" si="2"/>
        <v>1</v>
      </c>
      <c r="S27" s="501">
        <f t="shared" si="3"/>
        <v>1</v>
      </c>
      <c r="T27" s="502">
        <f t="shared" si="4"/>
        <v>1</v>
      </c>
      <c r="U27" s="570" t="s">
        <v>1692</v>
      </c>
      <c r="V27" s="180"/>
    </row>
    <row r="28" spans="1:22" hidden="1" x14ac:dyDescent="0.25">
      <c r="A28" s="564"/>
      <c r="B28" s="439"/>
      <c r="C28" s="440"/>
      <c r="D28" s="441"/>
      <c r="E28" s="325"/>
      <c r="F28" s="325"/>
      <c r="G28" s="325"/>
      <c r="H28" s="325"/>
      <c r="I28" s="440"/>
      <c r="J28" s="442"/>
      <c r="K28" s="494"/>
      <c r="L28" s="495"/>
      <c r="M28" s="496"/>
      <c r="N28" s="497"/>
      <c r="O28" s="498"/>
      <c r="P28" s="499"/>
      <c r="Q28" s="500"/>
      <c r="R28" s="501"/>
      <c r="S28" s="501"/>
      <c r="T28" s="502"/>
      <c r="U28" s="570"/>
      <c r="V28" s="180"/>
    </row>
    <row r="29" spans="1:22" ht="30" x14ac:dyDescent="0.25">
      <c r="A29" s="564" t="s">
        <v>1404</v>
      </c>
      <c r="B29" s="439" t="str">
        <f>VLOOKUP(A29,'Feature Raw Data'!$A$3:$B$4204,2,FALSE)</f>
        <v>MMHUB:UTCL1 - Support both GPUVM invalidate and ATC invalidate</v>
      </c>
      <c r="C29" s="440" t="str">
        <f>VLOOKUP(A29,'Feature Raw Data'!$A$3:$C$4204,3,FALSE)</f>
        <v>P2</v>
      </c>
      <c r="D29" s="441" t="str" cm="1">
        <f t="array" ref="D29">_xlfn.TEXTJOIN("",TRUE,IF(ISNUMBER(SEARCH($A29,'Diags Raw Data'!$A$6:$A$3992)),CONCATENATE('Diags Raw Data'!$H$6:$H$3992,", "),""))</f>
        <v xml:space="preserve">mhub055, </v>
      </c>
      <c r="E29" s="325" t="e">
        <f>VLOOKUP(A29,'Diags Raw Data'!$A$6:$D$3992,4,FALSE)</f>
        <v>#N/A</v>
      </c>
      <c r="F29" s="325" t="str">
        <f>VLOOKUP(A29,'Feature Raw Data'!$A$3:$E$4204,5,FALSE)</f>
        <v>Legacy</v>
      </c>
      <c r="G29" s="325" t="str">
        <f t="shared" si="5"/>
        <v>Yes</v>
      </c>
      <c r="H29" s="325" t="str">
        <f t="shared" si="0"/>
        <v>Yes</v>
      </c>
      <c r="I29" s="440">
        <f>SUMIF('Diags Raw Data'!$A$6:$A$3992,"*"&amp;$A29&amp;"*",'Diags Raw Data'!$K$6:$K$3992)</f>
        <v>4</v>
      </c>
      <c r="J29" s="442">
        <f>SUMIF('Diags Raw Data'!$A$6:$A$3992,"*"&amp;$A29&amp;"*",'Diags Raw Data'!$L$6:$L$3992)</f>
        <v>1</v>
      </c>
      <c r="K29" s="494" t="e" cm="1">
        <f t="array" ref="K29">IF(D29="",0, SUMPRODUCT(--(ISNUMBER(SEARCH($A29,'Diags Raw Data'!$A$6:$A$3992))),'Diags Raw Data'!$L$6:$L$3992,'Diags Raw Data'!$N$6:$N$3995)/J29)</f>
        <v>#VALUE!</v>
      </c>
      <c r="L29" s="495" cm="1">
        <f t="array" ref="L29">IF(D29="",0, SUMPRODUCT(--(ISNUMBER(SEARCH($A29,'Diags Raw Data'!$A$6:$A$3992))),'Diags Raw Data'!$L$6:$L$3992,'Diags Raw Data'!$P$6:$P$3992)/J29)</f>
        <v>1</v>
      </c>
      <c r="M29" s="496" cm="1">
        <f t="array" ref="M29">SUMPRODUCT(--(ISNUMBER(SEARCH($A29,'Diags Raw Data'!$A$6:$A$3992))),--('Diags Raw Data'!$Q$6:$Q$3992&lt;&gt;"N/A"),'Diags Raw Data'!$R$6:$R$3992)</f>
        <v>1</v>
      </c>
      <c r="N29" s="497" cm="1">
        <f t="array" ref="N29">SUMPRODUCT(--(ISNUMBER(SEARCH($A29,'Diags Raw Data'!$A$6:$A$3992))),--('Diags Raw Data'!$Q$6:$Q$3992&lt;&gt;"N/A"),'Diags Raw Data'!$T$6:$T$3992)+SUMPRODUCT(--(ISNUMBER(SEARCH($A29,'Diags Raw Data'!$A$6:$A$3992))),--('Diags Raw Data'!$Q$6:$Q$3992&lt;&gt;"N/A"),'Diags Raw Data'!$U$6:$U$3992)</f>
        <v>1</v>
      </c>
      <c r="O29" s="498">
        <f t="shared" si="1"/>
        <v>1</v>
      </c>
      <c r="P29" s="499">
        <f>SUMIF('Diags Raw Data'!$A$6:$A$3992,"*"&amp;$A29&amp;"*",'Diags Raw Data'!$Z$6:$Z$3992)</f>
        <v>1</v>
      </c>
      <c r="Q29" s="500">
        <f>SUM(SUMIF('Diags Raw Data'!$A$6:$A$3992,"*"&amp;$A29&amp;"*",'Diags Raw Data'!$AA$6:$AA$3992),SUMIF('Diags Raw Data'!$A$6:$A$3992,"*"&amp;$A29&amp;"*",'Diags Raw Data'!$AB$6:$AB$3992))</f>
        <v>1</v>
      </c>
      <c r="R29" s="501">
        <f t="shared" si="2"/>
        <v>1</v>
      </c>
      <c r="S29" s="501">
        <f t="shared" si="3"/>
        <v>1</v>
      </c>
      <c r="T29" s="502">
        <f t="shared" si="4"/>
        <v>1</v>
      </c>
      <c r="U29" s="570" t="s">
        <v>1692</v>
      </c>
      <c r="V29" s="180"/>
    </row>
    <row r="30" spans="1:22" ht="90" x14ac:dyDescent="0.25">
      <c r="A30" s="564" t="s">
        <v>1235</v>
      </c>
      <c r="B30" s="439" t="str">
        <f>VLOOKUP(A30,'Feature Raw Data'!$A$3:$B$4204,2,FALSE)</f>
        <v>MMHUB:UTCL1 - Aperture Checks</v>
      </c>
      <c r="C30" s="440" t="str">
        <f>VLOOKUP(A30,'Feature Raw Data'!$A$3:$C$4204,3,FALSE)</f>
        <v>P1</v>
      </c>
      <c r="D30" s="441" t="str" cm="1">
        <f t="array" ref="D30">_xlfn.TEXTJOIN("",TRUE,IF(ISNUMBER(SEARCH($A30,'Diags Raw Data'!$A$6:$A$3992)),CONCATENATE('Diags Raw Data'!$H$6:$H$3992,", "),""))</f>
        <v xml:space="preserve">mhub001.1, mhub001.2, mhub001.3, mhub001.4, mhub001.5, mhub001.6, mhub001.7, mhub001.9, mhub002.1-15, mhub002.1-15, mhub002.16, mhub002.16, mhub002.17, mhub002.18, mhub164.1, mhub162.1,2, </v>
      </c>
      <c r="E30" s="325" t="str">
        <f>VLOOKUP(A30,'Diags Raw Data'!$A$6:$D$3992,4,FALSE)</f>
        <v>MMHUB</v>
      </c>
      <c r="F30" s="325" t="str">
        <f>VLOOKUP(A30,'Feature Raw Data'!$A$3:$E$4204,5,FALSE)</f>
        <v>Delta</v>
      </c>
      <c r="G30" s="325" t="str">
        <f t="shared" si="5"/>
        <v>Yes</v>
      </c>
      <c r="H30" s="325" t="str">
        <f t="shared" si="0"/>
        <v>Yes</v>
      </c>
      <c r="I30" s="440">
        <f>SUMIF('Diags Raw Data'!$A$6:$A$3992,"*"&amp;$A30&amp;"*",'Diags Raw Data'!$K$6:$K$3992)</f>
        <v>35</v>
      </c>
      <c r="J30" s="442">
        <f>SUMIF('Diags Raw Data'!$A$6:$A$3992,"*"&amp;$A30&amp;"*",'Diags Raw Data'!$L$6:$L$3992)</f>
        <v>45</v>
      </c>
      <c r="K30" s="494" t="e" cm="1">
        <f t="array" ref="K30">IF(D30="",0, SUMPRODUCT(--(ISNUMBER(SEARCH($A30,'Diags Raw Data'!$A$6:$A$3992))),'Diags Raw Data'!$L$6:$L$3992,'Diags Raw Data'!$N$6:$N$3995)/J30)</f>
        <v>#VALUE!</v>
      </c>
      <c r="L30" s="495" cm="1">
        <f t="array" ref="L30">IF(D30="",0, SUMPRODUCT(--(ISNUMBER(SEARCH($A30,'Diags Raw Data'!$A$6:$A$3992))),'Diags Raw Data'!$L$6:$L$3992,'Diags Raw Data'!$P$6:$P$3992)/J30)</f>
        <v>1</v>
      </c>
      <c r="M30" s="496" cm="1">
        <f t="array" ref="M30">SUMPRODUCT(--(ISNUMBER(SEARCH($A30,'Diags Raw Data'!$A$6:$A$3992))),--('Diags Raw Data'!$Q$6:$Q$3992&lt;&gt;"N/A"),'Diags Raw Data'!$R$6:$R$3992)</f>
        <v>45</v>
      </c>
      <c r="N30" s="497" cm="1">
        <f t="array" ref="N30">SUMPRODUCT(--(ISNUMBER(SEARCH($A30,'Diags Raw Data'!$A$6:$A$3992))),--('Diags Raw Data'!$Q$6:$Q$3992&lt;&gt;"N/A"),'Diags Raw Data'!$T$6:$T$3992)+SUMPRODUCT(--(ISNUMBER(SEARCH($A30,'Diags Raw Data'!$A$6:$A$3992))),--('Diags Raw Data'!$Q$6:$Q$3992&lt;&gt;"N/A"),'Diags Raw Data'!$U$6:$U$3992)</f>
        <v>45</v>
      </c>
      <c r="O30" s="498">
        <f t="shared" si="1"/>
        <v>1</v>
      </c>
      <c r="P30" s="499">
        <f>SUMIF('Diags Raw Data'!$A$6:$A$3992,"*"&amp;$A30&amp;"*",'Diags Raw Data'!$Z$6:$Z$3992)</f>
        <v>45</v>
      </c>
      <c r="Q30" s="500">
        <f>SUM(SUMIF('Diags Raw Data'!$A$6:$A$3992,"*"&amp;$A30&amp;"*",'Diags Raw Data'!$AA$6:$AA$3992),SUMIF('Diags Raw Data'!$A$6:$A$3992,"*"&amp;$A30&amp;"*",'Diags Raw Data'!$AB$6:$AB$3992))</f>
        <v>44</v>
      </c>
      <c r="R30" s="501">
        <f t="shared" si="2"/>
        <v>1</v>
      </c>
      <c r="S30" s="501">
        <f t="shared" si="3"/>
        <v>0.97777777777777775</v>
      </c>
      <c r="T30" s="502">
        <f t="shared" si="4"/>
        <v>0.97777777777777775</v>
      </c>
      <c r="U30" s="570" t="s">
        <v>1690</v>
      </c>
      <c r="V30" s="180"/>
    </row>
    <row r="31" spans="1:22" ht="104.25" customHeight="1" x14ac:dyDescent="0.25">
      <c r="A31" s="564" t="s">
        <v>1405</v>
      </c>
      <c r="B31" s="439" t="str">
        <f>VLOOKUP(A31,'Feature Raw Data'!$A$3:$B$4204,2,FALSE)</f>
        <v>MMHUB:UTCL1 - CAM/TLB stores these translations:
GPUVA-&gt;SYSMEM_GPA
GPUVA-&gt;SYSMEM_SPA
GPUVA-&gt;FB_SPA
SYSMEM _GPA-&gt;SYSMEM_SPA (L2TLB only + ATC enabled)          
FB_GPA-&gt;FB_SPA (L2TLB, VFs only + FFBM) </v>
      </c>
      <c r="C31" s="440" t="str">
        <f>VLOOKUP(A31,'Feature Raw Data'!$A$3:$C$4204,3,FALSE)</f>
        <v>P2</v>
      </c>
      <c r="D31" s="441" t="str" cm="1">
        <f t="array" ref="D31">_xlfn.TEXTJOIN("",TRUE,IF(ISNUMBER(SEARCH($A31,'Diags Raw Data'!$A$6:$A$3992)),CONCATENATE('Diags Raw Data'!$H$6:$H$3992,", "),""))</f>
        <v xml:space="preserve">mhub027.1,2, mhub028.1,2, mhub029.1,2, mhub030.1-3, </v>
      </c>
      <c r="E31" s="325" t="e">
        <f>VLOOKUP(A31,'Diags Raw Data'!$A$6:$D$3992,4,FALSE)</f>
        <v>#N/A</v>
      </c>
      <c r="F31" s="325" t="str">
        <f>VLOOKUP(A31,'Feature Raw Data'!$A$3:$E$4204,5,FALSE)</f>
        <v>Legacy</v>
      </c>
      <c r="G31" s="325" t="str">
        <f t="shared" si="5"/>
        <v>Yes</v>
      </c>
      <c r="H31" s="325" t="str">
        <f t="shared" si="0"/>
        <v>Yes</v>
      </c>
      <c r="I31" s="440">
        <f>SUMIF('Diags Raw Data'!$A$6:$A$3992,"*"&amp;$A31&amp;"*",'Diags Raw Data'!$K$6:$K$3992)</f>
        <v>12</v>
      </c>
      <c r="J31" s="442">
        <f>SUMIF('Diags Raw Data'!$A$6:$A$3992,"*"&amp;$A31&amp;"*",'Diags Raw Data'!$L$6:$L$3992)</f>
        <v>7</v>
      </c>
      <c r="K31" s="494" t="e" cm="1">
        <f t="array" ref="K31">IF(D31="",0, SUMPRODUCT(--(ISNUMBER(SEARCH($A31,'Diags Raw Data'!$A$6:$A$3992))),'Diags Raw Data'!$L$6:$L$3992,'Diags Raw Data'!$N$6:$N$3995)/J31)</f>
        <v>#VALUE!</v>
      </c>
      <c r="L31" s="495" cm="1">
        <f t="array" ref="L31">IF(D31="",0, SUMPRODUCT(--(ISNUMBER(SEARCH($A31,'Diags Raw Data'!$A$6:$A$3992))),'Diags Raw Data'!$L$6:$L$3992,'Diags Raw Data'!$P$6:$P$3992)/J31)</f>
        <v>1</v>
      </c>
      <c r="M31" s="496" cm="1">
        <f t="array" ref="M31">SUMPRODUCT(--(ISNUMBER(SEARCH($A31,'Diags Raw Data'!$A$6:$A$3992))),--('Diags Raw Data'!$Q$6:$Q$3992&lt;&gt;"N/A"),'Diags Raw Data'!$R$6:$R$3992)</f>
        <v>7</v>
      </c>
      <c r="N31" s="497" cm="1">
        <f t="array" ref="N31">SUMPRODUCT(--(ISNUMBER(SEARCH($A31,'Diags Raw Data'!$A$6:$A$3992))),--('Diags Raw Data'!$Q$6:$Q$3992&lt;&gt;"N/A"),'Diags Raw Data'!$T$6:$T$3992)+SUMPRODUCT(--(ISNUMBER(SEARCH($A31,'Diags Raw Data'!$A$6:$A$3992))),--('Diags Raw Data'!$Q$6:$Q$3992&lt;&gt;"N/A"),'Diags Raw Data'!$U$6:$U$3992)</f>
        <v>7</v>
      </c>
      <c r="O31" s="498">
        <f t="shared" si="1"/>
        <v>1</v>
      </c>
      <c r="P31" s="499">
        <f>SUMIF('Diags Raw Data'!$A$6:$A$3992,"*"&amp;$A31&amp;"*",'Diags Raw Data'!$Z$6:$Z$3992)</f>
        <v>7</v>
      </c>
      <c r="Q31" s="500">
        <f>SUM(SUMIF('Diags Raw Data'!$A$6:$A$3992,"*"&amp;$A31&amp;"*",'Diags Raw Data'!$AA$6:$AA$3992),SUMIF('Diags Raw Data'!$A$6:$A$3992,"*"&amp;$A31&amp;"*",'Diags Raw Data'!$AB$6:$AB$3992))</f>
        <v>7</v>
      </c>
      <c r="R31" s="501">
        <f t="shared" si="2"/>
        <v>1</v>
      </c>
      <c r="S31" s="501">
        <f t="shared" si="3"/>
        <v>1</v>
      </c>
      <c r="T31" s="502">
        <f>R31*S31</f>
        <v>1</v>
      </c>
      <c r="U31" s="570" t="s">
        <v>1692</v>
      </c>
      <c r="V31" s="180"/>
    </row>
    <row r="32" spans="1:22" x14ac:dyDescent="0.25">
      <c r="A32" s="564" t="s">
        <v>1047</v>
      </c>
      <c r="B32" s="439" t="str">
        <f>VLOOKUP(A32,'Feature Raw Data'!$A$3:$B$4204,2,FALSE)</f>
        <v>MMHUB:MMUTCL2 - Sideband translation path</v>
      </c>
      <c r="C32" s="440" t="str">
        <f>VLOOKUP(A32,'Feature Raw Data'!$A$3:$C$4204,3,FALSE)</f>
        <v>P1</v>
      </c>
      <c r="D32" s="441" t="str" cm="1">
        <f t="array" ref="D32">_xlfn.TEXTJOIN("",TRUE,IF(ISNUMBER(SEARCH($A32,'Diags Raw Data'!$A$6:$A$3992)),CONCATENATE('Diags Raw Data'!$H$6:$H$3992,", "),""))</f>
        <v xml:space="preserve">mhub57.1, </v>
      </c>
      <c r="E32" s="325" t="str">
        <f>VLOOKUP(A32,'Diags Raw Data'!$A$6:$D$3992,4,FALSE)</f>
        <v>MMHUB</v>
      </c>
      <c r="F32" s="325" t="str">
        <f>VLOOKUP(A32,'Feature Raw Data'!$A$3:$E$4204,5,FALSE)</f>
        <v>Delta</v>
      </c>
      <c r="G32" s="325" t="str">
        <f t="shared" ref="G32" si="20">IF(D32="","No","Yes")</f>
        <v>Yes</v>
      </c>
      <c r="H32" s="325" t="str">
        <f t="shared" ref="H32" si="21">IF(D32="","No","Yes")</f>
        <v>Yes</v>
      </c>
      <c r="I32" s="440">
        <f>SUMIF('Diags Raw Data'!$A$6:$A$3992,"*"&amp;$A32&amp;"*",'Diags Raw Data'!$K$6:$K$3992)</f>
        <v>1</v>
      </c>
      <c r="J32" s="442">
        <f>SUMIF('Diags Raw Data'!$A$6:$A$3992,"*"&amp;$A32&amp;"*",'Diags Raw Data'!$L$6:$L$3992)</f>
        <v>1</v>
      </c>
      <c r="K32" s="494" t="e" cm="1">
        <f t="array" ref="K32">IF(D32="",0, SUMPRODUCT(--(ISNUMBER(SEARCH($A32,'Diags Raw Data'!$A$6:$A$3992))),'Diags Raw Data'!$L$6:$L$3992,'Diags Raw Data'!$N$6:$N$3995)/J32)</f>
        <v>#VALUE!</v>
      </c>
      <c r="L32" s="495" cm="1">
        <f t="array" ref="L32">IF(D32="",0, SUMPRODUCT(--(ISNUMBER(SEARCH($A32,'Diags Raw Data'!$A$6:$A$3992))),'Diags Raw Data'!$L$6:$L$3992,'Diags Raw Data'!$P$6:$P$3992)/J32)</f>
        <v>1</v>
      </c>
      <c r="M32" s="496" cm="1">
        <f t="array" ref="M32">SUMPRODUCT(--(ISNUMBER(SEARCH($A32,'Diags Raw Data'!$A$6:$A$3992))),--('Diags Raw Data'!$Q$6:$Q$3992&lt;&gt;"N/A"),'Diags Raw Data'!$R$6:$R$3992)</f>
        <v>1</v>
      </c>
      <c r="N32" s="497" cm="1">
        <f t="array" ref="N32">SUMPRODUCT(--(ISNUMBER(SEARCH($A32,'Diags Raw Data'!$A$6:$A$3992))),--('Diags Raw Data'!$Q$6:$Q$3992&lt;&gt;"N/A"),'Diags Raw Data'!$T$6:$T$3992)+SUMPRODUCT(--(ISNUMBER(SEARCH($A32,'Diags Raw Data'!$A$6:$A$3992))),--('Diags Raw Data'!$Q$6:$Q$3992&lt;&gt;"N/A"),'Diags Raw Data'!$U$6:$U$3992)</f>
        <v>1</v>
      </c>
      <c r="O32" s="498">
        <f t="shared" ref="O32" si="22">IF((M32=0),0,N32/M32)</f>
        <v>1</v>
      </c>
      <c r="P32" s="499">
        <f>SUMIF('Diags Raw Data'!$A$6:$A$3992,"*"&amp;$A32&amp;"*",'Diags Raw Data'!$Z$6:$Z$3992)</f>
        <v>1</v>
      </c>
      <c r="Q32" s="500">
        <f>SUM(SUMIF('Diags Raw Data'!$A$6:$A$3992,"*"&amp;$A32&amp;"*",'Diags Raw Data'!$AA$6:$AA$3992),SUMIF('Diags Raw Data'!$A$6:$A$3992,"*"&amp;$A32&amp;"*",'Diags Raw Data'!$AB$6:$AB$3992))</f>
        <v>1</v>
      </c>
      <c r="R32" s="501">
        <f t="shared" ref="R32" si="23">IF((J32=0),0,P32/J32)</f>
        <v>1</v>
      </c>
      <c r="S32" s="501">
        <f t="shared" ref="S32" si="24">IF((P32=0),0,Q32/P32)</f>
        <v>1</v>
      </c>
      <c r="T32" s="502">
        <f t="shared" ref="T32" si="25">R32*S32</f>
        <v>1</v>
      </c>
      <c r="U32" s="570" t="s">
        <v>1690</v>
      </c>
      <c r="V32" s="180"/>
    </row>
    <row r="33" spans="1:24" hidden="1" x14ac:dyDescent="0.25">
      <c r="A33" s="564"/>
      <c r="B33" s="439"/>
      <c r="C33" s="440"/>
      <c r="D33" s="441"/>
      <c r="E33" s="325"/>
      <c r="F33" s="325"/>
      <c r="G33" s="325"/>
      <c r="H33" s="325"/>
      <c r="I33" s="440"/>
      <c r="J33" s="442"/>
      <c r="K33" s="494"/>
      <c r="L33" s="495"/>
      <c r="M33" s="496"/>
      <c r="N33" s="497"/>
      <c r="O33" s="498"/>
      <c r="P33" s="499"/>
      <c r="Q33" s="500"/>
      <c r="R33" s="501"/>
      <c r="S33" s="501"/>
      <c r="T33" s="502"/>
      <c r="U33" s="570"/>
      <c r="V33" s="180"/>
    </row>
    <row r="34" spans="1:24" hidden="1" x14ac:dyDescent="0.25">
      <c r="A34" s="564"/>
      <c r="B34" s="439"/>
      <c r="C34" s="440"/>
      <c r="D34" s="441"/>
      <c r="E34" s="325"/>
      <c r="F34" s="325"/>
      <c r="G34" s="325"/>
      <c r="H34" s="325"/>
      <c r="I34" s="440"/>
      <c r="J34" s="442"/>
      <c r="K34" s="494"/>
      <c r="L34" s="495"/>
      <c r="M34" s="496"/>
      <c r="N34" s="497"/>
      <c r="O34" s="498"/>
      <c r="P34" s="499"/>
      <c r="Q34" s="500"/>
      <c r="R34" s="501"/>
      <c r="S34" s="501"/>
      <c r="T34" s="502"/>
      <c r="U34" s="570"/>
      <c r="V34" s="180"/>
    </row>
    <row r="35" spans="1:24" hidden="1" x14ac:dyDescent="0.25">
      <c r="A35" s="564"/>
      <c r="B35" s="439"/>
      <c r="C35" s="440"/>
      <c r="D35" s="441"/>
      <c r="E35" s="325"/>
      <c r="F35" s="325"/>
      <c r="G35" s="325"/>
      <c r="H35" s="325"/>
      <c r="I35" s="440"/>
      <c r="J35" s="442"/>
      <c r="K35" s="494"/>
      <c r="L35" s="495"/>
      <c r="M35" s="496"/>
      <c r="N35" s="497"/>
      <c r="O35" s="498"/>
      <c r="P35" s="499"/>
      <c r="Q35" s="500"/>
      <c r="R35" s="501"/>
      <c r="S35" s="501"/>
      <c r="T35" s="502"/>
      <c r="U35" s="570"/>
      <c r="V35" s="180"/>
    </row>
    <row r="36" spans="1:24" ht="71.25" customHeight="1" x14ac:dyDescent="0.25">
      <c r="A36" s="564" t="s">
        <v>461</v>
      </c>
      <c r="B36" s="439" t="str">
        <f>VLOOKUP(A36,'Feature Raw Data'!$A$3:$B$4204,2,FALSE)</f>
        <v>MMHUB:MMUTCL2:VML2 - Caches</v>
      </c>
      <c r="C36" s="440" t="str">
        <f>VLOOKUP(A36,'Feature Raw Data'!$A$3:$C$4204,3,FALSE)</f>
        <v>P1</v>
      </c>
      <c r="D36" s="441" t="str" cm="1">
        <f t="array" ref="D36">_xlfn.TEXTJOIN("",TRUE,IF(ISNUMBER(SEARCH($A36,'Diags Raw Data'!$A$6:$A$3992)),CONCATENATE('Diags Raw Data'!$H$6:$H$3992,", "),""))</f>
        <v xml:space="preserve">mhub031.1, mhub031.3-5, mhub031.2, mhub031.6-9, mhub033.1,2,3, mhub081.1,2, mhub082, mhub083, mhub084.1,2, mhub085, mhub086.1,2, mhub089, mhub093.1, mhub094, </v>
      </c>
      <c r="E36" s="325" t="str">
        <f>VLOOKUP(A36,'Diags Raw Data'!$A$6:$D$3992,4,FALSE)</f>
        <v>MMHUB</v>
      </c>
      <c r="F36" s="325" t="str">
        <f>VLOOKUP(A36,'Feature Raw Data'!$A$3:$E$4204,5,FALSE)</f>
        <v>Legacy</v>
      </c>
      <c r="G36" s="325" t="str">
        <f t="shared" si="5"/>
        <v>Yes</v>
      </c>
      <c r="H36" s="325" t="str">
        <f t="shared" si="0"/>
        <v>Yes</v>
      </c>
      <c r="I36" s="440">
        <f>SUMIF('Diags Raw Data'!$A$6:$A$3992,"*"&amp;$A36&amp;"*",'Diags Raw Data'!$K$6:$K$3992)</f>
        <v>24</v>
      </c>
      <c r="J36" s="442">
        <f>SUMIF('Diags Raw Data'!$A$6:$A$3992,"*"&amp;$A36&amp;"*",'Diags Raw Data'!$L$6:$L$3992)</f>
        <v>24</v>
      </c>
      <c r="K36" s="494" t="e" cm="1">
        <f t="array" ref="K36">IF(D36="",0, SUMPRODUCT(--(ISNUMBER(SEARCH($A36,'Diags Raw Data'!$A$6:$A$3992))),'Diags Raw Data'!$L$6:$L$3992,'Diags Raw Data'!$N$6:$N$3995)/J36)</f>
        <v>#VALUE!</v>
      </c>
      <c r="L36" s="495" cm="1">
        <f t="array" ref="L36">IF(D36="",0, SUMPRODUCT(--(ISNUMBER(SEARCH($A36,'Diags Raw Data'!$A$6:$A$3992))),'Diags Raw Data'!$L$6:$L$3992,'Diags Raw Data'!$P$6:$P$3992)/J36)</f>
        <v>1</v>
      </c>
      <c r="M36" s="496" cm="1">
        <f t="array" ref="M36">SUMPRODUCT(--(ISNUMBER(SEARCH($A36,'Diags Raw Data'!$A$6:$A$3992))),--('Diags Raw Data'!$Q$6:$Q$3992&lt;&gt;"N/A"),'Diags Raw Data'!$R$6:$R$3992)</f>
        <v>24</v>
      </c>
      <c r="N36" s="497" cm="1">
        <f t="array" ref="N36">SUMPRODUCT(--(ISNUMBER(SEARCH($A36,'Diags Raw Data'!$A$6:$A$3992))),--('Diags Raw Data'!$Q$6:$Q$3992&lt;&gt;"N/A"),'Diags Raw Data'!$T$6:$T$3992)+SUMPRODUCT(--(ISNUMBER(SEARCH($A36,'Diags Raw Data'!$A$6:$A$3992))),--('Diags Raw Data'!$Q$6:$Q$3992&lt;&gt;"N/A"),'Diags Raw Data'!$U$6:$U$3992)</f>
        <v>24</v>
      </c>
      <c r="O36" s="498">
        <f t="shared" si="1"/>
        <v>1</v>
      </c>
      <c r="P36" s="499">
        <f>SUMIF('Diags Raw Data'!$A$6:$A$3992,"*"&amp;$A36&amp;"*",'Diags Raw Data'!$Z$6:$Z$3992)</f>
        <v>24</v>
      </c>
      <c r="Q36" s="500">
        <f>SUM(SUMIF('Diags Raw Data'!$A$6:$A$3992,"*"&amp;$A36&amp;"*",'Diags Raw Data'!$AA$6:$AA$3992),SUMIF('Diags Raw Data'!$A$6:$A$3992,"*"&amp;$A36&amp;"*",'Diags Raw Data'!$AB$6:$AB$3992))</f>
        <v>21</v>
      </c>
      <c r="R36" s="501">
        <f t="shared" si="2"/>
        <v>1</v>
      </c>
      <c r="S36" s="501">
        <f t="shared" si="3"/>
        <v>0.875</v>
      </c>
      <c r="T36" s="502">
        <f t="shared" si="4"/>
        <v>0.875</v>
      </c>
      <c r="U36" s="570" t="s">
        <v>1692</v>
      </c>
      <c r="V36" s="180"/>
    </row>
    <row r="37" spans="1:24" ht="30" hidden="1" x14ac:dyDescent="0.25">
      <c r="A37" s="564" t="s">
        <v>1189</v>
      </c>
      <c r="B37" s="439" t="str">
        <f>VLOOKUP(A37,'Feature Raw Data'!$A$3:$B$4204,2,FALSE)</f>
        <v>MMHUB:MMUTCL2:VML2 - GPUVM fault status register</v>
      </c>
      <c r="C37" s="440" t="str">
        <f>VLOOKUP(A37,'Feature Raw Data'!$A$3:$C$4204,3,FALSE)</f>
        <v>P1</v>
      </c>
      <c r="D37" s="441" t="str" cm="1">
        <f t="array" ref="D37">_xlfn.TEXTJOIN("",TRUE,IF(ISNUMBER(SEARCH($A37,'Diags Raw Data'!$A$6:$A$3992)),CONCATENATE('Diags Raw Data'!$H$6:$H$3992,", "),""))</f>
        <v xml:space="preserve">mhub087, </v>
      </c>
      <c r="E37" s="325" t="str">
        <f>VLOOKUP(A37,'Diags Raw Data'!$A$6:$D$3992,4,FALSE)</f>
        <v>MMHUB</v>
      </c>
      <c r="F37" s="325" t="str">
        <f>VLOOKUP(A37,'Feature Raw Data'!$A$3:$E$4204,5,FALSE)</f>
        <v>Delta</v>
      </c>
      <c r="G37" s="325" t="str">
        <f t="shared" ref="G37" si="26">IF(D37="","No","Yes")</f>
        <v>Yes</v>
      </c>
      <c r="H37" s="325" t="str">
        <f t="shared" ref="H37" si="27">IF(D37="","No","Yes")</f>
        <v>Yes</v>
      </c>
      <c r="I37" s="440">
        <f>SUMIF('Diags Raw Data'!$A$6:$A$3992,"*"&amp;$A37&amp;"*",'Diags Raw Data'!$K$6:$K$3992)</f>
        <v>0</v>
      </c>
      <c r="J37" s="442">
        <f>SUMIF('Diags Raw Data'!$A$6:$A$3992,"*"&amp;$A37&amp;"*",'Diags Raw Data'!$L$6:$L$3992)</f>
        <v>0</v>
      </c>
      <c r="K37" s="494" t="e" cm="1">
        <f t="array" ref="K37">IF(D37="",0, SUMPRODUCT(--(ISNUMBER(SEARCH($A37,'Diags Raw Data'!$A$6:$A$3992))),'Diags Raw Data'!$L$6:$L$3992,'Diags Raw Data'!$N$6:$N$3995)/J37)</f>
        <v>#VALUE!</v>
      </c>
      <c r="L37" s="495" t="e" cm="1">
        <f t="array" ref="L37">IF(D37="",0, SUMPRODUCT(--(ISNUMBER(SEARCH($A37,'Diags Raw Data'!$A$6:$A$3992))),'Diags Raw Data'!$L$6:$L$3992,'Diags Raw Data'!$P$6:$P$3992)/J37)</f>
        <v>#DIV/0!</v>
      </c>
      <c r="M37" s="496" cm="1">
        <f t="array" ref="M37">SUMPRODUCT(--(ISNUMBER(SEARCH($A37,'Diags Raw Data'!$A$6:$A$3992))),--('Diags Raw Data'!$Q$6:$Q$3992&lt;&gt;"N/A"),'Diags Raw Data'!$R$6:$R$3992)</f>
        <v>0</v>
      </c>
      <c r="N37" s="497" cm="1">
        <f t="array" ref="N37">SUMPRODUCT(--(ISNUMBER(SEARCH($A37,'Diags Raw Data'!$A$6:$A$3992))),--('Diags Raw Data'!$Q$6:$Q$3992&lt;&gt;"N/A"),'Diags Raw Data'!$T$6:$T$3992)+SUMPRODUCT(--(ISNUMBER(SEARCH($A37,'Diags Raw Data'!$A$6:$A$3992))),--('Diags Raw Data'!$Q$6:$Q$3992&lt;&gt;"N/A"),'Diags Raw Data'!$U$6:$U$3992)</f>
        <v>0</v>
      </c>
      <c r="O37" s="498">
        <f t="shared" ref="O37" si="28">IF((M37=0),0,N37/M37)</f>
        <v>0</v>
      </c>
      <c r="P37" s="499">
        <f>SUMIF('Diags Raw Data'!$A$6:$A$3992,"*"&amp;$A37&amp;"*",'Diags Raw Data'!$Z$6:$Z$3992)</f>
        <v>0</v>
      </c>
      <c r="Q37" s="500">
        <f>SUM(SUMIF('Diags Raw Data'!$A$6:$A$3992,"*"&amp;$A37&amp;"*",'Diags Raw Data'!$AA$6:$AA$3992),SUMIF('Diags Raw Data'!$A$6:$A$3992,"*"&amp;$A37&amp;"*",'Diags Raw Data'!$AB$6:$AB$3992))</f>
        <v>0</v>
      </c>
      <c r="R37" s="501">
        <f t="shared" ref="R37" si="29">IF((J37=0),0,P37/J37)</f>
        <v>0</v>
      </c>
      <c r="S37" s="501">
        <f t="shared" ref="S37" si="30">IF((P37=0),0,Q37/P37)</f>
        <v>0</v>
      </c>
      <c r="T37" s="502">
        <f t="shared" ref="T37" si="31">R37*S37</f>
        <v>0</v>
      </c>
      <c r="U37" s="570" t="s">
        <v>1690</v>
      </c>
      <c r="V37" s="180"/>
    </row>
    <row r="38" spans="1:24" ht="32.25" customHeight="1" x14ac:dyDescent="0.25">
      <c r="A38" s="564" t="s">
        <v>1056</v>
      </c>
      <c r="B38" s="439" t="str">
        <f>VLOOKUP(A38,'Feature Raw Data'!$A$3:$B$4204,2,FALSE)</f>
        <v xml:space="preserve">MMHUB:MMUTCL2:VML2 - Common PSP-only default page </v>
      </c>
      <c r="C38" s="440" t="str">
        <f>VLOOKUP(A38,'Feature Raw Data'!$A$3:$C$4204,3,FALSE)</f>
        <v>P1</v>
      </c>
      <c r="D38" s="441" t="str" cm="1">
        <f t="array" ref="D38">_xlfn.TEXTJOIN("",TRUE,IF(ISNUMBER(SEARCH($A38,'Diags Raw Data'!$A$6:$A$3992)),CONCATENATE('Diags Raw Data'!$H$6:$H$3992,", "),""))</f>
        <v xml:space="preserve">mhub091.1-4, mhub091.5,6, </v>
      </c>
      <c r="E38" s="325" t="str">
        <f>VLOOKUP(A38,'Diags Raw Data'!$A$6:$D$3992,4,FALSE)</f>
        <v>MMHUB</v>
      </c>
      <c r="F38" s="325" t="str">
        <f>VLOOKUP(A38,'Feature Raw Data'!$A$3:$E$4204,5,FALSE)</f>
        <v>Legacy</v>
      </c>
      <c r="G38" s="325" t="str">
        <f t="shared" si="5"/>
        <v>Yes</v>
      </c>
      <c r="H38" s="325" t="str">
        <f t="shared" si="0"/>
        <v>Yes</v>
      </c>
      <c r="I38" s="440">
        <f>SUMIF('Diags Raw Data'!$A$6:$A$3992,"*"&amp;$A38&amp;"*",'Diags Raw Data'!$K$6:$K$3992)</f>
        <v>12</v>
      </c>
      <c r="J38" s="442">
        <f>SUMIF('Diags Raw Data'!$A$6:$A$3992,"*"&amp;$A38&amp;"*",'Diags Raw Data'!$L$6:$L$3992)</f>
        <v>6</v>
      </c>
      <c r="K38" s="494" t="e" cm="1">
        <f t="array" ref="K38">IF(D38="",0, SUMPRODUCT(--(ISNUMBER(SEARCH($A38,'Diags Raw Data'!$A$6:$A$3992))),'Diags Raw Data'!$L$6:$L$3992,'Diags Raw Data'!$N$6:$N$3995)/J38)</f>
        <v>#VALUE!</v>
      </c>
      <c r="L38" s="495" cm="1">
        <f t="array" ref="L38">IF(D38="",0, SUMPRODUCT(--(ISNUMBER(SEARCH($A38,'Diags Raw Data'!$A$6:$A$3992))),'Diags Raw Data'!$L$6:$L$3992,'Diags Raw Data'!$P$6:$P$3992)/J38)</f>
        <v>1</v>
      </c>
      <c r="M38" s="496" cm="1">
        <f t="array" ref="M38">SUMPRODUCT(--(ISNUMBER(SEARCH($A38,'Diags Raw Data'!$A$6:$A$3992))),--('Diags Raw Data'!$Q$6:$Q$3992&lt;&gt;"N/A"),'Diags Raw Data'!$R$6:$R$3992)</f>
        <v>6</v>
      </c>
      <c r="N38" s="497" cm="1">
        <f t="array" ref="N38">SUMPRODUCT(--(ISNUMBER(SEARCH($A38,'Diags Raw Data'!$A$6:$A$3992))),--('Diags Raw Data'!$Q$6:$Q$3992&lt;&gt;"N/A"),'Diags Raw Data'!$T$6:$T$3992)+SUMPRODUCT(--(ISNUMBER(SEARCH($A38,'Diags Raw Data'!$A$6:$A$3992))),--('Diags Raw Data'!$Q$6:$Q$3992&lt;&gt;"N/A"),'Diags Raw Data'!$U$6:$U$3992)</f>
        <v>6</v>
      </c>
      <c r="O38" s="498">
        <f t="shared" si="1"/>
        <v>1</v>
      </c>
      <c r="P38" s="499">
        <f>SUMIF('Diags Raw Data'!$A$6:$A$3992,"*"&amp;$A38&amp;"*",'Diags Raw Data'!$Z$6:$Z$3992)</f>
        <v>6</v>
      </c>
      <c r="Q38" s="500">
        <f>SUM(SUMIF('Diags Raw Data'!$A$6:$A$3992,"*"&amp;$A38&amp;"*",'Diags Raw Data'!$AA$6:$AA$3992),SUMIF('Diags Raw Data'!$A$6:$A$3992,"*"&amp;$A38&amp;"*",'Diags Raw Data'!$AB$6:$AB$3992))</f>
        <v>6</v>
      </c>
      <c r="R38" s="501">
        <f t="shared" si="2"/>
        <v>1</v>
      </c>
      <c r="S38" s="501">
        <f t="shared" si="3"/>
        <v>1</v>
      </c>
      <c r="T38" s="502">
        <f t="shared" si="4"/>
        <v>1</v>
      </c>
      <c r="U38" s="570" t="s">
        <v>1692</v>
      </c>
      <c r="V38" s="180"/>
    </row>
    <row r="39" spans="1:24" hidden="1" x14ac:dyDescent="0.25">
      <c r="A39" s="564" t="s">
        <v>1411</v>
      </c>
      <c r="B39" s="439" t="str">
        <f>VLOOKUP(A39,'Feature Raw Data'!$A$3:$B$4204,2,FALSE)</f>
        <v xml:space="preserve">MMHUB:MMUTCL2:VML2 - DWB Scatter/Gather </v>
      </c>
      <c r="C39" s="440" t="str">
        <f>VLOOKUP(A39,'Feature Raw Data'!$A$3:$C$4204,3,FALSE)</f>
        <v>P2</v>
      </c>
      <c r="D39" s="441" t="str" cm="1">
        <f t="array" ref="D39">_xlfn.TEXTJOIN("",TRUE,IF(ISNUMBER(SEARCH($A39,'Diags Raw Data'!$A$6:$A$3992)),CONCATENATE('Diags Raw Data'!$H$6:$H$3992,", "),""))</f>
        <v xml:space="preserve">dwb2,3,15-19, </v>
      </c>
      <c r="E39" s="325" t="e">
        <f>VLOOKUP(A39,'Diags Raw Data'!$A$6:$D$3992,4,FALSE)</f>
        <v>#N/A</v>
      </c>
      <c r="F39" s="325" t="str">
        <f>VLOOKUP(A39,'Feature Raw Data'!$A$3:$E$4204,5,FALSE)</f>
        <v>Legacy</v>
      </c>
      <c r="G39" s="325" t="str">
        <f t="shared" ref="G39" si="32">IF(D39="","No","Yes")</f>
        <v>Yes</v>
      </c>
      <c r="H39" s="325" t="str">
        <f t="shared" ref="H39" si="33">IF(D39="","No","Yes")</f>
        <v>Yes</v>
      </c>
      <c r="I39" s="440">
        <f>SUMIF('Diags Raw Data'!$A$6:$A$3992,"*"&amp;$A39&amp;"*",'Diags Raw Data'!$K$6:$K$3992)</f>
        <v>0</v>
      </c>
      <c r="J39" s="442">
        <f>SUMIF('Diags Raw Data'!$A$6:$A$3992,"*"&amp;$A39&amp;"*",'Diags Raw Data'!$L$6:$L$3992)</f>
        <v>0</v>
      </c>
      <c r="K39" s="494" t="e" cm="1">
        <f t="array" ref="K39">IF(D39="",0, SUMPRODUCT(--(ISNUMBER(SEARCH($A39,'Diags Raw Data'!$A$6:$A$3992))),'Diags Raw Data'!$L$6:$L$3992,'Diags Raw Data'!$N$6:$N$3995)/J39)</f>
        <v>#VALUE!</v>
      </c>
      <c r="L39" s="495" t="e" cm="1">
        <f t="array" ref="L39">IF(D39="",0, SUMPRODUCT(--(ISNUMBER(SEARCH($A39,'Diags Raw Data'!$A$6:$A$3992))),'Diags Raw Data'!$L$6:$L$3992,'Diags Raw Data'!$P$6:$P$3992)/J39)</f>
        <v>#DIV/0!</v>
      </c>
      <c r="M39" s="496" cm="1">
        <f t="array" ref="M39">SUMPRODUCT(--(ISNUMBER(SEARCH($A39,'Diags Raw Data'!$A$6:$A$3992))),--('Diags Raw Data'!$Q$6:$Q$3992&lt;&gt;"N/A"),'Diags Raw Data'!$R$6:$R$3992)</f>
        <v>0</v>
      </c>
      <c r="N39" s="497" cm="1">
        <f t="array" ref="N39">SUMPRODUCT(--(ISNUMBER(SEARCH($A39,'Diags Raw Data'!$A$6:$A$3992))),--('Diags Raw Data'!$Q$6:$Q$3992&lt;&gt;"N/A"),'Diags Raw Data'!$T$6:$T$3992)+SUMPRODUCT(--(ISNUMBER(SEARCH($A39,'Diags Raw Data'!$A$6:$A$3992))),--('Diags Raw Data'!$Q$6:$Q$3992&lt;&gt;"N/A"),'Diags Raw Data'!$U$6:$U$3992)</f>
        <v>0</v>
      </c>
      <c r="O39" s="498">
        <f t="shared" ref="O39" si="34">IF((M39=0),0,N39/M39)</f>
        <v>0</v>
      </c>
      <c r="P39" s="499">
        <f>SUMIF('Diags Raw Data'!$A$6:$A$3992,"*"&amp;$A39&amp;"*",'Diags Raw Data'!$Z$6:$Z$3992)</f>
        <v>0</v>
      </c>
      <c r="Q39" s="500">
        <f>SUM(SUMIF('Diags Raw Data'!$A$6:$A$3992,"*"&amp;$A39&amp;"*",'Diags Raw Data'!$AA$6:$AA$3992),SUMIF('Diags Raw Data'!$A$6:$A$3992,"*"&amp;$A39&amp;"*",'Diags Raw Data'!$AB$6:$AB$3992))</f>
        <v>0</v>
      </c>
      <c r="R39" s="501">
        <f t="shared" ref="R39" si="35">IF((J39=0),0,P39/J39)</f>
        <v>0</v>
      </c>
      <c r="S39" s="501">
        <f t="shared" ref="S39" si="36">IF((P39=0),0,Q39/P39)</f>
        <v>0</v>
      </c>
      <c r="T39" s="502">
        <f t="shared" ref="T39" si="37">R39*S39</f>
        <v>0</v>
      </c>
      <c r="U39" s="570" t="s">
        <v>1699</v>
      </c>
      <c r="V39" s="180"/>
    </row>
    <row r="40" spans="1:24" ht="45" x14ac:dyDescent="0.25">
      <c r="A40" s="564" t="s">
        <v>1413</v>
      </c>
      <c r="B40" s="439" t="str">
        <f>VLOOKUP(A40,'Feature Raw Data'!$A$3:$B$4204,2,FALSE)</f>
        <v>MMHUB:MMUTCL2:VML2 - Reserved Caches</v>
      </c>
      <c r="C40" s="440" t="str">
        <f>VLOOKUP(A40,'Feature Raw Data'!$A$3:$C$4204,3,FALSE)</f>
        <v>P1</v>
      </c>
      <c r="D40" s="441" t="str" cm="1">
        <f t="array" ref="D40">_xlfn.TEXTJOIN("",TRUE,IF(ISNUMBER(SEARCH($A40,'Diags Raw Data'!$A$6:$A$3992)),CONCATENATE('Diags Raw Data'!$H$6:$H$3992,", "),""))</f>
        <v xml:space="preserve">mhub165.1-9, dwb2,3,15-19, </v>
      </c>
      <c r="E40" s="325" t="e">
        <f>VLOOKUP(A40,'Diags Raw Data'!$A$6:$D$3992,4,FALSE)</f>
        <v>#N/A</v>
      </c>
      <c r="F40" s="325" t="str">
        <f>VLOOKUP(A40,'Feature Raw Data'!$A$3:$E$4204,5,FALSE)</f>
        <v>Legacy</v>
      </c>
      <c r="G40" s="325" t="str">
        <f t="shared" si="5"/>
        <v>Yes</v>
      </c>
      <c r="H40" s="325" t="str">
        <f t="shared" si="0"/>
        <v>Yes</v>
      </c>
      <c r="I40" s="440">
        <f>SUMIF('Diags Raw Data'!$A$6:$A$3992,"*"&amp;$A40&amp;"*",'Diags Raw Data'!$K$6:$K$3992)</f>
        <v>16</v>
      </c>
      <c r="J40" s="442">
        <f>SUMIF('Diags Raw Data'!$A$6:$A$3992,"*"&amp;$A40&amp;"*",'Diags Raw Data'!$L$6:$L$3992)</f>
        <v>9</v>
      </c>
      <c r="K40" s="494" t="e" cm="1">
        <f t="array" ref="K40">IF(D40="",0, SUMPRODUCT(--(ISNUMBER(SEARCH($A40,'Diags Raw Data'!$A$6:$A$3992))),'Diags Raw Data'!$L$6:$L$3992,'Diags Raw Data'!$N$6:$N$3995)/J40)</f>
        <v>#VALUE!</v>
      </c>
      <c r="L40" s="495" cm="1">
        <f t="array" ref="L40">IF(D40="",0, SUMPRODUCT(--(ISNUMBER(SEARCH($A40,'Diags Raw Data'!$A$6:$A$3992))),'Diags Raw Data'!$L$6:$L$3992,'Diags Raw Data'!$P$6:$P$3992)/J40)</f>
        <v>1</v>
      </c>
      <c r="M40" s="496" cm="1">
        <f t="array" ref="M40">SUMPRODUCT(--(ISNUMBER(SEARCH($A40,'Diags Raw Data'!$A$6:$A$3992))),--('Diags Raw Data'!$Q$6:$Q$3992&lt;&gt;"N/A"),'Diags Raw Data'!$R$6:$R$3992)</f>
        <v>9</v>
      </c>
      <c r="N40" s="497" cm="1">
        <f t="array" ref="N40">SUMPRODUCT(--(ISNUMBER(SEARCH($A40,'Diags Raw Data'!$A$6:$A$3992))),--('Diags Raw Data'!$Q$6:$Q$3992&lt;&gt;"N/A"),'Diags Raw Data'!$T$6:$T$3992)+SUMPRODUCT(--(ISNUMBER(SEARCH($A40,'Diags Raw Data'!$A$6:$A$3992))),--('Diags Raw Data'!$Q$6:$Q$3992&lt;&gt;"N/A"),'Diags Raw Data'!$U$6:$U$3992)</f>
        <v>9</v>
      </c>
      <c r="O40" s="498">
        <f t="shared" si="1"/>
        <v>1</v>
      </c>
      <c r="P40" s="499">
        <f>SUMIF('Diags Raw Data'!$A$6:$A$3992,"*"&amp;$A40&amp;"*",'Diags Raw Data'!$Z$6:$Z$3992)</f>
        <v>9</v>
      </c>
      <c r="Q40" s="500">
        <f>SUM(SUMIF('Diags Raw Data'!$A$6:$A$3992,"*"&amp;$A40&amp;"*",'Diags Raw Data'!$AA$6:$AA$3992),SUMIF('Diags Raw Data'!$A$6:$A$3992,"*"&amp;$A40&amp;"*",'Diags Raw Data'!$AB$6:$AB$3992))</f>
        <v>5</v>
      </c>
      <c r="R40" s="501">
        <f t="shared" si="2"/>
        <v>1</v>
      </c>
      <c r="S40" s="501">
        <f t="shared" si="3"/>
        <v>0.55555555555555558</v>
      </c>
      <c r="T40" s="502">
        <f t="shared" si="4"/>
        <v>0.55555555555555558</v>
      </c>
      <c r="U40" s="570" t="s">
        <v>1692</v>
      </c>
      <c r="V40" s="180"/>
      <c r="X40" s="181" t="s">
        <v>1415</v>
      </c>
    </row>
    <row r="41" spans="1:24" ht="45" x14ac:dyDescent="0.25">
      <c r="A41" s="564" t="s">
        <v>843</v>
      </c>
      <c r="B41" s="439" t="str">
        <f>VLOOKUP(A41,'Feature Raw Data'!$A$3:$B$4204,2,FALSE)</f>
        <v>MMHUB:MMUTCL2:VML2 - GPUVA,VMID translation assist</v>
      </c>
      <c r="C41" s="440" t="str">
        <f>VLOOKUP(A41,'Feature Raw Data'!$A$3:$C$4204,3,FALSE)</f>
        <v>P2</v>
      </c>
      <c r="D41" s="441" t="str" cm="1">
        <f t="array" ref="D41">_xlfn.TEXTJOIN("",TRUE,IF(ISNUMBER(SEARCH($A41,'Diags Raw Data'!$A$6:$A$3992)),CONCATENATE('Diags Raw Data'!$H$6:$H$3992,", "),""))</f>
        <v xml:space="preserve">mhub060.1-32, mhub060.61-64, mhub060.80, mhub060.81, mhub060.82, mhub060.83, mhub060.86, mhub060.87, </v>
      </c>
      <c r="E41" s="325" t="str">
        <f>VLOOKUP(A41,'Diags Raw Data'!$A$6:$D$3992,4,FALSE)</f>
        <v>MMHUB</v>
      </c>
      <c r="F41" s="325" t="str">
        <f>VLOOKUP(A41,'Feature Raw Data'!$A$3:$E$4204,5,FALSE)</f>
        <v>Legacy</v>
      </c>
      <c r="G41" s="325" t="str">
        <f t="shared" si="5"/>
        <v>Yes</v>
      </c>
      <c r="H41" s="325" t="str">
        <f t="shared" si="0"/>
        <v>Yes</v>
      </c>
      <c r="I41" s="440">
        <f>SUMIF('Diags Raw Data'!$A$6:$A$3992,"*"&amp;$A41&amp;"*",'Diags Raw Data'!$K$6:$K$3992)</f>
        <v>8</v>
      </c>
      <c r="J41" s="442">
        <f>SUMIF('Diags Raw Data'!$A$6:$A$3992,"*"&amp;$A41&amp;"*",'Diags Raw Data'!$L$6:$L$3992)</f>
        <v>42</v>
      </c>
      <c r="K41" s="494" t="e" cm="1">
        <f t="array" ref="K41">IF(D41="",0, SUMPRODUCT(--(ISNUMBER(SEARCH($A41,'Diags Raw Data'!$A$6:$A$3992))),'Diags Raw Data'!$L$6:$L$3992,'Diags Raw Data'!$N$6:$N$3995)/J41)</f>
        <v>#VALUE!</v>
      </c>
      <c r="L41" s="495" cm="1">
        <f t="array" ref="L41">IF(D41="",0, SUMPRODUCT(--(ISNUMBER(SEARCH($A41,'Diags Raw Data'!$A$6:$A$3992))),'Diags Raw Data'!$L$6:$L$3992,'Diags Raw Data'!$P$6:$P$3992)/J41)</f>
        <v>1</v>
      </c>
      <c r="M41" s="496" cm="1">
        <f t="array" ref="M41">SUMPRODUCT(--(ISNUMBER(SEARCH($A41,'Diags Raw Data'!$A$6:$A$3992))),--('Diags Raw Data'!$Q$6:$Q$3992&lt;&gt;"N/A"),'Diags Raw Data'!$R$6:$R$3992)</f>
        <v>42</v>
      </c>
      <c r="N41" s="497" cm="1">
        <f t="array" ref="N41">SUMPRODUCT(--(ISNUMBER(SEARCH($A41,'Diags Raw Data'!$A$6:$A$3992))),--('Diags Raw Data'!$Q$6:$Q$3992&lt;&gt;"N/A"),'Diags Raw Data'!$T$6:$T$3992)+SUMPRODUCT(--(ISNUMBER(SEARCH($A41,'Diags Raw Data'!$A$6:$A$3992))),--('Diags Raw Data'!$Q$6:$Q$3992&lt;&gt;"N/A"),'Diags Raw Data'!$U$6:$U$3992)</f>
        <v>42</v>
      </c>
      <c r="O41" s="498">
        <f t="shared" si="1"/>
        <v>1</v>
      </c>
      <c r="P41" s="499">
        <f>SUMIF('Diags Raw Data'!$A$6:$A$3992,"*"&amp;$A41&amp;"*",'Diags Raw Data'!$Z$6:$Z$3992)</f>
        <v>42</v>
      </c>
      <c r="Q41" s="500">
        <f>SUM(SUMIF('Diags Raw Data'!$A$6:$A$3992,"*"&amp;$A41&amp;"*",'Diags Raw Data'!$AA$6:$AA$3992),SUMIF('Diags Raw Data'!$A$6:$A$3992,"*"&amp;$A41&amp;"*",'Diags Raw Data'!$AB$6:$AB$3992))</f>
        <v>42</v>
      </c>
      <c r="R41" s="501">
        <f t="shared" si="2"/>
        <v>1</v>
      </c>
      <c r="S41" s="501">
        <f t="shared" si="3"/>
        <v>1</v>
      </c>
      <c r="T41" s="502">
        <f t="shared" si="4"/>
        <v>1</v>
      </c>
      <c r="U41" s="570" t="s">
        <v>1692</v>
      </c>
      <c r="V41" s="180"/>
    </row>
    <row r="42" spans="1:24" s="185" customFormat="1" hidden="1" x14ac:dyDescent="0.25">
      <c r="A42" s="564"/>
      <c r="B42" s="439"/>
      <c r="C42" s="440"/>
      <c r="D42" s="441"/>
      <c r="E42" s="325"/>
      <c r="F42" s="325"/>
      <c r="G42" s="325"/>
      <c r="H42" s="325"/>
      <c r="I42" s="440"/>
      <c r="J42" s="442"/>
      <c r="K42" s="494"/>
      <c r="L42" s="495"/>
      <c r="M42" s="496"/>
      <c r="N42" s="497"/>
      <c r="O42" s="498"/>
      <c r="P42" s="499"/>
      <c r="Q42" s="500"/>
      <c r="R42" s="501"/>
      <c r="S42" s="501"/>
      <c r="T42" s="502"/>
      <c r="U42" s="570"/>
      <c r="V42" s="184"/>
    </row>
    <row r="43" spans="1:24" hidden="1" x14ac:dyDescent="0.25">
      <c r="A43" s="564"/>
      <c r="B43" s="439"/>
      <c r="C43" s="440"/>
      <c r="D43" s="441"/>
      <c r="E43" s="325"/>
      <c r="F43" s="325"/>
      <c r="G43" s="325"/>
      <c r="H43" s="325"/>
      <c r="I43" s="440"/>
      <c r="J43" s="442"/>
      <c r="K43" s="494"/>
      <c r="L43" s="495"/>
      <c r="M43" s="496"/>
      <c r="N43" s="497"/>
      <c r="O43" s="498"/>
      <c r="P43" s="499"/>
      <c r="Q43" s="500"/>
      <c r="R43" s="501"/>
      <c r="S43" s="501"/>
      <c r="T43" s="502"/>
      <c r="U43" s="570"/>
      <c r="V43" s="180"/>
    </row>
    <row r="44" spans="1:24" hidden="1" x14ac:dyDescent="0.25">
      <c r="A44" s="564" t="s">
        <v>1111</v>
      </c>
      <c r="B44" s="439" t="str">
        <f>VLOOKUP(A44,'Feature Raw Data'!$A$3:$B$4204,2,FALSE)</f>
        <v>MMHUB:MMUTCL2:VML2 - GPA Mode</v>
      </c>
      <c r="C44" s="440" t="str">
        <f>VLOOKUP(A44,'Feature Raw Data'!$A$3:$C$4204,3,FALSE)</f>
        <v>P2</v>
      </c>
      <c r="D44" s="441" t="str" cm="1">
        <f t="array" ref="D44">_xlfn.TEXTJOIN("",TRUE,IF(ISNUMBER(SEARCH($A44,'Diags Raw Data'!$A$6:$A$3992)),CONCATENATE('Diags Raw Data'!$H$6:$H$3992,", "),""))</f>
        <v xml:space="preserve">vcnxxxx, </v>
      </c>
      <c r="E44" s="325" t="str">
        <f>VLOOKUP(A44,'Diags Raw Data'!$A$6:$D$3992,4,FALSE)</f>
        <v>MMHUB</v>
      </c>
      <c r="F44" s="325" t="str">
        <f>VLOOKUP(A44,'Feature Raw Data'!$A$3:$E$4204,5,FALSE)</f>
        <v>Legacy</v>
      </c>
      <c r="G44" s="325" t="str">
        <f t="shared" ref="G44" si="38">IF(D44="","No","Yes")</f>
        <v>Yes</v>
      </c>
      <c r="H44" s="325" t="str">
        <f t="shared" ref="H44" si="39">IF(D44="","No","Yes")</f>
        <v>Yes</v>
      </c>
      <c r="I44" s="440">
        <f>SUMIF('Diags Raw Data'!$A$6:$A$3992,"*"&amp;$A44&amp;"*",'Diags Raw Data'!$K$6:$K$3992)</f>
        <v>0</v>
      </c>
      <c r="J44" s="442">
        <f>SUMIF('Diags Raw Data'!$A$6:$A$3992,"*"&amp;$A44&amp;"*",'Diags Raw Data'!$L$6:$L$3992)</f>
        <v>0</v>
      </c>
      <c r="K44" s="494" t="e" cm="1">
        <f t="array" ref="K44">IF(D44="",0, SUMPRODUCT(--(ISNUMBER(SEARCH($A44,'Diags Raw Data'!$A$6:$A$3992))),'Diags Raw Data'!$L$6:$L$3992,'Diags Raw Data'!$N$6:$N$3995)/J44)</f>
        <v>#VALUE!</v>
      </c>
      <c r="L44" s="495" t="e" cm="1">
        <f t="array" ref="L44">IF(D44="",0, SUMPRODUCT(--(ISNUMBER(SEARCH($A44,'Diags Raw Data'!$A$6:$A$3992))),'Diags Raw Data'!$L$6:$L$3992,'Diags Raw Data'!$P$6:$P$3992)/J44)</f>
        <v>#DIV/0!</v>
      </c>
      <c r="M44" s="496" cm="1">
        <f t="array" ref="M44">SUMPRODUCT(--(ISNUMBER(SEARCH($A44,'Diags Raw Data'!$A$6:$A$3992))),--('Diags Raw Data'!$Q$6:$Q$3992&lt;&gt;"N/A"),'Diags Raw Data'!$R$6:$R$3992)</f>
        <v>0</v>
      </c>
      <c r="N44" s="497" cm="1">
        <f t="array" ref="N44">SUMPRODUCT(--(ISNUMBER(SEARCH($A44,'Diags Raw Data'!$A$6:$A$3992))),--('Diags Raw Data'!$Q$6:$Q$3992&lt;&gt;"N/A"),'Diags Raw Data'!$T$6:$T$3992)+SUMPRODUCT(--(ISNUMBER(SEARCH($A44,'Diags Raw Data'!$A$6:$A$3992))),--('Diags Raw Data'!$Q$6:$Q$3992&lt;&gt;"N/A"),'Diags Raw Data'!$U$6:$U$3992)</f>
        <v>0</v>
      </c>
      <c r="O44" s="498">
        <f t="shared" ref="O44" si="40">IF((M44=0),0,N44/M44)</f>
        <v>0</v>
      </c>
      <c r="P44" s="499">
        <f>SUMIF('Diags Raw Data'!$A$6:$A$3992,"*"&amp;$A44&amp;"*",'Diags Raw Data'!$Z$6:$Z$3992)</f>
        <v>0</v>
      </c>
      <c r="Q44" s="500">
        <f>SUM(SUMIF('Diags Raw Data'!$A$6:$A$3992,"*"&amp;$A44&amp;"*",'Diags Raw Data'!$AA$6:$AA$3992),SUMIF('Diags Raw Data'!$A$6:$A$3992,"*"&amp;$A44&amp;"*",'Diags Raw Data'!$AB$6:$AB$3992))</f>
        <v>0</v>
      </c>
      <c r="R44" s="501">
        <f t="shared" ref="R44" si="41">IF((J44=0),0,P44/J44)</f>
        <v>0</v>
      </c>
      <c r="S44" s="501">
        <f t="shared" ref="S44" si="42">IF((P44=0),0,Q44/P44)</f>
        <v>0</v>
      </c>
      <c r="T44" s="502">
        <f t="shared" ref="T44" si="43">R44*S44</f>
        <v>0</v>
      </c>
      <c r="U44" s="570" t="s">
        <v>1692</v>
      </c>
      <c r="V44" s="180"/>
    </row>
    <row r="45" spans="1:24" ht="90" x14ac:dyDescent="0.25">
      <c r="A45" s="564" t="s">
        <v>429</v>
      </c>
      <c r="B45" s="439" t="str">
        <f>VLOOKUP(A45,'Feature Raw Data'!$A$3:$B$4204,2,FALSE)</f>
        <v>MMHUB:MMUTCL2:VML2 - MMHUB Programmable SmallK</v>
      </c>
      <c r="C45" s="440" t="str">
        <f>VLOOKUP(A45,'Feature Raw Data'!$A$3:$C$4204,3,FALSE)</f>
        <v>P2</v>
      </c>
      <c r="D45" s="441" t="str" cm="1">
        <f t="array" ref="D45">_xlfn.TEXTJOIN("",TRUE,IF(ISNUMBER(SEARCH($A45,'Diags Raw Data'!$A$6:$A$3992)),CONCATENATE('Diags Raw Data'!$H$6:$H$3992,", "),""))</f>
        <v xml:space="preserve">mhub032.10, mhub032.11, mhub032.12, mhub032.1, mhub032.2, mhub032.3, mhub032.4, mhub032.5, mhub032.6, mhub032.7-8, mhub032.9, mhub034.1, mhub034.2, mhub034.3, mhub034.4, mhub059.1-32, </v>
      </c>
      <c r="E45" s="325" t="str">
        <f>VLOOKUP(A45,'Diags Raw Data'!$A$6:$D$3992,4,FALSE)</f>
        <v>MMHUB</v>
      </c>
      <c r="F45" s="325" t="str">
        <f>VLOOKUP(A45,'Feature Raw Data'!$A$3:$E$4204,5,FALSE)</f>
        <v>Legacy</v>
      </c>
      <c r="G45" s="325" t="str">
        <f t="shared" ref="G45:G73" si="44">IF(D45="","No","Yes")</f>
        <v>Yes</v>
      </c>
      <c r="H45" s="325" t="str">
        <f t="shared" ref="H45:H73" si="45">IF(D45="","No","Yes")</f>
        <v>Yes</v>
      </c>
      <c r="I45" s="440">
        <f>SUMIF('Diags Raw Data'!$A$6:$A$3992,"*"&amp;$A45&amp;"*",'Diags Raw Data'!$K$6:$K$3992)</f>
        <v>16</v>
      </c>
      <c r="J45" s="442">
        <f>SUMIF('Diags Raw Data'!$A$6:$A$3992,"*"&amp;$A45&amp;"*",'Diags Raw Data'!$L$6:$L$3992)</f>
        <v>48</v>
      </c>
      <c r="K45" s="494" t="e" cm="1">
        <f t="array" ref="K45">IF(D45="",0, SUMPRODUCT(--(ISNUMBER(SEARCH($A45,'Diags Raw Data'!$A$6:$A$3992))),'Diags Raw Data'!$L$6:$L$3992,'Diags Raw Data'!$N$6:$N$3995)/J45)</f>
        <v>#VALUE!</v>
      </c>
      <c r="L45" s="495" cm="1">
        <f t="array" ref="L45">IF(D45="",0, SUMPRODUCT(--(ISNUMBER(SEARCH($A45,'Diags Raw Data'!$A$6:$A$3992))),'Diags Raw Data'!$L$6:$L$3992,'Diags Raw Data'!$P$6:$P$3992)/J45)</f>
        <v>1</v>
      </c>
      <c r="M45" s="496" cm="1">
        <f t="array" ref="M45">SUMPRODUCT(--(ISNUMBER(SEARCH($A45,'Diags Raw Data'!$A$6:$A$3992))),--('Diags Raw Data'!$Q$6:$Q$3992&lt;&gt;"N/A"),'Diags Raw Data'!$R$6:$R$3992)</f>
        <v>48</v>
      </c>
      <c r="N45" s="497" cm="1">
        <f t="array" ref="N45">SUMPRODUCT(--(ISNUMBER(SEARCH($A45,'Diags Raw Data'!$A$6:$A$3992))),--('Diags Raw Data'!$Q$6:$Q$3992&lt;&gt;"N/A"),'Diags Raw Data'!$T$6:$T$3992)+SUMPRODUCT(--(ISNUMBER(SEARCH($A45,'Diags Raw Data'!$A$6:$A$3992))),--('Diags Raw Data'!$Q$6:$Q$3992&lt;&gt;"N/A"),'Diags Raw Data'!$U$6:$U$3992)</f>
        <v>48</v>
      </c>
      <c r="O45" s="498">
        <f t="shared" si="1"/>
        <v>1</v>
      </c>
      <c r="P45" s="499">
        <f>SUMIF('Diags Raw Data'!$A$6:$A$3992,"*"&amp;$A45&amp;"*",'Diags Raw Data'!$Z$6:$Z$3992)</f>
        <v>47</v>
      </c>
      <c r="Q45" s="500">
        <f>SUM(SUMIF('Diags Raw Data'!$A$6:$A$3992,"*"&amp;$A45&amp;"*",'Diags Raw Data'!$AA$6:$AA$3992),SUMIF('Diags Raw Data'!$A$6:$A$3992,"*"&amp;$A45&amp;"*",'Diags Raw Data'!$AB$6:$AB$3992))</f>
        <v>28</v>
      </c>
      <c r="R45" s="501">
        <f t="shared" si="2"/>
        <v>0.97916666666666663</v>
      </c>
      <c r="S45" s="501">
        <f t="shared" si="3"/>
        <v>0.5957446808510638</v>
      </c>
      <c r="T45" s="502">
        <f t="shared" si="4"/>
        <v>0.58333333333333326</v>
      </c>
      <c r="U45" s="570" t="s">
        <v>1692</v>
      </c>
      <c r="V45" s="180"/>
    </row>
    <row r="46" spans="1:24" ht="30" x14ac:dyDescent="0.25">
      <c r="A46" s="564" t="s">
        <v>526</v>
      </c>
      <c r="B46" s="439" t="str">
        <f>VLOOKUP(A46,'Feature Raw Data'!$A$3:$B$4204,2,FALSE)</f>
        <v>MMHUB:MMUTCL2:VML2 - CAM/filter to avoid duplicate table-walk reads</v>
      </c>
      <c r="C46" s="440" t="str">
        <f>VLOOKUP(A46,'Feature Raw Data'!$A$3:$C$4204,3,FALSE)</f>
        <v>P2</v>
      </c>
      <c r="D46" s="441" t="str" cm="1">
        <f t="array" ref="D46">_xlfn.TEXTJOIN("",TRUE,IF(ISNUMBER(SEARCH($A46,'Diags Raw Data'!$A$6:$A$3992)),CONCATENATE('Diags Raw Data'!$H$6:$H$3992,", "),""))</f>
        <v xml:space="preserve">mhub598.17, mhub598.18, </v>
      </c>
      <c r="E46" s="325" t="str">
        <f>VLOOKUP(A46,'Diags Raw Data'!$A$6:$D$3992,4,FALSE)</f>
        <v>MMHUB</v>
      </c>
      <c r="F46" s="325" t="str">
        <f>VLOOKUP(A46,'Feature Raw Data'!$A$3:$E$4204,5,FALSE)</f>
        <v>Legacy</v>
      </c>
      <c r="G46" s="325" t="str">
        <f t="shared" si="44"/>
        <v>Yes</v>
      </c>
      <c r="H46" s="325" t="str">
        <f t="shared" si="45"/>
        <v>Yes</v>
      </c>
      <c r="I46" s="440">
        <f>SUMIF('Diags Raw Data'!$A$6:$A$3992,"*"&amp;$A46&amp;"*",'Diags Raw Data'!$K$6:$K$3992)</f>
        <v>2</v>
      </c>
      <c r="J46" s="442">
        <f>SUMIF('Diags Raw Data'!$A$6:$A$3992,"*"&amp;$A46&amp;"*",'Diags Raw Data'!$L$6:$L$3992)</f>
        <v>2</v>
      </c>
      <c r="K46" s="494" t="e" cm="1">
        <f t="array" ref="K46">IF(D46="",0, SUMPRODUCT(--(ISNUMBER(SEARCH($A46,'Diags Raw Data'!$A$6:$A$3992))),'Diags Raw Data'!$L$6:$L$3992,'Diags Raw Data'!$N$6:$N$3995)/J46)</f>
        <v>#VALUE!</v>
      </c>
      <c r="L46" s="495" cm="1">
        <f t="array" ref="L46">IF(D46="",0, SUMPRODUCT(--(ISNUMBER(SEARCH($A46,'Diags Raw Data'!$A$6:$A$3992))),'Diags Raw Data'!$L$6:$L$3992,'Diags Raw Data'!$P$6:$P$3992)/J46)</f>
        <v>1</v>
      </c>
      <c r="M46" s="496" cm="1">
        <f t="array" ref="M46">SUMPRODUCT(--(ISNUMBER(SEARCH($A46,'Diags Raw Data'!$A$6:$A$3992))),--('Diags Raw Data'!$Q$6:$Q$3992&lt;&gt;"N/A"),'Diags Raw Data'!$R$6:$R$3992)</f>
        <v>2</v>
      </c>
      <c r="N46" s="497" cm="1">
        <f t="array" ref="N46">SUMPRODUCT(--(ISNUMBER(SEARCH($A46,'Diags Raw Data'!$A$6:$A$3992))),--('Diags Raw Data'!$Q$6:$Q$3992&lt;&gt;"N/A"),'Diags Raw Data'!$T$6:$T$3992)+SUMPRODUCT(--(ISNUMBER(SEARCH($A46,'Diags Raw Data'!$A$6:$A$3992))),--('Diags Raw Data'!$Q$6:$Q$3992&lt;&gt;"N/A"),'Diags Raw Data'!$U$6:$U$3992)</f>
        <v>2</v>
      </c>
      <c r="O46" s="498">
        <f t="shared" si="1"/>
        <v>1</v>
      </c>
      <c r="P46" s="499">
        <f>SUMIF('Diags Raw Data'!$A$6:$A$3992,"*"&amp;$A46&amp;"*",'Diags Raw Data'!$Z$6:$Z$3992)</f>
        <v>2</v>
      </c>
      <c r="Q46" s="500">
        <f>SUM(SUMIF('Diags Raw Data'!$A$6:$A$3992,"*"&amp;$A46&amp;"*",'Diags Raw Data'!$AA$6:$AA$3992),SUMIF('Diags Raw Data'!$A$6:$A$3992,"*"&amp;$A46&amp;"*",'Diags Raw Data'!$AB$6:$AB$3992))</f>
        <v>0</v>
      </c>
      <c r="R46" s="501">
        <f t="shared" si="2"/>
        <v>1</v>
      </c>
      <c r="S46" s="501">
        <f t="shared" si="3"/>
        <v>0</v>
      </c>
      <c r="T46" s="502">
        <f t="shared" si="4"/>
        <v>0</v>
      </c>
      <c r="U46" s="570" t="s">
        <v>1692</v>
      </c>
      <c r="V46" s="180"/>
    </row>
    <row r="47" spans="1:24" ht="30" x14ac:dyDescent="0.25">
      <c r="A47" s="564" t="s">
        <v>475</v>
      </c>
      <c r="B47" s="439" t="str">
        <f>VLOOKUP(A47,'Feature Raw Data'!$A$3:$B$4204,2,FALSE)</f>
        <v>MMHUB:MMUTCL2:VML2 - Range-based UTCL1 and VML1 invalidation</v>
      </c>
      <c r="C47" s="440" t="str">
        <f>VLOOKUP(A47,'Feature Raw Data'!$A$3:$C$4204,3,FALSE)</f>
        <v>P2</v>
      </c>
      <c r="D47" s="441" t="str" cm="1">
        <f t="array" ref="D47">_xlfn.TEXTJOIN("",TRUE,IF(ISNUMBER(SEARCH($A47,'Diags Raw Data'!$A$6:$A$3992)),CONCATENATE('Diags Raw Data'!$H$6:$H$3992,", "),""))</f>
        <v xml:space="preserve">mhub052.3,4,5, mhub053.1, mhub055, </v>
      </c>
      <c r="E47" s="325" t="str">
        <f>VLOOKUP(A47,'Diags Raw Data'!$A$6:$D$3992,4,FALSE)</f>
        <v>MMHUB</v>
      </c>
      <c r="F47" s="325" t="str">
        <f>VLOOKUP(A47,'Feature Raw Data'!$A$3:$E$4204,5,FALSE)</f>
        <v>Legacy</v>
      </c>
      <c r="G47" s="325" t="str">
        <f t="shared" si="44"/>
        <v>Yes</v>
      </c>
      <c r="H47" s="325" t="str">
        <f t="shared" si="45"/>
        <v>Yes</v>
      </c>
      <c r="I47" s="440">
        <f>SUMIF('Diags Raw Data'!$A$6:$A$3992,"*"&amp;$A47&amp;"*",'Diags Raw Data'!$K$6:$K$3992)</f>
        <v>6</v>
      </c>
      <c r="J47" s="442">
        <f>SUMIF('Diags Raw Data'!$A$6:$A$3992,"*"&amp;$A47&amp;"*",'Diags Raw Data'!$L$6:$L$3992)</f>
        <v>5</v>
      </c>
      <c r="K47" s="494" t="e" cm="1">
        <f t="array" ref="K47">IF(D47="",0, SUMPRODUCT(--(ISNUMBER(SEARCH($A47,'Diags Raw Data'!$A$6:$A$3992))),'Diags Raw Data'!$L$6:$L$3992,'Diags Raw Data'!$N$6:$N$3995)/J47)</f>
        <v>#VALUE!</v>
      </c>
      <c r="L47" s="495" cm="1">
        <f t="array" ref="L47">IF(D47="",0, SUMPRODUCT(--(ISNUMBER(SEARCH($A47,'Diags Raw Data'!$A$6:$A$3992))),'Diags Raw Data'!$L$6:$L$3992,'Diags Raw Data'!$P$6:$P$3992)/J47)</f>
        <v>1</v>
      </c>
      <c r="M47" s="496" cm="1">
        <f t="array" ref="M47">SUMPRODUCT(--(ISNUMBER(SEARCH($A47,'Diags Raw Data'!$A$6:$A$3992))),--('Diags Raw Data'!$Q$6:$Q$3992&lt;&gt;"N/A"),'Diags Raw Data'!$R$6:$R$3992)</f>
        <v>5</v>
      </c>
      <c r="N47" s="497" cm="1">
        <f t="array" ref="N47">SUMPRODUCT(--(ISNUMBER(SEARCH($A47,'Diags Raw Data'!$A$6:$A$3992))),--('Diags Raw Data'!$Q$6:$Q$3992&lt;&gt;"N/A"),'Diags Raw Data'!$T$6:$T$3992)+SUMPRODUCT(--(ISNUMBER(SEARCH($A47,'Diags Raw Data'!$A$6:$A$3992))),--('Diags Raw Data'!$Q$6:$Q$3992&lt;&gt;"N/A"),'Diags Raw Data'!$U$6:$U$3992)</f>
        <v>5</v>
      </c>
      <c r="O47" s="498">
        <f t="shared" si="1"/>
        <v>1</v>
      </c>
      <c r="P47" s="499">
        <f>SUMIF('Diags Raw Data'!$A$6:$A$3992,"*"&amp;$A47&amp;"*",'Diags Raw Data'!$Z$6:$Z$3992)</f>
        <v>5</v>
      </c>
      <c r="Q47" s="500">
        <f>SUM(SUMIF('Diags Raw Data'!$A$6:$A$3992,"*"&amp;$A47&amp;"*",'Diags Raw Data'!$AA$6:$AA$3992),SUMIF('Diags Raw Data'!$A$6:$A$3992,"*"&amp;$A47&amp;"*",'Diags Raw Data'!$AB$6:$AB$3992))</f>
        <v>5</v>
      </c>
      <c r="R47" s="501">
        <f t="shared" si="2"/>
        <v>1</v>
      </c>
      <c r="S47" s="501">
        <f t="shared" si="3"/>
        <v>1</v>
      </c>
      <c r="T47" s="502">
        <f t="shared" si="4"/>
        <v>1</v>
      </c>
      <c r="U47" s="570" t="s">
        <v>1690</v>
      </c>
      <c r="V47" s="180"/>
    </row>
    <row r="48" spans="1:24" ht="30" x14ac:dyDescent="0.25">
      <c r="A48" s="564" t="s">
        <v>1423</v>
      </c>
      <c r="B48" s="439" t="str">
        <f>VLOOKUP(A48,'Feature Raw Data'!$A$3:$B$4204,2,FALSE)</f>
        <v>MMHUB:MMUTCL2:VML2 - Per invalidate engine registers</v>
      </c>
      <c r="C48" s="440" t="str">
        <f>VLOOKUP(A48,'Feature Raw Data'!$A$3:$C$4204,3,FALSE)</f>
        <v>P2</v>
      </c>
      <c r="D48" s="441" t="str" cm="1">
        <f t="array" ref="D48">_xlfn.TEXTJOIN("",TRUE,IF(ISNUMBER(SEARCH($A48,'Diags Raw Data'!$A$6:$A$3992)),CONCATENATE('Diags Raw Data'!$H$6:$H$3992,", "),""))</f>
        <v xml:space="preserve">mhub057.11,12,13, mhub057.6, </v>
      </c>
      <c r="E48" s="325" t="e">
        <f>VLOOKUP(A48,'Diags Raw Data'!$A$6:$D$3992,4,FALSE)</f>
        <v>#N/A</v>
      </c>
      <c r="F48" s="325" t="str">
        <f>VLOOKUP(A48,'Feature Raw Data'!$A$3:$E$4204,5,FALSE)</f>
        <v>Legacy</v>
      </c>
      <c r="G48" s="325" t="str">
        <f t="shared" si="44"/>
        <v>Yes</v>
      </c>
      <c r="H48" s="325" t="str">
        <f t="shared" si="45"/>
        <v>Yes</v>
      </c>
      <c r="I48" s="440">
        <f>SUMIF('Diags Raw Data'!$A$6:$A$3992,"*"&amp;$A48&amp;"*",'Diags Raw Data'!$K$6:$K$3992)</f>
        <v>2</v>
      </c>
      <c r="J48" s="442">
        <f>SUMIF('Diags Raw Data'!$A$6:$A$3992,"*"&amp;$A48&amp;"*",'Diags Raw Data'!$L$6:$L$3992)</f>
        <v>4</v>
      </c>
      <c r="K48" s="494" t="e" cm="1">
        <f t="array" ref="K48">IF(D48="",0, SUMPRODUCT(--(ISNUMBER(SEARCH($A48,'Diags Raw Data'!$A$6:$A$3992))),'Diags Raw Data'!$L$6:$L$3992,'Diags Raw Data'!$N$6:$N$3995)/J48)</f>
        <v>#VALUE!</v>
      </c>
      <c r="L48" s="495" cm="1">
        <f t="array" ref="L48">IF(D48="",0, SUMPRODUCT(--(ISNUMBER(SEARCH($A48,'Diags Raw Data'!$A$6:$A$3992))),'Diags Raw Data'!$L$6:$L$3992,'Diags Raw Data'!$P$6:$P$3992)/J48)</f>
        <v>1</v>
      </c>
      <c r="M48" s="496" cm="1">
        <f t="array" ref="M48">SUMPRODUCT(--(ISNUMBER(SEARCH($A48,'Diags Raw Data'!$A$6:$A$3992))),--('Diags Raw Data'!$Q$6:$Q$3992&lt;&gt;"N/A"),'Diags Raw Data'!$R$6:$R$3992)</f>
        <v>4</v>
      </c>
      <c r="N48" s="497" cm="1">
        <f t="array" ref="N48">SUMPRODUCT(--(ISNUMBER(SEARCH($A48,'Diags Raw Data'!$A$6:$A$3992))),--('Diags Raw Data'!$Q$6:$Q$3992&lt;&gt;"N/A"),'Diags Raw Data'!$T$6:$T$3992)+SUMPRODUCT(--(ISNUMBER(SEARCH($A48,'Diags Raw Data'!$A$6:$A$3992))),--('Diags Raw Data'!$Q$6:$Q$3992&lt;&gt;"N/A"),'Diags Raw Data'!$U$6:$U$3992)</f>
        <v>4</v>
      </c>
      <c r="O48" s="498">
        <f t="shared" si="1"/>
        <v>1</v>
      </c>
      <c r="P48" s="499">
        <f>SUMIF('Diags Raw Data'!$A$6:$A$3992,"*"&amp;$A48&amp;"*",'Diags Raw Data'!$Z$6:$Z$3992)</f>
        <v>4</v>
      </c>
      <c r="Q48" s="500">
        <f>SUM(SUMIF('Diags Raw Data'!$A$6:$A$3992,"*"&amp;$A48&amp;"*",'Diags Raw Data'!$AA$6:$AA$3992),SUMIF('Diags Raw Data'!$A$6:$A$3992,"*"&amp;$A48&amp;"*",'Diags Raw Data'!$AB$6:$AB$3992))</f>
        <v>4</v>
      </c>
      <c r="R48" s="501">
        <f t="shared" si="2"/>
        <v>1</v>
      </c>
      <c r="S48" s="501">
        <f t="shared" si="3"/>
        <v>1</v>
      </c>
      <c r="T48" s="502">
        <f t="shared" si="4"/>
        <v>1</v>
      </c>
      <c r="U48" s="570" t="s">
        <v>1690</v>
      </c>
      <c r="V48" s="180"/>
    </row>
    <row r="49" spans="1:22" ht="30" x14ac:dyDescent="0.25">
      <c r="A49" s="564" t="s">
        <v>522</v>
      </c>
      <c r="B49" s="439" t="str">
        <f>VLOOKUP(A49,'Feature Raw Data'!$A$3:$B$4204,2,FALSE)</f>
        <v>MMHUB:MMUTCL2:VML2 - Per VMID Context registers</v>
      </c>
      <c r="C49" s="440" t="str">
        <f>VLOOKUP(A49,'Feature Raw Data'!$A$3:$C$4204,3,FALSE)</f>
        <v>P2</v>
      </c>
      <c r="D49" s="441" t="str" cm="1">
        <f t="array" ref="D49">_xlfn.TEXTJOIN("",TRUE,IF(ISNUMBER(SEARCH($A49,'Diags Raw Data'!$A$6:$A$3992)),CONCATENATE('Diags Raw Data'!$H$6:$H$3992,", "),""))</f>
        <v xml:space="preserve">mhub002.1-15, mhub002.1-15, mhub002.16, mhub002.16, mhub095, </v>
      </c>
      <c r="E49" s="325" t="str">
        <f>VLOOKUP(A49,'Diags Raw Data'!$A$6:$D$3992,4,FALSE)</f>
        <v>MMHUB</v>
      </c>
      <c r="F49" s="325" t="str">
        <f>VLOOKUP(A49,'Feature Raw Data'!$A$3:$E$4204,5,FALSE)</f>
        <v>Legacy</v>
      </c>
      <c r="G49" s="325" t="str">
        <f t="shared" si="44"/>
        <v>Yes</v>
      </c>
      <c r="H49" s="325" t="str">
        <f t="shared" si="45"/>
        <v>Yes</v>
      </c>
      <c r="I49" s="440">
        <f>SUMIF('Diags Raw Data'!$A$6:$A$3992,"*"&amp;$A49&amp;"*",'Diags Raw Data'!$K$6:$K$3992)</f>
        <v>5</v>
      </c>
      <c r="J49" s="442">
        <f>SUMIF('Diags Raw Data'!$A$6:$A$3992,"*"&amp;$A49&amp;"*",'Diags Raw Data'!$L$6:$L$3992)</f>
        <v>33</v>
      </c>
      <c r="K49" s="494" t="e" cm="1">
        <f t="array" ref="K49">IF(D49="",0, SUMPRODUCT(--(ISNUMBER(SEARCH($A49,'Diags Raw Data'!$A$6:$A$3992))),'Diags Raw Data'!$L$6:$L$3992,'Diags Raw Data'!$N$6:$N$3995)/J49)</f>
        <v>#VALUE!</v>
      </c>
      <c r="L49" s="495" cm="1">
        <f t="array" ref="L49">IF(D49="",0, SUMPRODUCT(--(ISNUMBER(SEARCH($A49,'Diags Raw Data'!$A$6:$A$3992))),'Diags Raw Data'!$L$6:$L$3992,'Diags Raw Data'!$P$6:$P$3992)/J49)</f>
        <v>1</v>
      </c>
      <c r="M49" s="496" cm="1">
        <f t="array" ref="M49">SUMPRODUCT(--(ISNUMBER(SEARCH($A49,'Diags Raw Data'!$A$6:$A$3992))),--('Diags Raw Data'!$Q$6:$Q$3992&lt;&gt;"N/A"),'Diags Raw Data'!$R$6:$R$3992)</f>
        <v>33</v>
      </c>
      <c r="N49" s="497" cm="1">
        <f t="array" ref="N49">SUMPRODUCT(--(ISNUMBER(SEARCH($A49,'Diags Raw Data'!$A$6:$A$3992))),--('Diags Raw Data'!$Q$6:$Q$3992&lt;&gt;"N/A"),'Diags Raw Data'!$T$6:$T$3992)+SUMPRODUCT(--(ISNUMBER(SEARCH($A49,'Diags Raw Data'!$A$6:$A$3992))),--('Diags Raw Data'!$Q$6:$Q$3992&lt;&gt;"N/A"),'Diags Raw Data'!$U$6:$U$3992)</f>
        <v>33</v>
      </c>
      <c r="O49" s="498">
        <f t="shared" si="1"/>
        <v>1</v>
      </c>
      <c r="P49" s="499">
        <f>SUMIF('Diags Raw Data'!$A$6:$A$3992,"*"&amp;$A49&amp;"*",'Diags Raw Data'!$Z$6:$Z$3992)</f>
        <v>33</v>
      </c>
      <c r="Q49" s="500">
        <f>SUM(SUMIF('Diags Raw Data'!$A$6:$A$3992,"*"&amp;$A49&amp;"*",'Diags Raw Data'!$AA$6:$AA$3992),SUMIF('Diags Raw Data'!$A$6:$A$3992,"*"&amp;$A49&amp;"*",'Diags Raw Data'!$AB$6:$AB$3992))</f>
        <v>33</v>
      </c>
      <c r="R49" s="501">
        <f t="shared" si="2"/>
        <v>1</v>
      </c>
      <c r="S49" s="501">
        <f t="shared" si="3"/>
        <v>1</v>
      </c>
      <c r="T49" s="502">
        <f t="shared" si="4"/>
        <v>1</v>
      </c>
      <c r="U49" s="570" t="s">
        <v>1690</v>
      </c>
      <c r="V49" s="180"/>
    </row>
    <row r="50" spans="1:22" ht="26.25" customHeight="1" x14ac:dyDescent="0.25">
      <c r="A50" s="564" t="s">
        <v>541</v>
      </c>
      <c r="B50" s="439" t="str">
        <f>VLOOKUP(A50,'Feature Raw Data'!$A$3:$B$4204,2,FALSE)</f>
        <v>MMHUB:MMUTCL2:VML2 - Register bits that enable software to control hit/miss behaviour on invalid ptes in cache</v>
      </c>
      <c r="C50" s="440" t="str">
        <f>VLOOKUP(A50,'Feature Raw Data'!$A$3:$C$4204,3,FALSE)</f>
        <v>P2</v>
      </c>
      <c r="D50" s="441" t="str" cm="1">
        <f t="array" ref="D50">_xlfn.TEXTJOIN("",TRUE,IF(ISNUMBER(SEARCH($A50,'Diags Raw Data'!$A$6:$A$3992)),CONCATENATE('Diags Raw Data'!$H$6:$H$3992,", "),""))</f>
        <v xml:space="preserve">mhub145.1-2, </v>
      </c>
      <c r="E50" s="325" t="str">
        <f>VLOOKUP(A50,'Diags Raw Data'!$A$6:$D$3992,4,FALSE)</f>
        <v>MMHUB</v>
      </c>
      <c r="F50" s="325" t="str">
        <f>VLOOKUP(A50,'Feature Raw Data'!$A$3:$E$4204,5,FALSE)</f>
        <v>Legacy</v>
      </c>
      <c r="G50" s="325" t="str">
        <f t="shared" si="44"/>
        <v>Yes</v>
      </c>
      <c r="H50" s="325" t="str">
        <f t="shared" si="45"/>
        <v>Yes</v>
      </c>
      <c r="I50" s="440">
        <f>SUMIF('Diags Raw Data'!$A$6:$A$3992,"*"&amp;$A50&amp;"*",'Diags Raw Data'!$K$6:$K$3992)</f>
        <v>1</v>
      </c>
      <c r="J50" s="442">
        <f>SUMIF('Diags Raw Data'!$A$6:$A$3992,"*"&amp;$A50&amp;"*",'Diags Raw Data'!$L$6:$L$3992)</f>
        <v>2</v>
      </c>
      <c r="K50" s="494" t="e" cm="1">
        <f t="array" ref="K50">IF(D50="",0, SUMPRODUCT(--(ISNUMBER(SEARCH($A50,'Diags Raw Data'!$A$6:$A$3992))),'Diags Raw Data'!$L$6:$L$3992,'Diags Raw Data'!$N$6:$N$3995)/J50)</f>
        <v>#VALUE!</v>
      </c>
      <c r="L50" s="495" cm="1">
        <f t="array" ref="L50">IF(D50="",0, SUMPRODUCT(--(ISNUMBER(SEARCH($A50,'Diags Raw Data'!$A$6:$A$3992))),'Diags Raw Data'!$L$6:$L$3992,'Diags Raw Data'!$P$6:$P$3992)/J50)</f>
        <v>1</v>
      </c>
      <c r="M50" s="496" cm="1">
        <f t="array" ref="M50">SUMPRODUCT(--(ISNUMBER(SEARCH($A50,'Diags Raw Data'!$A$6:$A$3992))),--('Diags Raw Data'!$Q$6:$Q$3992&lt;&gt;"N/A"),'Diags Raw Data'!$R$6:$R$3992)</f>
        <v>2</v>
      </c>
      <c r="N50" s="497" cm="1">
        <f t="array" ref="N50">SUMPRODUCT(--(ISNUMBER(SEARCH($A50,'Diags Raw Data'!$A$6:$A$3992))),--('Diags Raw Data'!$Q$6:$Q$3992&lt;&gt;"N/A"),'Diags Raw Data'!$T$6:$T$3992)+SUMPRODUCT(--(ISNUMBER(SEARCH($A50,'Diags Raw Data'!$A$6:$A$3992))),--('Diags Raw Data'!$Q$6:$Q$3992&lt;&gt;"N/A"),'Diags Raw Data'!$U$6:$U$3992)</f>
        <v>2</v>
      </c>
      <c r="O50" s="498">
        <f t="shared" si="1"/>
        <v>1</v>
      </c>
      <c r="P50" s="499">
        <f>SUMIF('Diags Raw Data'!$A$6:$A$3992,"*"&amp;$A50&amp;"*",'Diags Raw Data'!$Z$6:$Z$3992)</f>
        <v>2</v>
      </c>
      <c r="Q50" s="500">
        <f>SUM(SUMIF('Diags Raw Data'!$A$6:$A$3992,"*"&amp;$A50&amp;"*",'Diags Raw Data'!$AA$6:$AA$3992),SUMIF('Diags Raw Data'!$A$6:$A$3992,"*"&amp;$A50&amp;"*",'Diags Raw Data'!$AB$6:$AB$3992))</f>
        <v>1</v>
      </c>
      <c r="R50" s="501">
        <f t="shared" si="2"/>
        <v>1</v>
      </c>
      <c r="S50" s="501">
        <f t="shared" si="3"/>
        <v>0.5</v>
      </c>
      <c r="T50" s="502">
        <f t="shared" si="4"/>
        <v>0.5</v>
      </c>
      <c r="U50" s="570" t="s">
        <v>1690</v>
      </c>
      <c r="V50" s="180"/>
    </row>
    <row r="51" spans="1:22" ht="42" customHeight="1" x14ac:dyDescent="0.25">
      <c r="A51" s="564" t="s">
        <v>546</v>
      </c>
      <c r="B51" s="439" t="str">
        <f>VLOOKUP(A51,'Feature Raw Data'!$A$3:$B$4204,2,FALSE)</f>
        <v>MMHUB:MMUTCL2:VML2 - Register bits that enable software to control hit/miss behaviour on permission mismatch in cache</v>
      </c>
      <c r="C51" s="440" t="str">
        <f>VLOOKUP(A51,'Feature Raw Data'!$A$3:$C$4204,3,FALSE)</f>
        <v>P2</v>
      </c>
      <c r="D51" s="441" t="str" cm="1">
        <f t="array" ref="D51">_xlfn.TEXTJOIN("",TRUE,IF(ISNUMBER(SEARCH($A51,'Diags Raw Data'!$A$6:$A$3992)),CONCATENATE('Diags Raw Data'!$H$6:$H$3992,", "),""))</f>
        <v xml:space="preserve">mhub146.1-2, </v>
      </c>
      <c r="E51" s="325" t="str">
        <f>VLOOKUP(A51,'Diags Raw Data'!$A$6:$D$3992,4,FALSE)</f>
        <v>MMHUB</v>
      </c>
      <c r="F51" s="325" t="str">
        <f>VLOOKUP(A51,'Feature Raw Data'!$A$3:$E$4204,5,FALSE)</f>
        <v>Legacy</v>
      </c>
      <c r="G51" s="325" t="str">
        <f t="shared" si="44"/>
        <v>Yes</v>
      </c>
      <c r="H51" s="325" t="str">
        <f t="shared" si="45"/>
        <v>Yes</v>
      </c>
      <c r="I51" s="440">
        <f>SUMIF('Diags Raw Data'!$A$6:$A$3992,"*"&amp;$A51&amp;"*",'Diags Raw Data'!$K$6:$K$3992)</f>
        <v>1</v>
      </c>
      <c r="J51" s="442">
        <f>SUMIF('Diags Raw Data'!$A$6:$A$3992,"*"&amp;$A51&amp;"*",'Diags Raw Data'!$L$6:$L$3992)</f>
        <v>2</v>
      </c>
      <c r="K51" s="494" t="e" cm="1">
        <f t="array" ref="K51">IF(D51="",0, SUMPRODUCT(--(ISNUMBER(SEARCH($A51,'Diags Raw Data'!$A$6:$A$3992))),'Diags Raw Data'!$L$6:$L$3992,'Diags Raw Data'!$N$6:$N$3995)/J51)</f>
        <v>#VALUE!</v>
      </c>
      <c r="L51" s="495" cm="1">
        <f t="array" ref="L51">IF(D51="",0, SUMPRODUCT(--(ISNUMBER(SEARCH($A51,'Diags Raw Data'!$A$6:$A$3992))),'Diags Raw Data'!$L$6:$L$3992,'Diags Raw Data'!$P$6:$P$3992)/J51)</f>
        <v>1</v>
      </c>
      <c r="M51" s="496" cm="1">
        <f t="array" ref="M51">SUMPRODUCT(--(ISNUMBER(SEARCH($A51,'Diags Raw Data'!$A$6:$A$3992))),--('Diags Raw Data'!$Q$6:$Q$3992&lt;&gt;"N/A"),'Diags Raw Data'!$R$6:$R$3992)</f>
        <v>2</v>
      </c>
      <c r="N51" s="497" cm="1">
        <f t="array" ref="N51">SUMPRODUCT(--(ISNUMBER(SEARCH($A51,'Diags Raw Data'!$A$6:$A$3992))),--('Diags Raw Data'!$Q$6:$Q$3992&lt;&gt;"N/A"),'Diags Raw Data'!$T$6:$T$3992)+SUMPRODUCT(--(ISNUMBER(SEARCH($A51,'Diags Raw Data'!$A$6:$A$3992))),--('Diags Raw Data'!$Q$6:$Q$3992&lt;&gt;"N/A"),'Diags Raw Data'!$U$6:$U$3992)</f>
        <v>2</v>
      </c>
      <c r="O51" s="498">
        <f t="shared" si="1"/>
        <v>1</v>
      </c>
      <c r="P51" s="499">
        <f>SUMIF('Diags Raw Data'!$A$6:$A$3992,"*"&amp;$A51&amp;"*",'Diags Raw Data'!$Z$6:$Z$3992)</f>
        <v>2</v>
      </c>
      <c r="Q51" s="500">
        <f>SUM(SUMIF('Diags Raw Data'!$A$6:$A$3992,"*"&amp;$A51&amp;"*",'Diags Raw Data'!$AA$6:$AA$3992),SUMIF('Diags Raw Data'!$A$6:$A$3992,"*"&amp;$A51&amp;"*",'Diags Raw Data'!$AB$6:$AB$3992))</f>
        <v>0</v>
      </c>
      <c r="R51" s="501">
        <f t="shared" si="2"/>
        <v>1</v>
      </c>
      <c r="S51" s="501">
        <f t="shared" si="3"/>
        <v>0</v>
      </c>
      <c r="T51" s="502">
        <f t="shared" si="4"/>
        <v>0</v>
      </c>
      <c r="U51" s="570" t="s">
        <v>1690</v>
      </c>
      <c r="V51" s="180"/>
    </row>
    <row r="52" spans="1:22" ht="48" customHeight="1" x14ac:dyDescent="0.25">
      <c r="A52" s="564" t="s">
        <v>1424</v>
      </c>
      <c r="B52" s="439" t="str">
        <f>VLOOKUP(A52,'Feature Raw Data'!$A$3:$B$4204,2,FALSE)</f>
        <v>MMHUB:MMUTCL2:VML2 - Register bits that enable software to control hit/miss behaviour on page migration(R=W=0) in cache</v>
      </c>
      <c r="C52" s="440" t="str">
        <f>VLOOKUP(A52,'Feature Raw Data'!$A$3:$C$4204,3,FALSE)</f>
        <v>P2</v>
      </c>
      <c r="D52" s="441" t="str" cm="1">
        <f t="array" ref="D52">_xlfn.TEXTJOIN("",TRUE,IF(ISNUMBER(SEARCH($A52,'Diags Raw Data'!$A$6:$A$3992)),CONCATENATE('Diags Raw Data'!$H$6:$H$3992,", "),""))</f>
        <v xml:space="preserve">mhub209.3, mhub209.4, mhub209.5, mhub209.6, </v>
      </c>
      <c r="E52" s="325" t="e">
        <f>VLOOKUP(A52,'Diags Raw Data'!$A$6:$D$3992,4,FALSE)</f>
        <v>#N/A</v>
      </c>
      <c r="F52" s="325" t="str">
        <f>VLOOKUP(A52,'Feature Raw Data'!$A$3:$E$4204,5,FALSE)</f>
        <v>Legacy</v>
      </c>
      <c r="G52" s="325" t="str">
        <f t="shared" si="44"/>
        <v>Yes</v>
      </c>
      <c r="H52" s="325" t="str">
        <f t="shared" si="45"/>
        <v>Yes</v>
      </c>
      <c r="I52" s="440">
        <f>SUMIF('Diags Raw Data'!$A$6:$A$3992,"*"&amp;$A52&amp;"*",'Diags Raw Data'!$K$6:$K$3992)</f>
        <v>4</v>
      </c>
      <c r="J52" s="442">
        <f>SUMIF('Diags Raw Data'!$A$6:$A$3992,"*"&amp;$A52&amp;"*",'Diags Raw Data'!$L$6:$L$3992)</f>
        <v>4</v>
      </c>
      <c r="K52" s="494" t="e" cm="1">
        <f t="array" ref="K52">IF(D52="",0, SUMPRODUCT(--(ISNUMBER(SEARCH($A52,'Diags Raw Data'!$A$6:$A$3992))),'Diags Raw Data'!$L$6:$L$3992,'Diags Raw Data'!$N$6:$N$3995)/J52)</f>
        <v>#VALUE!</v>
      </c>
      <c r="L52" s="495" cm="1">
        <f t="array" ref="L52">IF(D52="",0, SUMPRODUCT(--(ISNUMBER(SEARCH($A52,'Diags Raw Data'!$A$6:$A$3992))),'Diags Raw Data'!$L$6:$L$3992,'Diags Raw Data'!$P$6:$P$3992)/J52)</f>
        <v>1</v>
      </c>
      <c r="M52" s="496" cm="1">
        <f t="array" ref="M52">SUMPRODUCT(--(ISNUMBER(SEARCH($A52,'Diags Raw Data'!$A$6:$A$3992))),--('Diags Raw Data'!$Q$6:$Q$3992&lt;&gt;"N/A"),'Diags Raw Data'!$R$6:$R$3992)</f>
        <v>4</v>
      </c>
      <c r="N52" s="497" cm="1">
        <f t="array" ref="N52">SUMPRODUCT(--(ISNUMBER(SEARCH($A52,'Diags Raw Data'!$A$6:$A$3992))),--('Diags Raw Data'!$Q$6:$Q$3992&lt;&gt;"N/A"),'Diags Raw Data'!$T$6:$T$3992)+SUMPRODUCT(--(ISNUMBER(SEARCH($A52,'Diags Raw Data'!$A$6:$A$3992))),--('Diags Raw Data'!$Q$6:$Q$3992&lt;&gt;"N/A"),'Diags Raw Data'!$U$6:$U$3992)</f>
        <v>4</v>
      </c>
      <c r="O52" s="498">
        <f t="shared" si="1"/>
        <v>1</v>
      </c>
      <c r="P52" s="499">
        <f>SUMIF('Diags Raw Data'!$A$6:$A$3992,"*"&amp;$A52&amp;"*",'Diags Raw Data'!$Z$6:$Z$3992)</f>
        <v>4</v>
      </c>
      <c r="Q52" s="500">
        <f>SUM(SUMIF('Diags Raw Data'!$A$6:$A$3992,"*"&amp;$A52&amp;"*",'Diags Raw Data'!$AA$6:$AA$3992),SUMIF('Diags Raw Data'!$A$6:$A$3992,"*"&amp;$A52&amp;"*",'Diags Raw Data'!$AB$6:$AB$3992))</f>
        <v>0</v>
      </c>
      <c r="R52" s="501">
        <f t="shared" si="2"/>
        <v>1</v>
      </c>
      <c r="S52" s="501">
        <f t="shared" si="3"/>
        <v>0</v>
      </c>
      <c r="T52" s="502">
        <f t="shared" si="4"/>
        <v>0</v>
      </c>
      <c r="U52" s="570" t="s">
        <v>1690</v>
      </c>
      <c r="V52" s="180"/>
    </row>
    <row r="53" spans="1:22" ht="33" customHeight="1" x14ac:dyDescent="0.25">
      <c r="A53" s="564" t="s">
        <v>1426</v>
      </c>
      <c r="B53" s="439" t="str">
        <f>VLOOKUP(A53,'Feature Raw Data'!$A$3:$B$4204,2,FALSE)</f>
        <v>MMHUB:MMUTCL2:VML2 - Invalidate by Address Range and VMID aka "Sharpshooting"</v>
      </c>
      <c r="C53" s="440" t="str">
        <f>VLOOKUP(A53,'Feature Raw Data'!$A$3:$C$4204,3,FALSE)</f>
        <v>P2</v>
      </c>
      <c r="D53" s="441" t="str" cm="1">
        <f t="array" ref="D53">_xlfn.TEXTJOIN("",TRUE,IF(ISNUMBER(SEARCH($A53,'Diags Raw Data'!$A$6:$A$3992)),CONCATENATE('Diags Raw Data'!$H$6:$H$3992,", "),""))</f>
        <v xml:space="preserve">mhub054.1, mhub055, mhub057.11,12,13, mhub057.6, </v>
      </c>
      <c r="E53" s="325" t="e">
        <f>VLOOKUP(A53,'Diags Raw Data'!$A$6:$D$3992,4,FALSE)</f>
        <v>#N/A</v>
      </c>
      <c r="F53" s="325" t="str">
        <f>VLOOKUP(A53,'Feature Raw Data'!$A$3:$E$4204,5,FALSE)</f>
        <v>Legacy</v>
      </c>
      <c r="G53" s="325" t="str">
        <f t="shared" si="44"/>
        <v>Yes</v>
      </c>
      <c r="H53" s="325" t="str">
        <f t="shared" si="45"/>
        <v>Yes</v>
      </c>
      <c r="I53" s="440">
        <f>SUMIF('Diags Raw Data'!$A$6:$A$3992,"*"&amp;$A53&amp;"*",'Diags Raw Data'!$K$6:$K$3992)</f>
        <v>9</v>
      </c>
      <c r="J53" s="442">
        <f>SUMIF('Diags Raw Data'!$A$6:$A$3992,"*"&amp;$A53&amp;"*",'Diags Raw Data'!$L$6:$L$3992)</f>
        <v>6</v>
      </c>
      <c r="K53" s="494" t="e" cm="1">
        <f t="array" ref="K53">IF(D53="",0, SUMPRODUCT(--(ISNUMBER(SEARCH($A53,'Diags Raw Data'!$A$6:$A$3992))),'Diags Raw Data'!$L$6:$L$3992,'Diags Raw Data'!$N$6:$N$3995)/J53)</f>
        <v>#VALUE!</v>
      </c>
      <c r="L53" s="495" cm="1">
        <f t="array" ref="L53">IF(D53="",0, SUMPRODUCT(--(ISNUMBER(SEARCH($A53,'Diags Raw Data'!$A$6:$A$3992))),'Diags Raw Data'!$L$6:$L$3992,'Diags Raw Data'!$P$6:$P$3992)/J53)</f>
        <v>1</v>
      </c>
      <c r="M53" s="496" cm="1">
        <f t="array" ref="M53">SUMPRODUCT(--(ISNUMBER(SEARCH($A53,'Diags Raw Data'!$A$6:$A$3992))),--('Diags Raw Data'!$Q$6:$Q$3992&lt;&gt;"N/A"),'Diags Raw Data'!$R$6:$R$3992)</f>
        <v>6</v>
      </c>
      <c r="N53" s="497" cm="1">
        <f t="array" ref="N53">SUMPRODUCT(--(ISNUMBER(SEARCH($A53,'Diags Raw Data'!$A$6:$A$3992))),--('Diags Raw Data'!$Q$6:$Q$3992&lt;&gt;"N/A"),'Diags Raw Data'!$T$6:$T$3992)+SUMPRODUCT(--(ISNUMBER(SEARCH($A53,'Diags Raw Data'!$A$6:$A$3992))),--('Diags Raw Data'!$Q$6:$Q$3992&lt;&gt;"N/A"),'Diags Raw Data'!$U$6:$U$3992)</f>
        <v>6</v>
      </c>
      <c r="O53" s="498">
        <f t="shared" si="1"/>
        <v>1</v>
      </c>
      <c r="P53" s="499">
        <f>SUMIF('Diags Raw Data'!$A$6:$A$3992,"*"&amp;$A53&amp;"*",'Diags Raw Data'!$Z$6:$Z$3992)</f>
        <v>6</v>
      </c>
      <c r="Q53" s="500">
        <f>SUM(SUMIF('Diags Raw Data'!$A$6:$A$3992,"*"&amp;$A53&amp;"*",'Diags Raw Data'!$AA$6:$AA$3992),SUMIF('Diags Raw Data'!$A$6:$A$3992,"*"&amp;$A53&amp;"*",'Diags Raw Data'!$AB$6:$AB$3992))</f>
        <v>6</v>
      </c>
      <c r="R53" s="501">
        <f t="shared" si="2"/>
        <v>1</v>
      </c>
      <c r="S53" s="501">
        <f t="shared" si="3"/>
        <v>1</v>
      </c>
      <c r="T53" s="502">
        <f t="shared" si="4"/>
        <v>1</v>
      </c>
      <c r="U53" s="570" t="s">
        <v>1690</v>
      </c>
      <c r="V53" s="180"/>
    </row>
    <row r="54" spans="1:22" ht="31.5" customHeight="1" x14ac:dyDescent="0.25">
      <c r="A54" s="564" t="s">
        <v>485</v>
      </c>
      <c r="B54" s="439" t="str">
        <f>VLOOKUP(A54,'Feature Raw Data'!$A$3:$B$4204,2,FALSE)</f>
        <v>MMHUB:MMUTCL2:VML2 - Lightweight/Heavyweight flush-type invalidation</v>
      </c>
      <c r="C54" s="440" t="str">
        <f>VLOOKUP(A54,'Feature Raw Data'!$A$3:$C$4204,3,FALSE)</f>
        <v>P1</v>
      </c>
      <c r="D54" s="441" t="str" cm="1">
        <f t="array" ref="D54">_xlfn.TEXTJOIN("",TRUE,IF(ISNUMBER(SEARCH($A54,'Diags Raw Data'!$A$6:$A$3992)),CONCATENATE('Diags Raw Data'!$H$6:$H$3992,", "),""))</f>
        <v xml:space="preserve">mhub054.1, mhub054.5-8, mhub057.11,12,13, mhub057.6, </v>
      </c>
      <c r="E54" s="325" t="str">
        <f>VLOOKUP(A54,'Diags Raw Data'!$A$6:$D$3992,4,FALSE)</f>
        <v>MMHUB</v>
      </c>
      <c r="F54" s="325" t="str">
        <f>VLOOKUP(A54,'Feature Raw Data'!$A$3:$E$4204,5,FALSE)</f>
        <v>Delta</v>
      </c>
      <c r="G54" s="325" t="str">
        <f t="shared" si="44"/>
        <v>Yes</v>
      </c>
      <c r="H54" s="325" t="str">
        <f t="shared" si="45"/>
        <v>Yes</v>
      </c>
      <c r="I54" s="440">
        <f>SUMIF('Diags Raw Data'!$A$6:$A$3992,"*"&amp;$A54&amp;"*",'Diags Raw Data'!$K$6:$K$3992)</f>
        <v>6</v>
      </c>
      <c r="J54" s="442">
        <f>SUMIF('Diags Raw Data'!$A$6:$A$3992,"*"&amp;$A54&amp;"*",'Diags Raw Data'!$L$6:$L$3992)</f>
        <v>9</v>
      </c>
      <c r="K54" s="494" t="e" cm="1">
        <f t="array" ref="K54">IF(D54="",0, SUMPRODUCT(--(ISNUMBER(SEARCH($A54,'Diags Raw Data'!$A$6:$A$3992))),'Diags Raw Data'!$L$6:$L$3992,'Diags Raw Data'!$N$6:$N$3995)/J54)</f>
        <v>#VALUE!</v>
      </c>
      <c r="L54" s="495" cm="1">
        <f t="array" ref="L54">IF(D54="",0, SUMPRODUCT(--(ISNUMBER(SEARCH($A54,'Diags Raw Data'!$A$6:$A$3992))),'Diags Raw Data'!$L$6:$L$3992,'Diags Raw Data'!$P$6:$P$3992)/J54)</f>
        <v>1</v>
      </c>
      <c r="M54" s="496" cm="1">
        <f t="array" ref="M54">SUMPRODUCT(--(ISNUMBER(SEARCH($A54,'Diags Raw Data'!$A$6:$A$3992))),--('Diags Raw Data'!$Q$6:$Q$3992&lt;&gt;"N/A"),'Diags Raw Data'!$R$6:$R$3992)</f>
        <v>9</v>
      </c>
      <c r="N54" s="497" cm="1">
        <f t="array" ref="N54">SUMPRODUCT(--(ISNUMBER(SEARCH($A54,'Diags Raw Data'!$A$6:$A$3992))),--('Diags Raw Data'!$Q$6:$Q$3992&lt;&gt;"N/A"),'Diags Raw Data'!$T$6:$T$3992)+SUMPRODUCT(--(ISNUMBER(SEARCH($A54,'Diags Raw Data'!$A$6:$A$3992))),--('Diags Raw Data'!$Q$6:$Q$3992&lt;&gt;"N/A"),'Diags Raw Data'!$U$6:$U$3992)</f>
        <v>9</v>
      </c>
      <c r="O54" s="498">
        <f t="shared" si="1"/>
        <v>1</v>
      </c>
      <c r="P54" s="499">
        <f>SUMIF('Diags Raw Data'!$A$6:$A$3992,"*"&amp;$A54&amp;"*",'Diags Raw Data'!$Z$6:$Z$3992)</f>
        <v>9</v>
      </c>
      <c r="Q54" s="500">
        <f>SUM(SUMIF('Diags Raw Data'!$A$6:$A$3992,"*"&amp;$A54&amp;"*",'Diags Raw Data'!$AA$6:$AA$3992),SUMIF('Diags Raw Data'!$A$6:$A$3992,"*"&amp;$A54&amp;"*",'Diags Raw Data'!$AB$6:$AB$3992))</f>
        <v>9</v>
      </c>
      <c r="R54" s="501">
        <f t="shared" si="2"/>
        <v>1</v>
      </c>
      <c r="S54" s="501">
        <f t="shared" si="3"/>
        <v>1</v>
      </c>
      <c r="T54" s="502">
        <f t="shared" si="4"/>
        <v>1</v>
      </c>
      <c r="U54" s="570" t="s">
        <v>1692</v>
      </c>
      <c r="V54" s="180"/>
    </row>
    <row r="55" spans="1:22" ht="60" x14ac:dyDescent="0.25">
      <c r="A55" s="564" t="s">
        <v>1427</v>
      </c>
      <c r="B55" s="439" t="str">
        <f>VLOOKUP(A55,'Feature Raw Data'!$A$3:$B$4204,2,FALSE)</f>
        <v>MMHUB:MMUTCL2:VML2 - Page Table Levels</v>
      </c>
      <c r="C55" s="440" t="str">
        <f>VLOOKUP(A55,'Feature Raw Data'!$A$3:$C$4204,3,FALSE)</f>
        <v>P2</v>
      </c>
      <c r="D55" s="441" t="str" cm="1">
        <f t="array" ref="D55">_xlfn.TEXTJOIN("",TRUE,IF(ISNUMBER(SEARCH($A55,'Diags Raw Data'!$A$6:$A$3992)),CONCATENATE('Diags Raw Data'!$H$6:$H$3992,", "),""))</f>
        <v xml:space="preserve">mhub010.1,2, mhub011.1, mhub011.2, mhub011.3, mhub011.4, mhub011.5, mhub031.1, mhub031.3-5, mhub031.2, mhub031.6-9, </v>
      </c>
      <c r="E55" s="325" t="e">
        <f>VLOOKUP(A55,'Diags Raw Data'!$A$6:$D$3992,4,FALSE)</f>
        <v>#N/A</v>
      </c>
      <c r="F55" s="325" t="str">
        <f>VLOOKUP(A55,'Feature Raw Data'!$A$3:$E$4204,5,FALSE)</f>
        <v>Legacy</v>
      </c>
      <c r="G55" s="325" t="str">
        <f t="shared" si="44"/>
        <v>Yes</v>
      </c>
      <c r="H55" s="325" t="str">
        <f t="shared" si="45"/>
        <v>Yes</v>
      </c>
      <c r="I55" s="440">
        <f>SUMIF('Diags Raw Data'!$A$6:$A$3992,"*"&amp;$A55&amp;"*",'Diags Raw Data'!$K$6:$K$3992)</f>
        <v>18</v>
      </c>
      <c r="J55" s="442">
        <f>SUMIF('Diags Raw Data'!$A$6:$A$3992,"*"&amp;$A55&amp;"*",'Diags Raw Data'!$L$6:$L$3992)</f>
        <v>16</v>
      </c>
      <c r="K55" s="494" t="e" cm="1">
        <f t="array" ref="K55">IF(D55="",0, SUMPRODUCT(--(ISNUMBER(SEARCH($A55,'Diags Raw Data'!$A$6:$A$3992))),'Diags Raw Data'!$L$6:$L$3992,'Diags Raw Data'!$N$6:$N$3995)/J55)</f>
        <v>#VALUE!</v>
      </c>
      <c r="L55" s="495" cm="1">
        <f t="array" ref="L55">IF(D55="",0, SUMPRODUCT(--(ISNUMBER(SEARCH($A55,'Diags Raw Data'!$A$6:$A$3992))),'Diags Raw Data'!$L$6:$L$3992,'Diags Raw Data'!$P$6:$P$3992)/J55)</f>
        <v>1</v>
      </c>
      <c r="M55" s="496" cm="1">
        <f t="array" ref="M55">SUMPRODUCT(--(ISNUMBER(SEARCH($A55,'Diags Raw Data'!$A$6:$A$3992))),--('Diags Raw Data'!$Q$6:$Q$3992&lt;&gt;"N/A"),'Diags Raw Data'!$R$6:$R$3992)</f>
        <v>16</v>
      </c>
      <c r="N55" s="497" cm="1">
        <f t="array" ref="N55">SUMPRODUCT(--(ISNUMBER(SEARCH($A55,'Diags Raw Data'!$A$6:$A$3992))),--('Diags Raw Data'!$Q$6:$Q$3992&lt;&gt;"N/A"),'Diags Raw Data'!$T$6:$T$3992)+SUMPRODUCT(--(ISNUMBER(SEARCH($A55,'Diags Raw Data'!$A$6:$A$3992))),--('Diags Raw Data'!$Q$6:$Q$3992&lt;&gt;"N/A"),'Diags Raw Data'!$U$6:$U$3992)</f>
        <v>16</v>
      </c>
      <c r="O55" s="498">
        <f t="shared" si="1"/>
        <v>1</v>
      </c>
      <c r="P55" s="499">
        <f>SUMIF('Diags Raw Data'!$A$6:$A$3992,"*"&amp;$A55&amp;"*",'Diags Raw Data'!$Z$6:$Z$3992)</f>
        <v>16</v>
      </c>
      <c r="Q55" s="500">
        <f>SUM(SUMIF('Diags Raw Data'!$A$6:$A$3992,"*"&amp;$A55&amp;"*",'Diags Raw Data'!$AA$6:$AA$3992),SUMIF('Diags Raw Data'!$A$6:$A$3992,"*"&amp;$A55&amp;"*",'Diags Raw Data'!$AB$6:$AB$3992))</f>
        <v>15</v>
      </c>
      <c r="R55" s="501">
        <f t="shared" si="2"/>
        <v>1</v>
      </c>
      <c r="S55" s="501">
        <f t="shared" si="3"/>
        <v>0.9375</v>
      </c>
      <c r="T55" s="502">
        <f t="shared" si="4"/>
        <v>0.9375</v>
      </c>
      <c r="U55" s="570" t="s">
        <v>1690</v>
      </c>
      <c r="V55" s="180"/>
    </row>
    <row r="56" spans="1:22" x14ac:dyDescent="0.25">
      <c r="A56" s="564" t="s">
        <v>345</v>
      </c>
      <c r="B56" s="439" t="str">
        <f>VLOOKUP(A56,'Feature Raw Data'!$A$3:$B$4204,2,FALSE)</f>
        <v>MMHUB:MMUTCL2:VML2 - PDE Attributes</v>
      </c>
      <c r="C56" s="440" t="str">
        <f>VLOOKUP(A56,'Feature Raw Data'!$A$3:$C$4204,3,FALSE)</f>
        <v>P1</v>
      </c>
      <c r="D56" s="441" t="str" cm="1">
        <f t="array" ref="D56">_xlfn.TEXTJOIN("",TRUE,IF(ISNUMBER(SEARCH($A56,'Diags Raw Data'!$A$6:$A$3992)),CONCATENATE('Diags Raw Data'!$H$6:$H$3992,", "),""))</f>
        <v xml:space="preserve">mhub005, mhub010.1,2, mhub082, </v>
      </c>
      <c r="E56" s="325" t="str">
        <f>VLOOKUP(A56,'Diags Raw Data'!$A$6:$D$3992,4,FALSE)</f>
        <v>MMHUB</v>
      </c>
      <c r="F56" s="325" t="str">
        <f>VLOOKUP(A56,'Feature Raw Data'!$A$3:$E$4204,5,FALSE)</f>
        <v>Delta</v>
      </c>
      <c r="G56" s="325" t="str">
        <f t="shared" si="44"/>
        <v>Yes</v>
      </c>
      <c r="H56" s="325" t="str">
        <f t="shared" si="45"/>
        <v>Yes</v>
      </c>
      <c r="I56" s="440">
        <f>SUMIF('Diags Raw Data'!$A$6:$A$3992,"*"&amp;$A56&amp;"*",'Diags Raw Data'!$K$6:$K$3992)</f>
        <v>3</v>
      </c>
      <c r="J56" s="442">
        <f>SUMIF('Diags Raw Data'!$A$6:$A$3992,"*"&amp;$A56&amp;"*",'Diags Raw Data'!$L$6:$L$3992)</f>
        <v>4</v>
      </c>
      <c r="K56" s="494" t="e" cm="1">
        <f t="array" ref="K56">IF(D56="",0, SUMPRODUCT(--(ISNUMBER(SEARCH($A56,'Diags Raw Data'!$A$6:$A$3992))),'Diags Raw Data'!$L$6:$L$3992,'Diags Raw Data'!$N$6:$N$3995)/J56)</f>
        <v>#VALUE!</v>
      </c>
      <c r="L56" s="495" cm="1">
        <f t="array" ref="L56">IF(D56="",0, SUMPRODUCT(--(ISNUMBER(SEARCH($A56,'Diags Raw Data'!$A$6:$A$3992))),'Diags Raw Data'!$L$6:$L$3992,'Diags Raw Data'!$P$6:$P$3992)/J56)</f>
        <v>1</v>
      </c>
      <c r="M56" s="496" cm="1">
        <f t="array" ref="M56">SUMPRODUCT(--(ISNUMBER(SEARCH($A56,'Diags Raw Data'!$A$6:$A$3992))),--('Diags Raw Data'!$Q$6:$Q$3992&lt;&gt;"N/A"),'Diags Raw Data'!$R$6:$R$3992)</f>
        <v>4</v>
      </c>
      <c r="N56" s="497" cm="1">
        <f t="array" ref="N56">SUMPRODUCT(--(ISNUMBER(SEARCH($A56,'Diags Raw Data'!$A$6:$A$3992))),--('Diags Raw Data'!$Q$6:$Q$3992&lt;&gt;"N/A"),'Diags Raw Data'!$T$6:$T$3992)+SUMPRODUCT(--(ISNUMBER(SEARCH($A56,'Diags Raw Data'!$A$6:$A$3992))),--('Diags Raw Data'!$Q$6:$Q$3992&lt;&gt;"N/A"),'Diags Raw Data'!$U$6:$U$3992)</f>
        <v>4</v>
      </c>
      <c r="O56" s="498">
        <f t="shared" si="1"/>
        <v>1</v>
      </c>
      <c r="P56" s="499">
        <f>SUMIF('Diags Raw Data'!$A$6:$A$3992,"*"&amp;$A56&amp;"*",'Diags Raw Data'!$Z$6:$Z$3992)</f>
        <v>4</v>
      </c>
      <c r="Q56" s="500">
        <f>SUM(SUMIF('Diags Raw Data'!$A$6:$A$3992,"*"&amp;$A56&amp;"*",'Diags Raw Data'!$AA$6:$AA$3992),SUMIF('Diags Raw Data'!$A$6:$A$3992,"*"&amp;$A56&amp;"*",'Diags Raw Data'!$AB$6:$AB$3992))</f>
        <v>2</v>
      </c>
      <c r="R56" s="501">
        <f t="shared" si="2"/>
        <v>1</v>
      </c>
      <c r="S56" s="501">
        <f t="shared" si="3"/>
        <v>0.5</v>
      </c>
      <c r="T56" s="502">
        <f t="shared" si="4"/>
        <v>0.5</v>
      </c>
      <c r="U56" s="570" t="s">
        <v>1690</v>
      </c>
      <c r="V56" s="180"/>
    </row>
    <row r="57" spans="1:22" ht="75" x14ac:dyDescent="0.25">
      <c r="A57" s="564" t="s">
        <v>351</v>
      </c>
      <c r="B57" s="439" t="str">
        <f>VLOOKUP(A57,'Feature Raw Data'!$A$3:$B$4204,2,FALSE)</f>
        <v>MMHUB:MMUTCL2:VML2 - PTE Attributes</v>
      </c>
      <c r="C57" s="440" t="str">
        <f>VLOOKUP(A57,'Feature Raw Data'!$A$3:$C$4204,3,FALSE)</f>
        <v>P2</v>
      </c>
      <c r="D57" s="441" t="str" cm="1">
        <f t="array" ref="D57">_xlfn.TEXTJOIN("",TRUE,IF(ISNUMBER(SEARCH($A57,'Diags Raw Data'!$A$6:$A$3992)),CONCATENATE('Diags Raw Data'!$H$6:$H$3992,", "),""))</f>
        <v xml:space="preserve">mhub006.1,2,4, mhub007.4, mhub008.1,2, mhub011.1, mhub011.2, mhub011.3, mhub011.4, mhub011.5, mhub012, mhub013.1, mhub013.2, mhub014.1,2, mhub086.1,2, </v>
      </c>
      <c r="E57" s="325" t="str">
        <f>VLOOKUP(A57,'Diags Raw Data'!$A$6:$D$3992,4,FALSE)</f>
        <v>MMHUB</v>
      </c>
      <c r="F57" s="325" t="str">
        <f>VLOOKUP(A57,'Feature Raw Data'!$A$3:$E$4204,5,FALSE)</f>
        <v>Legacy</v>
      </c>
      <c r="G57" s="325" t="str">
        <f t="shared" si="44"/>
        <v>Yes</v>
      </c>
      <c r="H57" s="325" t="str">
        <f t="shared" si="45"/>
        <v>Yes</v>
      </c>
      <c r="I57" s="440">
        <f>SUMIF('Diags Raw Data'!$A$6:$A$3992,"*"&amp;$A57&amp;"*",'Diags Raw Data'!$K$6:$K$3992)</f>
        <v>13</v>
      </c>
      <c r="J57" s="442">
        <f>SUMIF('Diags Raw Data'!$A$6:$A$3992,"*"&amp;$A57&amp;"*",'Diags Raw Data'!$L$6:$L$3992)</f>
        <v>18</v>
      </c>
      <c r="K57" s="494" t="e" cm="1">
        <f t="array" ref="K57">IF(D57="",0, SUMPRODUCT(--(ISNUMBER(SEARCH($A57,'Diags Raw Data'!$A$6:$A$3992))),'Diags Raw Data'!$L$6:$L$3992,'Diags Raw Data'!$N$6:$N$3995)/J57)</f>
        <v>#VALUE!</v>
      </c>
      <c r="L57" s="495" cm="1">
        <f t="array" ref="L57">IF(D57="",0, SUMPRODUCT(--(ISNUMBER(SEARCH($A57,'Diags Raw Data'!$A$6:$A$3992))),'Diags Raw Data'!$L$6:$L$3992,'Diags Raw Data'!$P$6:$P$3992)/J57)</f>
        <v>1</v>
      </c>
      <c r="M57" s="496" cm="1">
        <f t="array" ref="M57">SUMPRODUCT(--(ISNUMBER(SEARCH($A57,'Diags Raw Data'!$A$6:$A$3992))),--('Diags Raw Data'!$Q$6:$Q$3992&lt;&gt;"N/A"),'Diags Raw Data'!$R$6:$R$3992)</f>
        <v>18</v>
      </c>
      <c r="N57" s="497" cm="1">
        <f t="array" ref="N57">SUMPRODUCT(--(ISNUMBER(SEARCH($A57,'Diags Raw Data'!$A$6:$A$3992))),--('Diags Raw Data'!$Q$6:$Q$3992&lt;&gt;"N/A"),'Diags Raw Data'!$T$6:$T$3992)+SUMPRODUCT(--(ISNUMBER(SEARCH($A57,'Diags Raw Data'!$A$6:$A$3992))),--('Diags Raw Data'!$Q$6:$Q$3992&lt;&gt;"N/A"),'Diags Raw Data'!$U$6:$U$3992)</f>
        <v>18</v>
      </c>
      <c r="O57" s="498">
        <f t="shared" si="1"/>
        <v>1</v>
      </c>
      <c r="P57" s="499">
        <f>SUMIF('Diags Raw Data'!$A$6:$A$3992,"*"&amp;$A57&amp;"*",'Diags Raw Data'!$Z$6:$Z$3992)</f>
        <v>18</v>
      </c>
      <c r="Q57" s="500">
        <f>SUM(SUMIF('Diags Raw Data'!$A$6:$A$3992,"*"&amp;$A57&amp;"*",'Diags Raw Data'!$AA$6:$AA$3992),SUMIF('Diags Raw Data'!$A$6:$A$3992,"*"&amp;$A57&amp;"*",'Diags Raw Data'!$AB$6:$AB$3992))</f>
        <v>17</v>
      </c>
      <c r="R57" s="501">
        <f t="shared" si="2"/>
        <v>1</v>
      </c>
      <c r="S57" s="501">
        <f t="shared" si="3"/>
        <v>0.94444444444444442</v>
      </c>
      <c r="T57" s="502">
        <f t="shared" si="4"/>
        <v>0.94444444444444442</v>
      </c>
      <c r="U57" s="570" t="s">
        <v>1690</v>
      </c>
      <c r="V57" s="180"/>
    </row>
    <row r="58" spans="1:22" ht="30" x14ac:dyDescent="0.25">
      <c r="A58" s="564" t="s">
        <v>533</v>
      </c>
      <c r="B58" s="439" t="str">
        <f>VLOOKUP(A58,'Feature Raw Data'!$A$3:$B$4204,2,FALSE)</f>
        <v>MMHUB:MMUTCL2:VML2 - PTE permissions returned</v>
      </c>
      <c r="C58" s="440" t="str">
        <f>VLOOKUP(A58,'Feature Raw Data'!$A$3:$C$4204,3,FALSE)</f>
        <v>P2</v>
      </c>
      <c r="D58" s="441" t="str" cm="1">
        <f t="array" ref="D58">_xlfn.TEXTJOIN("",TRUE,IF(ISNUMBER(SEARCH($A58,'Diags Raw Data'!$A$6:$A$3992)),CONCATENATE('Diags Raw Data'!$H$6:$H$3992,", "),""))</f>
        <v xml:space="preserve">mhub141.1, mhub141.2, </v>
      </c>
      <c r="E58" s="325" t="str">
        <f>VLOOKUP(A58,'Diags Raw Data'!$A$6:$D$3992,4,FALSE)</f>
        <v>MMHUB</v>
      </c>
      <c r="F58" s="325" t="str">
        <f>VLOOKUP(A58,'Feature Raw Data'!$A$3:$E$4204,5,FALSE)</f>
        <v>Legacy</v>
      </c>
      <c r="G58" s="325" t="str">
        <f t="shared" si="44"/>
        <v>Yes</v>
      </c>
      <c r="H58" s="325" t="str">
        <f t="shared" si="45"/>
        <v>Yes</v>
      </c>
      <c r="I58" s="440">
        <f>SUMIF('Diags Raw Data'!$A$6:$A$3992,"*"&amp;$A58&amp;"*",'Diags Raw Data'!$K$6:$K$3992)</f>
        <v>4</v>
      </c>
      <c r="J58" s="442">
        <f>SUMIF('Diags Raw Data'!$A$6:$A$3992,"*"&amp;$A58&amp;"*",'Diags Raw Data'!$L$6:$L$3992)</f>
        <v>2</v>
      </c>
      <c r="K58" s="494" t="e" cm="1">
        <f t="array" ref="K58">IF(D58="",0, SUMPRODUCT(--(ISNUMBER(SEARCH($A58,'Diags Raw Data'!$A$6:$A$3992))),'Diags Raw Data'!$L$6:$L$3992,'Diags Raw Data'!$N$6:$N$3995)/J58)</f>
        <v>#VALUE!</v>
      </c>
      <c r="L58" s="495" cm="1">
        <f t="array" ref="L58">IF(D58="",0, SUMPRODUCT(--(ISNUMBER(SEARCH($A58,'Diags Raw Data'!$A$6:$A$3992))),'Diags Raw Data'!$L$6:$L$3992,'Diags Raw Data'!$P$6:$P$3992)/J58)</f>
        <v>1</v>
      </c>
      <c r="M58" s="496" cm="1">
        <f t="array" ref="M58">SUMPRODUCT(--(ISNUMBER(SEARCH($A58,'Diags Raw Data'!$A$6:$A$3992))),--('Diags Raw Data'!$Q$6:$Q$3992&lt;&gt;"N/A"),'Diags Raw Data'!$R$6:$R$3992)</f>
        <v>2</v>
      </c>
      <c r="N58" s="497" cm="1">
        <f t="array" ref="N58">SUMPRODUCT(--(ISNUMBER(SEARCH($A58,'Diags Raw Data'!$A$6:$A$3992))),--('Diags Raw Data'!$Q$6:$Q$3992&lt;&gt;"N/A"),'Diags Raw Data'!$T$6:$T$3992)+SUMPRODUCT(--(ISNUMBER(SEARCH($A58,'Diags Raw Data'!$A$6:$A$3992))),--('Diags Raw Data'!$Q$6:$Q$3992&lt;&gt;"N/A"),'Diags Raw Data'!$U$6:$U$3992)</f>
        <v>2</v>
      </c>
      <c r="O58" s="498">
        <f t="shared" si="1"/>
        <v>1</v>
      </c>
      <c r="P58" s="499">
        <f>SUMIF('Diags Raw Data'!$A$6:$A$3992,"*"&amp;$A58&amp;"*",'Diags Raw Data'!$Z$6:$Z$3992)</f>
        <v>2</v>
      </c>
      <c r="Q58" s="500">
        <f>SUM(SUMIF('Diags Raw Data'!$A$6:$A$3992,"*"&amp;$A58&amp;"*",'Diags Raw Data'!$AA$6:$AA$3992),SUMIF('Diags Raw Data'!$A$6:$A$3992,"*"&amp;$A58&amp;"*",'Diags Raw Data'!$AB$6:$AB$3992))</f>
        <v>0</v>
      </c>
      <c r="R58" s="501">
        <f t="shared" si="2"/>
        <v>1</v>
      </c>
      <c r="S58" s="501">
        <f t="shared" si="3"/>
        <v>0</v>
      </c>
      <c r="T58" s="502">
        <f t="shared" si="4"/>
        <v>0</v>
      </c>
      <c r="U58" s="570" t="s">
        <v>1692</v>
      </c>
      <c r="V58" s="180"/>
    </row>
    <row r="59" spans="1:22" ht="165" x14ac:dyDescent="0.25">
      <c r="A59" s="564" t="s">
        <v>1428</v>
      </c>
      <c r="B59" s="439" t="str">
        <f>VLOOKUP(A59,'Feature Raw Data'!$A$3:$B$4204,2,FALSE)</f>
        <v>MMHUB:MMUTCL2:VML2 - Mtype Attribute</v>
      </c>
      <c r="C59" s="440" t="str">
        <f>VLOOKUP(A59,'Feature Raw Data'!$A$3:$C$4204,3,FALSE)</f>
        <v>P1</v>
      </c>
      <c r="D59" s="441" t="str" cm="1">
        <f t="array" ref="D59">_xlfn.TEXTJOIN("",TRUE,IF(ISNUMBER(SEARCH($A59,'Diags Raw Data'!$A$6:$A$3992)),CONCATENATE('Diags Raw Data'!$H$6:$H$3992,", "),""))</f>
        <v xml:space="preserve">mhub408.101, mhub408.103, mhub408.105, mhub408.107, mhub408.151, mhub408.153, mhub408.155, mhub408.157, mhub408.161, mhub408.163, mhub408.165, mhub408.167, mhub408.171, mhub408.173, mhub408.175, mhub408.177, mhub408.81, mhub408.83, mhub408.85, mhub408.87, mhub408.91, mhub408.93, mhub408.95, mhub408.97, </v>
      </c>
      <c r="E59" s="325" t="e">
        <f>VLOOKUP(A59,'Diags Raw Data'!$A$6:$D$3992,4,FALSE)</f>
        <v>#N/A</v>
      </c>
      <c r="F59" s="325" t="str">
        <f>VLOOKUP(A59,'Feature Raw Data'!$A$3:$E$4204,5,FALSE)</f>
        <v>Delta</v>
      </c>
      <c r="G59" s="325" t="str">
        <f t="shared" si="44"/>
        <v>Yes</v>
      </c>
      <c r="H59" s="325" t="str">
        <f t="shared" si="45"/>
        <v>Yes</v>
      </c>
      <c r="I59" s="440">
        <f>SUMIF('Diags Raw Data'!$A$6:$A$3992,"*"&amp;$A59&amp;"*",'Diags Raw Data'!$K$6:$K$3992)</f>
        <v>27</v>
      </c>
      <c r="J59" s="442">
        <f>SUMIF('Diags Raw Data'!$A$6:$A$3992,"*"&amp;$A59&amp;"*",'Diags Raw Data'!$L$6:$L$3992)</f>
        <v>24</v>
      </c>
      <c r="K59" s="494" t="e" cm="1">
        <f t="array" ref="K59">IF(D59="",0, SUMPRODUCT(--(ISNUMBER(SEARCH($A59,'Diags Raw Data'!$A$6:$A$3992))),'Diags Raw Data'!$L$6:$L$3992,'Diags Raw Data'!$N$6:$N$3995)/J59)</f>
        <v>#VALUE!</v>
      </c>
      <c r="L59" s="495" cm="1">
        <f t="array" ref="L59">IF(D59="",0, SUMPRODUCT(--(ISNUMBER(SEARCH($A59,'Diags Raw Data'!$A$6:$A$3992))),'Diags Raw Data'!$L$6:$L$3992,'Diags Raw Data'!$P$6:$P$3992)/J59)</f>
        <v>1</v>
      </c>
      <c r="M59" s="496" cm="1">
        <f t="array" ref="M59">SUMPRODUCT(--(ISNUMBER(SEARCH($A59,'Diags Raw Data'!$A$6:$A$3992))),--('Diags Raw Data'!$Q$6:$Q$3992&lt;&gt;"N/A"),'Diags Raw Data'!$R$6:$R$3992)</f>
        <v>24</v>
      </c>
      <c r="N59" s="497" cm="1">
        <f t="array" ref="N59">SUMPRODUCT(--(ISNUMBER(SEARCH($A59,'Diags Raw Data'!$A$6:$A$3992))),--('Diags Raw Data'!$Q$6:$Q$3992&lt;&gt;"N/A"),'Diags Raw Data'!$T$6:$T$3992)+SUMPRODUCT(--(ISNUMBER(SEARCH($A59,'Diags Raw Data'!$A$6:$A$3992))),--('Diags Raw Data'!$Q$6:$Q$3992&lt;&gt;"N/A"),'Diags Raw Data'!$U$6:$U$3992)</f>
        <v>24</v>
      </c>
      <c r="O59" s="498">
        <f t="shared" si="1"/>
        <v>1</v>
      </c>
      <c r="P59" s="499">
        <f>SUMIF('Diags Raw Data'!$A$6:$A$3992,"*"&amp;$A59&amp;"*",'Diags Raw Data'!$Z$6:$Z$3992)</f>
        <v>24</v>
      </c>
      <c r="Q59" s="500">
        <f>SUM(SUMIF('Diags Raw Data'!$A$6:$A$3992,"*"&amp;$A59&amp;"*",'Diags Raw Data'!$AA$6:$AA$3992),SUMIF('Diags Raw Data'!$A$6:$A$3992,"*"&amp;$A59&amp;"*",'Diags Raw Data'!$AB$6:$AB$3992))</f>
        <v>24</v>
      </c>
      <c r="R59" s="501">
        <f t="shared" si="2"/>
        <v>1</v>
      </c>
      <c r="S59" s="501">
        <f t="shared" si="3"/>
        <v>1</v>
      </c>
      <c r="T59" s="502">
        <f t="shared" si="4"/>
        <v>1</v>
      </c>
      <c r="U59" s="570" t="s">
        <v>1692</v>
      </c>
      <c r="V59" s="180"/>
    </row>
    <row r="60" spans="1:22" ht="29.25" customHeight="1" x14ac:dyDescent="0.25">
      <c r="A60" s="564" t="s">
        <v>1430</v>
      </c>
      <c r="B60" s="439" t="str">
        <f>VLOOKUP(A60,'Feature Raw Data'!$A$3:$B$4204,2,FALSE)</f>
        <v>MMHUB:MMUTCL2:VML2 - Page table block size, PDE and PTE Fragment sizes</v>
      </c>
      <c r="C60" s="440" t="str">
        <f>VLOOKUP(A60,'Feature Raw Data'!$A$3:$C$4204,3,FALSE)</f>
        <v>P2</v>
      </c>
      <c r="D60" s="441" t="str" cm="1">
        <f t="array" ref="D60">_xlfn.TEXTJOIN("",TRUE,IF(ISNUMBER(SEARCH($A60,'Diags Raw Data'!$A$6:$A$3992)),CONCATENATE('Diags Raw Data'!$H$6:$H$3992,", "),""))</f>
        <v xml:space="preserve">mhub012, </v>
      </c>
      <c r="E60" s="325" t="e">
        <f>VLOOKUP(A60,'Diags Raw Data'!$A$6:$D$3992,4,FALSE)</f>
        <v>#N/A</v>
      </c>
      <c r="F60" s="325" t="str">
        <f>VLOOKUP(A60,'Feature Raw Data'!$A$3:$E$4204,5,FALSE)</f>
        <v>Legacy</v>
      </c>
      <c r="G60" s="325" t="str">
        <f t="shared" si="44"/>
        <v>Yes</v>
      </c>
      <c r="H60" s="325" t="str">
        <f t="shared" si="45"/>
        <v>Yes</v>
      </c>
      <c r="I60" s="440">
        <f>SUMIF('Diags Raw Data'!$A$6:$A$3992,"*"&amp;$A60&amp;"*",'Diags Raw Data'!$K$6:$K$3992)</f>
        <v>1</v>
      </c>
      <c r="J60" s="442">
        <f>SUMIF('Diags Raw Data'!$A$6:$A$3992,"*"&amp;$A60&amp;"*",'Diags Raw Data'!$L$6:$L$3992)</f>
        <v>1</v>
      </c>
      <c r="K60" s="494" t="e" cm="1">
        <f t="array" ref="K60">IF(D60="",0, SUMPRODUCT(--(ISNUMBER(SEARCH($A60,'Diags Raw Data'!$A$6:$A$3992))),'Diags Raw Data'!$L$6:$L$3992,'Diags Raw Data'!$N$6:$N$3995)/J60)</f>
        <v>#VALUE!</v>
      </c>
      <c r="L60" s="495" cm="1">
        <f t="array" ref="L60">IF(D60="",0, SUMPRODUCT(--(ISNUMBER(SEARCH($A60,'Diags Raw Data'!$A$6:$A$3992))),'Diags Raw Data'!$L$6:$L$3992,'Diags Raw Data'!$P$6:$P$3992)/J60)</f>
        <v>1</v>
      </c>
      <c r="M60" s="496" cm="1">
        <f t="array" ref="M60">SUMPRODUCT(--(ISNUMBER(SEARCH($A60,'Diags Raw Data'!$A$6:$A$3992))),--('Diags Raw Data'!$Q$6:$Q$3992&lt;&gt;"N/A"),'Diags Raw Data'!$R$6:$R$3992)</f>
        <v>1</v>
      </c>
      <c r="N60" s="497" cm="1">
        <f t="array" ref="N60">SUMPRODUCT(--(ISNUMBER(SEARCH($A60,'Diags Raw Data'!$A$6:$A$3992))),--('Diags Raw Data'!$Q$6:$Q$3992&lt;&gt;"N/A"),'Diags Raw Data'!$T$6:$T$3992)+SUMPRODUCT(--(ISNUMBER(SEARCH($A60,'Diags Raw Data'!$A$6:$A$3992))),--('Diags Raw Data'!$Q$6:$Q$3992&lt;&gt;"N/A"),'Diags Raw Data'!$U$6:$U$3992)</f>
        <v>1</v>
      </c>
      <c r="O60" s="498">
        <f t="shared" si="1"/>
        <v>1</v>
      </c>
      <c r="P60" s="499">
        <f>SUMIF('Diags Raw Data'!$A$6:$A$3992,"*"&amp;$A60&amp;"*",'Diags Raw Data'!$Z$6:$Z$3992)</f>
        <v>1</v>
      </c>
      <c r="Q60" s="500">
        <f>SUM(SUMIF('Diags Raw Data'!$A$6:$A$3992,"*"&amp;$A60&amp;"*",'Diags Raw Data'!$AA$6:$AA$3992),SUMIF('Diags Raw Data'!$A$6:$A$3992,"*"&amp;$A60&amp;"*",'Diags Raw Data'!$AB$6:$AB$3992))</f>
        <v>1</v>
      </c>
      <c r="R60" s="501">
        <f t="shared" si="2"/>
        <v>1</v>
      </c>
      <c r="S60" s="501">
        <f t="shared" si="3"/>
        <v>1</v>
      </c>
      <c r="T60" s="502">
        <f t="shared" si="4"/>
        <v>1</v>
      </c>
      <c r="U60" s="570" t="s">
        <v>1689</v>
      </c>
      <c r="V60" s="180"/>
    </row>
    <row r="61" spans="1:22" ht="45" x14ac:dyDescent="0.25">
      <c r="A61" s="564" t="s">
        <v>1163</v>
      </c>
      <c r="B61" s="439" t="str">
        <f>VLOOKUP(A61,'Feature Raw Data'!$A$3:$B$4204,2,FALSE)</f>
        <v>MMHUB:MMUTCL2:VML2 - Translate Further/PTE.F bit</v>
      </c>
      <c r="C61" s="440" t="str">
        <f>VLOOKUP(A61,'Feature Raw Data'!$A$3:$C$4204,3,FALSE)</f>
        <v>P2</v>
      </c>
      <c r="D61" s="441" t="str" cm="1">
        <f t="array" ref="D61">_xlfn.TEXTJOIN("",TRUE,IF(ISNUMBER(SEARCH($A61,'Diags Raw Data'!$A$6:$A$3992)),CONCATENATE('Diags Raw Data'!$H$6:$H$3992,", "),""))</f>
        <v xml:space="preserve">mhub011.1, mhub011.2, mhub011.3, mhub011.4, mhub011.5, mhub127.1, mhub127.2, mhub127.3, mhub127.4, </v>
      </c>
      <c r="E61" s="325" t="str">
        <f>VLOOKUP(A61,'Diags Raw Data'!$A$6:$D$3992,4,FALSE)</f>
        <v>MMHUB</v>
      </c>
      <c r="F61" s="325" t="str">
        <f>VLOOKUP(A61,'Feature Raw Data'!$A$3:$E$4204,5,FALSE)</f>
        <v>Legacy</v>
      </c>
      <c r="G61" s="325" t="str">
        <f t="shared" si="44"/>
        <v>Yes</v>
      </c>
      <c r="H61" s="325" t="str">
        <f t="shared" si="45"/>
        <v>Yes</v>
      </c>
      <c r="I61" s="440">
        <f>SUMIF('Diags Raw Data'!$A$6:$A$3992,"*"&amp;$A61&amp;"*",'Diags Raw Data'!$K$6:$K$3992)</f>
        <v>41</v>
      </c>
      <c r="J61" s="442">
        <f>SUMIF('Diags Raw Data'!$A$6:$A$3992,"*"&amp;$A61&amp;"*",'Diags Raw Data'!$L$6:$L$3992)</f>
        <v>9</v>
      </c>
      <c r="K61" s="494" t="e" cm="1">
        <f t="array" ref="K61">IF(D61="",0, SUMPRODUCT(--(ISNUMBER(SEARCH($A61,'Diags Raw Data'!$A$6:$A$3992))),'Diags Raw Data'!$L$6:$L$3992,'Diags Raw Data'!$N$6:$N$3995)/J61)</f>
        <v>#VALUE!</v>
      </c>
      <c r="L61" s="495" cm="1">
        <f t="array" ref="L61">IF(D61="",0, SUMPRODUCT(--(ISNUMBER(SEARCH($A61,'Diags Raw Data'!$A$6:$A$3992))),'Diags Raw Data'!$L$6:$L$3992,'Diags Raw Data'!$P$6:$P$3992)/J61)</f>
        <v>1</v>
      </c>
      <c r="M61" s="496" cm="1">
        <f t="array" ref="M61">SUMPRODUCT(--(ISNUMBER(SEARCH($A61,'Diags Raw Data'!$A$6:$A$3992))),--('Diags Raw Data'!$Q$6:$Q$3992&lt;&gt;"N/A"),'Diags Raw Data'!$R$6:$R$3992)</f>
        <v>9</v>
      </c>
      <c r="N61" s="497" cm="1">
        <f t="array" ref="N61">SUMPRODUCT(--(ISNUMBER(SEARCH($A61,'Diags Raw Data'!$A$6:$A$3992))),--('Diags Raw Data'!$Q$6:$Q$3992&lt;&gt;"N/A"),'Diags Raw Data'!$T$6:$T$3992)+SUMPRODUCT(--(ISNUMBER(SEARCH($A61,'Diags Raw Data'!$A$6:$A$3992))),--('Diags Raw Data'!$Q$6:$Q$3992&lt;&gt;"N/A"),'Diags Raw Data'!$U$6:$U$3992)</f>
        <v>9</v>
      </c>
      <c r="O61" s="498">
        <f t="shared" si="1"/>
        <v>1</v>
      </c>
      <c r="P61" s="499">
        <f>SUMIF('Diags Raw Data'!$A$6:$A$3992,"*"&amp;$A61&amp;"*",'Diags Raw Data'!$Z$6:$Z$3992)</f>
        <v>9</v>
      </c>
      <c r="Q61" s="500">
        <f>SUM(SUMIF('Diags Raw Data'!$A$6:$A$3992,"*"&amp;$A61&amp;"*",'Diags Raw Data'!$AA$6:$AA$3992),SUMIF('Diags Raw Data'!$A$6:$A$3992,"*"&amp;$A61&amp;"*",'Diags Raw Data'!$AB$6:$AB$3992))</f>
        <v>5</v>
      </c>
      <c r="R61" s="501">
        <f t="shared" si="2"/>
        <v>1</v>
      </c>
      <c r="S61" s="501">
        <f t="shared" si="3"/>
        <v>0.55555555555555558</v>
      </c>
      <c r="T61" s="502">
        <f t="shared" si="4"/>
        <v>0.55555555555555558</v>
      </c>
      <c r="U61" s="570" t="s">
        <v>1692</v>
      </c>
      <c r="V61" s="180"/>
    </row>
    <row r="62" spans="1:22" ht="30" x14ac:dyDescent="0.25">
      <c r="A62" s="564" t="s">
        <v>1432</v>
      </c>
      <c r="B62" s="439" t="str">
        <f>VLOOKUP(A62,'Feature Raw Data'!$A$3:$B$4204,2,FALSE)</f>
        <v>MMHUB:MMUTCL2:VML2 - Support for 2MB, 1G, 512GB pages aka PDE Block Fragment Size</v>
      </c>
      <c r="C62" s="440" t="str">
        <f>VLOOKUP(A62,'Feature Raw Data'!$A$3:$C$4204,3,FALSE)</f>
        <v>P2</v>
      </c>
      <c r="D62" s="441" t="str" cm="1">
        <f t="array" ref="D62">_xlfn.TEXTJOIN("",TRUE,IF(ISNUMBER(SEARCH($A62,'Diags Raw Data'!$A$6:$A$3992)),CONCATENATE('Diags Raw Data'!$H$6:$H$3992,", "),""))</f>
        <v xml:space="preserve">mhub012, </v>
      </c>
      <c r="E62" s="325" t="e">
        <f>VLOOKUP(A62,'Diags Raw Data'!$A$6:$D$3992,4,FALSE)</f>
        <v>#N/A</v>
      </c>
      <c r="F62" s="325" t="str">
        <f>VLOOKUP(A62,'Feature Raw Data'!$A$3:$E$4204,5,FALSE)</f>
        <v>Legacy</v>
      </c>
      <c r="G62" s="325" t="str">
        <f t="shared" si="44"/>
        <v>Yes</v>
      </c>
      <c r="H62" s="325" t="str">
        <f t="shared" si="45"/>
        <v>Yes</v>
      </c>
      <c r="I62" s="440">
        <f>SUMIF('Diags Raw Data'!$A$6:$A$3992,"*"&amp;$A62&amp;"*",'Diags Raw Data'!$K$6:$K$3992)</f>
        <v>1</v>
      </c>
      <c r="J62" s="442">
        <f>SUMIF('Diags Raw Data'!$A$6:$A$3992,"*"&amp;$A62&amp;"*",'Diags Raw Data'!$L$6:$L$3992)</f>
        <v>1</v>
      </c>
      <c r="K62" s="494" t="e" cm="1">
        <f t="array" ref="K62">IF(D62="",0, SUMPRODUCT(--(ISNUMBER(SEARCH($A62,'Diags Raw Data'!$A$6:$A$3992))),'Diags Raw Data'!$L$6:$L$3992,'Diags Raw Data'!$N$6:$N$3995)/J62)</f>
        <v>#VALUE!</v>
      </c>
      <c r="L62" s="495" cm="1">
        <f t="array" ref="L62">IF(D62="",0, SUMPRODUCT(--(ISNUMBER(SEARCH($A62,'Diags Raw Data'!$A$6:$A$3992))),'Diags Raw Data'!$L$6:$L$3992,'Diags Raw Data'!$P$6:$P$3992)/J62)</f>
        <v>1</v>
      </c>
      <c r="M62" s="496" cm="1">
        <f t="array" ref="M62">SUMPRODUCT(--(ISNUMBER(SEARCH($A62,'Diags Raw Data'!$A$6:$A$3992))),--('Diags Raw Data'!$Q$6:$Q$3992&lt;&gt;"N/A"),'Diags Raw Data'!$R$6:$R$3992)</f>
        <v>1</v>
      </c>
      <c r="N62" s="497" cm="1">
        <f t="array" ref="N62">SUMPRODUCT(--(ISNUMBER(SEARCH($A62,'Diags Raw Data'!$A$6:$A$3992))),--('Diags Raw Data'!$Q$6:$Q$3992&lt;&gt;"N/A"),'Diags Raw Data'!$T$6:$T$3992)+SUMPRODUCT(--(ISNUMBER(SEARCH($A62,'Diags Raw Data'!$A$6:$A$3992))),--('Diags Raw Data'!$Q$6:$Q$3992&lt;&gt;"N/A"),'Diags Raw Data'!$U$6:$U$3992)</f>
        <v>1</v>
      </c>
      <c r="O62" s="498">
        <f t="shared" si="1"/>
        <v>1</v>
      </c>
      <c r="P62" s="499">
        <f>SUMIF('Diags Raw Data'!$A$6:$A$3992,"*"&amp;$A62&amp;"*",'Diags Raw Data'!$Z$6:$Z$3992)</f>
        <v>1</v>
      </c>
      <c r="Q62" s="500">
        <f>SUM(SUMIF('Diags Raw Data'!$A$6:$A$3992,"*"&amp;$A62&amp;"*",'Diags Raw Data'!$AA$6:$AA$3992),SUMIF('Diags Raw Data'!$A$6:$A$3992,"*"&amp;$A62&amp;"*",'Diags Raw Data'!$AB$6:$AB$3992))</f>
        <v>1</v>
      </c>
      <c r="R62" s="501">
        <f t="shared" si="2"/>
        <v>1</v>
      </c>
      <c r="S62" s="501">
        <f t="shared" si="3"/>
        <v>1</v>
      </c>
      <c r="T62" s="502">
        <f t="shared" si="4"/>
        <v>1</v>
      </c>
      <c r="U62" s="570" t="s">
        <v>1690</v>
      </c>
      <c r="V62" s="180"/>
    </row>
    <row r="63" spans="1:22" ht="165" hidden="1" customHeight="1" x14ac:dyDescent="0.25">
      <c r="A63" s="564"/>
      <c r="B63" s="439"/>
      <c r="C63" s="440"/>
      <c r="D63" s="441"/>
      <c r="E63" s="325"/>
      <c r="F63" s="325"/>
      <c r="G63" s="325"/>
      <c r="H63" s="325"/>
      <c r="I63" s="440"/>
      <c r="J63" s="442"/>
      <c r="K63" s="494"/>
      <c r="L63" s="495"/>
      <c r="M63" s="496"/>
      <c r="N63" s="497"/>
      <c r="O63" s="498"/>
      <c r="P63" s="499"/>
      <c r="Q63" s="500"/>
      <c r="R63" s="501"/>
      <c r="S63" s="501"/>
      <c r="T63" s="502"/>
      <c r="U63" s="570"/>
      <c r="V63" s="180"/>
    </row>
    <row r="64" spans="1:22" ht="165" hidden="1" customHeight="1" x14ac:dyDescent="0.25">
      <c r="A64" s="564"/>
      <c r="B64" s="439"/>
      <c r="C64" s="440"/>
      <c r="D64" s="441"/>
      <c r="E64" s="325"/>
      <c r="F64" s="325"/>
      <c r="G64" s="325"/>
      <c r="H64" s="325"/>
      <c r="I64" s="440"/>
      <c r="J64" s="442"/>
      <c r="K64" s="494"/>
      <c r="L64" s="495"/>
      <c r="M64" s="496"/>
      <c r="N64" s="497"/>
      <c r="O64" s="498"/>
      <c r="P64" s="499"/>
      <c r="Q64" s="500"/>
      <c r="R64" s="501"/>
      <c r="S64" s="501"/>
      <c r="T64" s="502"/>
      <c r="U64" s="570"/>
      <c r="V64" s="180"/>
    </row>
    <row r="65" spans="1:23" ht="165" hidden="1" customHeight="1" x14ac:dyDescent="0.25">
      <c r="A65" s="564"/>
      <c r="B65" s="439"/>
      <c r="C65" s="440"/>
      <c r="D65" s="441"/>
      <c r="E65" s="325"/>
      <c r="F65" s="325"/>
      <c r="G65" s="325"/>
      <c r="H65" s="325"/>
      <c r="I65" s="440"/>
      <c r="J65" s="442"/>
      <c r="K65" s="494"/>
      <c r="L65" s="495"/>
      <c r="M65" s="496"/>
      <c r="N65" s="497"/>
      <c r="O65" s="498"/>
      <c r="P65" s="499"/>
      <c r="Q65" s="500"/>
      <c r="R65" s="501"/>
      <c r="S65" s="501"/>
      <c r="T65" s="502"/>
      <c r="U65" s="570"/>
      <c r="V65" s="180"/>
    </row>
    <row r="66" spans="1:23" ht="27.75" customHeight="1" x14ac:dyDescent="0.25">
      <c r="A66" s="316" t="s">
        <v>1444</v>
      </c>
      <c r="B66" s="439" t="str">
        <f>VLOOKUP(A66,'Feature Raw Data'!$A$3:$B$4204,2,FALSE)</f>
        <v>MMHUB:MMUTCL2:VML2 - VML2 BigK/4K cache swap</v>
      </c>
      <c r="C66" s="440" t="str">
        <f>VLOOKUP(A66,'Feature Raw Data'!$A$3:$C$4204,3,FALSE)</f>
        <v>P2</v>
      </c>
      <c r="D66" s="441" t="str" cm="1">
        <f t="array" ref="D66">_xlfn.TEXTJOIN("",TRUE,IF(ISNUMBER(SEARCH($A66,'Diags Raw Data'!$A$6:$A$3992)),CONCATENATE('Diags Raw Data'!$H$6:$H$3992,", "),""))</f>
        <v xml:space="preserve">mhub034.1, mhub034.2, mhub034.3, mhub034.4, </v>
      </c>
      <c r="E66" s="325" t="e">
        <f>VLOOKUP(A66,'Diags Raw Data'!$A$6:$D$3992,4,FALSE)</f>
        <v>#N/A</v>
      </c>
      <c r="F66" s="325" t="str">
        <f>VLOOKUP(A66,'Feature Raw Data'!$A$3:$E$4204,5,FALSE)</f>
        <v>Legacy</v>
      </c>
      <c r="G66" s="325" t="str">
        <f t="shared" si="44"/>
        <v>Yes</v>
      </c>
      <c r="H66" s="325" t="str">
        <f t="shared" si="45"/>
        <v>Yes</v>
      </c>
      <c r="I66" s="440">
        <f>SUMIF('Diags Raw Data'!$A$6:$A$3992,"*"&amp;$A66&amp;"*",'Diags Raw Data'!$K$6:$K$3992)</f>
        <v>4</v>
      </c>
      <c r="J66" s="442">
        <f>SUMIF('Diags Raw Data'!$A$6:$A$3992,"*"&amp;$A66&amp;"*",'Diags Raw Data'!$L$6:$L$3992)</f>
        <v>4</v>
      </c>
      <c r="K66" s="494" t="e" cm="1">
        <f t="array" ref="K66">IF(D66="",0, SUMPRODUCT(--(ISNUMBER(SEARCH($A66,'Diags Raw Data'!$A$6:$A$3992))),'Diags Raw Data'!$L$6:$L$3992,'Diags Raw Data'!$N$6:$N$3995)/J66)</f>
        <v>#VALUE!</v>
      </c>
      <c r="L66" s="495" cm="1">
        <f t="array" ref="L66">IF(D66="",0, SUMPRODUCT(--(ISNUMBER(SEARCH($A66,'Diags Raw Data'!$A$6:$A$3992))),'Diags Raw Data'!$L$6:$L$3992,'Diags Raw Data'!$P$6:$P$3992)/J66)</f>
        <v>1</v>
      </c>
      <c r="M66" s="496" cm="1">
        <f t="array" ref="M66">SUMPRODUCT(--(ISNUMBER(SEARCH($A66,'Diags Raw Data'!$A$6:$A$3992))),--('Diags Raw Data'!$Q$6:$Q$3992&lt;&gt;"N/A"),'Diags Raw Data'!$R$6:$R$3992)</f>
        <v>4</v>
      </c>
      <c r="N66" s="497" cm="1">
        <f t="array" ref="N66">SUMPRODUCT(--(ISNUMBER(SEARCH($A66,'Diags Raw Data'!$A$6:$A$3992))),--('Diags Raw Data'!$Q$6:$Q$3992&lt;&gt;"N/A"),'Diags Raw Data'!$T$6:$T$3992)+SUMPRODUCT(--(ISNUMBER(SEARCH($A66,'Diags Raw Data'!$A$6:$A$3992))),--('Diags Raw Data'!$Q$6:$Q$3992&lt;&gt;"N/A"),'Diags Raw Data'!$U$6:$U$3992)</f>
        <v>4</v>
      </c>
      <c r="O66" s="498">
        <f t="shared" si="1"/>
        <v>1</v>
      </c>
      <c r="P66" s="499">
        <f>SUMIF('Diags Raw Data'!$A$6:$A$3992,"*"&amp;$A66&amp;"*",'Diags Raw Data'!$Z$6:$Z$3992)</f>
        <v>4</v>
      </c>
      <c r="Q66" s="500">
        <f>SUM(SUMIF('Diags Raw Data'!$A$6:$A$3992,"*"&amp;$A66&amp;"*",'Diags Raw Data'!$AA$6:$AA$3992),SUMIF('Diags Raw Data'!$A$6:$A$3992,"*"&amp;$A66&amp;"*",'Diags Raw Data'!$AB$6:$AB$3992))</f>
        <v>4</v>
      </c>
      <c r="R66" s="501">
        <f t="shared" si="2"/>
        <v>1</v>
      </c>
      <c r="S66" s="501">
        <f t="shared" si="3"/>
        <v>1</v>
      </c>
      <c r="T66" s="502">
        <f t="shared" si="4"/>
        <v>1</v>
      </c>
      <c r="U66" s="570" t="s">
        <v>1690</v>
      </c>
      <c r="V66" s="180"/>
    </row>
    <row r="67" spans="1:23" ht="180" x14ac:dyDescent="0.25">
      <c r="A67" s="564" t="s">
        <v>1446</v>
      </c>
      <c r="B67" s="439" t="str">
        <f>VLOOKUP(A67,'Feature Raw Data'!$A$3:$B$4204,2,FALSE)</f>
        <v>MMHUB:MMUTCL2:VML2 - "noalloc" support (MALL)</v>
      </c>
      <c r="C67" s="440" t="str">
        <f>VLOOKUP(A67,'Feature Raw Data'!$A$3:$C$4204,3,FALSE)</f>
        <v>P1</v>
      </c>
      <c r="D67" s="441" t="str" cm="1">
        <f t="array" ref="D67">_xlfn.TEXTJOIN("",TRUE,IF(ISNUMBER(SEARCH($A67,'Diags Raw Data'!$A$6:$A$3992)),CONCATENATE('Diags Raw Data'!$H$6:$H$3992,", "),""))</f>
        <v xml:space="preserve">mhub153.1,7,401,407, mhub153.2,8,402,408, mhub153.201,204,211,214, mhub153.301,304,311,314, mhub153.5-6,11-12,405-406,411-412, mhub153.203,206,213,216, mhub153.303,306,313,316, mhub153.525,531,533,539, mhub153.526,532,534,540, mhub153.221-252, mhub153.321-352, mhub153.421-452, mhub153.111-112, mhub153.21-28, mhub153.31-38, mhub153.41-48, </v>
      </c>
      <c r="E67" s="325" t="e">
        <f>VLOOKUP(A67,'Diags Raw Data'!$A$6:$D$3992,4,FALSE)</f>
        <v>#N/A</v>
      </c>
      <c r="F67" s="325" t="str">
        <f>VLOOKUP(A67,'Feature Raw Data'!$A$3:$E$4204,5,FALSE)</f>
        <v>Delta</v>
      </c>
      <c r="G67" s="325" t="str">
        <f t="shared" si="44"/>
        <v>Yes</v>
      </c>
      <c r="H67" s="325" t="str">
        <f t="shared" si="45"/>
        <v>Yes</v>
      </c>
      <c r="I67" s="440">
        <f>SUMIF('Diags Raw Data'!$A$6:$A$3992,"*"&amp;$A67&amp;"*",'Diags Raw Data'!$K$6:$K$3992)</f>
        <v>19</v>
      </c>
      <c r="J67" s="442">
        <f>SUMIF('Diags Raw Data'!$A$6:$A$3992,"*"&amp;$A67&amp;"*",'Diags Raw Data'!$L$6:$L$3992)</f>
        <v>136</v>
      </c>
      <c r="K67" s="494" t="e" cm="1">
        <f t="array" ref="K67">IF(D67="",0, SUMPRODUCT(--(ISNUMBER(SEARCH($A67,'Diags Raw Data'!$A$6:$A$3992))),'Diags Raw Data'!$L$6:$L$3992,'Diags Raw Data'!$N$6:$N$3995)/J67)</f>
        <v>#VALUE!</v>
      </c>
      <c r="L67" s="495" cm="1">
        <f t="array" ref="L67">IF(D67="",0, SUMPRODUCT(--(ISNUMBER(SEARCH($A67,'Diags Raw Data'!$A$6:$A$3992))),'Diags Raw Data'!$L$6:$L$3992,'Diags Raw Data'!$P$6:$P$3992)/J67)</f>
        <v>1</v>
      </c>
      <c r="M67" s="496" cm="1">
        <f t="array" ref="M67">SUMPRODUCT(--(ISNUMBER(SEARCH($A67,'Diags Raw Data'!$A$6:$A$3992))),--('Diags Raw Data'!$Q$6:$Q$3992&lt;&gt;"N/A"),'Diags Raw Data'!$R$6:$R$3992)</f>
        <v>20</v>
      </c>
      <c r="N67" s="497" cm="1">
        <f t="array" ref="N67">SUMPRODUCT(--(ISNUMBER(SEARCH($A67,'Diags Raw Data'!$A$6:$A$3992))),--('Diags Raw Data'!$Q$6:$Q$3992&lt;&gt;"N/A"),'Diags Raw Data'!$T$6:$T$3992)+SUMPRODUCT(--(ISNUMBER(SEARCH($A67,'Diags Raw Data'!$A$6:$A$3992))),--('Diags Raw Data'!$Q$6:$Q$3992&lt;&gt;"N/A"),'Diags Raw Data'!$U$6:$U$3992)</f>
        <v>38</v>
      </c>
      <c r="O67" s="498">
        <f t="shared" si="1"/>
        <v>1.9</v>
      </c>
      <c r="P67" s="499">
        <f>SUMIF('Diags Raw Data'!$A$6:$A$3992,"*"&amp;$A67&amp;"*",'Diags Raw Data'!$Z$6:$Z$3992)</f>
        <v>96</v>
      </c>
      <c r="Q67" s="500">
        <f>SUM(SUMIF('Diags Raw Data'!$A$6:$A$3992,"*"&amp;$A67&amp;"*",'Diags Raw Data'!$AA$6:$AA$3992),SUMIF('Diags Raw Data'!$A$6:$A$3992,"*"&amp;$A67&amp;"*",'Diags Raw Data'!$AB$6:$AB$3992))</f>
        <v>72</v>
      </c>
      <c r="R67" s="501">
        <f t="shared" si="2"/>
        <v>0.70588235294117652</v>
      </c>
      <c r="S67" s="501">
        <f t="shared" si="3"/>
        <v>0.75</v>
      </c>
      <c r="T67" s="502">
        <f t="shared" si="4"/>
        <v>0.52941176470588236</v>
      </c>
      <c r="U67" s="570" t="s">
        <v>1692</v>
      </c>
      <c r="V67" s="180"/>
    </row>
    <row r="68" spans="1:23" hidden="1" x14ac:dyDescent="0.25">
      <c r="A68" s="564"/>
      <c r="B68" s="439"/>
      <c r="C68" s="440"/>
      <c r="D68" s="441"/>
      <c r="E68" s="325"/>
      <c r="F68" s="325"/>
      <c r="G68" s="325"/>
      <c r="H68" s="325"/>
      <c r="I68" s="440"/>
      <c r="J68" s="442"/>
      <c r="K68" s="494"/>
      <c r="L68" s="495"/>
      <c r="M68" s="496"/>
      <c r="N68" s="497"/>
      <c r="O68" s="498"/>
      <c r="P68" s="499"/>
      <c r="Q68" s="500"/>
      <c r="R68" s="501"/>
      <c r="S68" s="501"/>
      <c r="T68" s="502"/>
      <c r="U68" s="570"/>
      <c r="V68" s="180"/>
    </row>
    <row r="69" spans="1:23" hidden="1" x14ac:dyDescent="0.25">
      <c r="A69" s="564"/>
      <c r="B69" s="439"/>
      <c r="C69" s="440"/>
      <c r="D69" s="441"/>
      <c r="E69" s="325"/>
      <c r="F69" s="325"/>
      <c r="G69" s="325"/>
      <c r="H69" s="325"/>
      <c r="I69" s="440"/>
      <c r="J69" s="442"/>
      <c r="K69" s="494"/>
      <c r="L69" s="495"/>
      <c r="M69" s="496"/>
      <c r="N69" s="497"/>
      <c r="O69" s="498"/>
      <c r="P69" s="499"/>
      <c r="Q69" s="500"/>
      <c r="R69" s="501"/>
      <c r="S69" s="501"/>
      <c r="T69" s="502"/>
      <c r="U69" s="570"/>
      <c r="V69" s="180"/>
    </row>
    <row r="70" spans="1:23" ht="30.75" hidden="1" customHeight="1" x14ac:dyDescent="0.25">
      <c r="A70" s="564"/>
      <c r="B70" s="439"/>
      <c r="C70" s="440"/>
      <c r="D70" s="441"/>
      <c r="E70" s="325"/>
      <c r="F70" s="325"/>
      <c r="G70" s="325"/>
      <c r="H70" s="325"/>
      <c r="I70" s="440"/>
      <c r="J70" s="442"/>
      <c r="K70" s="494"/>
      <c r="L70" s="495"/>
      <c r="M70" s="496"/>
      <c r="N70" s="497"/>
      <c r="O70" s="498"/>
      <c r="P70" s="499"/>
      <c r="Q70" s="500"/>
      <c r="R70" s="501"/>
      <c r="S70" s="501"/>
      <c r="T70" s="502"/>
      <c r="U70" s="570"/>
      <c r="V70" s="180"/>
    </row>
    <row r="71" spans="1:23" ht="17.25" customHeight="1" x14ac:dyDescent="0.25">
      <c r="A71" s="564" t="s">
        <v>1455</v>
      </c>
      <c r="B71" s="439" t="str">
        <f>VLOOKUP(A71,'Feature Raw Data'!$A$3:$B$4204,2,FALSE)</f>
        <v>MMHUB:MMUTCL2:VML2 - Per VMID BigK/SmallK/Bank_Select Support</v>
      </c>
      <c r="C71" s="440" t="str">
        <f>VLOOKUP(A71,'Feature Raw Data'!$A$3:$C$4204,3,FALSE)</f>
        <v>P2</v>
      </c>
      <c r="D71" s="441" t="str" cm="1">
        <f t="array" ref="D71">_xlfn.TEXTJOIN("",TRUE,IF(ISNUMBER(SEARCH($A71,'Diags Raw Data'!$A$6:$A$3992)),CONCATENATE('Diags Raw Data'!$H$6:$H$3992,", "),""))</f>
        <v xml:space="preserve">mhub059.1-32, </v>
      </c>
      <c r="E71" s="325" t="e">
        <f>VLOOKUP(A71,'Diags Raw Data'!$A$6:$D$3992,4,FALSE)</f>
        <v>#N/A</v>
      </c>
      <c r="F71" s="325" t="str">
        <f>VLOOKUP(A71,'Feature Raw Data'!$A$3:$E$4204,5,FALSE)</f>
        <v>Legacy</v>
      </c>
      <c r="G71" s="325" t="str">
        <f t="shared" si="44"/>
        <v>Yes</v>
      </c>
      <c r="H71" s="325" t="str">
        <f t="shared" si="45"/>
        <v>Yes</v>
      </c>
      <c r="I71" s="440">
        <f>SUMIF('Diags Raw Data'!$A$6:$A$3992,"*"&amp;$A71&amp;"*",'Diags Raw Data'!$K$6:$K$3992)</f>
        <v>1</v>
      </c>
      <c r="J71" s="442">
        <f>SUMIF('Diags Raw Data'!$A$6:$A$3992,"*"&amp;$A71&amp;"*",'Diags Raw Data'!$L$6:$L$3992)</f>
        <v>32</v>
      </c>
      <c r="K71" s="494" t="e" cm="1">
        <f t="array" ref="K71">IF(D71="",0, SUMPRODUCT(--(ISNUMBER(SEARCH($A71,'Diags Raw Data'!$A$6:$A$3992))),'Diags Raw Data'!$L$6:$L$3992,'Diags Raw Data'!$N$6:$N$3995)/J71)</f>
        <v>#VALUE!</v>
      </c>
      <c r="L71" s="495" cm="1">
        <f t="array" ref="L71">IF(D71="",0, SUMPRODUCT(--(ISNUMBER(SEARCH($A71,'Diags Raw Data'!$A$6:$A$3992))),'Diags Raw Data'!$L$6:$L$3992,'Diags Raw Data'!$P$6:$P$3992)/J71)</f>
        <v>1</v>
      </c>
      <c r="M71" s="496" cm="1">
        <f t="array" ref="M71">SUMPRODUCT(--(ISNUMBER(SEARCH($A71,'Diags Raw Data'!$A$6:$A$3992))),--('Diags Raw Data'!$Q$6:$Q$3992&lt;&gt;"N/A"),'Diags Raw Data'!$R$6:$R$3992)</f>
        <v>32</v>
      </c>
      <c r="N71" s="497" cm="1">
        <f t="array" ref="N71">SUMPRODUCT(--(ISNUMBER(SEARCH($A71,'Diags Raw Data'!$A$6:$A$3992))),--('Diags Raw Data'!$Q$6:$Q$3992&lt;&gt;"N/A"),'Diags Raw Data'!$T$6:$T$3992)+SUMPRODUCT(--(ISNUMBER(SEARCH($A71,'Diags Raw Data'!$A$6:$A$3992))),--('Diags Raw Data'!$Q$6:$Q$3992&lt;&gt;"N/A"),'Diags Raw Data'!$U$6:$U$3992)</f>
        <v>32</v>
      </c>
      <c r="O71" s="498">
        <f t="shared" si="1"/>
        <v>1</v>
      </c>
      <c r="P71" s="499">
        <f>SUMIF('Diags Raw Data'!$A$6:$A$3992,"*"&amp;$A71&amp;"*",'Diags Raw Data'!$Z$6:$Z$3992)</f>
        <v>32</v>
      </c>
      <c r="Q71" s="500">
        <f>SUM(SUMIF('Diags Raw Data'!$A$6:$A$3992,"*"&amp;$A71&amp;"*",'Diags Raw Data'!$AA$6:$AA$3992),SUMIF('Diags Raw Data'!$A$6:$A$3992,"*"&amp;$A71&amp;"*",'Diags Raw Data'!$AB$6:$AB$3992))</f>
        <v>18</v>
      </c>
      <c r="R71" s="501">
        <f t="shared" si="2"/>
        <v>1</v>
      </c>
      <c r="S71" s="501">
        <f t="shared" si="3"/>
        <v>0.5625</v>
      </c>
      <c r="T71" s="502">
        <f t="shared" si="4"/>
        <v>0.5625</v>
      </c>
      <c r="U71" s="570" t="s">
        <v>1690</v>
      </c>
      <c r="V71" s="180"/>
    </row>
    <row r="72" spans="1:23" ht="30" x14ac:dyDescent="0.25">
      <c r="A72" s="564" t="s">
        <v>871</v>
      </c>
      <c r="B72" s="439" t="str">
        <f>VLOOKUP(A72,'Feature Raw Data'!$A$3:$B$4204,2,FALSE)</f>
        <v>MMHUB:MMUTCL2:VML2 - GPUVM L2 cache read/dump capabilities</v>
      </c>
      <c r="C72" s="440" t="str">
        <f>VLOOKUP(A72,'Feature Raw Data'!$A$3:$C$4204,3,FALSE)</f>
        <v>P2</v>
      </c>
      <c r="D72" s="441" t="str" cm="1">
        <f t="array" ref="D72">_xlfn.TEXTJOIN("",TRUE,IF(ISNUMBER(SEARCH($A72,'Diags Raw Data'!$A$6:$A$3992)),CONCATENATE('Diags Raw Data'!$H$6:$H$3992,", "),""))</f>
        <v xml:space="preserve">mhub033.101,103,106, mhub033.104, mhub031.10,11,12,13, </v>
      </c>
      <c r="E72" s="325" t="str">
        <f>VLOOKUP(A72,'Diags Raw Data'!$A$6:$D$3992,4,FALSE)</f>
        <v>MMHUB</v>
      </c>
      <c r="F72" s="325" t="str">
        <f>VLOOKUP(A72,'Feature Raw Data'!$A$3:$E$4204,5,FALSE)</f>
        <v>Legacy</v>
      </c>
      <c r="G72" s="325" t="str">
        <f t="shared" si="44"/>
        <v>Yes</v>
      </c>
      <c r="H72" s="325" t="str">
        <f t="shared" si="45"/>
        <v>Yes</v>
      </c>
      <c r="I72" s="440">
        <f>SUMIF('Diags Raw Data'!$A$6:$A$3992,"*"&amp;$A72&amp;"*",'Diags Raw Data'!$K$6:$K$3992)</f>
        <v>3</v>
      </c>
      <c r="J72" s="442">
        <f>SUMIF('Diags Raw Data'!$A$6:$A$3992,"*"&amp;$A72&amp;"*",'Diags Raw Data'!$L$6:$L$3992)</f>
        <v>8</v>
      </c>
      <c r="K72" s="494" t="e" cm="1">
        <f t="array" ref="K72">IF(D72="",0, SUMPRODUCT(--(ISNUMBER(SEARCH($A72,'Diags Raw Data'!$A$6:$A$3992))),'Diags Raw Data'!$L$6:$L$3992,'Diags Raw Data'!$N$6:$N$3995)/J72)</f>
        <v>#VALUE!</v>
      </c>
      <c r="L72" s="495" cm="1">
        <f t="array" ref="L72">IF(D72="",0, SUMPRODUCT(--(ISNUMBER(SEARCH($A72,'Diags Raw Data'!$A$6:$A$3992))),'Diags Raw Data'!$L$6:$L$3992,'Diags Raw Data'!$P$6:$P$3992)/J72)</f>
        <v>1</v>
      </c>
      <c r="M72" s="496" cm="1">
        <f t="array" ref="M72">SUMPRODUCT(--(ISNUMBER(SEARCH($A72,'Diags Raw Data'!$A$6:$A$3992))),--('Diags Raw Data'!$Q$6:$Q$3992&lt;&gt;"N/A"),'Diags Raw Data'!$R$6:$R$3992)</f>
        <v>8</v>
      </c>
      <c r="N72" s="497" cm="1">
        <f t="array" ref="N72">SUMPRODUCT(--(ISNUMBER(SEARCH($A72,'Diags Raw Data'!$A$6:$A$3992))),--('Diags Raw Data'!$Q$6:$Q$3992&lt;&gt;"N/A"),'Diags Raw Data'!$T$6:$T$3992)+SUMPRODUCT(--(ISNUMBER(SEARCH($A72,'Diags Raw Data'!$A$6:$A$3992))),--('Diags Raw Data'!$Q$6:$Q$3992&lt;&gt;"N/A"),'Diags Raw Data'!$U$6:$U$3992)</f>
        <v>8</v>
      </c>
      <c r="O72" s="498">
        <f t="shared" si="1"/>
        <v>1</v>
      </c>
      <c r="P72" s="499">
        <f>SUMIF('Diags Raw Data'!$A$6:$A$3992,"*"&amp;$A72&amp;"*",'Diags Raw Data'!$Z$6:$Z$3992)</f>
        <v>7</v>
      </c>
      <c r="Q72" s="500">
        <f>SUM(SUMIF('Diags Raw Data'!$A$6:$A$3992,"*"&amp;$A72&amp;"*",'Diags Raw Data'!$AA$6:$AA$3992),SUMIF('Diags Raw Data'!$A$6:$A$3992,"*"&amp;$A72&amp;"*",'Diags Raw Data'!$AB$6:$AB$3992))</f>
        <v>0</v>
      </c>
      <c r="R72" s="501">
        <f t="shared" si="2"/>
        <v>0.875</v>
      </c>
      <c r="S72" s="501">
        <f t="shared" si="3"/>
        <v>0</v>
      </c>
      <c r="T72" s="502">
        <f t="shared" si="4"/>
        <v>0</v>
      </c>
      <c r="U72" s="570" t="s">
        <v>1692</v>
      </c>
      <c r="V72" s="180"/>
    </row>
    <row r="73" spans="1:23" ht="30" x14ac:dyDescent="0.25">
      <c r="A73" s="564" t="s">
        <v>1017</v>
      </c>
      <c r="B73" s="439" t="str">
        <f>VLOOKUP(A73,'Feature Raw Data'!$A$3:$B$4204,2,FALSE)</f>
        <v>MMHUB:MMUTCL2:VML2 - Walker fetch behavior: REQUEST_PHYSICAL and PDE.S/C</v>
      </c>
      <c r="C73" s="440" t="str">
        <f>VLOOKUP(A73,'Feature Raw Data'!$A$3:$C$4204,3,FALSE)</f>
        <v>P2</v>
      </c>
      <c r="D73" s="441" t="str" cm="1">
        <f t="array" ref="D73">_xlfn.TEXTJOIN("",TRUE,IF(ISNUMBER(SEARCH($A73,'Diags Raw Data'!$A$6:$A$3992)),CONCATENATE('Diags Raw Data'!$H$6:$H$3992,", "),""))</f>
        <v xml:space="preserve">mhub013.1, mhub013.2, mhub013.3-6, mhub013.7-10, </v>
      </c>
      <c r="E73" s="325" t="str">
        <f>VLOOKUP(A73,'Diags Raw Data'!$A$6:$D$3992,4,FALSE)</f>
        <v>MMHUB</v>
      </c>
      <c r="F73" s="325" t="str">
        <f>VLOOKUP(A73,'Feature Raw Data'!$A$3:$E$4204,5,FALSE)</f>
        <v>Legacy</v>
      </c>
      <c r="G73" s="325" t="str">
        <f t="shared" si="44"/>
        <v>Yes</v>
      </c>
      <c r="H73" s="325" t="str">
        <f t="shared" si="45"/>
        <v>Yes</v>
      </c>
      <c r="I73" s="440">
        <f>SUMIF('Diags Raw Data'!$A$6:$A$3992,"*"&amp;$A73&amp;"*",'Diags Raw Data'!$K$6:$K$3992)</f>
        <v>4</v>
      </c>
      <c r="J73" s="442">
        <f>SUMIF('Diags Raw Data'!$A$6:$A$3992,"*"&amp;$A73&amp;"*",'Diags Raw Data'!$L$6:$L$3992)</f>
        <v>10</v>
      </c>
      <c r="K73" s="494" t="e" cm="1">
        <f t="array" ref="K73">IF(D73="",0, SUMPRODUCT(--(ISNUMBER(SEARCH($A73,'Diags Raw Data'!$A$6:$A$3992))),'Diags Raw Data'!$L$6:$L$3992,'Diags Raw Data'!$N$6:$N$3995)/J73)</f>
        <v>#VALUE!</v>
      </c>
      <c r="L73" s="495" cm="1">
        <f t="array" ref="L73">IF(D73="",0, SUMPRODUCT(--(ISNUMBER(SEARCH($A73,'Diags Raw Data'!$A$6:$A$3992))),'Diags Raw Data'!$L$6:$L$3992,'Diags Raw Data'!$P$6:$P$3992)/J73)</f>
        <v>1</v>
      </c>
      <c r="M73" s="496" cm="1">
        <f t="array" ref="M73">SUMPRODUCT(--(ISNUMBER(SEARCH($A73,'Diags Raw Data'!$A$6:$A$3992))),--('Diags Raw Data'!$Q$6:$Q$3992&lt;&gt;"N/A"),'Diags Raw Data'!$R$6:$R$3992)</f>
        <v>10</v>
      </c>
      <c r="N73" s="497" cm="1">
        <f t="array" ref="N73">SUMPRODUCT(--(ISNUMBER(SEARCH($A73,'Diags Raw Data'!$A$6:$A$3992))),--('Diags Raw Data'!$Q$6:$Q$3992&lt;&gt;"N/A"),'Diags Raw Data'!$T$6:$T$3992)+SUMPRODUCT(--(ISNUMBER(SEARCH($A73,'Diags Raw Data'!$A$6:$A$3992))),--('Diags Raw Data'!$Q$6:$Q$3992&lt;&gt;"N/A"),'Diags Raw Data'!$U$6:$U$3992)</f>
        <v>10</v>
      </c>
      <c r="O73" s="498">
        <f t="shared" si="1"/>
        <v>1</v>
      </c>
      <c r="P73" s="499">
        <f>SUMIF('Diags Raw Data'!$A$6:$A$3992,"*"&amp;$A73&amp;"*",'Diags Raw Data'!$Z$6:$Z$3992)</f>
        <v>10</v>
      </c>
      <c r="Q73" s="500">
        <f>SUM(SUMIF('Diags Raw Data'!$A$6:$A$3992,"*"&amp;$A73&amp;"*",'Diags Raw Data'!$AA$6:$AA$3992),SUMIF('Diags Raw Data'!$A$6:$A$3992,"*"&amp;$A73&amp;"*",'Diags Raw Data'!$AB$6:$AB$3992))</f>
        <v>10</v>
      </c>
      <c r="R73" s="501">
        <f t="shared" si="2"/>
        <v>1</v>
      </c>
      <c r="S73" s="501">
        <f t="shared" si="3"/>
        <v>1</v>
      </c>
      <c r="T73" s="502">
        <f t="shared" si="4"/>
        <v>1</v>
      </c>
      <c r="U73" s="570" t="s">
        <v>1692</v>
      </c>
      <c r="V73" s="180"/>
    </row>
    <row r="74" spans="1:23" hidden="1" x14ac:dyDescent="0.25">
      <c r="A74" s="564"/>
      <c r="B74" s="439"/>
      <c r="C74" s="440"/>
      <c r="D74" s="441"/>
      <c r="E74" s="325"/>
      <c r="F74" s="325"/>
      <c r="G74" s="325"/>
      <c r="H74" s="325"/>
      <c r="I74" s="440"/>
      <c r="J74" s="442"/>
      <c r="K74" s="494"/>
      <c r="L74" s="495"/>
      <c r="M74" s="496"/>
      <c r="N74" s="497"/>
      <c r="O74" s="498"/>
      <c r="P74" s="499"/>
      <c r="Q74" s="500"/>
      <c r="R74" s="501"/>
      <c r="S74" s="501"/>
      <c r="T74" s="502"/>
      <c r="U74" s="570"/>
      <c r="V74" s="180"/>
    </row>
    <row r="75" spans="1:23" hidden="1" x14ac:dyDescent="0.25">
      <c r="A75" s="564"/>
      <c r="B75" s="439"/>
      <c r="C75" s="440"/>
      <c r="D75" s="441"/>
      <c r="E75" s="325"/>
      <c r="F75" s="325"/>
      <c r="G75" s="325"/>
      <c r="H75" s="325"/>
      <c r="I75" s="440"/>
      <c r="J75" s="442"/>
      <c r="K75" s="494"/>
      <c r="L75" s="495"/>
      <c r="M75" s="496"/>
      <c r="N75" s="497"/>
      <c r="O75" s="498"/>
      <c r="P75" s="499"/>
      <c r="Q75" s="500"/>
      <c r="R75" s="501"/>
      <c r="S75" s="501"/>
      <c r="T75" s="502"/>
      <c r="U75" s="570"/>
      <c r="V75" s="180"/>
    </row>
    <row r="76" spans="1:23" hidden="1" x14ac:dyDescent="0.25">
      <c r="A76" s="564" t="s">
        <v>1461</v>
      </c>
      <c r="B76" s="439" t="str">
        <f>VLOOKUP(A76,'Feature Raw Data'!$A$3:$B$4204,2,FALSE)</f>
        <v>MMHUB:Power/PCTL - SOCCLK Deep Sleep</v>
      </c>
      <c r="C76" s="440" t="str">
        <f>VLOOKUP(A76,'Feature Raw Data'!$A$3:$C$4204,3,FALSE)</f>
        <v>P2</v>
      </c>
      <c r="D76" s="441" t="str" cm="1">
        <f t="array" ref="D76">_xlfn.TEXTJOIN("",TRUE,IF(ISNUMBER(SEARCH($A76,'Diags Raw Data'!$A$6:$A$3992)),CONCATENATE('Diags Raw Data'!$H$6:$H$3992,", "),""))</f>
        <v/>
      </c>
      <c r="E76" s="325" t="e">
        <f>VLOOKUP(A76,'Diags Raw Data'!$A$6:$D$3992,4,FALSE)</f>
        <v>#N/A</v>
      </c>
      <c r="F76" s="325" t="str">
        <f>VLOOKUP(A76,'Feature Raw Data'!$A$3:$E$4204,5,FALSE)</f>
        <v>Legacy</v>
      </c>
      <c r="G76" s="325" t="str">
        <f t="shared" ref="G76:G80" si="46">IF(D76="","No","Yes")</f>
        <v>No</v>
      </c>
      <c r="H76" s="325" t="str">
        <f t="shared" ref="H76:H86" si="47">IF(D76="","No","Yes")</f>
        <v>No</v>
      </c>
      <c r="I76" s="440">
        <f>SUMIF('Diags Raw Data'!$A$6:$A$3992,"*"&amp;$A76&amp;"*",'Diags Raw Data'!$K$6:$K$3992)</f>
        <v>0</v>
      </c>
      <c r="J76" s="442">
        <f>SUMIF('Diags Raw Data'!$A$6:$A$3992,"*"&amp;$A76&amp;"*",'Diags Raw Data'!$L$6:$L$3992)</f>
        <v>0</v>
      </c>
      <c r="K76" s="494" cm="1">
        <f t="array" ref="K76">IF(D76="",0, SUMPRODUCT(--(ISNUMBER(SEARCH($A76,'Diags Raw Data'!$A$6:$A$3992))),'Diags Raw Data'!$L$6:$L$3992,'Diags Raw Data'!$N$6:$N$3995)/J76)</f>
        <v>0</v>
      </c>
      <c r="L76" s="495" cm="1">
        <f t="array" ref="L76">IF(D76="",0, SUMPRODUCT(--(ISNUMBER(SEARCH($A76,'Diags Raw Data'!$A$6:$A$3992))),'Diags Raw Data'!$L$6:$L$3992,'Diags Raw Data'!$P$6:$P$3992)/J76)</f>
        <v>0</v>
      </c>
      <c r="M76" s="496" cm="1">
        <f t="array" ref="M76">SUMPRODUCT(--(ISNUMBER(SEARCH($A76,'Diags Raw Data'!$A$6:$A$3992))),--('Diags Raw Data'!$Q$6:$Q$3992&lt;&gt;"N/A"),'Diags Raw Data'!$R$6:$R$3992)</f>
        <v>0</v>
      </c>
      <c r="N76" s="497" cm="1">
        <f t="array" ref="N76">SUMPRODUCT(--(ISNUMBER(SEARCH($A76,'Diags Raw Data'!$A$6:$A$3992))),--('Diags Raw Data'!$Q$6:$Q$3992&lt;&gt;"N/A"),'Diags Raw Data'!$T$6:$T$3992)+SUMPRODUCT(--(ISNUMBER(SEARCH($A76,'Diags Raw Data'!$A$6:$A$3992))),--('Diags Raw Data'!$Q$6:$Q$3992&lt;&gt;"N/A"),'Diags Raw Data'!$U$6:$U$3992)</f>
        <v>0</v>
      </c>
      <c r="O76" s="498">
        <f t="shared" ref="O76:O86" si="48">IF((M76=0),0,N76/M76)</f>
        <v>0</v>
      </c>
      <c r="P76" s="499">
        <f>SUMIF('Diags Raw Data'!$A$6:$A$3992,"*"&amp;$A76&amp;"*",'Diags Raw Data'!$Z$6:$Z$3992)</f>
        <v>0</v>
      </c>
      <c r="Q76" s="500">
        <f>SUM(SUMIF('Diags Raw Data'!$A$6:$A$3992,"*"&amp;$A76&amp;"*",'Diags Raw Data'!$AA$6:$AA$3992),SUMIF('Diags Raw Data'!$A$6:$A$3992,"*"&amp;$A76&amp;"*",'Diags Raw Data'!$AB$6:$AB$3992))</f>
        <v>0</v>
      </c>
      <c r="R76" s="501">
        <f t="shared" ref="R76:R86" si="49">IF((J76=0),0,P76/J76)</f>
        <v>0</v>
      </c>
      <c r="S76" s="501">
        <f t="shared" ref="S76:S86" si="50">IF((P76=0),0,Q76/P76)</f>
        <v>0</v>
      </c>
      <c r="T76" s="502">
        <f t="shared" ref="T76:T86" si="51">R76*S76</f>
        <v>0</v>
      </c>
      <c r="U76" s="570" t="s">
        <v>44</v>
      </c>
      <c r="V76" s="180" t="s">
        <v>1700</v>
      </c>
    </row>
    <row r="77" spans="1:23" hidden="1" x14ac:dyDescent="0.25">
      <c r="A77" s="564" t="s">
        <v>1463</v>
      </c>
      <c r="B77" s="439" t="str">
        <f>VLOOKUP(A77,'Feature Raw Data'!$A$3:$B$4204,2,FALSE)</f>
        <v>MMHUB:Power/PCTL - MMHUB Power Gating</v>
      </c>
      <c r="C77" s="440" t="str">
        <f>VLOOKUP(A77,'Feature Raw Data'!$A$3:$C$4204,3,FALSE)</f>
        <v>P2</v>
      </c>
      <c r="D77" s="441" t="str" cm="1">
        <f t="array" ref="D77">_xlfn.TEXTJOIN("",TRUE,IF(ISNUMBER(SEARCH($A77,'Diags Raw Data'!$A$6:$A$3992)),CONCATENATE('Diags Raw Data'!$H$6:$H$3992,", "),""))</f>
        <v/>
      </c>
      <c r="E77" s="325" t="e">
        <f>VLOOKUP(A77,'Diags Raw Data'!$A$6:$D$3992,4,FALSE)</f>
        <v>#N/A</v>
      </c>
      <c r="F77" s="325" t="str">
        <f>VLOOKUP(A77,'Feature Raw Data'!$A$3:$E$4204,5,FALSE)</f>
        <v>Legacy</v>
      </c>
      <c r="G77" s="325" t="str">
        <f t="shared" si="46"/>
        <v>No</v>
      </c>
      <c r="H77" s="325" t="str">
        <f t="shared" si="47"/>
        <v>No</v>
      </c>
      <c r="I77" s="440">
        <f>SUMIF('Diags Raw Data'!$A$6:$A$3992,"*"&amp;$A77&amp;"*",'Diags Raw Data'!$K$6:$K$3992)</f>
        <v>0</v>
      </c>
      <c r="J77" s="442">
        <f>SUMIF('Diags Raw Data'!$A$6:$A$3992,"*"&amp;$A77&amp;"*",'Diags Raw Data'!$L$6:$L$3992)</f>
        <v>0</v>
      </c>
      <c r="K77" s="494" cm="1">
        <f t="array" ref="K77">IF(D77="",0, SUMPRODUCT(--(ISNUMBER(SEARCH($A77,'Diags Raw Data'!$A$6:$A$3992))),'Diags Raw Data'!$L$6:$L$3992,'Diags Raw Data'!$N$6:$N$3995)/J77)</f>
        <v>0</v>
      </c>
      <c r="L77" s="495" cm="1">
        <f t="array" ref="L77">IF(D77="",0, SUMPRODUCT(--(ISNUMBER(SEARCH($A77,'Diags Raw Data'!$A$6:$A$3992))),'Diags Raw Data'!$L$6:$L$3992,'Diags Raw Data'!$P$6:$P$3992)/J77)</f>
        <v>0</v>
      </c>
      <c r="M77" s="496" cm="1">
        <f t="array" ref="M77">SUMPRODUCT(--(ISNUMBER(SEARCH($A77,'Diags Raw Data'!$A$6:$A$3992))),--('Diags Raw Data'!$Q$6:$Q$3992&lt;&gt;"N/A"),'Diags Raw Data'!$R$6:$R$3992)</f>
        <v>0</v>
      </c>
      <c r="N77" s="497" cm="1">
        <f t="array" ref="N77">SUMPRODUCT(--(ISNUMBER(SEARCH($A77,'Diags Raw Data'!$A$6:$A$3992))),--('Diags Raw Data'!$Q$6:$Q$3992&lt;&gt;"N/A"),'Diags Raw Data'!$T$6:$T$3992)+SUMPRODUCT(--(ISNUMBER(SEARCH($A77,'Diags Raw Data'!$A$6:$A$3992))),--('Diags Raw Data'!$Q$6:$Q$3992&lt;&gt;"N/A"),'Diags Raw Data'!$U$6:$U$3992)</f>
        <v>0</v>
      </c>
      <c r="O77" s="498">
        <f t="shared" si="48"/>
        <v>0</v>
      </c>
      <c r="P77" s="499">
        <f>SUMIF('Diags Raw Data'!$A$6:$A$3992,"*"&amp;$A77&amp;"*",'Diags Raw Data'!$Z$6:$Z$3992)</f>
        <v>0</v>
      </c>
      <c r="Q77" s="500">
        <f>SUM(SUMIF('Diags Raw Data'!$A$6:$A$3992,"*"&amp;$A77&amp;"*",'Diags Raw Data'!$AA$6:$AA$3992),SUMIF('Diags Raw Data'!$A$6:$A$3992,"*"&amp;$A77&amp;"*",'Diags Raw Data'!$AB$6:$AB$3992))</f>
        <v>0</v>
      </c>
      <c r="R77" s="501">
        <f t="shared" si="49"/>
        <v>0</v>
      </c>
      <c r="S77" s="501">
        <f t="shared" si="50"/>
        <v>0</v>
      </c>
      <c r="T77" s="502">
        <f t="shared" si="51"/>
        <v>0</v>
      </c>
      <c r="U77" s="570" t="s">
        <v>44</v>
      </c>
      <c r="V77" s="180" t="s">
        <v>1701</v>
      </c>
    </row>
    <row r="78" spans="1:23" hidden="1" x14ac:dyDescent="0.25">
      <c r="A78" s="564" t="s">
        <v>1465</v>
      </c>
      <c r="B78" s="439" t="str">
        <f>VLOOKUP(A78,'Feature Raw Data'!$A$3:$B$4204,2,FALSE)</f>
        <v>MMHUB:PCTL - Register Save and Restore</v>
      </c>
      <c r="C78" s="440" t="str">
        <f>VLOOKUP(A78,'Feature Raw Data'!$A$3:$C$4204,3,FALSE)</f>
        <v>P2</v>
      </c>
      <c r="D78" s="441" t="str" cm="1">
        <f t="array" ref="D78">_xlfn.TEXTJOIN("",TRUE,IF(ISNUMBER(SEARCH($A78,'Diags Raw Data'!$A$6:$A$3992)),CONCATENATE('Diags Raw Data'!$H$6:$H$3992,", "),""))</f>
        <v/>
      </c>
      <c r="E78" s="325" t="e">
        <f>VLOOKUP(A78,'Diags Raw Data'!$A$6:$D$3992,4,FALSE)</f>
        <v>#N/A</v>
      </c>
      <c r="F78" s="325" t="str">
        <f>VLOOKUP(A78,'Feature Raw Data'!$A$3:$E$4204,5,FALSE)</f>
        <v>Legacy</v>
      </c>
      <c r="G78" s="325" t="str">
        <f t="shared" si="46"/>
        <v>No</v>
      </c>
      <c r="H78" s="325" t="str">
        <f t="shared" si="47"/>
        <v>No</v>
      </c>
      <c r="I78" s="440">
        <f>SUMIF('Diags Raw Data'!$A$6:$A$3992,"*"&amp;$A78&amp;"*",'Diags Raw Data'!$K$6:$K$3992)</f>
        <v>0</v>
      </c>
      <c r="J78" s="442">
        <f>SUMIF('Diags Raw Data'!$A$6:$A$3992,"*"&amp;$A78&amp;"*",'Diags Raw Data'!$L$6:$L$3992)</f>
        <v>0</v>
      </c>
      <c r="K78" s="494" cm="1">
        <f t="array" ref="K78">IF(D78="",0, SUMPRODUCT(--(ISNUMBER(SEARCH($A78,'Diags Raw Data'!$A$6:$A$3992))),'Diags Raw Data'!$L$6:$L$3992,'Diags Raw Data'!$N$6:$N$3995)/J78)</f>
        <v>0</v>
      </c>
      <c r="L78" s="495" cm="1">
        <f t="array" ref="L78">IF(D78="",0, SUMPRODUCT(--(ISNUMBER(SEARCH($A78,'Diags Raw Data'!$A$6:$A$3992))),'Diags Raw Data'!$L$6:$L$3992,'Diags Raw Data'!$P$6:$P$3992)/J78)</f>
        <v>0</v>
      </c>
      <c r="M78" s="496" cm="1">
        <f t="array" ref="M78">SUMPRODUCT(--(ISNUMBER(SEARCH($A78,'Diags Raw Data'!$A$6:$A$3992))),--('Diags Raw Data'!$Q$6:$Q$3992&lt;&gt;"N/A"),'Diags Raw Data'!$R$6:$R$3992)</f>
        <v>0</v>
      </c>
      <c r="N78" s="497" cm="1">
        <f t="array" ref="N78">SUMPRODUCT(--(ISNUMBER(SEARCH($A78,'Diags Raw Data'!$A$6:$A$3992))),--('Diags Raw Data'!$Q$6:$Q$3992&lt;&gt;"N/A"),'Diags Raw Data'!$T$6:$T$3992)+SUMPRODUCT(--(ISNUMBER(SEARCH($A78,'Diags Raw Data'!$A$6:$A$3992))),--('Diags Raw Data'!$Q$6:$Q$3992&lt;&gt;"N/A"),'Diags Raw Data'!$U$6:$U$3992)</f>
        <v>0</v>
      </c>
      <c r="O78" s="498">
        <f t="shared" si="48"/>
        <v>0</v>
      </c>
      <c r="P78" s="499">
        <f>SUMIF('Diags Raw Data'!$A$6:$A$3992,"*"&amp;$A78&amp;"*",'Diags Raw Data'!$Z$6:$Z$3992)</f>
        <v>0</v>
      </c>
      <c r="Q78" s="500">
        <f>SUM(SUMIF('Diags Raw Data'!$A$6:$A$3992,"*"&amp;$A78&amp;"*",'Diags Raw Data'!$AA$6:$AA$3992),SUMIF('Diags Raw Data'!$A$6:$A$3992,"*"&amp;$A78&amp;"*",'Diags Raw Data'!$AB$6:$AB$3992))</f>
        <v>0</v>
      </c>
      <c r="R78" s="501">
        <f t="shared" si="49"/>
        <v>0</v>
      </c>
      <c r="S78" s="501">
        <f t="shared" si="50"/>
        <v>0</v>
      </c>
      <c r="T78" s="502">
        <f t="shared" si="51"/>
        <v>0</v>
      </c>
      <c r="U78" s="570" t="s">
        <v>44</v>
      </c>
      <c r="V78" s="180" t="s">
        <v>1701</v>
      </c>
    </row>
    <row r="79" spans="1:23" ht="60" hidden="1" x14ac:dyDescent="0.25">
      <c r="A79" s="564" t="s">
        <v>1467</v>
      </c>
      <c r="B79" s="439" t="str">
        <f>VLOOKUP(A79,'Feature Raw Data'!$A$3:$B$4204,2,FALSE)</f>
        <v>MMHUB:PCTL - RSMU Timer</v>
      </c>
      <c r="C79" s="440" t="str">
        <f>VLOOKUP(A79,'Feature Raw Data'!$A$3:$C$4204,3,FALSE)</f>
        <v>P2</v>
      </c>
      <c r="D79" s="441" t="str" cm="1">
        <f t="array" ref="D79">_xlfn.TEXTJOIN("",TRUE,IF(ISNUMBER(SEARCH($A79,'Diags Raw Data'!$A$6:$A$3992)),CONCATENATE('Diags Raw Data'!$H$6:$H$3992,", "),""))</f>
        <v/>
      </c>
      <c r="E79" s="325" t="e">
        <f>VLOOKUP(A79,'Diags Raw Data'!$A$6:$D$3992,4,FALSE)</f>
        <v>#N/A</v>
      </c>
      <c r="F79" s="325" t="str">
        <f>VLOOKUP(A79,'Feature Raw Data'!$A$3:$E$4204,5,FALSE)</f>
        <v>Legacy</v>
      </c>
      <c r="G79" s="325" t="s">
        <v>31</v>
      </c>
      <c r="H79" s="325" t="str">
        <f>IF(D79="","No","Yes")</f>
        <v>No</v>
      </c>
      <c r="I79" s="440">
        <f>SUMIF('Diags Raw Data'!$A$6:$A$3992,"*"&amp;$A79&amp;"*",'Diags Raw Data'!$K$6:$K$3992)</f>
        <v>0</v>
      </c>
      <c r="J79" s="442">
        <f>SUMIF('Diags Raw Data'!$A$6:$A$3992,"*"&amp;$A79&amp;"*",'Diags Raw Data'!$L$6:$L$3992)</f>
        <v>0</v>
      </c>
      <c r="K79" s="494" cm="1">
        <f t="array" ref="K79">IF(D79="",0, SUMPRODUCT(--(ISNUMBER(SEARCH($A79,'Diags Raw Data'!$A$6:$A$3992))),'Diags Raw Data'!$L$6:$L$3992,'Diags Raw Data'!$N$6:$N$3995)/J79)</f>
        <v>0</v>
      </c>
      <c r="L79" s="495" cm="1">
        <f t="array" ref="L79">IF(D79="",0, SUMPRODUCT(--(ISNUMBER(SEARCH($A79,'Diags Raw Data'!$A$6:$A$3992))),'Diags Raw Data'!$L$6:$L$3992,'Diags Raw Data'!$P$6:$P$3992)/J79)</f>
        <v>0</v>
      </c>
      <c r="M79" s="496" cm="1">
        <f t="array" ref="M79">SUMPRODUCT(--(ISNUMBER(SEARCH($A79,'Diags Raw Data'!$A$6:$A$3992))),--('Diags Raw Data'!$Q$6:$Q$3992&lt;&gt;"N/A"),'Diags Raw Data'!$R$6:$R$3992)</f>
        <v>0</v>
      </c>
      <c r="N79" s="497" cm="1">
        <f t="array" ref="N79">SUMPRODUCT(--(ISNUMBER(SEARCH($A79,'Diags Raw Data'!$A$6:$A$3992))),--('Diags Raw Data'!$Q$6:$Q$3992&lt;&gt;"N/A"),'Diags Raw Data'!$T$6:$T$3992)+SUMPRODUCT(--(ISNUMBER(SEARCH($A79,'Diags Raw Data'!$A$6:$A$3992))),--('Diags Raw Data'!$Q$6:$Q$3992&lt;&gt;"N/A"),'Diags Raw Data'!$U$6:$U$3992)</f>
        <v>0</v>
      </c>
      <c r="O79" s="498">
        <f t="shared" si="48"/>
        <v>0</v>
      </c>
      <c r="P79" s="499">
        <f>SUMIF('Diags Raw Data'!$A$6:$A$3992,"*"&amp;$A79&amp;"*",'Diags Raw Data'!$Z$6:$Z$3992)</f>
        <v>0</v>
      </c>
      <c r="Q79" s="500">
        <f>SUM(SUMIF('Diags Raw Data'!$A$6:$A$3992,"*"&amp;$A79&amp;"*",'Diags Raw Data'!$AA$6:$AA$3992),SUMIF('Diags Raw Data'!$A$6:$A$3992,"*"&amp;$A79&amp;"*",'Diags Raw Data'!$AB$6:$AB$3992))</f>
        <v>0</v>
      </c>
      <c r="R79" s="501">
        <f t="shared" si="49"/>
        <v>0</v>
      </c>
      <c r="S79" s="501">
        <f t="shared" si="50"/>
        <v>0</v>
      </c>
      <c r="T79" s="502">
        <f t="shared" si="51"/>
        <v>0</v>
      </c>
      <c r="U79" s="570" t="s">
        <v>44</v>
      </c>
      <c r="V79" s="180"/>
      <c r="W79" s="180" t="s">
        <v>1702</v>
      </c>
    </row>
    <row r="80" spans="1:23" x14ac:dyDescent="0.25">
      <c r="A80" s="564" t="s">
        <v>1004</v>
      </c>
      <c r="B80" s="439" t="str">
        <f>VLOOKUP(A80,'Feature Raw Data'!$A$3:$B$4204,2,FALSE)</f>
        <v>MMHUB:Security - Trusted Memory Zone (TMZ)</v>
      </c>
      <c r="C80" s="440" t="str">
        <f>VLOOKUP(A80,'Feature Raw Data'!$A$3:$C$4204,3,FALSE)</f>
        <v>P1</v>
      </c>
      <c r="D80" s="441" t="str" cm="1">
        <f t="array" ref="D80">_xlfn.TEXTJOIN("",TRUE,IF(ISNUMBER(SEARCH($A80,'Diags Raw Data'!$A$6:$A$3992)),CONCATENATE('Diags Raw Data'!$H$6:$H$3992,", "),""))</f>
        <v xml:space="preserve">mhub150.1-4,10,12,20,30-41, </v>
      </c>
      <c r="E80" s="325" t="str">
        <f>VLOOKUP(A80,'Diags Raw Data'!$A$6:$D$3992,4,FALSE)</f>
        <v>MMHUB</v>
      </c>
      <c r="F80" s="325" t="str">
        <f>VLOOKUP(A80,'Feature Raw Data'!$A$3:$E$4204,5,FALSE)</f>
        <v>Delta</v>
      </c>
      <c r="G80" s="325" t="str">
        <f t="shared" si="46"/>
        <v>Yes</v>
      </c>
      <c r="H80" s="325" t="str">
        <f t="shared" si="47"/>
        <v>Yes</v>
      </c>
      <c r="I80" s="440">
        <f>SUMIF('Diags Raw Data'!$A$6:$A$3992,"*"&amp;$A80&amp;"*",'Diags Raw Data'!$K$6:$K$3992)</f>
        <v>3</v>
      </c>
      <c r="J80" s="442">
        <f>SUMIF('Diags Raw Data'!$A$6:$A$3992,"*"&amp;$A80&amp;"*",'Diags Raw Data'!$L$6:$L$3992)</f>
        <v>19</v>
      </c>
      <c r="K80" s="494" t="e" cm="1">
        <f t="array" ref="K80">IF(D80="",0, SUMPRODUCT(--(ISNUMBER(SEARCH($A80,'Diags Raw Data'!$A$6:$A$3992))),'Diags Raw Data'!$L$6:$L$3992,'Diags Raw Data'!$N$6:$N$3995)/J80)</f>
        <v>#VALUE!</v>
      </c>
      <c r="L80" s="495" cm="1">
        <f t="array" ref="L80">IF(D80="",0, SUMPRODUCT(--(ISNUMBER(SEARCH($A80,'Diags Raw Data'!$A$6:$A$3992))),'Diags Raw Data'!$L$6:$L$3992,'Diags Raw Data'!$P$6:$P$3992)/J80)</f>
        <v>1</v>
      </c>
      <c r="M80" s="496" cm="1">
        <f t="array" ref="M80">SUMPRODUCT(--(ISNUMBER(SEARCH($A80,'Diags Raw Data'!$A$6:$A$3992))),--('Diags Raw Data'!$Q$6:$Q$3992&lt;&gt;"N/A"),'Diags Raw Data'!$R$6:$R$3992)</f>
        <v>19</v>
      </c>
      <c r="N80" s="497" cm="1">
        <f t="array" ref="N80">SUMPRODUCT(--(ISNUMBER(SEARCH($A80,'Diags Raw Data'!$A$6:$A$3992))),--('Diags Raw Data'!$Q$6:$Q$3992&lt;&gt;"N/A"),'Diags Raw Data'!$T$6:$T$3992)+SUMPRODUCT(--(ISNUMBER(SEARCH($A80,'Diags Raw Data'!$A$6:$A$3992))),--('Diags Raw Data'!$Q$6:$Q$3992&lt;&gt;"N/A"),'Diags Raw Data'!$U$6:$U$3992)</f>
        <v>19</v>
      </c>
      <c r="O80" s="498">
        <f t="shared" si="48"/>
        <v>1</v>
      </c>
      <c r="P80" s="499">
        <f>SUMIF('Diags Raw Data'!$A$6:$A$3992,"*"&amp;$A80&amp;"*",'Diags Raw Data'!$Z$6:$Z$3992)</f>
        <v>0</v>
      </c>
      <c r="Q80" s="500">
        <f>SUM(SUMIF('Diags Raw Data'!$A$6:$A$3992,"*"&amp;$A80&amp;"*",'Diags Raw Data'!$AA$6:$AA$3992),SUMIF('Diags Raw Data'!$A$6:$A$3992,"*"&amp;$A80&amp;"*",'Diags Raw Data'!$AB$6:$AB$3992))</f>
        <v>0</v>
      </c>
      <c r="R80" s="501">
        <f t="shared" si="49"/>
        <v>0</v>
      </c>
      <c r="S80" s="501">
        <f t="shared" si="50"/>
        <v>0</v>
      </c>
      <c r="T80" s="502">
        <f t="shared" si="51"/>
        <v>0</v>
      </c>
      <c r="U80" s="570" t="s">
        <v>1699</v>
      </c>
      <c r="V80" s="180"/>
    </row>
    <row r="81" spans="1:22" ht="30" hidden="1" x14ac:dyDescent="0.25">
      <c r="A81" s="564" t="s">
        <v>1114</v>
      </c>
      <c r="B81" s="439" t="str">
        <f>VLOOKUP(A81,'Feature Raw Data'!$A$3:$B$4204,2,FALSE)</f>
        <v>MMHUB:Security - SOC15 Datapath/Controlpath Security</v>
      </c>
      <c r="C81" s="440" t="str">
        <f>VLOOKUP(A81,'Feature Raw Data'!$A$3:$C$4204,3,FALSE)</f>
        <v>P2</v>
      </c>
      <c r="D81" s="441" t="str" cm="1">
        <f t="array" ref="D81">_xlfn.TEXTJOIN("",TRUE,IF(ISNUMBER(SEARCH($A81,'Diags Raw Data'!$A$6:$A$3992)),CONCATENATE('Diags Raw Data'!$H$6:$H$3992,", "),""))</f>
        <v xml:space="preserve">DF003.1-4, </v>
      </c>
      <c r="E81" s="325" t="str">
        <f>VLOOKUP(A81,'Diags Raw Data'!$A$6:$D$3992,4,FALSE)</f>
        <v>MMHUB</v>
      </c>
      <c r="F81" s="325" t="str">
        <f>VLOOKUP(A81,'Feature Raw Data'!$A$3:$E$4204,5,FALSE)</f>
        <v>Legacy</v>
      </c>
      <c r="G81" s="325" t="str">
        <f t="shared" ref="G81:G84" si="52">IF(D81="","No","Yes")</f>
        <v>Yes</v>
      </c>
      <c r="H81" s="325" t="str">
        <f t="shared" ref="H81:H84" si="53">IF(D81="","No","Yes")</f>
        <v>Yes</v>
      </c>
      <c r="I81" s="440">
        <f>SUMIF('Diags Raw Data'!$A$6:$A$3992,"*"&amp;$A81&amp;"*",'Diags Raw Data'!$K$6:$K$3992)</f>
        <v>0</v>
      </c>
      <c r="J81" s="442">
        <f>SUMIF('Diags Raw Data'!$A$6:$A$3992,"*"&amp;$A81&amp;"*",'Diags Raw Data'!$L$6:$L$3992)</f>
        <v>0</v>
      </c>
      <c r="K81" s="494" t="e" cm="1">
        <f t="array" ref="K81">IF(D81="",0, SUMPRODUCT(--(ISNUMBER(SEARCH($A81,'Diags Raw Data'!$A$6:$A$3992))),'Diags Raw Data'!$L$6:$L$3992,'Diags Raw Data'!$N$6:$N$3995)/J81)</f>
        <v>#VALUE!</v>
      </c>
      <c r="L81" s="495" t="e" cm="1">
        <f t="array" ref="L81">IF(D81="",0, SUMPRODUCT(--(ISNUMBER(SEARCH($A81,'Diags Raw Data'!$A$6:$A$3992))),'Diags Raw Data'!$L$6:$L$3992,'Diags Raw Data'!$P$6:$P$3992)/J81)</f>
        <v>#DIV/0!</v>
      </c>
      <c r="M81" s="496" cm="1">
        <f t="array" ref="M81">SUMPRODUCT(--(ISNUMBER(SEARCH($A81,'Diags Raw Data'!$A$6:$A$3992))),--('Diags Raw Data'!$Q$6:$Q$3992&lt;&gt;"N/A"),'Diags Raw Data'!$R$6:$R$3992)</f>
        <v>0</v>
      </c>
      <c r="N81" s="497" cm="1">
        <f t="array" ref="N81">SUMPRODUCT(--(ISNUMBER(SEARCH($A81,'Diags Raw Data'!$A$6:$A$3992))),--('Diags Raw Data'!$Q$6:$Q$3992&lt;&gt;"N/A"),'Diags Raw Data'!$T$6:$T$3992)+SUMPRODUCT(--(ISNUMBER(SEARCH($A81,'Diags Raw Data'!$A$6:$A$3992))),--('Diags Raw Data'!$Q$6:$Q$3992&lt;&gt;"N/A"),'Diags Raw Data'!$U$6:$U$3992)</f>
        <v>0</v>
      </c>
      <c r="O81" s="498">
        <f t="shared" ref="O81:O84" si="54">IF((M81=0),0,N81/M81)</f>
        <v>0</v>
      </c>
      <c r="P81" s="499">
        <f>SUMIF('Diags Raw Data'!$A$6:$A$3992,"*"&amp;$A81&amp;"*",'Diags Raw Data'!$Z$6:$Z$3992)</f>
        <v>0</v>
      </c>
      <c r="Q81" s="500">
        <f>SUM(SUMIF('Diags Raw Data'!$A$6:$A$3992,"*"&amp;$A81&amp;"*",'Diags Raw Data'!$AA$6:$AA$3992),SUMIF('Diags Raw Data'!$A$6:$A$3992,"*"&amp;$A81&amp;"*",'Diags Raw Data'!$AB$6:$AB$3992))</f>
        <v>0</v>
      </c>
      <c r="R81" s="501">
        <f t="shared" ref="R81:R84" si="55">IF((J81=0),0,P81/J81)</f>
        <v>0</v>
      </c>
      <c r="S81" s="501">
        <f t="shared" ref="S81:S84" si="56">IF((P81=0),0,Q81/P81)</f>
        <v>0</v>
      </c>
      <c r="T81" s="502">
        <f t="shared" ref="T81:T84" si="57">R81*S81</f>
        <v>0</v>
      </c>
      <c r="U81" s="570" t="s">
        <v>1692</v>
      </c>
      <c r="V81" s="180"/>
    </row>
    <row r="82" spans="1:22" x14ac:dyDescent="0.25">
      <c r="A82" s="564" t="s">
        <v>1272</v>
      </c>
      <c r="B82" s="439" t="str">
        <f>VLOOKUP(A82,'Feature Raw Data'!$A$3:$B$4204,2,FALSE)</f>
        <v>MMHUB:RAS - Data Poison Propergation</v>
      </c>
      <c r="C82" s="440" t="str">
        <f>VLOOKUP(A82,'Feature Raw Data'!$A$3:$C$4204,3,FALSE)</f>
        <v>P1</v>
      </c>
      <c r="D82" s="441" t="str" cm="1">
        <f t="array" ref="D82">_xlfn.TEXTJOIN("",TRUE,IF(ISNUMBER(SEARCH($A82,'Diags Raw Data'!$A$6:$A$3992)),CONCATENATE('Diags Raw Data'!$H$6:$H$3992,", "),""))</f>
        <v xml:space="preserve">mhub609.1, </v>
      </c>
      <c r="E82" s="325" t="str">
        <f>VLOOKUP(A82,'Diags Raw Data'!$A$6:$D$3992,4,FALSE)</f>
        <v>RAS</v>
      </c>
      <c r="F82" s="325" t="str">
        <f>VLOOKUP(A82,'Feature Raw Data'!$A$3:$E$4204,5,FALSE)</f>
        <v>Delta</v>
      </c>
      <c r="G82" s="325" t="str">
        <f t="shared" si="52"/>
        <v>Yes</v>
      </c>
      <c r="H82" s="325" t="str">
        <f t="shared" si="53"/>
        <v>Yes</v>
      </c>
      <c r="I82" s="440">
        <f>SUMIF('Diags Raw Data'!$A$6:$A$3992,"*"&amp;$A82&amp;"*",'Diags Raw Data'!$K$6:$K$3992)</f>
        <v>1</v>
      </c>
      <c r="J82" s="442">
        <f>SUMIF('Diags Raw Data'!$A$6:$A$3992,"*"&amp;$A82&amp;"*",'Diags Raw Data'!$L$6:$L$3992)</f>
        <v>1</v>
      </c>
      <c r="K82" s="494" t="e" cm="1">
        <f t="array" ref="K82">IF(D82="",0, SUMPRODUCT(--(ISNUMBER(SEARCH($A82,'Diags Raw Data'!$A$6:$A$3992))),'Diags Raw Data'!$L$6:$L$3992,'Diags Raw Data'!$N$6:$N$3995)/J82)</f>
        <v>#VALUE!</v>
      </c>
      <c r="L82" s="495" cm="1">
        <f t="array" ref="L82">IF(D82="",0, SUMPRODUCT(--(ISNUMBER(SEARCH($A82,'Diags Raw Data'!$A$6:$A$3992))),'Diags Raw Data'!$L$6:$L$3992,'Diags Raw Data'!$P$6:$P$3992)/J82)</f>
        <v>1</v>
      </c>
      <c r="M82" s="496" cm="1">
        <f t="array" ref="M82">SUMPRODUCT(--(ISNUMBER(SEARCH($A82,'Diags Raw Data'!$A$6:$A$3992))),--('Diags Raw Data'!$Q$6:$Q$3992&lt;&gt;"N/A"),'Diags Raw Data'!$R$6:$R$3992)</f>
        <v>1</v>
      </c>
      <c r="N82" s="497" cm="1">
        <f t="array" ref="N82">SUMPRODUCT(--(ISNUMBER(SEARCH($A82,'Diags Raw Data'!$A$6:$A$3992))),--('Diags Raw Data'!$Q$6:$Q$3992&lt;&gt;"N/A"),'Diags Raw Data'!$T$6:$T$3992)+SUMPRODUCT(--(ISNUMBER(SEARCH($A82,'Diags Raw Data'!$A$6:$A$3992))),--('Diags Raw Data'!$Q$6:$Q$3992&lt;&gt;"N/A"),'Diags Raw Data'!$U$6:$U$3992)</f>
        <v>1</v>
      </c>
      <c r="O82" s="498">
        <f t="shared" si="54"/>
        <v>1</v>
      </c>
      <c r="P82" s="499">
        <f>SUMIF('Diags Raw Data'!$A$6:$A$3992,"*"&amp;$A82&amp;"*",'Diags Raw Data'!$Z$6:$Z$3992)</f>
        <v>0</v>
      </c>
      <c r="Q82" s="500">
        <f>SUM(SUMIF('Diags Raw Data'!$A$6:$A$3992,"*"&amp;$A82&amp;"*",'Diags Raw Data'!$AA$6:$AA$3992),SUMIF('Diags Raw Data'!$A$6:$A$3992,"*"&amp;$A82&amp;"*",'Diags Raw Data'!$AB$6:$AB$3992))</f>
        <v>0</v>
      </c>
      <c r="R82" s="501">
        <f t="shared" si="55"/>
        <v>0</v>
      </c>
      <c r="S82" s="501">
        <f t="shared" si="56"/>
        <v>0</v>
      </c>
      <c r="T82" s="502">
        <f t="shared" si="57"/>
        <v>0</v>
      </c>
      <c r="U82" s="570" t="s">
        <v>1692</v>
      </c>
      <c r="V82" s="180"/>
    </row>
    <row r="83" spans="1:22" hidden="1" x14ac:dyDescent="0.25">
      <c r="A83" s="564" t="s">
        <v>1282</v>
      </c>
      <c r="B83" s="439" t="str">
        <f>VLOOKUP(A83,'Feature Raw Data'!$A$3:$B$4204,2,FALSE)</f>
        <v>MMHUB:RAS - Data-path Parity Protection</v>
      </c>
      <c r="C83" s="440" t="str">
        <f>VLOOKUP(A83,'Feature Raw Data'!$A$3:$C$4204,3,FALSE)</f>
        <v>P1</v>
      </c>
      <c r="D83" s="441" t="str" cm="1">
        <f t="array" ref="D83">_xlfn.TEXTJOIN("",TRUE,IF(ISNUMBER(SEARCH($A83,'Diags Raw Data'!$A$6:$A$3992)),CONCATENATE('Diags Raw Data'!$H$6:$H$3992,", "),""))</f>
        <v xml:space="preserve">mhub6xx.x, </v>
      </c>
      <c r="E83" s="325" t="str">
        <f>VLOOKUP(A83,'Diags Raw Data'!$A$6:$D$3992,4,FALSE)</f>
        <v>RAS</v>
      </c>
      <c r="F83" s="325" t="str">
        <f>VLOOKUP(A83,'Feature Raw Data'!$A$3:$E$4204,5,FALSE)</f>
        <v>Delta</v>
      </c>
      <c r="G83" s="325" t="str">
        <f t="shared" si="52"/>
        <v>Yes</v>
      </c>
      <c r="H83" s="325" t="str">
        <f t="shared" si="53"/>
        <v>Yes</v>
      </c>
      <c r="I83" s="440">
        <f>SUMIF('Diags Raw Data'!$A$6:$A$3992,"*"&amp;$A83&amp;"*",'Diags Raw Data'!$K$6:$K$3992)</f>
        <v>0</v>
      </c>
      <c r="J83" s="442">
        <f>SUMIF('Diags Raw Data'!$A$6:$A$3992,"*"&amp;$A83&amp;"*",'Diags Raw Data'!$L$6:$L$3992)</f>
        <v>0</v>
      </c>
      <c r="K83" s="494" t="e" cm="1">
        <f t="array" ref="K83">IF(D83="",0, SUMPRODUCT(--(ISNUMBER(SEARCH($A83,'Diags Raw Data'!$A$6:$A$3992))),'Diags Raw Data'!$L$6:$L$3992,'Diags Raw Data'!$N$6:$N$3995)/J83)</f>
        <v>#VALUE!</v>
      </c>
      <c r="L83" s="495" t="e" cm="1">
        <f t="array" ref="L83">IF(D83="",0, SUMPRODUCT(--(ISNUMBER(SEARCH($A83,'Diags Raw Data'!$A$6:$A$3992))),'Diags Raw Data'!$L$6:$L$3992,'Diags Raw Data'!$P$6:$P$3992)/J83)</f>
        <v>#DIV/0!</v>
      </c>
      <c r="M83" s="496" cm="1">
        <f t="array" ref="M83">SUMPRODUCT(--(ISNUMBER(SEARCH($A83,'Diags Raw Data'!$A$6:$A$3992))),--('Diags Raw Data'!$Q$6:$Q$3992&lt;&gt;"N/A"),'Diags Raw Data'!$R$6:$R$3992)</f>
        <v>0</v>
      </c>
      <c r="N83" s="497" cm="1">
        <f t="array" ref="N83">SUMPRODUCT(--(ISNUMBER(SEARCH($A83,'Diags Raw Data'!$A$6:$A$3992))),--('Diags Raw Data'!$Q$6:$Q$3992&lt;&gt;"N/A"),'Diags Raw Data'!$T$6:$T$3992)+SUMPRODUCT(--(ISNUMBER(SEARCH($A83,'Diags Raw Data'!$A$6:$A$3992))),--('Diags Raw Data'!$Q$6:$Q$3992&lt;&gt;"N/A"),'Diags Raw Data'!$U$6:$U$3992)</f>
        <v>0</v>
      </c>
      <c r="O83" s="498">
        <f t="shared" si="54"/>
        <v>0</v>
      </c>
      <c r="P83" s="499">
        <f>SUMIF('Diags Raw Data'!$A$6:$A$3992,"*"&amp;$A83&amp;"*",'Diags Raw Data'!$Z$6:$Z$3992)</f>
        <v>0</v>
      </c>
      <c r="Q83" s="500">
        <f>SUM(SUMIF('Diags Raw Data'!$A$6:$A$3992,"*"&amp;$A83&amp;"*",'Diags Raw Data'!$AA$6:$AA$3992),SUMIF('Diags Raw Data'!$A$6:$A$3992,"*"&amp;$A83&amp;"*",'Diags Raw Data'!$AB$6:$AB$3992))</f>
        <v>0</v>
      </c>
      <c r="R83" s="501">
        <f t="shared" si="55"/>
        <v>0</v>
      </c>
      <c r="S83" s="501">
        <f t="shared" si="56"/>
        <v>0</v>
      </c>
      <c r="T83" s="502">
        <f t="shared" si="57"/>
        <v>0</v>
      </c>
      <c r="U83" s="570" t="s">
        <v>1692</v>
      </c>
      <c r="V83" s="180"/>
    </row>
    <row r="84" spans="1:22" hidden="1" x14ac:dyDescent="0.25">
      <c r="A84" s="564" t="s">
        <v>1286</v>
      </c>
      <c r="B84" s="439" t="str">
        <f>VLOOKUP(A84,'Feature Raw Data'!$A$3:$B$4204,2,FALSE)</f>
        <v>MMHUB:RAS - Fatal Error Generation/Handling</v>
      </c>
      <c r="C84" s="440" t="str">
        <f>VLOOKUP(A84,'Feature Raw Data'!$A$3:$C$4204,3,FALSE)</f>
        <v>P1</v>
      </c>
      <c r="D84" s="441" t="str" cm="1">
        <f t="array" ref="D84">_xlfn.TEXTJOIN("",TRUE,IF(ISNUMBER(SEARCH($A84,'Diags Raw Data'!$A$6:$A$3992)),CONCATENATE('Diags Raw Data'!$H$6:$H$3992,", "),""))</f>
        <v xml:space="preserve">mhub6xx.x, </v>
      </c>
      <c r="E84" s="325" t="str">
        <f>VLOOKUP(A84,'Diags Raw Data'!$A$6:$D$3992,4,FALSE)</f>
        <v>RAS</v>
      </c>
      <c r="F84" s="325" t="str">
        <f>VLOOKUP(A84,'Feature Raw Data'!$A$3:$E$4204,5,FALSE)</f>
        <v>New</v>
      </c>
      <c r="G84" s="325" t="str">
        <f t="shared" si="52"/>
        <v>Yes</v>
      </c>
      <c r="H84" s="325" t="str">
        <f t="shared" si="53"/>
        <v>Yes</v>
      </c>
      <c r="I84" s="440">
        <f>SUMIF('Diags Raw Data'!$A$6:$A$3992,"*"&amp;$A84&amp;"*",'Diags Raw Data'!$K$6:$K$3992)</f>
        <v>0</v>
      </c>
      <c r="J84" s="442">
        <f>SUMIF('Diags Raw Data'!$A$6:$A$3992,"*"&amp;$A84&amp;"*",'Diags Raw Data'!$L$6:$L$3992)</f>
        <v>0</v>
      </c>
      <c r="K84" s="494" t="e" cm="1">
        <f t="array" ref="K84">IF(D84="",0, SUMPRODUCT(--(ISNUMBER(SEARCH($A84,'Diags Raw Data'!$A$6:$A$3992))),'Diags Raw Data'!$L$6:$L$3992,'Diags Raw Data'!$N$6:$N$3995)/J84)</f>
        <v>#VALUE!</v>
      </c>
      <c r="L84" s="495" t="e" cm="1">
        <f t="array" ref="L84">IF(D84="",0, SUMPRODUCT(--(ISNUMBER(SEARCH($A84,'Diags Raw Data'!$A$6:$A$3992))),'Diags Raw Data'!$L$6:$L$3992,'Diags Raw Data'!$P$6:$P$3992)/J84)</f>
        <v>#DIV/0!</v>
      </c>
      <c r="M84" s="496" cm="1">
        <f t="array" ref="M84">SUMPRODUCT(--(ISNUMBER(SEARCH($A84,'Diags Raw Data'!$A$6:$A$3992))),--('Diags Raw Data'!$Q$6:$Q$3992&lt;&gt;"N/A"),'Diags Raw Data'!$R$6:$R$3992)</f>
        <v>0</v>
      </c>
      <c r="N84" s="497" cm="1">
        <f t="array" ref="N84">SUMPRODUCT(--(ISNUMBER(SEARCH($A84,'Diags Raw Data'!$A$6:$A$3992))),--('Diags Raw Data'!$Q$6:$Q$3992&lt;&gt;"N/A"),'Diags Raw Data'!$T$6:$T$3992)+SUMPRODUCT(--(ISNUMBER(SEARCH($A84,'Diags Raw Data'!$A$6:$A$3992))),--('Diags Raw Data'!$Q$6:$Q$3992&lt;&gt;"N/A"),'Diags Raw Data'!$U$6:$U$3992)</f>
        <v>0</v>
      </c>
      <c r="O84" s="498">
        <f t="shared" si="54"/>
        <v>0</v>
      </c>
      <c r="P84" s="499">
        <f>SUMIF('Diags Raw Data'!$A$6:$A$3992,"*"&amp;$A84&amp;"*",'Diags Raw Data'!$Z$6:$Z$3992)</f>
        <v>0</v>
      </c>
      <c r="Q84" s="500">
        <f>SUM(SUMIF('Diags Raw Data'!$A$6:$A$3992,"*"&amp;$A84&amp;"*",'Diags Raw Data'!$AA$6:$AA$3992),SUMIF('Diags Raw Data'!$A$6:$A$3992,"*"&amp;$A84&amp;"*",'Diags Raw Data'!$AB$6:$AB$3992))</f>
        <v>0</v>
      </c>
      <c r="R84" s="501">
        <f t="shared" si="55"/>
        <v>0</v>
      </c>
      <c r="S84" s="501">
        <f t="shared" si="56"/>
        <v>0</v>
      </c>
      <c r="T84" s="502">
        <f t="shared" si="57"/>
        <v>0</v>
      </c>
      <c r="U84" s="570" t="s">
        <v>1692</v>
      </c>
      <c r="V84" s="180"/>
    </row>
    <row r="85" spans="1:22" hidden="1" x14ac:dyDescent="0.25">
      <c r="A85" s="564"/>
      <c r="B85" s="439"/>
      <c r="C85" s="440"/>
      <c r="D85" s="441"/>
      <c r="E85" s="325"/>
      <c r="F85" s="325"/>
      <c r="G85" s="325"/>
      <c r="H85" s="325"/>
      <c r="I85" s="440"/>
      <c r="J85" s="442"/>
      <c r="K85" s="494"/>
      <c r="L85" s="495"/>
      <c r="M85" s="496"/>
      <c r="N85" s="497"/>
      <c r="O85" s="498"/>
      <c r="P85" s="499"/>
      <c r="Q85" s="500"/>
      <c r="R85" s="501"/>
      <c r="S85" s="501"/>
      <c r="T85" s="502"/>
      <c r="U85" s="570"/>
      <c r="V85" s="180"/>
    </row>
    <row r="86" spans="1:22" hidden="1" x14ac:dyDescent="0.25">
      <c r="A86" s="564" t="s">
        <v>1474</v>
      </c>
      <c r="B86" s="439" t="str">
        <f>VLOOKUP(A86,'Feature Raw Data'!$A$3:$B$4204,2,FALSE)</f>
        <v>MMHUB:Debug - Debug Bus</v>
      </c>
      <c r="C86" s="440" t="str">
        <f>VLOOKUP(A86,'Feature Raw Data'!$A$3:$C$4204,3,FALSE)</f>
        <v>P2</v>
      </c>
      <c r="D86" s="441" t="str" cm="1">
        <f t="array" ref="D86">_xlfn.TEXTJOIN("",TRUE,IF(ISNUMBER(SEARCH($A86,'Diags Raw Data'!$A$6:$A$3992)),CONCATENATE('Diags Raw Data'!$H$6:$H$3992,", "),""))</f>
        <v/>
      </c>
      <c r="E86" s="325" t="e">
        <f>VLOOKUP(A86,'Diags Raw Data'!$A$6:$D$3992,4,FALSE)</f>
        <v>#N/A</v>
      </c>
      <c r="F86" s="325" t="str">
        <f>VLOOKUP(A86,'Feature Raw Data'!$A$3:$E$4204,5,FALSE)</f>
        <v>Legacy</v>
      </c>
      <c r="G86" s="325" t="str">
        <f>IF(D86="","No","Yes")</f>
        <v>No</v>
      </c>
      <c r="H86" s="325" t="str">
        <f t="shared" si="47"/>
        <v>No</v>
      </c>
      <c r="I86" s="440">
        <f>SUMIF('Diags Raw Data'!$A$6:$A$3992,"*"&amp;$A86&amp;"*",'Diags Raw Data'!$K$6:$K$3992)</f>
        <v>0</v>
      </c>
      <c r="J86" s="442">
        <f>SUMIF('Diags Raw Data'!$A$6:$A$3992,"*"&amp;$A86&amp;"*",'Diags Raw Data'!$L$6:$L$3992)</f>
        <v>0</v>
      </c>
      <c r="K86" s="494" cm="1">
        <f t="array" ref="K86">IF(D86="",0, SUMPRODUCT(--(ISNUMBER(SEARCH($A86,'Diags Raw Data'!$A$6:$A$3992))),'Diags Raw Data'!$L$6:$L$3992,'Diags Raw Data'!$N$6:$N$3995)/J86)</f>
        <v>0</v>
      </c>
      <c r="L86" s="495" cm="1">
        <f t="array" ref="L86">IF(D86="",0, SUMPRODUCT(--(ISNUMBER(SEARCH($A86,'Diags Raw Data'!$A$6:$A$3992))),'Diags Raw Data'!$L$6:$L$3992,'Diags Raw Data'!$P$6:$P$3992)/J86)</f>
        <v>0</v>
      </c>
      <c r="M86" s="496" cm="1">
        <f t="array" ref="M86">SUMPRODUCT(--(ISNUMBER(SEARCH($A86,'Diags Raw Data'!$A$6:$A$3992))),--('Diags Raw Data'!$Q$6:$Q$3992&lt;&gt;"N/A"),'Diags Raw Data'!$R$6:$R$3992)</f>
        <v>0</v>
      </c>
      <c r="N86" s="497" cm="1">
        <f t="array" ref="N86">SUMPRODUCT(--(ISNUMBER(SEARCH($A86,'Diags Raw Data'!$A$6:$A$3992))),--('Diags Raw Data'!$Q$6:$Q$3992&lt;&gt;"N/A"),'Diags Raw Data'!$T$6:$T$3992)+SUMPRODUCT(--(ISNUMBER(SEARCH($A86,'Diags Raw Data'!$A$6:$A$3992))),--('Diags Raw Data'!$Q$6:$Q$3992&lt;&gt;"N/A"),'Diags Raw Data'!$U$6:$U$3992)</f>
        <v>0</v>
      </c>
      <c r="O86" s="498">
        <f t="shared" si="48"/>
        <v>0</v>
      </c>
      <c r="P86" s="499">
        <f>SUMIF('Diags Raw Data'!$A$6:$A$3992,"*"&amp;$A86&amp;"*",'Diags Raw Data'!$Z$6:$Z$3992)</f>
        <v>0</v>
      </c>
      <c r="Q86" s="500">
        <f>SUM(SUMIF('Diags Raw Data'!$A$6:$A$3992,"*"&amp;$A86&amp;"*",'Diags Raw Data'!$AA$6:$AA$3992),SUMIF('Diags Raw Data'!$A$6:$A$3992,"*"&amp;$A86&amp;"*",'Diags Raw Data'!$AB$6:$AB$3992))</f>
        <v>0</v>
      </c>
      <c r="R86" s="501">
        <f t="shared" si="49"/>
        <v>0</v>
      </c>
      <c r="S86" s="501">
        <f t="shared" si="50"/>
        <v>0</v>
      </c>
      <c r="T86" s="502">
        <f t="shared" si="51"/>
        <v>0</v>
      </c>
      <c r="U86" s="570" t="s">
        <v>44</v>
      </c>
      <c r="V86" s="180" t="s">
        <v>1703</v>
      </c>
    </row>
    <row r="87" spans="1:22" hidden="1" x14ac:dyDescent="0.25">
      <c r="A87" s="564" t="s">
        <v>1501</v>
      </c>
      <c r="B87" s="439" t="str">
        <f>VLOOKUP(A87,'Feature Raw Data'!$A$3:$B$4204,2,FALSE)</f>
        <v>GFXHUB:GCUTCL2 - SRAM FGCG</v>
      </c>
      <c r="C87" s="440" t="str">
        <f>VLOOKUP(A87,'Feature Raw Data'!$A$3:$C$4204,3,FALSE)</f>
        <v>P1</v>
      </c>
      <c r="D87" s="441" t="str" cm="1">
        <f t="array" ref="D87">_xlfn.TEXTJOIN("",TRUE,IF(ISNUMBER(SEARCH($A87,'Diags Raw Data'!$A$6:$A$3992)),CONCATENATE('Diags Raw Data'!$H$6:$H$3992,", "),""))</f>
        <v/>
      </c>
      <c r="E87" s="325" t="e">
        <f>VLOOKUP(A87,'Diags Raw Data'!$A$6:$D$3992,4,FALSE)</f>
        <v>#N/A</v>
      </c>
      <c r="F87" s="325" t="str">
        <f>VLOOKUP(A87,'Feature Raw Data'!$A$3:$E$4204,5,FALSE)</f>
        <v>Delta</v>
      </c>
      <c r="G87" s="325" t="str">
        <f t="shared" ref="G87" si="58">IF(D87="","No","Yes")</f>
        <v>No</v>
      </c>
      <c r="H87" s="325" t="str">
        <f t="shared" ref="H87" si="59">IF(D87="","No","Yes")</f>
        <v>No</v>
      </c>
      <c r="I87" s="440">
        <f>SUMIF('Diags Raw Data'!$A$6:$A$3992,"*"&amp;$A87&amp;"*",'Diags Raw Data'!$K$6:$K$3992)</f>
        <v>0</v>
      </c>
      <c r="J87" s="442">
        <f>SUMIF('Diags Raw Data'!$A$6:$A$3992,"*"&amp;$A87&amp;"*",'Diags Raw Data'!$L$6:$L$3992)</f>
        <v>0</v>
      </c>
      <c r="K87" s="494" cm="1">
        <f t="array" ref="K87">IF(D87="",0, SUMPRODUCT(--(ISNUMBER(SEARCH($A87,'Diags Raw Data'!$A$6:$A$3992))),'Diags Raw Data'!$L$6:$L$3992,'Diags Raw Data'!$N$6:$N$3995)/J87)</f>
        <v>0</v>
      </c>
      <c r="L87" s="495" cm="1">
        <f t="array" ref="L87">IF(D87="",0, SUMPRODUCT(--(ISNUMBER(SEARCH($A87,'Diags Raw Data'!$A$6:$A$3992))),'Diags Raw Data'!$L$6:$L$3992,'Diags Raw Data'!$P$6:$P$3992)/J87)</f>
        <v>0</v>
      </c>
      <c r="M87" s="496" cm="1">
        <f t="array" ref="M87">SUMPRODUCT(--(ISNUMBER(SEARCH($A87,'Diags Raw Data'!$A$6:$A$3992))),--('Diags Raw Data'!$Q$6:$Q$3992&lt;&gt;"N/A"),'Diags Raw Data'!$R$6:$R$3992)</f>
        <v>0</v>
      </c>
      <c r="N87" s="497" cm="1">
        <f t="array" ref="N87">SUMPRODUCT(--(ISNUMBER(SEARCH($A87,'Diags Raw Data'!$A$6:$A$3992))),--('Diags Raw Data'!$Q$6:$Q$3992&lt;&gt;"N/A"),'Diags Raw Data'!$T$6:$T$3992)+SUMPRODUCT(--(ISNUMBER(SEARCH($A87,'Diags Raw Data'!$A$6:$A$3992))),--('Diags Raw Data'!$Q$6:$Q$3992&lt;&gt;"N/A"),'Diags Raw Data'!$U$6:$U$3992)</f>
        <v>0</v>
      </c>
      <c r="O87" s="498">
        <f t="shared" ref="O87" si="60">IF((M87=0),0,N87/M87)</f>
        <v>0</v>
      </c>
      <c r="P87" s="499">
        <f>SUMIF('Diags Raw Data'!$A$6:$A$3992,"*"&amp;$A87&amp;"*",'Diags Raw Data'!$Z$6:$Z$3992)</f>
        <v>0</v>
      </c>
      <c r="Q87" s="500">
        <f>SUM(SUMIF('Diags Raw Data'!$A$6:$A$3992,"*"&amp;$A87&amp;"*",'Diags Raw Data'!$AA$6:$AA$3992),SUMIF('Diags Raw Data'!$A$6:$A$3992,"*"&amp;$A87&amp;"*",'Diags Raw Data'!$AB$6:$AB$3992))</f>
        <v>0</v>
      </c>
      <c r="R87" s="501">
        <f t="shared" ref="R87" si="61">IF((J87=0),0,P87/J87)</f>
        <v>0</v>
      </c>
      <c r="S87" s="501">
        <f t="shared" ref="S87" si="62">IF((P87=0),0,Q87/P87)</f>
        <v>0</v>
      </c>
      <c r="T87" s="502">
        <f t="shared" ref="T87" si="63">R87*S87</f>
        <v>0</v>
      </c>
      <c r="U87" s="570" t="s">
        <v>44</v>
      </c>
      <c r="V87" s="180" t="s">
        <v>1704</v>
      </c>
    </row>
    <row r="88" spans="1:22" hidden="1" x14ac:dyDescent="0.25">
      <c r="A88" s="564" t="s">
        <v>1503</v>
      </c>
      <c r="B88" s="439" t="str">
        <f>VLOOKUP(A88,'Feature Raw Data'!$A$3:$B$4204,2,FALSE)</f>
        <v>GFXHUB:GCUTCL2 - Repeater FGCG</v>
      </c>
      <c r="C88" s="440" t="str">
        <f>VLOOKUP(A88,'Feature Raw Data'!$A$3:$C$4204,3,FALSE)</f>
        <v>P1</v>
      </c>
      <c r="D88" s="441" t="str" cm="1">
        <f t="array" ref="D88">_xlfn.TEXTJOIN("",TRUE,IF(ISNUMBER(SEARCH($A88,'Diags Raw Data'!$A$6:$A$3992)),CONCATENATE('Diags Raw Data'!$H$6:$H$3992,", "),""))</f>
        <v/>
      </c>
      <c r="E88" s="325" t="e">
        <f>VLOOKUP(A88,'Diags Raw Data'!$A$6:$D$3992,4,FALSE)</f>
        <v>#N/A</v>
      </c>
      <c r="F88" s="325" t="str">
        <f>VLOOKUP(A88,'Feature Raw Data'!$A$3:$E$4204,5,FALSE)</f>
        <v>Legacy</v>
      </c>
      <c r="G88" s="325" t="str">
        <f t="shared" ref="G88:G140" si="64">IF(D88="","No","Yes")</f>
        <v>No</v>
      </c>
      <c r="H88" s="325" t="str">
        <f t="shared" ref="H88:H140" si="65">IF(D88="","No","Yes")</f>
        <v>No</v>
      </c>
      <c r="I88" s="440">
        <f>SUMIF('Diags Raw Data'!$A$6:$A$3992,"*"&amp;$A88&amp;"*",'Diags Raw Data'!$K$6:$K$3992)</f>
        <v>0</v>
      </c>
      <c r="J88" s="442">
        <f>SUMIF('Diags Raw Data'!$A$6:$A$3992,"*"&amp;$A88&amp;"*",'Diags Raw Data'!$L$6:$L$3992)</f>
        <v>0</v>
      </c>
      <c r="K88" s="494" cm="1">
        <f t="array" ref="K88">IF(D88="",0, SUMPRODUCT(--(ISNUMBER(SEARCH($A88,'Diags Raw Data'!$A$6:$A$3992))),'Diags Raw Data'!$L$6:$L$3992,'Diags Raw Data'!$N$6:$N$3995)/J88)</f>
        <v>0</v>
      </c>
      <c r="L88" s="495" cm="1">
        <f t="array" ref="L88">IF(D88="",0, SUMPRODUCT(--(ISNUMBER(SEARCH($A88,'Diags Raw Data'!$A$6:$A$3992))),'Diags Raw Data'!$L$6:$L$3992,'Diags Raw Data'!$P$6:$P$3992)/J88)</f>
        <v>0</v>
      </c>
      <c r="M88" s="496" cm="1">
        <f t="array" ref="M88">SUMPRODUCT(--(ISNUMBER(SEARCH($A88,'Diags Raw Data'!$A$6:$A$3992))),--('Diags Raw Data'!$Q$6:$Q$3992&lt;&gt;"N/A"),'Diags Raw Data'!$R$6:$R$3992)</f>
        <v>0</v>
      </c>
      <c r="N88" s="497" cm="1">
        <f t="array" ref="N88">SUMPRODUCT(--(ISNUMBER(SEARCH($A88,'Diags Raw Data'!$A$6:$A$3992))),--('Diags Raw Data'!$Q$6:$Q$3992&lt;&gt;"N/A"),'Diags Raw Data'!$T$6:$T$3992)+SUMPRODUCT(--(ISNUMBER(SEARCH($A88,'Diags Raw Data'!$A$6:$A$3992))),--('Diags Raw Data'!$Q$6:$Q$3992&lt;&gt;"N/A"),'Diags Raw Data'!$U$6:$U$3992)</f>
        <v>0</v>
      </c>
      <c r="O88" s="498">
        <f t="shared" ref="O88:O140" si="66">IF((M88=0),0,N88/M88)</f>
        <v>0</v>
      </c>
      <c r="P88" s="499">
        <f>SUMIF('Diags Raw Data'!$A$6:$A$3992,"*"&amp;$A88&amp;"*",'Diags Raw Data'!$Z$6:$Z$3992)</f>
        <v>0</v>
      </c>
      <c r="Q88" s="500">
        <f>SUM(SUMIF('Diags Raw Data'!$A$6:$A$3992,"*"&amp;$A88&amp;"*",'Diags Raw Data'!$AA$6:$AA$3992),SUMIF('Diags Raw Data'!$A$6:$A$3992,"*"&amp;$A88&amp;"*",'Diags Raw Data'!$AB$6:$AB$3992))</f>
        <v>0</v>
      </c>
      <c r="R88" s="501">
        <f t="shared" ref="R88:R137" si="67">IF((J88=0),0,P88/J88)</f>
        <v>0</v>
      </c>
      <c r="S88" s="501">
        <f t="shared" ref="S88:S140" si="68">IF((P88=0),0,Q88/P88)</f>
        <v>0</v>
      </c>
      <c r="T88" s="502">
        <f t="shared" ref="T88:T140" si="69">R88*S88</f>
        <v>0</v>
      </c>
      <c r="U88" s="570" t="s">
        <v>44</v>
      </c>
      <c r="V88" s="180" t="s">
        <v>1704</v>
      </c>
    </row>
    <row r="89" spans="1:22" hidden="1" x14ac:dyDescent="0.25">
      <c r="A89" s="564" t="s">
        <v>1505</v>
      </c>
      <c r="B89" s="439" t="str">
        <f>VLOOKUP(A89,'Feature Raw Data'!$A$3:$B$4204,2,FALSE)</f>
        <v>GFXHUB:GCUTCL2 - RDL parameter inhancement</v>
      </c>
      <c r="C89" s="440" t="str">
        <f>VLOOKUP(A89,'Feature Raw Data'!$A$3:$C$4204,3,FALSE)</f>
        <v>P1</v>
      </c>
      <c r="D89" s="441"/>
      <c r="E89" s="325" t="e">
        <f>VLOOKUP(A89,'Diags Raw Data'!$A$6:$D$3992,4,FALSE)</f>
        <v>#N/A</v>
      </c>
      <c r="F89" s="325" t="str">
        <f>VLOOKUP(A89,'Feature Raw Data'!$A$3:$E$4204,5,FALSE)</f>
        <v>Delta</v>
      </c>
      <c r="G89" s="325" t="str">
        <f t="shared" si="64"/>
        <v>No</v>
      </c>
      <c r="H89" s="325" t="str">
        <f t="shared" si="65"/>
        <v>No</v>
      </c>
      <c r="I89" s="440">
        <f>SUMIF('Diags Raw Data'!$A$6:$A$3992,"*"&amp;$A89&amp;"*",'Diags Raw Data'!$K$6:$K$3992)</f>
        <v>0</v>
      </c>
      <c r="J89" s="442">
        <f>SUMIF('Diags Raw Data'!$A$6:$A$3992,"*"&amp;$A89&amp;"*",'Diags Raw Data'!$L$6:$L$3992)</f>
        <v>0</v>
      </c>
      <c r="K89" s="494" cm="1">
        <f t="array" ref="K89">IF(D89="",0, SUMPRODUCT(--(ISNUMBER(SEARCH($A89,'Diags Raw Data'!$A$6:$A$3992))),'Diags Raw Data'!$L$6:$L$3992,'Diags Raw Data'!$N$6:$N$3995)/J89)</f>
        <v>0</v>
      </c>
      <c r="L89" s="495" cm="1">
        <f t="array" ref="L89">IF(D89="",0, SUMPRODUCT(--(ISNUMBER(SEARCH($A89,'Diags Raw Data'!$A$6:$A$3992))),'Diags Raw Data'!$L$6:$L$3992,'Diags Raw Data'!$P$6:$P$3992)/J89)</f>
        <v>0</v>
      </c>
      <c r="M89" s="496" cm="1">
        <f t="array" ref="M89">SUMPRODUCT(--(ISNUMBER(SEARCH($A89,'Diags Raw Data'!$A$6:$A$3992))),--('Diags Raw Data'!$Q$6:$Q$3992&lt;&gt;"N/A"),'Diags Raw Data'!$R$6:$R$3992)</f>
        <v>0</v>
      </c>
      <c r="N89" s="497" cm="1">
        <f t="array" ref="N89">SUMPRODUCT(--(ISNUMBER(SEARCH($A89,'Diags Raw Data'!$A$6:$A$3992))),--('Diags Raw Data'!$Q$6:$Q$3992&lt;&gt;"N/A"),'Diags Raw Data'!$T$6:$T$3992)+SUMPRODUCT(--(ISNUMBER(SEARCH($A89,'Diags Raw Data'!$A$6:$A$3992))),--('Diags Raw Data'!$Q$6:$Q$3992&lt;&gt;"N/A"),'Diags Raw Data'!$U$6:$U$3992)</f>
        <v>0</v>
      </c>
      <c r="O89" s="498">
        <f t="shared" si="66"/>
        <v>0</v>
      </c>
      <c r="P89" s="499">
        <f>SUMIF('Diags Raw Data'!$A$6:$A$3992,"*"&amp;$A89&amp;"*",'Diags Raw Data'!$Z$6:$Z$3992)</f>
        <v>0</v>
      </c>
      <c r="Q89" s="500">
        <f>SUM(SUMIF('Diags Raw Data'!$A$6:$A$3992,"*"&amp;$A89&amp;"*",'Diags Raw Data'!$AA$6:$AA$3992),SUMIF('Diags Raw Data'!$A$6:$A$3992,"*"&amp;$A89&amp;"*",'Diags Raw Data'!$AB$6:$AB$3992))</f>
        <v>0</v>
      </c>
      <c r="R89" s="501">
        <f t="shared" si="67"/>
        <v>0</v>
      </c>
      <c r="S89" s="501">
        <f t="shared" si="68"/>
        <v>0</v>
      </c>
      <c r="T89" s="502">
        <f t="shared" si="69"/>
        <v>0</v>
      </c>
      <c r="U89" s="570" t="s">
        <v>44</v>
      </c>
      <c r="V89" s="180" t="s">
        <v>1507</v>
      </c>
    </row>
    <row r="90" spans="1:22" ht="30" hidden="1" x14ac:dyDescent="0.25">
      <c r="A90" s="564" t="s">
        <v>1508</v>
      </c>
      <c r="B90" s="439" t="str">
        <f>VLOOKUP(A90,'Feature Raw Data'!$A$3:$B$4204,2,FALSE)</f>
        <v>GFXHUB:GCUTCL2 - Expand GRBM address bus range</v>
      </c>
      <c r="C90" s="440" t="str">
        <f>VLOOKUP(A90,'Feature Raw Data'!$A$3:$C$4204,3,FALSE)</f>
        <v>P2</v>
      </c>
      <c r="D90" s="441" t="str" cm="1">
        <f t="array" ref="D90">_xlfn.TEXTJOIN("",TRUE,IF(ISNUMBER(SEARCH($A90,'Diags Raw Data'!$A$6:$A$3992)),CONCATENATE('Diags Raw Data'!$H$6:$H$3992,", "),""))</f>
        <v/>
      </c>
      <c r="E90" s="325" t="e">
        <f>VLOOKUP(A90,'Diags Raw Data'!$A$6:$D$3992,4,FALSE)</f>
        <v>#N/A</v>
      </c>
      <c r="F90" s="325" t="str">
        <f>VLOOKUP(A90,'Feature Raw Data'!$A$3:$E$4204,5,FALSE)</f>
        <v>Legacy</v>
      </c>
      <c r="G90" s="325" t="s">
        <v>31</v>
      </c>
      <c r="H90" s="325" t="str">
        <f t="shared" si="65"/>
        <v>No</v>
      </c>
      <c r="I90" s="440">
        <f>SUMIF('Diags Raw Data'!$A$6:$A$3992,"*"&amp;$A90&amp;"*",'Diags Raw Data'!$K$6:$K$3992)</f>
        <v>0</v>
      </c>
      <c r="J90" s="442">
        <f>SUMIF('Diags Raw Data'!$A$6:$A$3992,"*"&amp;$A90&amp;"*",'Diags Raw Data'!$L$6:$L$3992)</f>
        <v>0</v>
      </c>
      <c r="K90" s="494" cm="1">
        <f t="array" ref="K90">IF(D90="",0, SUMPRODUCT(--(ISNUMBER(SEARCH($A90,'Diags Raw Data'!$A$6:$A$3992))),'Diags Raw Data'!$L$6:$L$3992,'Diags Raw Data'!$N$6:$N$3995)/J90)</f>
        <v>0</v>
      </c>
      <c r="L90" s="495" cm="1">
        <f t="array" ref="L90">IF(D90="",0, SUMPRODUCT(--(ISNUMBER(SEARCH($A90,'Diags Raw Data'!$A$6:$A$3992))),'Diags Raw Data'!$L$6:$L$3992,'Diags Raw Data'!$P$6:$P$3992)/J90)</f>
        <v>0</v>
      </c>
      <c r="M90" s="496" cm="1">
        <f t="array" ref="M90">SUMPRODUCT(--(ISNUMBER(SEARCH($A90,'Diags Raw Data'!$A$6:$A$3992))),--('Diags Raw Data'!$Q$6:$Q$3992&lt;&gt;"N/A"),'Diags Raw Data'!$R$6:$R$3992)</f>
        <v>0</v>
      </c>
      <c r="N90" s="497" cm="1">
        <f t="array" ref="N90">SUMPRODUCT(--(ISNUMBER(SEARCH($A90,'Diags Raw Data'!$A$6:$A$3992))),--('Diags Raw Data'!$Q$6:$Q$3992&lt;&gt;"N/A"),'Diags Raw Data'!$T$6:$T$3992)+SUMPRODUCT(--(ISNUMBER(SEARCH($A90,'Diags Raw Data'!$A$6:$A$3992))),--('Diags Raw Data'!$Q$6:$Q$3992&lt;&gt;"N/A"),'Diags Raw Data'!$U$6:$U$3992)</f>
        <v>0</v>
      </c>
      <c r="O90" s="498">
        <f t="shared" si="66"/>
        <v>0</v>
      </c>
      <c r="P90" s="499">
        <f>SUMIF('Diags Raw Data'!$A$6:$A$3992,"*"&amp;$A90&amp;"*",'Diags Raw Data'!$Z$6:$Z$3992)</f>
        <v>0</v>
      </c>
      <c r="Q90" s="500">
        <f>SUM(SUMIF('Diags Raw Data'!$A$6:$A$3992,"*"&amp;$A90&amp;"*",'Diags Raw Data'!$AA$6:$AA$3992),SUMIF('Diags Raw Data'!$A$6:$A$3992,"*"&amp;$A90&amp;"*",'Diags Raw Data'!$AB$6:$AB$3992))</f>
        <v>0</v>
      </c>
      <c r="R90" s="501">
        <f t="shared" si="67"/>
        <v>0</v>
      </c>
      <c r="S90" s="501">
        <f t="shared" si="68"/>
        <v>0</v>
      </c>
      <c r="T90" s="502">
        <f t="shared" si="69"/>
        <v>0</v>
      </c>
      <c r="U90" s="570" t="s">
        <v>44</v>
      </c>
      <c r="V90" s="180" t="s">
        <v>1705</v>
      </c>
    </row>
    <row r="91" spans="1:22" hidden="1" x14ac:dyDescent="0.25">
      <c r="A91" s="564"/>
      <c r="B91" s="439"/>
      <c r="C91" s="440"/>
      <c r="D91" s="441"/>
      <c r="E91" s="325"/>
      <c r="F91" s="325"/>
      <c r="G91" s="325"/>
      <c r="H91" s="325"/>
      <c r="I91" s="440"/>
      <c r="J91" s="442"/>
      <c r="K91" s="494"/>
      <c r="L91" s="495"/>
      <c r="M91" s="496"/>
      <c r="N91" s="497"/>
      <c r="O91" s="498"/>
      <c r="P91" s="499"/>
      <c r="Q91" s="500"/>
      <c r="R91" s="501"/>
      <c r="S91" s="501"/>
      <c r="T91" s="502"/>
      <c r="U91" s="570"/>
      <c r="V91" s="180"/>
    </row>
    <row r="92" spans="1:22" hidden="1" x14ac:dyDescent="0.25">
      <c r="A92" s="564"/>
      <c r="B92" s="439"/>
      <c r="C92" s="440"/>
      <c r="D92" s="441"/>
      <c r="E92" s="325"/>
      <c r="F92" s="325"/>
      <c r="G92" s="325"/>
      <c r="H92" s="325"/>
      <c r="I92" s="440"/>
      <c r="J92" s="442"/>
      <c r="K92" s="494"/>
      <c r="L92" s="495"/>
      <c r="M92" s="496"/>
      <c r="N92" s="497"/>
      <c r="O92" s="498"/>
      <c r="P92" s="499"/>
      <c r="Q92" s="500"/>
      <c r="R92" s="501"/>
      <c r="S92" s="501"/>
      <c r="T92" s="502"/>
      <c r="U92" s="570"/>
      <c r="V92" s="180"/>
    </row>
    <row r="93" spans="1:22" ht="26.25" hidden="1" customHeight="1" x14ac:dyDescent="0.25">
      <c r="A93" s="564" t="s">
        <v>1118</v>
      </c>
      <c r="B93" s="439" t="str">
        <f>VLOOKUP(A93,'Feature Raw Data'!$A$3:$B$4204,2,FALSE)</f>
        <v>GFXHUB:GCUTCL2 - Remove 2MB max page size limit</v>
      </c>
      <c r="C93" s="440" t="str">
        <f>VLOOKUP(A93,'Feature Raw Data'!$A$3:$C$4204,3,FALSE)</f>
        <v>P2</v>
      </c>
      <c r="D93" s="441" t="str" cm="1">
        <f t="array" ref="D93">_xlfn.TEXTJOIN("",TRUE,IF(ISNUMBER(SEARCH($A93,'Diags Raw Data'!$A$6:$A$3992)),CONCATENATE('Diags Raw Data'!$H$6:$H$3992,", "),""))</f>
        <v xml:space="preserve">utci10.1-8, </v>
      </c>
      <c r="E93" s="325" t="str">
        <f>VLOOKUP(A93,'Diags Raw Data'!$A$6:$D$3992,4,FALSE)</f>
        <v>GFXHUB</v>
      </c>
      <c r="F93" s="325" t="str">
        <f>VLOOKUP(A93,'Feature Raw Data'!$A$3:$E$4204,5,FALSE)</f>
        <v>Legacy</v>
      </c>
      <c r="G93" s="325" t="str">
        <f t="shared" si="64"/>
        <v>Yes</v>
      </c>
      <c r="H93" s="325" t="str">
        <f t="shared" si="65"/>
        <v>Yes</v>
      </c>
      <c r="I93" s="440">
        <f>SUMIF('Diags Raw Data'!$A$6:$A$3992,"*"&amp;$A93&amp;"*",'Diags Raw Data'!$K$6:$K$3992)</f>
        <v>0</v>
      </c>
      <c r="J93" s="442">
        <f>SUMIF('Diags Raw Data'!$A$6:$A$3992,"*"&amp;$A93&amp;"*",'Diags Raw Data'!$L$6:$L$3992)</f>
        <v>0</v>
      </c>
      <c r="K93" s="494" t="e" cm="1">
        <f t="array" ref="K93">IF(D93="",0, SUMPRODUCT(--(ISNUMBER(SEARCH($A93,'Diags Raw Data'!$A$6:$A$3992))),'Diags Raw Data'!$L$6:$L$3992,'Diags Raw Data'!$N$6:$N$3995)/J93)</f>
        <v>#VALUE!</v>
      </c>
      <c r="L93" s="495" t="e" cm="1">
        <f t="array" ref="L93">IF(D93="",0, SUMPRODUCT(--(ISNUMBER(SEARCH($A93,'Diags Raw Data'!$A$6:$A$3992))),'Diags Raw Data'!$L$6:$L$3992,'Diags Raw Data'!$P$6:$P$3992)/J93)</f>
        <v>#DIV/0!</v>
      </c>
      <c r="M93" s="496" cm="1">
        <f t="array" ref="M93">SUMPRODUCT(--(ISNUMBER(SEARCH($A93,'Diags Raw Data'!$A$6:$A$3992))),--('Diags Raw Data'!$Q$6:$Q$3992&lt;&gt;"N/A"),'Diags Raw Data'!$R$6:$R$3992)</f>
        <v>0</v>
      </c>
      <c r="N93" s="497" cm="1">
        <f t="array" ref="N93">SUMPRODUCT(--(ISNUMBER(SEARCH($A93,'Diags Raw Data'!$A$6:$A$3992))),--('Diags Raw Data'!$Q$6:$Q$3992&lt;&gt;"N/A"),'Diags Raw Data'!$T$6:$T$3992)+SUMPRODUCT(--(ISNUMBER(SEARCH($A93,'Diags Raw Data'!$A$6:$A$3992))),--('Diags Raw Data'!$Q$6:$Q$3992&lt;&gt;"N/A"),'Diags Raw Data'!$U$6:$U$3992)</f>
        <v>0</v>
      </c>
      <c r="O93" s="498">
        <f t="shared" si="66"/>
        <v>0</v>
      </c>
      <c r="P93" s="499">
        <f>SUMIF('Diags Raw Data'!$A$6:$A$3992,"*"&amp;$A93&amp;"*",'Diags Raw Data'!$Z$6:$Z$3992)</f>
        <v>0</v>
      </c>
      <c r="Q93" s="500">
        <f>SUM(SUMIF('Diags Raw Data'!$A$6:$A$3992,"*"&amp;$A93&amp;"*",'Diags Raw Data'!$AA$6:$AA$3992),SUMIF('Diags Raw Data'!$A$6:$A$3992,"*"&amp;$A93&amp;"*",'Diags Raw Data'!$AB$6:$AB$3992))</f>
        <v>0</v>
      </c>
      <c r="R93" s="501">
        <f t="shared" si="67"/>
        <v>0</v>
      </c>
      <c r="S93" s="501">
        <f t="shared" si="68"/>
        <v>0</v>
      </c>
      <c r="T93" s="502">
        <f t="shared" si="69"/>
        <v>0</v>
      </c>
      <c r="U93" s="570" t="s">
        <v>1692</v>
      </c>
      <c r="V93" s="180"/>
    </row>
    <row r="94" spans="1:22" hidden="1" x14ac:dyDescent="0.25">
      <c r="A94" s="564"/>
      <c r="B94" s="439"/>
      <c r="C94" s="440"/>
      <c r="D94" s="441"/>
      <c r="E94" s="325"/>
      <c r="F94" s="325"/>
      <c r="G94" s="325"/>
      <c r="H94" s="325"/>
      <c r="I94" s="440"/>
      <c r="J94" s="442"/>
      <c r="K94" s="494"/>
      <c r="L94" s="495"/>
      <c r="M94" s="496"/>
      <c r="N94" s="497"/>
      <c r="O94" s="498"/>
      <c r="P94" s="499"/>
      <c r="Q94" s="500"/>
      <c r="R94" s="501"/>
      <c r="S94" s="501"/>
      <c r="T94" s="502"/>
      <c r="U94" s="570"/>
      <c r="V94" s="180"/>
    </row>
    <row r="95" spans="1:22" hidden="1" x14ac:dyDescent="0.25">
      <c r="A95" s="564"/>
      <c r="B95" s="439"/>
      <c r="C95" s="440"/>
      <c r="D95" s="441"/>
      <c r="E95" s="325"/>
      <c r="F95" s="325"/>
      <c r="G95" s="325"/>
      <c r="H95" s="325"/>
      <c r="I95" s="440"/>
      <c r="J95" s="442"/>
      <c r="K95" s="494"/>
      <c r="L95" s="495"/>
      <c r="M95" s="496"/>
      <c r="N95" s="497"/>
      <c r="O95" s="498"/>
      <c r="P95" s="499"/>
      <c r="Q95" s="500"/>
      <c r="R95" s="501"/>
      <c r="S95" s="501"/>
      <c r="T95" s="502"/>
      <c r="U95" s="570"/>
      <c r="V95" s="180"/>
    </row>
    <row r="96" spans="1:22" ht="105" x14ac:dyDescent="0.25">
      <c r="A96" s="564" t="s">
        <v>577</v>
      </c>
      <c r="B96" s="439" t="str">
        <f>VLOOKUP(A96,'Feature Raw Data'!$A$3:$B$4204,2,FALSE)</f>
        <v>GFXHUB:GCUTCL2:VML2 - Caches</v>
      </c>
      <c r="C96" s="440" t="str">
        <f>VLOOKUP(A96,'Feature Raw Data'!$A$3:$C$4204,3,FALSE)</f>
        <v>P1</v>
      </c>
      <c r="D96" s="441" t="str" cm="1">
        <f t="array" ref="D96">_xlfn.TEXTJOIN("",TRUE,IF(ISNUMBER(SEARCH($A96,'Diags Raw Data'!$A$6:$A$3992)),CONCATENATE('Diags Raw Data'!$H$6:$H$3992,", "),""))</f>
        <v xml:space="preserve">mhub202.1-15, mhub202.16, mhub202.17, mhub215.3-4, mhub231.6-9, mhub232.1, mhub232.10, mhub232.11, mhub232.12, mhub232.2, mhub232.3, mhub232.4, mhub232.5, mhub232.6, mhub232.7, mhub232.8, mhub232.9, mhub407.1, mhub407.6, </v>
      </c>
      <c r="E96" s="325" t="str">
        <f>VLOOKUP(A96,'Diags Raw Data'!$A$6:$D$3992,4,FALSE)</f>
        <v>GFXHUB</v>
      </c>
      <c r="F96" s="325" t="str">
        <f>VLOOKUP(A96,'Feature Raw Data'!$A$3:$E$4204,5,FALSE)</f>
        <v>Legacy</v>
      </c>
      <c r="G96" s="325" t="str">
        <f t="shared" si="64"/>
        <v>Yes</v>
      </c>
      <c r="H96" s="325" t="str">
        <f t="shared" si="65"/>
        <v>Yes</v>
      </c>
      <c r="I96" s="440">
        <f>SUMIF('Diags Raw Data'!$A$6:$A$3992,"*"&amp;$A96&amp;"*",'Diags Raw Data'!$K$6:$K$3992)</f>
        <v>24</v>
      </c>
      <c r="J96" s="442">
        <f>SUMIF('Diags Raw Data'!$A$6:$A$3992,"*"&amp;$A96&amp;"*",'Diags Raw Data'!$L$6:$L$3992)</f>
        <v>37</v>
      </c>
      <c r="K96" s="494" t="e" cm="1">
        <f t="array" ref="K96">IF(D96="",0, SUMPRODUCT(--(ISNUMBER(SEARCH($A96,'Diags Raw Data'!$A$6:$A$3992))),'Diags Raw Data'!$L$6:$L$3992,'Diags Raw Data'!$N$6:$N$3995)/J96)</f>
        <v>#VALUE!</v>
      </c>
      <c r="L96" s="495" cm="1">
        <f t="array" ref="L96">IF(D96="",0, SUMPRODUCT(--(ISNUMBER(SEARCH($A96,'Diags Raw Data'!$A$6:$A$3992))),'Diags Raw Data'!$L$6:$L$3992,'Diags Raw Data'!$P$6:$P$3992)/J96)</f>
        <v>1</v>
      </c>
      <c r="M96" s="496" cm="1">
        <f t="array" ref="M96">SUMPRODUCT(--(ISNUMBER(SEARCH($A96,'Diags Raw Data'!$A$6:$A$3992))),--('Diags Raw Data'!$Q$6:$Q$3992&lt;&gt;"N/A"),'Diags Raw Data'!$R$6:$R$3992)</f>
        <v>37</v>
      </c>
      <c r="N96" s="497" cm="1">
        <f t="array" ref="N96">SUMPRODUCT(--(ISNUMBER(SEARCH($A96,'Diags Raw Data'!$A$6:$A$3992))),--('Diags Raw Data'!$Q$6:$Q$3992&lt;&gt;"N/A"),'Diags Raw Data'!$T$6:$T$3992)+SUMPRODUCT(--(ISNUMBER(SEARCH($A96,'Diags Raw Data'!$A$6:$A$3992))),--('Diags Raw Data'!$Q$6:$Q$3992&lt;&gt;"N/A"),'Diags Raw Data'!$U$6:$U$3992)</f>
        <v>37</v>
      </c>
      <c r="O96" s="498">
        <f t="shared" si="66"/>
        <v>1</v>
      </c>
      <c r="P96" s="499">
        <f>SUMIF('Diags Raw Data'!$A$6:$A$3992,"*"&amp;$A96&amp;"*",'Diags Raw Data'!$Z$6:$Z$3992)</f>
        <v>37</v>
      </c>
      <c r="Q96" s="500">
        <f>SUM(SUMIF('Diags Raw Data'!$A$6:$A$3992,"*"&amp;$A96&amp;"*",'Diags Raw Data'!$AA$6:$AA$3992),SUMIF('Diags Raw Data'!$A$6:$A$3992,"*"&amp;$A96&amp;"*",'Diags Raw Data'!$AB$6:$AB$3992))</f>
        <v>23</v>
      </c>
      <c r="R96" s="501">
        <f t="shared" si="67"/>
        <v>1</v>
      </c>
      <c r="S96" s="501">
        <f t="shared" si="68"/>
        <v>0.6216216216216216</v>
      </c>
      <c r="T96" s="502">
        <f t="shared" si="69"/>
        <v>0.6216216216216216</v>
      </c>
      <c r="U96" s="570" t="s">
        <v>1692</v>
      </c>
      <c r="V96" s="180"/>
    </row>
    <row r="97" spans="1:24" ht="30" x14ac:dyDescent="0.25">
      <c r="A97" s="564" t="s">
        <v>1194</v>
      </c>
      <c r="B97" s="439" t="str">
        <f>VLOOKUP(A97,'Feature Raw Data'!$A$3:$B$4204,2,FALSE)</f>
        <v>GFXHUB:GCUTCL2:VML2 - GPUVM fault status register</v>
      </c>
      <c r="C97" s="440" t="str">
        <f>VLOOKUP(A97,'Feature Raw Data'!$A$3:$C$4204,3,FALSE)</f>
        <v>P1</v>
      </c>
      <c r="D97" s="441" t="str" cm="1">
        <f t="array" ref="D97">_xlfn.TEXTJOIN("",TRUE,IF(ISNUMBER(SEARCH($A97,'Diags Raw Data'!$A$6:$A$3992)),CONCATENATE('Diags Raw Data'!$H$6:$H$3992,", "),""))</f>
        <v xml:space="preserve">mhub287, </v>
      </c>
      <c r="E97" s="325" t="str">
        <f>VLOOKUP(A97,'Diags Raw Data'!$A$6:$D$3992,4,FALSE)</f>
        <v>GFXHUB</v>
      </c>
      <c r="F97" s="325" t="str">
        <f>VLOOKUP(A97,'Feature Raw Data'!$A$3:$E$4204,5,FALSE)</f>
        <v>Delta</v>
      </c>
      <c r="G97" s="325" t="str">
        <f t="shared" ref="G97" si="70">IF(D97="","No","Yes")</f>
        <v>Yes</v>
      </c>
      <c r="H97" s="325" t="str">
        <f t="shared" ref="H97" si="71">IF(D97="","No","Yes")</f>
        <v>Yes</v>
      </c>
      <c r="I97" s="440">
        <f>SUMIF('Diags Raw Data'!$A$6:$A$3992,"*"&amp;$A97&amp;"*",'Diags Raw Data'!$K$6:$K$3992)</f>
        <v>4</v>
      </c>
      <c r="J97" s="442">
        <f>SUMIF('Diags Raw Data'!$A$6:$A$3992,"*"&amp;$A97&amp;"*",'Diags Raw Data'!$L$6:$L$3992)</f>
        <v>1</v>
      </c>
      <c r="K97" s="494" t="e" cm="1">
        <f t="array" ref="K97">IF(D97="",0, SUMPRODUCT(--(ISNUMBER(SEARCH($A97,'Diags Raw Data'!$A$6:$A$3992))),'Diags Raw Data'!$L$6:$L$3992,'Diags Raw Data'!$N$6:$N$3995)/J97)</f>
        <v>#VALUE!</v>
      </c>
      <c r="L97" s="495" cm="1">
        <f t="array" ref="L97">IF(D97="",0, SUMPRODUCT(--(ISNUMBER(SEARCH($A97,'Diags Raw Data'!$A$6:$A$3992))),'Diags Raw Data'!$L$6:$L$3992,'Diags Raw Data'!$P$6:$P$3992)/J97)</f>
        <v>1</v>
      </c>
      <c r="M97" s="496" cm="1">
        <f t="array" ref="M97">SUMPRODUCT(--(ISNUMBER(SEARCH($A97,'Diags Raw Data'!$A$6:$A$3992))),--('Diags Raw Data'!$Q$6:$Q$3992&lt;&gt;"N/A"),'Diags Raw Data'!$R$6:$R$3992)</f>
        <v>1</v>
      </c>
      <c r="N97" s="497" cm="1">
        <f t="array" ref="N97">SUMPRODUCT(--(ISNUMBER(SEARCH($A97,'Diags Raw Data'!$A$6:$A$3992))),--('Diags Raw Data'!$Q$6:$Q$3992&lt;&gt;"N/A"),'Diags Raw Data'!$T$6:$T$3992)+SUMPRODUCT(--(ISNUMBER(SEARCH($A97,'Diags Raw Data'!$A$6:$A$3992))),--('Diags Raw Data'!$Q$6:$Q$3992&lt;&gt;"N/A"),'Diags Raw Data'!$U$6:$U$3992)</f>
        <v>1</v>
      </c>
      <c r="O97" s="498">
        <f t="shared" ref="O97" si="72">IF((M97=0),0,N97/M97)</f>
        <v>1</v>
      </c>
      <c r="P97" s="499">
        <f>SUMIF('Diags Raw Data'!$A$6:$A$3992,"*"&amp;$A97&amp;"*",'Diags Raw Data'!$Z$6:$Z$3992)</f>
        <v>1</v>
      </c>
      <c r="Q97" s="500">
        <f>SUM(SUMIF('Diags Raw Data'!$A$6:$A$3992,"*"&amp;$A97&amp;"*",'Diags Raw Data'!$AA$6:$AA$3992),SUMIF('Diags Raw Data'!$A$6:$A$3992,"*"&amp;$A97&amp;"*",'Diags Raw Data'!$AB$6:$AB$3992))</f>
        <v>1</v>
      </c>
      <c r="R97" s="501">
        <f t="shared" ref="R97" si="73">IF((J97=0),0,P97/J97)</f>
        <v>1</v>
      </c>
      <c r="S97" s="501">
        <f t="shared" ref="S97" si="74">IF((P97=0),0,Q97/P97)</f>
        <v>1</v>
      </c>
      <c r="T97" s="502">
        <f t="shared" ref="T97" si="75">R97*S97</f>
        <v>1</v>
      </c>
      <c r="U97" s="570" t="s">
        <v>1690</v>
      </c>
      <c r="V97" s="180"/>
    </row>
    <row r="98" spans="1:24" ht="25.5" customHeight="1" x14ac:dyDescent="0.25">
      <c r="A98" s="564" t="s">
        <v>1122</v>
      </c>
      <c r="B98" s="439" t="str">
        <f>VLOOKUP(A98,'Feature Raw Data'!$A$3:$B$4204,2,FALSE)</f>
        <v>GFXHUB:GCUTCL2:VML2 - Common PSP-only default page</v>
      </c>
      <c r="C98" s="440" t="str">
        <f>VLOOKUP(A98,'Feature Raw Data'!$A$3:$C$4204,3,FALSE)</f>
        <v>P2</v>
      </c>
      <c r="D98" s="441" t="str" cm="1">
        <f t="array" ref="D98">_xlfn.TEXTJOIN("",TRUE,IF(ISNUMBER(SEARCH($A98,'Diags Raw Data'!$A$6:$A$3992)),CONCATENATE('Diags Raw Data'!$H$6:$H$3992,", "),""))</f>
        <v xml:space="preserve">mhub291.1-4, mhub291.5,6, </v>
      </c>
      <c r="E98" s="325" t="str">
        <f>VLOOKUP(A98,'Diags Raw Data'!$A$6:$D$3992,4,FALSE)</f>
        <v>GFXHUB</v>
      </c>
      <c r="F98" s="325" t="str">
        <f>VLOOKUP(A98,'Feature Raw Data'!$A$3:$E$4204,5,FALSE)</f>
        <v>Legacy</v>
      </c>
      <c r="G98" s="325" t="str">
        <f t="shared" si="64"/>
        <v>Yes</v>
      </c>
      <c r="H98" s="325" t="str">
        <f t="shared" si="65"/>
        <v>Yes</v>
      </c>
      <c r="I98" s="440">
        <f>SUMIF('Diags Raw Data'!$A$6:$A$3992,"*"&amp;$A98&amp;"*",'Diags Raw Data'!$K$6:$K$3992)</f>
        <v>10</v>
      </c>
      <c r="J98" s="442">
        <f>SUMIF('Diags Raw Data'!$A$6:$A$3992,"*"&amp;$A98&amp;"*",'Diags Raw Data'!$L$6:$L$3992)</f>
        <v>6</v>
      </c>
      <c r="K98" s="494" t="e" cm="1">
        <f t="array" ref="K98">IF(D98="",0, SUMPRODUCT(--(ISNUMBER(SEARCH($A98,'Diags Raw Data'!$A$6:$A$3992))),'Diags Raw Data'!$L$6:$L$3992,'Diags Raw Data'!$N$6:$N$3995)/J98)</f>
        <v>#VALUE!</v>
      </c>
      <c r="L98" s="495" cm="1">
        <f t="array" ref="L98">IF(D98="",0, SUMPRODUCT(--(ISNUMBER(SEARCH($A98,'Diags Raw Data'!$A$6:$A$3992))),'Diags Raw Data'!$L$6:$L$3992,'Diags Raw Data'!$P$6:$P$3992)/J98)</f>
        <v>1</v>
      </c>
      <c r="M98" s="496" cm="1">
        <f t="array" ref="M98">SUMPRODUCT(--(ISNUMBER(SEARCH($A98,'Diags Raw Data'!$A$6:$A$3992))),--('Diags Raw Data'!$Q$6:$Q$3992&lt;&gt;"N/A"),'Diags Raw Data'!$R$6:$R$3992)</f>
        <v>6</v>
      </c>
      <c r="N98" s="497" cm="1">
        <f t="array" ref="N98">SUMPRODUCT(--(ISNUMBER(SEARCH($A98,'Diags Raw Data'!$A$6:$A$3992))),--('Diags Raw Data'!$Q$6:$Q$3992&lt;&gt;"N/A"),'Diags Raw Data'!$T$6:$T$3992)+SUMPRODUCT(--(ISNUMBER(SEARCH($A98,'Diags Raw Data'!$A$6:$A$3992))),--('Diags Raw Data'!$Q$6:$Q$3992&lt;&gt;"N/A"),'Diags Raw Data'!$U$6:$U$3992)</f>
        <v>6</v>
      </c>
      <c r="O98" s="498">
        <f t="shared" si="66"/>
        <v>1</v>
      </c>
      <c r="P98" s="499">
        <f>SUMIF('Diags Raw Data'!$A$6:$A$3992,"*"&amp;$A98&amp;"*",'Diags Raw Data'!$Z$6:$Z$3992)</f>
        <v>6</v>
      </c>
      <c r="Q98" s="500">
        <f>SUM(SUMIF('Diags Raw Data'!$A$6:$A$3992,"*"&amp;$A98&amp;"*",'Diags Raw Data'!$AA$6:$AA$3992),SUMIF('Diags Raw Data'!$A$6:$A$3992,"*"&amp;$A98&amp;"*",'Diags Raw Data'!$AB$6:$AB$3992))</f>
        <v>6</v>
      </c>
      <c r="R98" s="501">
        <f t="shared" si="67"/>
        <v>1</v>
      </c>
      <c r="S98" s="501">
        <f t="shared" si="68"/>
        <v>1</v>
      </c>
      <c r="T98" s="502">
        <f t="shared" si="69"/>
        <v>1</v>
      </c>
      <c r="U98" s="570" t="s">
        <v>1692</v>
      </c>
      <c r="V98" s="180"/>
    </row>
    <row r="99" spans="1:24" ht="45" x14ac:dyDescent="0.25">
      <c r="A99" s="564" t="s">
        <v>861</v>
      </c>
      <c r="B99" s="439" t="str">
        <f>VLOOKUP(A99,'Feature Raw Data'!$A$3:$B$4204,2,FALSE)</f>
        <v>GFXHUB:GCUTCL2:VML2 - GPUVA,VMID translation assist</v>
      </c>
      <c r="C99" s="440" t="str">
        <f>VLOOKUP(A99,'Feature Raw Data'!$A$3:$C$4204,3,FALSE)</f>
        <v>P2</v>
      </c>
      <c r="D99" s="441" t="str" cm="1">
        <f t="array" ref="D99">_xlfn.TEXTJOIN("",TRUE,IF(ISNUMBER(SEARCH($A99,'Diags Raw Data'!$A$6:$A$3992)),CONCATENATE('Diags Raw Data'!$H$6:$H$3992,", "),""))</f>
        <v xml:space="preserve">mhub260.1-32,61-64, mhub260.80, mhub260.81, mhub260.82, mhub260.83, mhub260.86, mhub260.87, </v>
      </c>
      <c r="E99" s="325" t="str">
        <f>VLOOKUP(A99,'Diags Raw Data'!$A$6:$D$3992,4,FALSE)</f>
        <v>GFXHUB</v>
      </c>
      <c r="F99" s="325" t="str">
        <f>VLOOKUP(A99,'Feature Raw Data'!$A$3:$E$4204,5,FALSE)</f>
        <v>Legacy</v>
      </c>
      <c r="G99" s="325" t="str">
        <f t="shared" si="64"/>
        <v>Yes</v>
      </c>
      <c r="H99" s="325" t="str">
        <f t="shared" si="65"/>
        <v>Yes</v>
      </c>
      <c r="I99" s="440">
        <f>SUMIF('Diags Raw Data'!$A$6:$A$3992,"*"&amp;$A99&amp;"*",'Diags Raw Data'!$K$6:$K$3992)</f>
        <v>7</v>
      </c>
      <c r="J99" s="442">
        <f>SUMIF('Diags Raw Data'!$A$6:$A$3992,"*"&amp;$A99&amp;"*",'Diags Raw Data'!$L$6:$L$3992)</f>
        <v>42</v>
      </c>
      <c r="K99" s="494" t="e" cm="1">
        <f t="array" ref="K99">IF(D99="",0, SUMPRODUCT(--(ISNUMBER(SEARCH($A99,'Diags Raw Data'!$A$6:$A$3992))),'Diags Raw Data'!$L$6:$L$3992,'Diags Raw Data'!$N$6:$N$3995)/J99)</f>
        <v>#VALUE!</v>
      </c>
      <c r="L99" s="495" cm="1">
        <f t="array" ref="L99">IF(D99="",0, SUMPRODUCT(--(ISNUMBER(SEARCH($A99,'Diags Raw Data'!$A$6:$A$3992))),'Diags Raw Data'!$L$6:$L$3992,'Diags Raw Data'!$P$6:$P$3992)/J99)</f>
        <v>1</v>
      </c>
      <c r="M99" s="496" cm="1">
        <f t="array" ref="M99">SUMPRODUCT(--(ISNUMBER(SEARCH($A99,'Diags Raw Data'!$A$6:$A$3992))),--('Diags Raw Data'!$Q$6:$Q$3992&lt;&gt;"N/A"),'Diags Raw Data'!$R$6:$R$3992)</f>
        <v>42</v>
      </c>
      <c r="N99" s="497" cm="1">
        <f t="array" ref="N99">SUMPRODUCT(--(ISNUMBER(SEARCH($A99,'Diags Raw Data'!$A$6:$A$3992))),--('Diags Raw Data'!$Q$6:$Q$3992&lt;&gt;"N/A"),'Diags Raw Data'!$T$6:$T$3992)+SUMPRODUCT(--(ISNUMBER(SEARCH($A99,'Diags Raw Data'!$A$6:$A$3992))),--('Diags Raw Data'!$Q$6:$Q$3992&lt;&gt;"N/A"),'Diags Raw Data'!$U$6:$U$3992)</f>
        <v>42</v>
      </c>
      <c r="O99" s="498">
        <f t="shared" si="66"/>
        <v>1</v>
      </c>
      <c r="P99" s="499">
        <f>SUMIF('Diags Raw Data'!$A$6:$A$3992,"*"&amp;$A99&amp;"*",'Diags Raw Data'!$Z$6:$Z$3992)</f>
        <v>42</v>
      </c>
      <c r="Q99" s="500">
        <f>SUM(SUMIF('Diags Raw Data'!$A$6:$A$3992,"*"&amp;$A99&amp;"*",'Diags Raw Data'!$AA$6:$AA$3992),SUMIF('Diags Raw Data'!$A$6:$A$3992,"*"&amp;$A99&amp;"*",'Diags Raw Data'!$AB$6:$AB$3992))</f>
        <v>42</v>
      </c>
      <c r="R99" s="501">
        <f t="shared" si="67"/>
        <v>1</v>
      </c>
      <c r="S99" s="501">
        <f t="shared" si="68"/>
        <v>1</v>
      </c>
      <c r="T99" s="502">
        <f t="shared" si="69"/>
        <v>1</v>
      </c>
      <c r="U99" s="570" t="s">
        <v>1692</v>
      </c>
      <c r="V99" s="180"/>
    </row>
    <row r="100" spans="1:24" hidden="1" x14ac:dyDescent="0.25">
      <c r="A100" s="564"/>
      <c r="B100" s="439"/>
      <c r="C100" s="440"/>
      <c r="D100" s="441"/>
      <c r="E100" s="325"/>
      <c r="F100" s="325"/>
      <c r="G100" s="325"/>
      <c r="H100" s="325"/>
      <c r="I100" s="440"/>
      <c r="J100" s="442"/>
      <c r="K100" s="494"/>
      <c r="L100" s="495"/>
      <c r="M100" s="496"/>
      <c r="N100" s="497"/>
      <c r="O100" s="498"/>
      <c r="P100" s="499"/>
      <c r="Q100" s="500"/>
      <c r="R100" s="501"/>
      <c r="S100" s="501"/>
      <c r="T100" s="502"/>
      <c r="U100" s="570"/>
      <c r="V100" s="180"/>
    </row>
    <row r="101" spans="1:24" hidden="1" x14ac:dyDescent="0.25">
      <c r="A101" s="564"/>
      <c r="B101" s="439"/>
      <c r="C101" s="440"/>
      <c r="D101" s="441"/>
      <c r="E101" s="325"/>
      <c r="F101" s="325"/>
      <c r="G101" s="325"/>
      <c r="H101" s="325"/>
      <c r="I101" s="440"/>
      <c r="J101" s="442"/>
      <c r="K101" s="494"/>
      <c r="L101" s="495"/>
      <c r="M101" s="496"/>
      <c r="N101" s="497"/>
      <c r="O101" s="498"/>
      <c r="P101" s="499"/>
      <c r="Q101" s="500"/>
      <c r="R101" s="501"/>
      <c r="S101" s="501"/>
      <c r="T101" s="502"/>
      <c r="U101" s="570"/>
      <c r="V101" s="180"/>
    </row>
    <row r="102" spans="1:24" ht="30" x14ac:dyDescent="0.25">
      <c r="A102" s="564" t="s">
        <v>744</v>
      </c>
      <c r="B102" s="439" t="str">
        <f>VLOOKUP(A102,'Feature Raw Data'!$A$3:$B$4204,2,FALSE)</f>
        <v>GFXHUB:GCUTCL2:VML2 - CAM/filter to avoid duplicate table-walk reads</v>
      </c>
      <c r="C102" s="440" t="str">
        <f>VLOOKUP(A102,'Feature Raw Data'!$A$3:$C$4204,3,FALSE)</f>
        <v>P2</v>
      </c>
      <c r="D102" s="441" t="str" cm="1">
        <f t="array" ref="D102">_xlfn.TEXTJOIN("",TRUE,IF(ISNUMBER(SEARCH($A102,'Diags Raw Data'!$A$6:$A$3992)),CONCATENATE('Diags Raw Data'!$H$6:$H$3992,", "),""))</f>
        <v xml:space="preserve">mhub340.1, mhub340.2, </v>
      </c>
      <c r="E102" s="325" t="str">
        <f>VLOOKUP(A102,'Diags Raw Data'!$A$6:$D$3992,4,FALSE)</f>
        <v>GFXHUB</v>
      </c>
      <c r="F102" s="325" t="str">
        <f>VLOOKUP(A102,'Feature Raw Data'!$A$3:$E$4204,5,FALSE)</f>
        <v>Legacy</v>
      </c>
      <c r="G102" s="325" t="str">
        <f t="shared" si="64"/>
        <v>Yes</v>
      </c>
      <c r="H102" s="325" t="str">
        <f t="shared" si="65"/>
        <v>Yes</v>
      </c>
      <c r="I102" s="440">
        <f>SUMIF('Diags Raw Data'!$A$6:$A$3992,"*"&amp;$A102&amp;"*",'Diags Raw Data'!$K$6:$K$3992)</f>
        <v>2</v>
      </c>
      <c r="J102" s="442">
        <f>SUMIF('Diags Raw Data'!$A$6:$A$3992,"*"&amp;$A102&amp;"*",'Diags Raw Data'!$L$6:$L$3992)</f>
        <v>2</v>
      </c>
      <c r="K102" s="494" t="e" cm="1">
        <f t="array" ref="K102">IF(D102="",0, SUMPRODUCT(--(ISNUMBER(SEARCH($A102,'Diags Raw Data'!$A$6:$A$3992))),'Diags Raw Data'!$L$6:$L$3992,'Diags Raw Data'!$N$6:$N$3995)/J102)</f>
        <v>#VALUE!</v>
      </c>
      <c r="L102" s="495" cm="1">
        <f t="array" ref="L102">IF(D102="",0, SUMPRODUCT(--(ISNUMBER(SEARCH($A102,'Diags Raw Data'!$A$6:$A$3992))),'Diags Raw Data'!$L$6:$L$3992,'Diags Raw Data'!$P$6:$P$3992)/J102)</f>
        <v>1</v>
      </c>
      <c r="M102" s="496" cm="1">
        <f t="array" ref="M102">SUMPRODUCT(--(ISNUMBER(SEARCH($A102,'Diags Raw Data'!$A$6:$A$3992))),--('Diags Raw Data'!$Q$6:$Q$3992&lt;&gt;"N/A"),'Diags Raw Data'!$R$6:$R$3992)</f>
        <v>2</v>
      </c>
      <c r="N102" s="497" cm="1">
        <f t="array" ref="N102">SUMPRODUCT(--(ISNUMBER(SEARCH($A102,'Diags Raw Data'!$A$6:$A$3992))),--('Diags Raw Data'!$Q$6:$Q$3992&lt;&gt;"N/A"),'Diags Raw Data'!$T$6:$T$3992)+SUMPRODUCT(--(ISNUMBER(SEARCH($A102,'Diags Raw Data'!$A$6:$A$3992))),--('Diags Raw Data'!$Q$6:$Q$3992&lt;&gt;"N/A"),'Diags Raw Data'!$U$6:$U$3992)</f>
        <v>2</v>
      </c>
      <c r="O102" s="498">
        <f t="shared" si="66"/>
        <v>1</v>
      </c>
      <c r="P102" s="499">
        <f>SUMIF('Diags Raw Data'!$A$6:$A$3992,"*"&amp;$A102&amp;"*",'Diags Raw Data'!$Z$6:$Z$3992)</f>
        <v>0</v>
      </c>
      <c r="Q102" s="500">
        <f>SUM(SUMIF('Diags Raw Data'!$A$6:$A$3992,"*"&amp;$A102&amp;"*",'Diags Raw Data'!$AA$6:$AA$3992),SUMIF('Diags Raw Data'!$A$6:$A$3992,"*"&amp;$A102&amp;"*",'Diags Raw Data'!$AB$6:$AB$3992))</f>
        <v>0</v>
      </c>
      <c r="R102" s="501">
        <f t="shared" si="67"/>
        <v>0</v>
      </c>
      <c r="S102" s="501">
        <f t="shared" si="68"/>
        <v>0</v>
      </c>
      <c r="T102" s="502">
        <f t="shared" si="69"/>
        <v>0</v>
      </c>
      <c r="U102" s="570" t="s">
        <v>1692</v>
      </c>
      <c r="V102" s="180"/>
    </row>
    <row r="103" spans="1:24" x14ac:dyDescent="0.25">
      <c r="A103" s="564" t="s">
        <v>753</v>
      </c>
      <c r="B103" s="439" t="str">
        <f>VLOOKUP(A103,'Feature Raw Data'!$A$3:$B$4204,2,FALSE)</f>
        <v>GFXHUB:GCUTCL2:VML2 - GPA Mode</v>
      </c>
      <c r="C103" s="440" t="str">
        <f>VLOOKUP(A103,'Feature Raw Data'!$A$3:$C$4204,3,FALSE)</f>
        <v>P2</v>
      </c>
      <c r="D103" s="441" t="str" cm="1">
        <f t="array" ref="D103">_xlfn.TEXTJOIN("",TRUE,IF(ISNUMBER(SEARCH($A103,'Diags Raw Data'!$A$6:$A$3992)),CONCATENATE('Diags Raw Data'!$H$6:$H$3992,", "),""))</f>
        <v xml:space="preserve">mhub344.1,2, mhub344.3, </v>
      </c>
      <c r="E103" s="325" t="str">
        <f>VLOOKUP(A103,'Diags Raw Data'!$A$6:$D$3992,4,FALSE)</f>
        <v>GFXHUB</v>
      </c>
      <c r="F103" s="325" t="str">
        <f>VLOOKUP(A103,'Feature Raw Data'!$A$3:$E$4204,5,FALSE)</f>
        <v>Legacy</v>
      </c>
      <c r="G103" s="325" t="str">
        <f t="shared" si="64"/>
        <v>Yes</v>
      </c>
      <c r="H103" s="325" t="str">
        <f t="shared" si="65"/>
        <v>Yes</v>
      </c>
      <c r="I103" s="440">
        <f>SUMIF('Diags Raw Data'!$A$6:$A$3992,"*"&amp;$A103&amp;"*",'Diags Raw Data'!$K$6:$K$3992)</f>
        <v>2</v>
      </c>
      <c r="J103" s="442">
        <f>SUMIF('Diags Raw Data'!$A$6:$A$3992,"*"&amp;$A103&amp;"*",'Diags Raw Data'!$L$6:$L$3992)</f>
        <v>3</v>
      </c>
      <c r="K103" s="494" t="e" cm="1">
        <f t="array" ref="K103">IF(D103="",0, SUMPRODUCT(--(ISNUMBER(SEARCH($A103,'Diags Raw Data'!$A$6:$A$3992))),'Diags Raw Data'!$L$6:$L$3992,'Diags Raw Data'!$N$6:$N$3995)/J103)</f>
        <v>#VALUE!</v>
      </c>
      <c r="L103" s="495" cm="1">
        <f t="array" ref="L103">IF(D103="",0, SUMPRODUCT(--(ISNUMBER(SEARCH($A103,'Diags Raw Data'!$A$6:$A$3992))),'Diags Raw Data'!$L$6:$L$3992,'Diags Raw Data'!$P$6:$P$3992)/J103)</f>
        <v>1</v>
      </c>
      <c r="M103" s="496" cm="1">
        <f t="array" ref="M103">SUMPRODUCT(--(ISNUMBER(SEARCH($A103,'Diags Raw Data'!$A$6:$A$3992))),--('Diags Raw Data'!$Q$6:$Q$3992&lt;&gt;"N/A"),'Diags Raw Data'!$R$6:$R$3992)</f>
        <v>3</v>
      </c>
      <c r="N103" s="497" cm="1">
        <f t="array" ref="N103">SUMPRODUCT(--(ISNUMBER(SEARCH($A103,'Diags Raw Data'!$A$6:$A$3992))),--('Diags Raw Data'!$Q$6:$Q$3992&lt;&gt;"N/A"),'Diags Raw Data'!$T$6:$T$3992)+SUMPRODUCT(--(ISNUMBER(SEARCH($A103,'Diags Raw Data'!$A$6:$A$3992))),--('Diags Raw Data'!$Q$6:$Q$3992&lt;&gt;"N/A"),'Diags Raw Data'!$U$6:$U$3992)</f>
        <v>3</v>
      </c>
      <c r="O103" s="498">
        <f t="shared" si="66"/>
        <v>1</v>
      </c>
      <c r="P103" s="499">
        <f>SUMIF('Diags Raw Data'!$A$6:$A$3992,"*"&amp;$A103&amp;"*",'Diags Raw Data'!$Z$6:$Z$3992)</f>
        <v>3</v>
      </c>
      <c r="Q103" s="500">
        <f>SUM(SUMIF('Diags Raw Data'!$A$6:$A$3992,"*"&amp;$A103&amp;"*",'Diags Raw Data'!$AA$6:$AA$3992),SUMIF('Diags Raw Data'!$A$6:$A$3992,"*"&amp;$A103&amp;"*",'Diags Raw Data'!$AB$6:$AB$3992))</f>
        <v>0</v>
      </c>
      <c r="R103" s="501">
        <f t="shared" si="67"/>
        <v>1</v>
      </c>
      <c r="S103" s="501">
        <f t="shared" si="68"/>
        <v>0</v>
      </c>
      <c r="T103" s="502">
        <f t="shared" si="69"/>
        <v>0</v>
      </c>
      <c r="U103" s="570" t="s">
        <v>1692</v>
      </c>
      <c r="V103" s="180"/>
    </row>
    <row r="104" spans="1:24" ht="30" x14ac:dyDescent="0.25">
      <c r="A104" s="564" t="s">
        <v>1521</v>
      </c>
      <c r="B104" s="439" t="str">
        <f>VLOOKUP(A104,'Feature Raw Data'!$A$3:$B$4204,2,FALSE)</f>
        <v>GFXHUB:GCUTCL2:VML2 - Range-based UTCL1 and VML1 invalidation</v>
      </c>
      <c r="C104" s="440" t="str">
        <f>VLOOKUP(A104,'Feature Raw Data'!$A$3:$C$4204,3,FALSE)</f>
        <v>P2</v>
      </c>
      <c r="D104" s="441" t="str" cm="1">
        <f t="array" ref="D104">_xlfn.TEXTJOIN("",TRUE,IF(ISNUMBER(SEARCH($A104,'Diags Raw Data'!$A$6:$A$3992)),CONCATENATE('Diags Raw Data'!$H$6:$H$3992,", "),""))</f>
        <v xml:space="preserve">mhub254.1,3,5-8, mhub255.1-2, </v>
      </c>
      <c r="E104" s="325" t="e">
        <f>VLOOKUP(A104,'Diags Raw Data'!$A$6:$D$3992,4,FALSE)</f>
        <v>#N/A</v>
      </c>
      <c r="F104" s="325" t="str">
        <f>VLOOKUP(A104,'Feature Raw Data'!$A$3:$E$4204,5,FALSE)</f>
        <v>Legacy</v>
      </c>
      <c r="G104" s="325" t="str">
        <f t="shared" si="64"/>
        <v>Yes</v>
      </c>
      <c r="H104" s="325" t="str">
        <f t="shared" si="65"/>
        <v>Yes</v>
      </c>
      <c r="I104" s="440">
        <f>SUMIF('Diags Raw Data'!$A$6:$A$3992,"*"&amp;$A104&amp;"*",'Diags Raw Data'!$K$6:$K$3992)</f>
        <v>3</v>
      </c>
      <c r="J104" s="442">
        <f>SUMIF('Diags Raw Data'!$A$6:$A$3992,"*"&amp;$A104&amp;"*",'Diags Raw Data'!$L$6:$L$3992)</f>
        <v>8</v>
      </c>
      <c r="K104" s="494" t="e" cm="1">
        <f t="array" ref="K104">IF(D104="",0, SUMPRODUCT(--(ISNUMBER(SEARCH($A104,'Diags Raw Data'!$A$6:$A$3992))),'Diags Raw Data'!$L$6:$L$3992,'Diags Raw Data'!$N$6:$N$3995)/J104)</f>
        <v>#VALUE!</v>
      </c>
      <c r="L104" s="495" cm="1">
        <f t="array" ref="L104">IF(D104="",0, SUMPRODUCT(--(ISNUMBER(SEARCH($A104,'Diags Raw Data'!$A$6:$A$3992))),'Diags Raw Data'!$L$6:$L$3992,'Diags Raw Data'!$P$6:$P$3992)/J104)</f>
        <v>1</v>
      </c>
      <c r="M104" s="496" cm="1">
        <f t="array" ref="M104">SUMPRODUCT(--(ISNUMBER(SEARCH($A104,'Diags Raw Data'!$A$6:$A$3992))),--('Diags Raw Data'!$Q$6:$Q$3992&lt;&gt;"N/A"),'Diags Raw Data'!$R$6:$R$3992)</f>
        <v>8</v>
      </c>
      <c r="N104" s="497" cm="1">
        <f t="array" ref="N104">SUMPRODUCT(--(ISNUMBER(SEARCH($A104,'Diags Raw Data'!$A$6:$A$3992))),--('Diags Raw Data'!$Q$6:$Q$3992&lt;&gt;"N/A"),'Diags Raw Data'!$T$6:$T$3992)+SUMPRODUCT(--(ISNUMBER(SEARCH($A104,'Diags Raw Data'!$A$6:$A$3992))),--('Diags Raw Data'!$Q$6:$Q$3992&lt;&gt;"N/A"),'Diags Raw Data'!$U$6:$U$3992)</f>
        <v>8</v>
      </c>
      <c r="O104" s="498">
        <f t="shared" si="66"/>
        <v>1</v>
      </c>
      <c r="P104" s="499">
        <f>SUMIF('Diags Raw Data'!$A$6:$A$3992,"*"&amp;$A104&amp;"*",'Diags Raw Data'!$Z$6:$Z$3992)</f>
        <v>8</v>
      </c>
      <c r="Q104" s="500">
        <f>SUM(SUMIF('Diags Raw Data'!$A$6:$A$3992,"*"&amp;$A104&amp;"*",'Diags Raw Data'!$AA$6:$AA$3992),SUMIF('Diags Raw Data'!$A$6:$A$3992,"*"&amp;$A104&amp;"*",'Diags Raw Data'!$AB$6:$AB$3992))</f>
        <v>6</v>
      </c>
      <c r="R104" s="501">
        <f t="shared" si="67"/>
        <v>1</v>
      </c>
      <c r="S104" s="501">
        <f t="shared" si="68"/>
        <v>0.75</v>
      </c>
      <c r="T104" s="502">
        <f t="shared" si="69"/>
        <v>0.75</v>
      </c>
      <c r="U104" s="570" t="s">
        <v>1692</v>
      </c>
      <c r="V104" s="180"/>
    </row>
    <row r="105" spans="1:24" ht="45" hidden="1" x14ac:dyDescent="0.25">
      <c r="A105" s="564" t="s">
        <v>1153</v>
      </c>
      <c r="B105" s="439" t="str">
        <f>VLOOKUP(A105,'Feature Raw Data'!$A$3:$B$4204,2,FALSE)</f>
        <v>GFXHUB:GCUTCL2:VML2 - TLBi Support - Invalidation rates of  1TB VA, 32M invalidates/sec</v>
      </c>
      <c r="C105" s="440" t="str">
        <f>VLOOKUP(A105,'Feature Raw Data'!$A$3:$C$4204,3,FALSE)</f>
        <v>P2</v>
      </c>
      <c r="D105" s="441" t="str" cm="1">
        <f t="array" ref="D105">_xlfn.TEXTJOIN("",TRUE,IF(ISNUMBER(SEARCH($A105,'Diags Raw Data'!$A$6:$A$3992)),CONCATENATE('Diags Raw Data'!$H$6:$H$3992,", "),""))</f>
        <v xml:space="preserve">sdma86.1-14,87.1,91.1, utci2.1, </v>
      </c>
      <c r="E105" s="325" t="str">
        <f>VLOOKUP(A105,'Diags Raw Data'!$A$6:$D$3992,4,FALSE)</f>
        <v>GFXHUB</v>
      </c>
      <c r="F105" s="325" t="str">
        <f>VLOOKUP(A105,'Feature Raw Data'!$A$3:$E$4204,5,FALSE)</f>
        <v>Legacy</v>
      </c>
      <c r="G105" s="325" t="str">
        <f t="shared" ref="G105" si="76">IF(D105="","No","Yes")</f>
        <v>Yes</v>
      </c>
      <c r="H105" s="325" t="str">
        <f t="shared" ref="H105" si="77">IF(D105="","No","Yes")</f>
        <v>Yes</v>
      </c>
      <c r="I105" s="440">
        <f>SUMIF('Diags Raw Data'!$A$6:$A$3992,"*"&amp;$A105&amp;"*",'Diags Raw Data'!$K$6:$K$3992)</f>
        <v>0</v>
      </c>
      <c r="J105" s="442">
        <f>SUMIF('Diags Raw Data'!$A$6:$A$3992,"*"&amp;$A105&amp;"*",'Diags Raw Data'!$L$6:$L$3992)</f>
        <v>0</v>
      </c>
      <c r="K105" s="494" t="e" cm="1">
        <f t="array" ref="K105">IF(D105="",0, SUMPRODUCT(--(ISNUMBER(SEARCH($A105,'Diags Raw Data'!$A$6:$A$3992))),'Diags Raw Data'!$L$6:$L$3992,'Diags Raw Data'!$N$6:$N$3995)/J105)</f>
        <v>#VALUE!</v>
      </c>
      <c r="L105" s="495" t="e" cm="1">
        <f t="array" ref="L105">IF(D105="",0, SUMPRODUCT(--(ISNUMBER(SEARCH($A105,'Diags Raw Data'!$A$6:$A$3992))),'Diags Raw Data'!$L$6:$L$3992,'Diags Raw Data'!$P$6:$P$3992)/J105)</f>
        <v>#DIV/0!</v>
      </c>
      <c r="M105" s="496" cm="1">
        <f t="array" ref="M105">SUMPRODUCT(--(ISNUMBER(SEARCH($A105,'Diags Raw Data'!$A$6:$A$3992))),--('Diags Raw Data'!$Q$6:$Q$3992&lt;&gt;"N/A"),'Diags Raw Data'!$R$6:$R$3992)</f>
        <v>0</v>
      </c>
      <c r="N105" s="497" cm="1">
        <f t="array" ref="N105">SUMPRODUCT(--(ISNUMBER(SEARCH($A105,'Diags Raw Data'!$A$6:$A$3992))),--('Diags Raw Data'!$Q$6:$Q$3992&lt;&gt;"N/A"),'Diags Raw Data'!$T$6:$T$3992)+SUMPRODUCT(--(ISNUMBER(SEARCH($A105,'Diags Raw Data'!$A$6:$A$3992))),--('Diags Raw Data'!$Q$6:$Q$3992&lt;&gt;"N/A"),'Diags Raw Data'!$U$6:$U$3992)</f>
        <v>0</v>
      </c>
      <c r="O105" s="498">
        <f t="shared" ref="O105" si="78">IF((M105=0),0,N105/M105)</f>
        <v>0</v>
      </c>
      <c r="P105" s="499">
        <f>SUMIF('Diags Raw Data'!$A$6:$A$3992,"*"&amp;$A105&amp;"*",'Diags Raw Data'!$Z$6:$Z$3992)</f>
        <v>0</v>
      </c>
      <c r="Q105" s="500">
        <f>SUM(SUMIF('Diags Raw Data'!$A$6:$A$3992,"*"&amp;$A105&amp;"*",'Diags Raw Data'!$AA$6:$AA$3992),SUMIF('Diags Raw Data'!$A$6:$A$3992,"*"&amp;$A105&amp;"*",'Diags Raw Data'!$AB$6:$AB$3992))</f>
        <v>0</v>
      </c>
      <c r="R105" s="501">
        <f t="shared" ref="R105" si="79">IF((J105=0),0,P105/J105)</f>
        <v>0</v>
      </c>
      <c r="S105" s="501">
        <f t="shared" ref="S105" si="80">IF((P105=0),0,Q105/P105)</f>
        <v>0</v>
      </c>
      <c r="T105" s="502">
        <f t="shared" ref="T105" si="81">R105*S105</f>
        <v>0</v>
      </c>
      <c r="U105" s="570" t="s">
        <v>1706</v>
      </c>
      <c r="V105" s="180"/>
    </row>
    <row r="106" spans="1:24" hidden="1" x14ac:dyDescent="0.25">
      <c r="A106" s="564"/>
      <c r="B106" s="439"/>
      <c r="C106" s="440"/>
      <c r="D106" s="441"/>
      <c r="E106" s="325"/>
      <c r="F106" s="325"/>
      <c r="G106" s="325"/>
      <c r="H106" s="325"/>
      <c r="I106" s="440"/>
      <c r="J106" s="442"/>
      <c r="K106" s="494"/>
      <c r="L106" s="495"/>
      <c r="M106" s="496"/>
      <c r="N106" s="497"/>
      <c r="O106" s="498"/>
      <c r="P106" s="499"/>
      <c r="Q106" s="500"/>
      <c r="R106" s="501"/>
      <c r="S106" s="501"/>
      <c r="T106" s="502"/>
      <c r="U106" s="570"/>
      <c r="V106" s="180"/>
    </row>
    <row r="107" spans="1:24" ht="30" hidden="1" x14ac:dyDescent="0.25">
      <c r="A107" s="564" t="s">
        <v>1526</v>
      </c>
      <c r="B107" s="439" t="str">
        <f>VLOOKUP(A107,'Feature Raw Data'!$A$3:$B$4204,2,FALSE)</f>
        <v>GFXHUB:GCUTCL2:VML2 - Full GCR Support</v>
      </c>
      <c r="C107" s="440" t="str">
        <f>VLOOKUP(A107,'Feature Raw Data'!$A$3:$C$4204,3,FALSE)</f>
        <v>P1</v>
      </c>
      <c r="D107" s="441" t="str" cm="1">
        <f t="array" ref="D107">_xlfn.TEXTJOIN("",TRUE,IF(ISNUMBER(SEARCH($A107,'Diags Raw Data'!$A$6:$A$3992)),CONCATENATE('Diags Raw Data'!$H$6:$H$3992,", "),""))</f>
        <v xml:space="preserve">utci7.1-6, </v>
      </c>
      <c r="E107" s="325" t="e">
        <f>VLOOKUP(A107,'Diags Raw Data'!$A$6:$D$3992,4,FALSE)</f>
        <v>#N/A</v>
      </c>
      <c r="F107" s="325" t="str">
        <f>VLOOKUP(A107,'Feature Raw Data'!$A$3:$E$4204,5,FALSE)</f>
        <v>Delta</v>
      </c>
      <c r="G107" s="325" t="str">
        <f t="shared" si="64"/>
        <v>Yes</v>
      </c>
      <c r="H107" s="325" t="str">
        <f t="shared" si="65"/>
        <v>Yes</v>
      </c>
      <c r="I107" s="440">
        <f>SUMIF('Diags Raw Data'!$A$6:$A$3992,"*"&amp;$A107&amp;"*",'Diags Raw Data'!$K$6:$K$3992)</f>
        <v>0</v>
      </c>
      <c r="J107" s="442">
        <f>SUMIF('Diags Raw Data'!$A$6:$A$3992,"*"&amp;$A107&amp;"*",'Diags Raw Data'!$L$6:$L$3992)</f>
        <v>0</v>
      </c>
      <c r="K107" s="494" t="e" cm="1">
        <f t="array" ref="K107">IF(D107="",0, SUMPRODUCT(--(ISNUMBER(SEARCH($A107,'Diags Raw Data'!$A$6:$A$3992))),'Diags Raw Data'!$L$6:$L$3992,'Diags Raw Data'!$N$6:$N$3995)/J107)</f>
        <v>#VALUE!</v>
      </c>
      <c r="L107" s="495" t="e" cm="1">
        <f t="array" ref="L107">IF(D107="",0, SUMPRODUCT(--(ISNUMBER(SEARCH($A107,'Diags Raw Data'!$A$6:$A$3992))),'Diags Raw Data'!$L$6:$L$3992,'Diags Raw Data'!$P$6:$P$3992)/J107)</f>
        <v>#DIV/0!</v>
      </c>
      <c r="M107" s="496" cm="1">
        <f t="array" ref="M107">SUMPRODUCT(--(ISNUMBER(SEARCH($A107,'Diags Raw Data'!$A$6:$A$3992))),--('Diags Raw Data'!$Q$6:$Q$3992&lt;&gt;"N/A"),'Diags Raw Data'!$R$6:$R$3992)</f>
        <v>0</v>
      </c>
      <c r="N107" s="497" cm="1">
        <f t="array" ref="N107">SUMPRODUCT(--(ISNUMBER(SEARCH($A107,'Diags Raw Data'!$A$6:$A$3992))),--('Diags Raw Data'!$Q$6:$Q$3992&lt;&gt;"N/A"),'Diags Raw Data'!$T$6:$T$3992)+SUMPRODUCT(--(ISNUMBER(SEARCH($A107,'Diags Raw Data'!$A$6:$A$3992))),--('Diags Raw Data'!$Q$6:$Q$3992&lt;&gt;"N/A"),'Diags Raw Data'!$U$6:$U$3992)</f>
        <v>0</v>
      </c>
      <c r="O107" s="498">
        <f t="shared" si="66"/>
        <v>0</v>
      </c>
      <c r="P107" s="499">
        <f>SUMIF('Diags Raw Data'!$A$6:$A$3992,"*"&amp;$A107&amp;"*",'Diags Raw Data'!$Z$6:$Z$3992)</f>
        <v>0</v>
      </c>
      <c r="Q107" s="500">
        <f>SUM(SUMIF('Diags Raw Data'!$A$6:$A$3992,"*"&amp;$A107&amp;"*",'Diags Raw Data'!$AA$6:$AA$3992),SUMIF('Diags Raw Data'!$A$6:$A$3992,"*"&amp;$A107&amp;"*",'Diags Raw Data'!$AB$6:$AB$3992))</f>
        <v>0</v>
      </c>
      <c r="R107" s="501">
        <f t="shared" si="67"/>
        <v>0</v>
      </c>
      <c r="S107" s="501">
        <f t="shared" si="68"/>
        <v>0</v>
      </c>
      <c r="T107" s="502">
        <f t="shared" si="69"/>
        <v>0</v>
      </c>
      <c r="U107" s="570" t="s">
        <v>1692</v>
      </c>
      <c r="V107" s="180"/>
      <c r="X107" s="181" t="s">
        <v>1707</v>
      </c>
    </row>
    <row r="108" spans="1:24" ht="75" hidden="1" x14ac:dyDescent="0.25">
      <c r="A108" s="564" t="s">
        <v>1528</v>
      </c>
      <c r="B108" s="439" t="str">
        <f>VLOOKUP(A108,'Feature Raw Data'!$A$3:$B$4204,2,FALSE)</f>
        <v>GFXHUB:GCUTCL2:VML2 - Return invalid V=0 PA to GCR w/o generating an intr - UTC L2 typically fires an interrupt on a page fault (V=0) but, for GCR translation requests, that’s not case. V=0 is a legal setting.</v>
      </c>
      <c r="C108" s="440" t="str">
        <f>VLOOKUP(A108,'Feature Raw Data'!$A$3:$C$4204,3,FALSE)</f>
        <v>P2</v>
      </c>
      <c r="D108" s="441" t="str" cm="1">
        <f t="array" ref="D108">_xlfn.TEXTJOIN("",TRUE,IF(ISNUMBER(SEARCH($A108,'Diags Raw Data'!$A$6:$A$3992)),CONCATENATE('Diags Raw Data'!$H$6:$H$3992,", "),""))</f>
        <v xml:space="preserve">utci7.1-6, </v>
      </c>
      <c r="E108" s="325" t="e">
        <f>VLOOKUP(A108,'Diags Raw Data'!$A$6:$D$3992,4,FALSE)</f>
        <v>#N/A</v>
      </c>
      <c r="F108" s="325" t="str">
        <f>VLOOKUP(A108,'Feature Raw Data'!$A$3:$E$4204,5,FALSE)</f>
        <v>Legacy</v>
      </c>
      <c r="G108" s="325" t="str">
        <f t="shared" si="64"/>
        <v>Yes</v>
      </c>
      <c r="H108" s="325" t="str">
        <f t="shared" si="65"/>
        <v>Yes</v>
      </c>
      <c r="I108" s="440">
        <f>SUMIF('Diags Raw Data'!$A$6:$A$3992,"*"&amp;$A108&amp;"*",'Diags Raw Data'!$K$6:$K$3992)</f>
        <v>0</v>
      </c>
      <c r="J108" s="442">
        <f>SUMIF('Diags Raw Data'!$A$6:$A$3992,"*"&amp;$A108&amp;"*",'Diags Raw Data'!$L$6:$L$3992)</f>
        <v>0</v>
      </c>
      <c r="K108" s="494" t="e" cm="1">
        <f t="array" ref="K108">IF(D108="",0, SUMPRODUCT(--(ISNUMBER(SEARCH($A108,'Diags Raw Data'!$A$6:$A$3992))),'Diags Raw Data'!$L$6:$L$3992,'Diags Raw Data'!$N$6:$N$3995)/J108)</f>
        <v>#VALUE!</v>
      </c>
      <c r="L108" s="495" t="e" cm="1">
        <f t="array" ref="L108">IF(D108="",0, SUMPRODUCT(--(ISNUMBER(SEARCH($A108,'Diags Raw Data'!$A$6:$A$3992))),'Diags Raw Data'!$L$6:$L$3992,'Diags Raw Data'!$P$6:$P$3992)/J108)</f>
        <v>#DIV/0!</v>
      </c>
      <c r="M108" s="496" cm="1">
        <f t="array" ref="M108">SUMPRODUCT(--(ISNUMBER(SEARCH($A108,'Diags Raw Data'!$A$6:$A$3992))),--('Diags Raw Data'!$Q$6:$Q$3992&lt;&gt;"N/A"),'Diags Raw Data'!$R$6:$R$3992)</f>
        <v>0</v>
      </c>
      <c r="N108" s="497" cm="1">
        <f t="array" ref="N108">SUMPRODUCT(--(ISNUMBER(SEARCH($A108,'Diags Raw Data'!$A$6:$A$3992))),--('Diags Raw Data'!$Q$6:$Q$3992&lt;&gt;"N/A"),'Diags Raw Data'!$T$6:$T$3992)+SUMPRODUCT(--(ISNUMBER(SEARCH($A108,'Diags Raw Data'!$A$6:$A$3992))),--('Diags Raw Data'!$Q$6:$Q$3992&lt;&gt;"N/A"),'Diags Raw Data'!$U$6:$U$3992)</f>
        <v>0</v>
      </c>
      <c r="O108" s="498">
        <f t="shared" si="66"/>
        <v>0</v>
      </c>
      <c r="P108" s="499">
        <f>SUMIF('Diags Raw Data'!$A$6:$A$3992,"*"&amp;$A108&amp;"*",'Diags Raw Data'!$Z$6:$Z$3992)</f>
        <v>0</v>
      </c>
      <c r="Q108" s="500">
        <f>SUM(SUMIF('Diags Raw Data'!$A$6:$A$3992,"*"&amp;$A108&amp;"*",'Diags Raw Data'!$AA$6:$AA$3992),SUMIF('Diags Raw Data'!$A$6:$A$3992,"*"&amp;$A108&amp;"*",'Diags Raw Data'!$AB$6:$AB$3992))</f>
        <v>0</v>
      </c>
      <c r="R108" s="501">
        <f t="shared" si="67"/>
        <v>0</v>
      </c>
      <c r="S108" s="501">
        <f t="shared" si="68"/>
        <v>0</v>
      </c>
      <c r="T108" s="502">
        <f t="shared" si="69"/>
        <v>0</v>
      </c>
      <c r="U108" s="570" t="s">
        <v>1692</v>
      </c>
      <c r="V108" s="180"/>
      <c r="X108" s="181" t="s">
        <v>1707</v>
      </c>
    </row>
    <row r="109" spans="1:24" ht="44.25" customHeight="1" x14ac:dyDescent="0.25">
      <c r="A109" s="564" t="s">
        <v>760</v>
      </c>
      <c r="B109" s="439" t="str">
        <f>VLOOKUP(A109,'Feature Raw Data'!$A$3:$B$4204,2,FALSE)</f>
        <v>GFXHUB:GCUTCL2:VML2 - Register bits that enable software to control hit/miss behaviour on invalid ptes in cache</v>
      </c>
      <c r="C109" s="440" t="str">
        <f>VLOOKUP(A109,'Feature Raw Data'!$A$3:$C$4204,3,FALSE)</f>
        <v>P2</v>
      </c>
      <c r="D109" s="441" t="str" cm="1">
        <f t="array" ref="D109">_xlfn.TEXTJOIN("",TRUE,IF(ISNUMBER(SEARCH($A109,'Diags Raw Data'!$A$6:$A$3992)),CONCATENATE('Diags Raw Data'!$H$6:$H$3992,", "),""))</f>
        <v xml:space="preserve">mhub345.1-2, </v>
      </c>
      <c r="E109" s="325" t="str">
        <f>VLOOKUP(A109,'Diags Raw Data'!$A$6:$D$3992,4,FALSE)</f>
        <v>GFXHUB</v>
      </c>
      <c r="F109" s="325" t="str">
        <f>VLOOKUP(A109,'Feature Raw Data'!$A$3:$E$4204,5,FALSE)</f>
        <v>Legacy</v>
      </c>
      <c r="G109" s="325" t="str">
        <f t="shared" si="64"/>
        <v>Yes</v>
      </c>
      <c r="H109" s="325" t="str">
        <f t="shared" si="65"/>
        <v>Yes</v>
      </c>
      <c r="I109" s="440">
        <f>SUMIF('Diags Raw Data'!$A$6:$A$3992,"*"&amp;$A109&amp;"*",'Diags Raw Data'!$K$6:$K$3992)</f>
        <v>1</v>
      </c>
      <c r="J109" s="442">
        <f>SUMIF('Diags Raw Data'!$A$6:$A$3992,"*"&amp;$A109&amp;"*",'Diags Raw Data'!$L$6:$L$3992)</f>
        <v>2</v>
      </c>
      <c r="K109" s="494" t="e" cm="1">
        <f t="array" ref="K109">IF(D109="",0, SUMPRODUCT(--(ISNUMBER(SEARCH($A109,'Diags Raw Data'!$A$6:$A$3992))),'Diags Raw Data'!$L$6:$L$3992,'Diags Raw Data'!$N$6:$N$3995)/J109)</f>
        <v>#VALUE!</v>
      </c>
      <c r="L109" s="495" cm="1">
        <f t="array" ref="L109">IF(D109="",0, SUMPRODUCT(--(ISNUMBER(SEARCH($A109,'Diags Raw Data'!$A$6:$A$3992))),'Diags Raw Data'!$L$6:$L$3992,'Diags Raw Data'!$P$6:$P$3992)/J109)</f>
        <v>1</v>
      </c>
      <c r="M109" s="496" cm="1">
        <f t="array" ref="M109">SUMPRODUCT(--(ISNUMBER(SEARCH($A109,'Diags Raw Data'!$A$6:$A$3992))),--('Diags Raw Data'!$Q$6:$Q$3992&lt;&gt;"N/A"),'Diags Raw Data'!$R$6:$R$3992)</f>
        <v>2</v>
      </c>
      <c r="N109" s="497" cm="1">
        <f t="array" ref="N109">SUMPRODUCT(--(ISNUMBER(SEARCH($A109,'Diags Raw Data'!$A$6:$A$3992))),--('Diags Raw Data'!$Q$6:$Q$3992&lt;&gt;"N/A"),'Diags Raw Data'!$T$6:$T$3992)+SUMPRODUCT(--(ISNUMBER(SEARCH($A109,'Diags Raw Data'!$A$6:$A$3992))),--('Diags Raw Data'!$Q$6:$Q$3992&lt;&gt;"N/A"),'Diags Raw Data'!$U$6:$U$3992)</f>
        <v>2</v>
      </c>
      <c r="O109" s="498">
        <f t="shared" si="66"/>
        <v>1</v>
      </c>
      <c r="P109" s="499">
        <f>SUMIF('Diags Raw Data'!$A$6:$A$3992,"*"&amp;$A109&amp;"*",'Diags Raw Data'!$Z$6:$Z$3992)</f>
        <v>2</v>
      </c>
      <c r="Q109" s="500">
        <f>SUM(SUMIF('Diags Raw Data'!$A$6:$A$3992,"*"&amp;$A109&amp;"*",'Diags Raw Data'!$AA$6:$AA$3992),SUMIF('Diags Raw Data'!$A$6:$A$3992,"*"&amp;$A109&amp;"*",'Diags Raw Data'!$AB$6:$AB$3992))</f>
        <v>1</v>
      </c>
      <c r="R109" s="501">
        <f t="shared" si="67"/>
        <v>1</v>
      </c>
      <c r="S109" s="501">
        <f t="shared" si="68"/>
        <v>0.5</v>
      </c>
      <c r="T109" s="502">
        <f t="shared" si="69"/>
        <v>0.5</v>
      </c>
      <c r="U109" s="570" t="s">
        <v>1690</v>
      </c>
      <c r="V109" s="180"/>
    </row>
    <row r="110" spans="1:24" ht="42.75" customHeight="1" x14ac:dyDescent="0.25">
      <c r="A110" s="564" t="s">
        <v>764</v>
      </c>
      <c r="B110" s="439" t="str">
        <f>VLOOKUP(A110,'Feature Raw Data'!$A$3:$B$4204,2,FALSE)</f>
        <v>GFXHUB:GCUTCL2:VML2 - Register bits that enable software to control hit/miss behaviour on permission mismatch in cache</v>
      </c>
      <c r="C110" s="440" t="str">
        <f>VLOOKUP(A110,'Feature Raw Data'!$A$3:$C$4204,3,FALSE)</f>
        <v>P2</v>
      </c>
      <c r="D110" s="441" t="str" cm="1">
        <f t="array" ref="D110">_xlfn.TEXTJOIN("",TRUE,IF(ISNUMBER(SEARCH($A110,'Diags Raw Data'!$A$6:$A$3992)),CONCATENATE('Diags Raw Data'!$H$6:$H$3992,", "),""))</f>
        <v xml:space="preserve">mhub346.1-2, </v>
      </c>
      <c r="E110" s="325" t="str">
        <f>VLOOKUP(A110,'Diags Raw Data'!$A$6:$D$3992,4,FALSE)</f>
        <v>GFXHUB</v>
      </c>
      <c r="F110" s="325" t="str">
        <f>VLOOKUP(A110,'Feature Raw Data'!$A$3:$E$4204,5,FALSE)</f>
        <v>Legacy</v>
      </c>
      <c r="G110" s="325" t="str">
        <f t="shared" si="64"/>
        <v>Yes</v>
      </c>
      <c r="H110" s="325" t="str">
        <f t="shared" si="65"/>
        <v>Yes</v>
      </c>
      <c r="I110" s="440">
        <f>SUMIF('Diags Raw Data'!$A$6:$A$3992,"*"&amp;$A110&amp;"*",'Diags Raw Data'!$K$6:$K$3992)</f>
        <v>1</v>
      </c>
      <c r="J110" s="442">
        <f>SUMIF('Diags Raw Data'!$A$6:$A$3992,"*"&amp;$A110&amp;"*",'Diags Raw Data'!$L$6:$L$3992)</f>
        <v>2</v>
      </c>
      <c r="K110" s="494" t="e" cm="1">
        <f t="array" ref="K110">IF(D110="",0, SUMPRODUCT(--(ISNUMBER(SEARCH($A110,'Diags Raw Data'!$A$6:$A$3992))),'Diags Raw Data'!$L$6:$L$3992,'Diags Raw Data'!$N$6:$N$3995)/J110)</f>
        <v>#VALUE!</v>
      </c>
      <c r="L110" s="495" cm="1">
        <f t="array" ref="L110">IF(D110="",0, SUMPRODUCT(--(ISNUMBER(SEARCH($A110,'Diags Raw Data'!$A$6:$A$3992))),'Diags Raw Data'!$L$6:$L$3992,'Diags Raw Data'!$P$6:$P$3992)/J110)</f>
        <v>1</v>
      </c>
      <c r="M110" s="496" cm="1">
        <f t="array" ref="M110">SUMPRODUCT(--(ISNUMBER(SEARCH($A110,'Diags Raw Data'!$A$6:$A$3992))),--('Diags Raw Data'!$Q$6:$Q$3992&lt;&gt;"N/A"),'Diags Raw Data'!$R$6:$R$3992)</f>
        <v>2</v>
      </c>
      <c r="N110" s="497" cm="1">
        <f t="array" ref="N110">SUMPRODUCT(--(ISNUMBER(SEARCH($A110,'Diags Raw Data'!$A$6:$A$3992))),--('Diags Raw Data'!$Q$6:$Q$3992&lt;&gt;"N/A"),'Diags Raw Data'!$T$6:$T$3992)+SUMPRODUCT(--(ISNUMBER(SEARCH($A110,'Diags Raw Data'!$A$6:$A$3992))),--('Diags Raw Data'!$Q$6:$Q$3992&lt;&gt;"N/A"),'Diags Raw Data'!$U$6:$U$3992)</f>
        <v>2</v>
      </c>
      <c r="O110" s="498">
        <f t="shared" si="66"/>
        <v>1</v>
      </c>
      <c r="P110" s="499">
        <f>SUMIF('Diags Raw Data'!$A$6:$A$3992,"*"&amp;$A110&amp;"*",'Diags Raw Data'!$Z$6:$Z$3992)</f>
        <v>2</v>
      </c>
      <c r="Q110" s="500">
        <f>SUM(SUMIF('Diags Raw Data'!$A$6:$A$3992,"*"&amp;$A110&amp;"*",'Diags Raw Data'!$AA$6:$AA$3992),SUMIF('Diags Raw Data'!$A$6:$A$3992,"*"&amp;$A110&amp;"*",'Diags Raw Data'!$AB$6:$AB$3992))</f>
        <v>2</v>
      </c>
      <c r="R110" s="501">
        <f t="shared" si="67"/>
        <v>1</v>
      </c>
      <c r="S110" s="501">
        <f t="shared" si="68"/>
        <v>1</v>
      </c>
      <c r="T110" s="502">
        <f t="shared" si="69"/>
        <v>1</v>
      </c>
      <c r="U110" s="570" t="s">
        <v>1690</v>
      </c>
      <c r="V110" s="180"/>
    </row>
    <row r="111" spans="1:24" ht="45" customHeight="1" x14ac:dyDescent="0.25">
      <c r="A111" s="564" t="s">
        <v>1530</v>
      </c>
      <c r="B111" s="439" t="str">
        <f>VLOOKUP(A111,'Feature Raw Data'!$A$3:$B$4204,2,FALSE)</f>
        <v>GFXHUB:GCUTCL2:VML2 - Register bits that enable software to control hit/miss behaviour on page migration(R=W=0) in cache</v>
      </c>
      <c r="C111" s="440" t="str">
        <f>VLOOKUP(A111,'Feature Raw Data'!$A$3:$C$4204,3,FALSE)</f>
        <v>P2</v>
      </c>
      <c r="D111" s="441" t="str" cm="1">
        <f t="array" ref="D111">_xlfn.TEXTJOIN("",TRUE,IF(ISNUMBER(SEARCH($A111,'Diags Raw Data'!$A$6:$A$3992)),CONCATENATE('Diags Raw Data'!$H$6:$H$3992,", "),""))</f>
        <v xml:space="preserve">mhub209.3, mhub209.4, mhub209.5, mhub209.6, </v>
      </c>
      <c r="E111" s="325" t="e">
        <f>VLOOKUP(A111,'Diags Raw Data'!$A$6:$D$3992,4,FALSE)</f>
        <v>#N/A</v>
      </c>
      <c r="F111" s="325" t="str">
        <f>VLOOKUP(A111,'Feature Raw Data'!$A$3:$E$4204,5,FALSE)</f>
        <v>Legacy</v>
      </c>
      <c r="G111" s="325" t="str">
        <f t="shared" si="64"/>
        <v>Yes</v>
      </c>
      <c r="H111" s="325" t="str">
        <f t="shared" si="65"/>
        <v>Yes</v>
      </c>
      <c r="I111" s="440">
        <f>SUMIF('Diags Raw Data'!$A$6:$A$3992,"*"&amp;$A111&amp;"*",'Diags Raw Data'!$K$6:$K$3992)</f>
        <v>4</v>
      </c>
      <c r="J111" s="442">
        <f>SUMIF('Diags Raw Data'!$A$6:$A$3992,"*"&amp;$A111&amp;"*",'Diags Raw Data'!$L$6:$L$3992)</f>
        <v>4</v>
      </c>
      <c r="K111" s="494" t="e" cm="1">
        <f t="array" ref="K111">IF(D111="",0, SUMPRODUCT(--(ISNUMBER(SEARCH($A111,'Diags Raw Data'!$A$6:$A$3992))),'Diags Raw Data'!$L$6:$L$3992,'Diags Raw Data'!$N$6:$N$3995)/J111)</f>
        <v>#VALUE!</v>
      </c>
      <c r="L111" s="495" cm="1">
        <f t="array" ref="L111">IF(D111="",0, SUMPRODUCT(--(ISNUMBER(SEARCH($A111,'Diags Raw Data'!$A$6:$A$3992))),'Diags Raw Data'!$L$6:$L$3992,'Diags Raw Data'!$P$6:$P$3992)/J111)</f>
        <v>1</v>
      </c>
      <c r="M111" s="496" cm="1">
        <f t="array" ref="M111">SUMPRODUCT(--(ISNUMBER(SEARCH($A111,'Diags Raw Data'!$A$6:$A$3992))),--('Diags Raw Data'!$Q$6:$Q$3992&lt;&gt;"N/A"),'Diags Raw Data'!$R$6:$R$3992)</f>
        <v>4</v>
      </c>
      <c r="N111" s="497" cm="1">
        <f t="array" ref="N111">SUMPRODUCT(--(ISNUMBER(SEARCH($A111,'Diags Raw Data'!$A$6:$A$3992))),--('Diags Raw Data'!$Q$6:$Q$3992&lt;&gt;"N/A"),'Diags Raw Data'!$T$6:$T$3992)+SUMPRODUCT(--(ISNUMBER(SEARCH($A111,'Diags Raw Data'!$A$6:$A$3992))),--('Diags Raw Data'!$Q$6:$Q$3992&lt;&gt;"N/A"),'Diags Raw Data'!$U$6:$U$3992)</f>
        <v>4</v>
      </c>
      <c r="O111" s="498">
        <f t="shared" si="66"/>
        <v>1</v>
      </c>
      <c r="P111" s="499">
        <f>SUMIF('Diags Raw Data'!$A$6:$A$3992,"*"&amp;$A111&amp;"*",'Diags Raw Data'!$Z$6:$Z$3992)</f>
        <v>4</v>
      </c>
      <c r="Q111" s="500">
        <f>SUM(SUMIF('Diags Raw Data'!$A$6:$A$3992,"*"&amp;$A111&amp;"*",'Diags Raw Data'!$AA$6:$AA$3992),SUMIF('Diags Raw Data'!$A$6:$A$3992,"*"&amp;$A111&amp;"*",'Diags Raw Data'!$AB$6:$AB$3992))</f>
        <v>0</v>
      </c>
      <c r="R111" s="501">
        <f t="shared" si="67"/>
        <v>1</v>
      </c>
      <c r="S111" s="501">
        <f t="shared" si="68"/>
        <v>0</v>
      </c>
      <c r="T111" s="502">
        <f t="shared" si="69"/>
        <v>0</v>
      </c>
      <c r="U111" s="570" t="s">
        <v>1690</v>
      </c>
      <c r="V111" s="180"/>
    </row>
    <row r="112" spans="1:24" ht="90" x14ac:dyDescent="0.25">
      <c r="A112" s="564" t="s">
        <v>1531</v>
      </c>
      <c r="B112" s="439" t="str">
        <f>VLOOKUP(A112,'Feature Raw Data'!$A$3:$B$4204,2,FALSE)</f>
        <v>GFXHUB:GCUTCL2:VML2 - Programmable “smallK” size</v>
      </c>
      <c r="C112" s="440" t="str">
        <f>VLOOKUP(A112,'Feature Raw Data'!$A$3:$C$4204,3,FALSE)</f>
        <v>P2</v>
      </c>
      <c r="D112" s="441" t="str" cm="1">
        <f t="array" ref="D112">_xlfn.TEXTJOIN("",TRUE,IF(ISNUMBER(SEARCH($A112,'Diags Raw Data'!$A$6:$A$3992)),CONCATENATE('Diags Raw Data'!$H$6:$H$3992,", "),""))</f>
        <v xml:space="preserve">mhub232.1, mhub232.10, mhub232.11, mhub232.12, mhub232.2, mhub232.3, mhub232.4, mhub232.5, mhub232.6, mhub232.7, mhub232.8, mhub232.9, mhub234.1, mhub234.2, mhub234.3, mhub234.4, </v>
      </c>
      <c r="E112" s="325" t="e">
        <f>VLOOKUP(A112,'Diags Raw Data'!$A$6:$D$3992,4,FALSE)</f>
        <v>#N/A</v>
      </c>
      <c r="F112" s="325" t="str">
        <f>VLOOKUP(A112,'Feature Raw Data'!$A$3:$E$4204,5,FALSE)</f>
        <v>Legacy</v>
      </c>
      <c r="G112" s="325" t="str">
        <f t="shared" si="64"/>
        <v>Yes</v>
      </c>
      <c r="H112" s="325" t="str">
        <f t="shared" si="65"/>
        <v>Yes</v>
      </c>
      <c r="I112" s="440">
        <f>SUMIF('Diags Raw Data'!$A$6:$A$3992,"*"&amp;$A112&amp;"*",'Diags Raw Data'!$K$6:$K$3992)</f>
        <v>16</v>
      </c>
      <c r="J112" s="442">
        <f>SUMIF('Diags Raw Data'!$A$6:$A$3992,"*"&amp;$A112&amp;"*",'Diags Raw Data'!$L$6:$L$3992)</f>
        <v>16</v>
      </c>
      <c r="K112" s="494" t="e" cm="1">
        <f t="array" ref="K112">IF(D112="",0, SUMPRODUCT(--(ISNUMBER(SEARCH($A112,'Diags Raw Data'!$A$6:$A$3992))),'Diags Raw Data'!$L$6:$L$3992,'Diags Raw Data'!$N$6:$N$3995)/J112)</f>
        <v>#VALUE!</v>
      </c>
      <c r="L112" s="495" cm="1">
        <f t="array" ref="L112">IF(D112="",0, SUMPRODUCT(--(ISNUMBER(SEARCH($A112,'Diags Raw Data'!$A$6:$A$3992))),'Diags Raw Data'!$L$6:$L$3992,'Diags Raw Data'!$P$6:$P$3992)/J112)</f>
        <v>1</v>
      </c>
      <c r="M112" s="496" cm="1">
        <f t="array" ref="M112">SUMPRODUCT(--(ISNUMBER(SEARCH($A112,'Diags Raw Data'!$A$6:$A$3992))),--('Diags Raw Data'!$Q$6:$Q$3992&lt;&gt;"N/A"),'Diags Raw Data'!$R$6:$R$3992)</f>
        <v>16</v>
      </c>
      <c r="N112" s="497" cm="1">
        <f t="array" ref="N112">SUMPRODUCT(--(ISNUMBER(SEARCH($A112,'Diags Raw Data'!$A$6:$A$3992))),--('Diags Raw Data'!$Q$6:$Q$3992&lt;&gt;"N/A"),'Diags Raw Data'!$T$6:$T$3992)+SUMPRODUCT(--(ISNUMBER(SEARCH($A112,'Diags Raw Data'!$A$6:$A$3992))),--('Diags Raw Data'!$Q$6:$Q$3992&lt;&gt;"N/A"),'Diags Raw Data'!$U$6:$U$3992)</f>
        <v>16</v>
      </c>
      <c r="O112" s="498">
        <f t="shared" si="66"/>
        <v>1</v>
      </c>
      <c r="P112" s="499">
        <f>SUMIF('Diags Raw Data'!$A$6:$A$3992,"*"&amp;$A112&amp;"*",'Diags Raw Data'!$Z$6:$Z$3992)</f>
        <v>16</v>
      </c>
      <c r="Q112" s="500">
        <f>SUM(SUMIF('Diags Raw Data'!$A$6:$A$3992,"*"&amp;$A112&amp;"*",'Diags Raw Data'!$AA$6:$AA$3992),SUMIF('Diags Raw Data'!$A$6:$A$3992,"*"&amp;$A112&amp;"*",'Diags Raw Data'!$AB$6:$AB$3992))</f>
        <v>0</v>
      </c>
      <c r="R112" s="501">
        <f t="shared" si="67"/>
        <v>1</v>
      </c>
      <c r="S112" s="501">
        <f t="shared" si="68"/>
        <v>0</v>
      </c>
      <c r="T112" s="502">
        <f t="shared" si="69"/>
        <v>0</v>
      </c>
      <c r="U112" s="570" t="s">
        <v>1692</v>
      </c>
      <c r="V112" s="180"/>
    </row>
    <row r="113" spans="1:24" hidden="1" x14ac:dyDescent="0.25">
      <c r="A113" s="564"/>
      <c r="B113" s="439"/>
      <c r="C113" s="440"/>
      <c r="D113" s="441"/>
      <c r="E113" s="325"/>
      <c r="F113" s="325"/>
      <c r="G113" s="325"/>
      <c r="H113" s="325"/>
      <c r="I113" s="440"/>
      <c r="J113" s="442"/>
      <c r="K113" s="494"/>
      <c r="L113" s="495"/>
      <c r="M113" s="496"/>
      <c r="N113" s="497"/>
      <c r="O113" s="498"/>
      <c r="P113" s="499"/>
      <c r="Q113" s="500"/>
      <c r="R113" s="501"/>
      <c r="S113" s="501"/>
      <c r="T113" s="502"/>
      <c r="U113" s="570"/>
      <c r="V113" s="180"/>
    </row>
    <row r="114" spans="1:24" ht="27" customHeight="1" x14ac:dyDescent="0.25">
      <c r="A114" s="316" t="s">
        <v>1010</v>
      </c>
      <c r="B114" s="439" t="str">
        <f>VLOOKUP(A114,'Feature Raw Data'!$A$3:$B$4204,2,FALSE)</f>
        <v>GFXHUB:GCUTCL2:VML2 - Trusted Memory Zone (TMZ) Secure Filtering</v>
      </c>
      <c r="C114" s="440" t="str">
        <f>VLOOKUP(A114,'Feature Raw Data'!$A$3:$C$4204,3,FALSE)</f>
        <v>P2</v>
      </c>
      <c r="D114" s="441" t="str" cm="1">
        <f t="array" ref="D114">_xlfn.TEXTJOIN("",TRUE,IF(ISNUMBER(SEARCH($A114,'Diags Raw Data'!$A$6:$A$3992)),CONCATENATE('Diags Raw Data'!$H$6:$H$3992,", "),""))</f>
        <v xml:space="preserve">mhub350.1-4,10,20,30-37, utci6.1-2, </v>
      </c>
      <c r="E114" s="325" t="str">
        <f>VLOOKUP(A114,'Diags Raw Data'!$A$6:$D$3992,4,FALSE)</f>
        <v>GFXHUB</v>
      </c>
      <c r="F114" s="325" t="str">
        <f>VLOOKUP(A114,'Feature Raw Data'!$A$3:$E$4204,5,FALSE)</f>
        <v>Legacy</v>
      </c>
      <c r="G114" s="325" t="str">
        <f t="shared" si="64"/>
        <v>Yes</v>
      </c>
      <c r="H114" s="325" t="str">
        <f t="shared" si="65"/>
        <v>Yes</v>
      </c>
      <c r="I114" s="440">
        <f>SUMIF('Diags Raw Data'!$A$6:$A$3992,"*"&amp;$A114&amp;"*",'Diags Raw Data'!$K$6:$K$3992)</f>
        <v>1</v>
      </c>
      <c r="J114" s="442">
        <f>SUMIF('Diags Raw Data'!$A$6:$A$3992,"*"&amp;$A114&amp;"*",'Diags Raw Data'!$L$6:$L$3992)</f>
        <v>14</v>
      </c>
      <c r="K114" s="494" t="e" cm="1">
        <f t="array" ref="K114">IF(D114="",0, SUMPRODUCT(--(ISNUMBER(SEARCH($A114,'Diags Raw Data'!$A$6:$A$3992))),'Diags Raw Data'!$L$6:$L$3992,'Diags Raw Data'!$N$6:$N$3995)/J114)</f>
        <v>#VALUE!</v>
      </c>
      <c r="L114" s="495" cm="1">
        <f t="array" ref="L114">IF(D114="",0, SUMPRODUCT(--(ISNUMBER(SEARCH($A114,'Diags Raw Data'!$A$6:$A$3992))),'Diags Raw Data'!$L$6:$L$3992,'Diags Raw Data'!$P$6:$P$3992)/J114)</f>
        <v>1</v>
      </c>
      <c r="M114" s="496" cm="1">
        <f t="array" ref="M114">SUMPRODUCT(--(ISNUMBER(SEARCH($A114,'Diags Raw Data'!$A$6:$A$3992))),--('Diags Raw Data'!$Q$6:$Q$3992&lt;&gt;"N/A"),'Diags Raw Data'!$R$6:$R$3992)</f>
        <v>14</v>
      </c>
      <c r="N114" s="497" cm="1">
        <f t="array" ref="N114">SUMPRODUCT(--(ISNUMBER(SEARCH($A114,'Diags Raw Data'!$A$6:$A$3992))),--('Diags Raw Data'!$Q$6:$Q$3992&lt;&gt;"N/A"),'Diags Raw Data'!$T$6:$T$3992)+SUMPRODUCT(--(ISNUMBER(SEARCH($A114,'Diags Raw Data'!$A$6:$A$3992))),--('Diags Raw Data'!$Q$6:$Q$3992&lt;&gt;"N/A"),'Diags Raw Data'!$U$6:$U$3992)</f>
        <v>14</v>
      </c>
      <c r="O114" s="498">
        <f t="shared" si="66"/>
        <v>1</v>
      </c>
      <c r="P114" s="499">
        <f>SUMIF('Diags Raw Data'!$A$6:$A$3992,"*"&amp;$A114&amp;"*",'Diags Raw Data'!$Z$6:$Z$3992)</f>
        <v>0</v>
      </c>
      <c r="Q114" s="500">
        <f>SUM(SUMIF('Diags Raw Data'!$A$6:$A$3992,"*"&amp;$A114&amp;"*",'Diags Raw Data'!$AA$6:$AA$3992),SUMIF('Diags Raw Data'!$A$6:$A$3992,"*"&amp;$A114&amp;"*",'Diags Raw Data'!$AB$6:$AB$3992))</f>
        <v>0</v>
      </c>
      <c r="R114" s="501">
        <f t="shared" si="67"/>
        <v>0</v>
      </c>
      <c r="S114" s="501">
        <f t="shared" si="68"/>
        <v>0</v>
      </c>
      <c r="T114" s="502">
        <f t="shared" si="69"/>
        <v>0</v>
      </c>
      <c r="U114" s="570" t="s">
        <v>1699</v>
      </c>
      <c r="V114" s="180"/>
      <c r="X114" s="181" t="s">
        <v>1708</v>
      </c>
    </row>
    <row r="115" spans="1:24" ht="30.75" customHeight="1" x14ac:dyDescent="0.25">
      <c r="A115" s="564" t="s">
        <v>1534</v>
      </c>
      <c r="B115" s="439" t="str">
        <f>VLOOKUP(A115,'Feature Raw Data'!$A$3:$B$4204,2,FALSE)</f>
        <v>GFXHUB:GCUTCL2:VML2 - Invalidate by Address Range and VMID aka "Sharpshooting"</v>
      </c>
      <c r="C115" s="440" t="str">
        <f>VLOOKUP(A115,'Feature Raw Data'!$A$3:$C$4204,3,FALSE)</f>
        <v>P2</v>
      </c>
      <c r="D115" s="441" t="str" cm="1">
        <f t="array" ref="D115">_xlfn.TEXTJOIN("",TRUE,IF(ISNUMBER(SEARCH($A115,'Diags Raw Data'!$A$6:$A$3992)),CONCATENATE('Diags Raw Data'!$H$6:$H$3992,", "),""))</f>
        <v xml:space="preserve">mhub252.1, mhub253.1, mhub254.1,3,5-8, mhub257.6, </v>
      </c>
      <c r="E115" s="325" t="e">
        <f>VLOOKUP(A115,'Diags Raw Data'!$A$6:$D$3992,4,FALSE)</f>
        <v>#N/A</v>
      </c>
      <c r="F115" s="325" t="str">
        <f>VLOOKUP(A115,'Feature Raw Data'!$A$3:$E$4204,5,FALSE)</f>
        <v>Legacy</v>
      </c>
      <c r="G115" s="325" t="str">
        <f t="shared" si="64"/>
        <v>Yes</v>
      </c>
      <c r="H115" s="325" t="str">
        <f t="shared" si="65"/>
        <v>Yes</v>
      </c>
      <c r="I115" s="440">
        <f>SUMIF('Diags Raw Data'!$A$6:$A$3992,"*"&amp;$A115&amp;"*",'Diags Raw Data'!$K$6:$K$3992)</f>
        <v>5</v>
      </c>
      <c r="J115" s="442">
        <f>SUMIF('Diags Raw Data'!$A$6:$A$3992,"*"&amp;$A115&amp;"*",'Diags Raw Data'!$L$6:$L$3992)</f>
        <v>9</v>
      </c>
      <c r="K115" s="494" t="e" cm="1">
        <f t="array" ref="K115">IF(D115="",0, SUMPRODUCT(--(ISNUMBER(SEARCH($A115,'Diags Raw Data'!$A$6:$A$3992))),'Diags Raw Data'!$L$6:$L$3992,'Diags Raw Data'!$N$6:$N$3995)/J115)</f>
        <v>#VALUE!</v>
      </c>
      <c r="L115" s="495" cm="1">
        <f t="array" ref="L115">IF(D115="",0, SUMPRODUCT(--(ISNUMBER(SEARCH($A115,'Diags Raw Data'!$A$6:$A$3992))),'Diags Raw Data'!$L$6:$L$3992,'Diags Raw Data'!$P$6:$P$3992)/J115)</f>
        <v>1</v>
      </c>
      <c r="M115" s="496" cm="1">
        <f t="array" ref="M115">SUMPRODUCT(--(ISNUMBER(SEARCH($A115,'Diags Raw Data'!$A$6:$A$3992))),--('Diags Raw Data'!$Q$6:$Q$3992&lt;&gt;"N/A"),'Diags Raw Data'!$R$6:$R$3992)</f>
        <v>9</v>
      </c>
      <c r="N115" s="497" cm="1">
        <f t="array" ref="N115">SUMPRODUCT(--(ISNUMBER(SEARCH($A115,'Diags Raw Data'!$A$6:$A$3992))),--('Diags Raw Data'!$Q$6:$Q$3992&lt;&gt;"N/A"),'Diags Raw Data'!$T$6:$T$3992)+SUMPRODUCT(--(ISNUMBER(SEARCH($A115,'Diags Raw Data'!$A$6:$A$3992))),--('Diags Raw Data'!$Q$6:$Q$3992&lt;&gt;"N/A"),'Diags Raw Data'!$U$6:$U$3992)</f>
        <v>9</v>
      </c>
      <c r="O115" s="498">
        <f t="shared" si="66"/>
        <v>1</v>
      </c>
      <c r="P115" s="499">
        <f>SUMIF('Diags Raw Data'!$A$6:$A$3992,"*"&amp;$A115&amp;"*",'Diags Raw Data'!$Z$6:$Z$3992)</f>
        <v>9</v>
      </c>
      <c r="Q115" s="500">
        <f>SUM(SUMIF('Diags Raw Data'!$A$6:$A$3992,"*"&amp;$A115&amp;"*",'Diags Raw Data'!$AA$6:$AA$3992),SUMIF('Diags Raw Data'!$A$6:$A$3992,"*"&amp;$A115&amp;"*",'Diags Raw Data'!$AB$6:$AB$3992))</f>
        <v>9</v>
      </c>
      <c r="R115" s="501">
        <f t="shared" si="67"/>
        <v>1</v>
      </c>
      <c r="S115" s="501">
        <f t="shared" si="68"/>
        <v>1</v>
      </c>
      <c r="T115" s="502">
        <f t="shared" si="69"/>
        <v>1</v>
      </c>
      <c r="U115" s="570" t="s">
        <v>1690</v>
      </c>
      <c r="V115" s="180"/>
    </row>
    <row r="116" spans="1:24" ht="45" x14ac:dyDescent="0.25">
      <c r="A116" s="564" t="s">
        <v>1535</v>
      </c>
      <c r="B116" s="439" t="str">
        <f>VLOOKUP(A116,'Feature Raw Data'!$A$3:$B$4204,2,FALSE)</f>
        <v>GFXHUB:GCUTCL2:VML2 - Lightweight/Heavyweight flush-type invalidation aka GPUVM –ATC like invalidations</v>
      </c>
      <c r="C116" s="440" t="str">
        <f>VLOOKUP(A116,'Feature Raw Data'!$A$3:$C$4204,3,FALSE)</f>
        <v>P1</v>
      </c>
      <c r="D116" s="441" t="str" cm="1">
        <f t="array" ref="D116">_xlfn.TEXTJOIN("",TRUE,IF(ISNUMBER(SEARCH($A116,'Diags Raw Data'!$A$6:$A$3992)),CONCATENATE('Diags Raw Data'!$H$6:$H$3992,", "),""))</f>
        <v xml:space="preserve">mhub252.1, mhub253.1, mhub254.1,3,5-8, mhub255.1-2, mhub257.6, </v>
      </c>
      <c r="E116" s="325" t="e">
        <f>VLOOKUP(A116,'Diags Raw Data'!$A$6:$D$3992,4,FALSE)</f>
        <v>#N/A</v>
      </c>
      <c r="F116" s="325" t="str">
        <f>VLOOKUP(A116,'Feature Raw Data'!$A$3:$E$4204,5,FALSE)</f>
        <v>Legacy</v>
      </c>
      <c r="G116" s="325" t="str">
        <f t="shared" si="64"/>
        <v>Yes</v>
      </c>
      <c r="H116" s="325" t="str">
        <f t="shared" si="65"/>
        <v>Yes</v>
      </c>
      <c r="I116" s="440">
        <f>SUMIF('Diags Raw Data'!$A$6:$A$3992,"*"&amp;$A116&amp;"*",'Diags Raw Data'!$K$6:$K$3992)</f>
        <v>6</v>
      </c>
      <c r="J116" s="442">
        <f>SUMIF('Diags Raw Data'!$A$6:$A$3992,"*"&amp;$A116&amp;"*",'Diags Raw Data'!$L$6:$L$3992)</f>
        <v>11</v>
      </c>
      <c r="K116" s="494" t="e" cm="1">
        <f t="array" ref="K116">IF(D116="",0, SUMPRODUCT(--(ISNUMBER(SEARCH($A116,'Diags Raw Data'!$A$6:$A$3992))),'Diags Raw Data'!$L$6:$L$3992,'Diags Raw Data'!$N$6:$N$3995)/J116)</f>
        <v>#VALUE!</v>
      </c>
      <c r="L116" s="495" cm="1">
        <f t="array" ref="L116">IF(D116="",0, SUMPRODUCT(--(ISNUMBER(SEARCH($A116,'Diags Raw Data'!$A$6:$A$3992))),'Diags Raw Data'!$L$6:$L$3992,'Diags Raw Data'!$P$6:$P$3992)/J116)</f>
        <v>1</v>
      </c>
      <c r="M116" s="496" cm="1">
        <f t="array" ref="M116">SUMPRODUCT(--(ISNUMBER(SEARCH($A116,'Diags Raw Data'!$A$6:$A$3992))),--('Diags Raw Data'!$Q$6:$Q$3992&lt;&gt;"N/A"),'Diags Raw Data'!$R$6:$R$3992)</f>
        <v>11</v>
      </c>
      <c r="N116" s="497" cm="1">
        <f t="array" ref="N116">SUMPRODUCT(--(ISNUMBER(SEARCH($A116,'Diags Raw Data'!$A$6:$A$3992))),--('Diags Raw Data'!$Q$6:$Q$3992&lt;&gt;"N/A"),'Diags Raw Data'!$T$6:$T$3992)+SUMPRODUCT(--(ISNUMBER(SEARCH($A116,'Diags Raw Data'!$A$6:$A$3992))),--('Diags Raw Data'!$Q$6:$Q$3992&lt;&gt;"N/A"),'Diags Raw Data'!$U$6:$U$3992)</f>
        <v>11</v>
      </c>
      <c r="O116" s="498">
        <f t="shared" si="66"/>
        <v>1</v>
      </c>
      <c r="P116" s="499">
        <f>SUMIF('Diags Raw Data'!$A$6:$A$3992,"*"&amp;$A116&amp;"*",'Diags Raw Data'!$Z$6:$Z$3992)</f>
        <v>11</v>
      </c>
      <c r="Q116" s="500">
        <f>SUM(SUMIF('Diags Raw Data'!$A$6:$A$3992,"*"&amp;$A116&amp;"*",'Diags Raw Data'!$AA$6:$AA$3992),SUMIF('Diags Raw Data'!$A$6:$A$3992,"*"&amp;$A116&amp;"*",'Diags Raw Data'!$AB$6:$AB$3992))</f>
        <v>9</v>
      </c>
      <c r="R116" s="501">
        <f t="shared" si="67"/>
        <v>1</v>
      </c>
      <c r="S116" s="501">
        <f t="shared" si="68"/>
        <v>0.81818181818181823</v>
      </c>
      <c r="T116" s="502">
        <f t="shared" si="69"/>
        <v>0.81818181818181823</v>
      </c>
      <c r="U116" s="570" t="s">
        <v>1692</v>
      </c>
      <c r="V116" s="180"/>
    </row>
    <row r="117" spans="1:24" ht="30" x14ac:dyDescent="0.25">
      <c r="A117" s="564" t="s">
        <v>1537</v>
      </c>
      <c r="B117" s="439" t="str">
        <f>VLOOKUP(A117,'Feature Raw Data'!$A$3:$B$4204,2,FALSE)</f>
        <v>GFXHUB:GCUTCL2:VML2 - Page Tables Levels</v>
      </c>
      <c r="C117" s="440" t="str">
        <f>VLOOKUP(A117,'Feature Raw Data'!$A$3:$C$4204,3,FALSE)</f>
        <v>P2</v>
      </c>
      <c r="D117" s="441" t="str" cm="1">
        <f t="array" ref="D117">_xlfn.TEXTJOIN("",TRUE,IF(ISNUMBER(SEARCH($A117,'Diags Raw Data'!$A$6:$A$3992)),CONCATENATE('Diags Raw Data'!$H$6:$H$3992,", "),""))</f>
        <v xml:space="preserve">mhub210.1-2, mhub211.1, mhub211.2, mhub211.4, mhub212, </v>
      </c>
      <c r="E117" s="325" t="e">
        <f>VLOOKUP(A117,'Diags Raw Data'!$A$6:$D$3992,4,FALSE)</f>
        <v>#N/A</v>
      </c>
      <c r="F117" s="325" t="str">
        <f>VLOOKUP(A117,'Feature Raw Data'!$A$3:$E$4204,5,FALSE)</f>
        <v>Legacy</v>
      </c>
      <c r="G117" s="325" t="str">
        <f t="shared" si="64"/>
        <v>Yes</v>
      </c>
      <c r="H117" s="325" t="str">
        <f t="shared" si="65"/>
        <v>Yes</v>
      </c>
      <c r="I117" s="440">
        <f>SUMIF('Diags Raw Data'!$A$6:$A$3992,"*"&amp;$A117&amp;"*",'Diags Raw Data'!$K$6:$K$3992)</f>
        <v>5</v>
      </c>
      <c r="J117" s="442">
        <f>SUMIF('Diags Raw Data'!$A$6:$A$3992,"*"&amp;$A117&amp;"*",'Diags Raw Data'!$L$6:$L$3992)</f>
        <v>6</v>
      </c>
      <c r="K117" s="494" t="e" cm="1">
        <f t="array" ref="K117">IF(D117="",0, SUMPRODUCT(--(ISNUMBER(SEARCH($A117,'Diags Raw Data'!$A$6:$A$3992))),'Diags Raw Data'!$L$6:$L$3992,'Diags Raw Data'!$N$6:$N$3995)/J117)</f>
        <v>#VALUE!</v>
      </c>
      <c r="L117" s="495" cm="1">
        <f t="array" ref="L117">IF(D117="",0, SUMPRODUCT(--(ISNUMBER(SEARCH($A117,'Diags Raw Data'!$A$6:$A$3992))),'Diags Raw Data'!$L$6:$L$3992,'Diags Raw Data'!$P$6:$P$3992)/J117)</f>
        <v>1</v>
      </c>
      <c r="M117" s="496" cm="1">
        <f t="array" ref="M117">SUMPRODUCT(--(ISNUMBER(SEARCH($A117,'Diags Raw Data'!$A$6:$A$3992))),--('Diags Raw Data'!$Q$6:$Q$3992&lt;&gt;"N/A"),'Diags Raw Data'!$R$6:$R$3992)</f>
        <v>6</v>
      </c>
      <c r="N117" s="497" cm="1">
        <f t="array" ref="N117">SUMPRODUCT(--(ISNUMBER(SEARCH($A117,'Diags Raw Data'!$A$6:$A$3992))),--('Diags Raw Data'!$Q$6:$Q$3992&lt;&gt;"N/A"),'Diags Raw Data'!$T$6:$T$3992)+SUMPRODUCT(--(ISNUMBER(SEARCH($A117,'Diags Raw Data'!$A$6:$A$3992))),--('Diags Raw Data'!$Q$6:$Q$3992&lt;&gt;"N/A"),'Diags Raw Data'!$U$6:$U$3992)</f>
        <v>6</v>
      </c>
      <c r="O117" s="498">
        <f t="shared" si="66"/>
        <v>1</v>
      </c>
      <c r="P117" s="499">
        <f>SUMIF('Diags Raw Data'!$A$6:$A$3992,"*"&amp;$A117&amp;"*",'Diags Raw Data'!$Z$6:$Z$3992)</f>
        <v>5</v>
      </c>
      <c r="Q117" s="500">
        <f>SUM(SUMIF('Diags Raw Data'!$A$6:$A$3992,"*"&amp;$A117&amp;"*",'Diags Raw Data'!$AA$6:$AA$3992),SUMIF('Diags Raw Data'!$A$6:$A$3992,"*"&amp;$A117&amp;"*",'Diags Raw Data'!$AB$6:$AB$3992))</f>
        <v>4</v>
      </c>
      <c r="R117" s="501">
        <f t="shared" si="67"/>
        <v>0.83333333333333337</v>
      </c>
      <c r="S117" s="501">
        <f t="shared" si="68"/>
        <v>0.8</v>
      </c>
      <c r="T117" s="502">
        <f t="shared" si="69"/>
        <v>0.66666666666666674</v>
      </c>
      <c r="U117" s="570" t="s">
        <v>1690</v>
      </c>
      <c r="V117" s="180"/>
    </row>
    <row r="118" spans="1:24" ht="60" x14ac:dyDescent="0.25">
      <c r="A118" s="564" t="s">
        <v>584</v>
      </c>
      <c r="B118" s="439" t="str">
        <f>VLOOKUP(A118,'Feature Raw Data'!$A$3:$B$4204,2,FALSE)</f>
        <v>GFXHUB:GCUTCL2:VML2 - PDE Attributes</v>
      </c>
      <c r="C118" s="440" t="str">
        <f>VLOOKUP(A118,'Feature Raw Data'!$A$3:$C$4204,3,FALSE)</f>
        <v>P1</v>
      </c>
      <c r="D118" s="441" t="str" cm="1">
        <f t="array" ref="D118">_xlfn.TEXTJOIN("",TRUE,IF(ISNUMBER(SEARCH($A118,'Diags Raw Data'!$A$6:$A$3992)),CONCATENATE('Diags Raw Data'!$H$6:$H$3992,", "),""))</f>
        <v xml:space="preserve">mhub205, mhub210.1-2, mhub211.1, mhub282, mhub353.13,16, 19,22, mhub353.15,18, 21, 24, glxixxxx, </v>
      </c>
      <c r="E118" s="325" t="str">
        <f>VLOOKUP(A118,'Diags Raw Data'!$A$6:$D$3992,4,FALSE)</f>
        <v>GFXHUB</v>
      </c>
      <c r="F118" s="325" t="str">
        <f>VLOOKUP(A118,'Feature Raw Data'!$A$3:$E$4204,5,FALSE)</f>
        <v>Delta</v>
      </c>
      <c r="G118" s="325" t="str">
        <f t="shared" si="64"/>
        <v>Yes</v>
      </c>
      <c r="H118" s="325" t="str">
        <f t="shared" si="65"/>
        <v>Yes</v>
      </c>
      <c r="I118" s="440">
        <f>SUMIF('Diags Raw Data'!$A$6:$A$3992,"*"&amp;$A118&amp;"*",'Diags Raw Data'!$K$6:$K$3992)</f>
        <v>4</v>
      </c>
      <c r="J118" s="442">
        <f>SUMIF('Diags Raw Data'!$A$6:$A$3992,"*"&amp;$A118&amp;"*",'Diags Raw Data'!$L$6:$L$3992)</f>
        <v>5</v>
      </c>
      <c r="K118" s="494" t="e" cm="1">
        <f t="array" ref="K118">IF(D118="",0, SUMPRODUCT(--(ISNUMBER(SEARCH($A118,'Diags Raw Data'!$A$6:$A$3992))),'Diags Raw Data'!$L$6:$L$3992,'Diags Raw Data'!$N$6:$N$3995)/J118)</f>
        <v>#VALUE!</v>
      </c>
      <c r="L118" s="495" cm="1">
        <f t="array" ref="L118">IF(D118="",0, SUMPRODUCT(--(ISNUMBER(SEARCH($A118,'Diags Raw Data'!$A$6:$A$3992))),'Diags Raw Data'!$L$6:$L$3992,'Diags Raw Data'!$P$6:$P$3992)/J118)</f>
        <v>1</v>
      </c>
      <c r="M118" s="496" cm="1">
        <f t="array" ref="M118">SUMPRODUCT(--(ISNUMBER(SEARCH($A118,'Diags Raw Data'!$A$6:$A$3992))),--('Diags Raw Data'!$Q$6:$Q$3992&lt;&gt;"N/A"),'Diags Raw Data'!$R$6:$R$3992)</f>
        <v>5</v>
      </c>
      <c r="N118" s="497" cm="1">
        <f t="array" ref="N118">SUMPRODUCT(--(ISNUMBER(SEARCH($A118,'Diags Raw Data'!$A$6:$A$3992))),--('Diags Raw Data'!$Q$6:$Q$3992&lt;&gt;"N/A"),'Diags Raw Data'!$T$6:$T$3992)+SUMPRODUCT(--(ISNUMBER(SEARCH($A118,'Diags Raw Data'!$A$6:$A$3992))),--('Diags Raw Data'!$Q$6:$Q$3992&lt;&gt;"N/A"),'Diags Raw Data'!$U$6:$U$3992)</f>
        <v>5</v>
      </c>
      <c r="O118" s="498">
        <f t="shared" si="66"/>
        <v>1</v>
      </c>
      <c r="P118" s="499">
        <f>SUMIF('Diags Raw Data'!$A$6:$A$3992,"*"&amp;$A118&amp;"*",'Diags Raw Data'!$Z$6:$Z$3992)</f>
        <v>4</v>
      </c>
      <c r="Q118" s="500">
        <f>SUM(SUMIF('Diags Raw Data'!$A$6:$A$3992,"*"&amp;$A118&amp;"*",'Diags Raw Data'!$AA$6:$AA$3992),SUMIF('Diags Raw Data'!$A$6:$A$3992,"*"&amp;$A118&amp;"*",'Diags Raw Data'!$AB$6:$AB$3992))</f>
        <v>1</v>
      </c>
      <c r="R118" s="501">
        <f t="shared" si="67"/>
        <v>0.8</v>
      </c>
      <c r="S118" s="501">
        <f t="shared" si="68"/>
        <v>0.25</v>
      </c>
      <c r="T118" s="502">
        <f t="shared" si="69"/>
        <v>0.2</v>
      </c>
      <c r="U118" s="570" t="s">
        <v>1690</v>
      </c>
      <c r="V118" s="180"/>
      <c r="X118" s="181" t="s">
        <v>1538</v>
      </c>
    </row>
    <row r="119" spans="1:24" ht="45" x14ac:dyDescent="0.25">
      <c r="A119" s="564" t="s">
        <v>588</v>
      </c>
      <c r="B119" s="439" t="str">
        <f>VLOOKUP(A119,'Feature Raw Data'!$A$3:$B$4204,2,FALSE)</f>
        <v>GFXHUB:GCUTCL2:VML2 - PTE Attributes</v>
      </c>
      <c r="C119" s="440" t="str">
        <f>VLOOKUP(A119,'Feature Raw Data'!$A$3:$C$4204,3,FALSE)</f>
        <v>P2</v>
      </c>
      <c r="D119" s="441" t="str" cm="1">
        <f t="array" ref="D119">_xlfn.TEXTJOIN("",TRUE,IF(ISNUMBER(SEARCH($A119,'Diags Raw Data'!$A$6:$A$3992)),CONCATENATE('Diags Raw Data'!$H$6:$H$3992,", "),""))</f>
        <v xml:space="preserve">mhub206.1,2,4, mhub207.2, mhub208.1,2, mhub208.3, mhub211.1, mhub281.1,2, mhub286.1,2, </v>
      </c>
      <c r="E119" s="325" t="str">
        <f>VLOOKUP(A119,'Diags Raw Data'!$A$6:$D$3992,4,FALSE)</f>
        <v>GFXHUB</v>
      </c>
      <c r="F119" s="325" t="str">
        <f>VLOOKUP(A119,'Feature Raw Data'!$A$3:$E$4204,5,FALSE)</f>
        <v>Delta</v>
      </c>
      <c r="G119" s="325" t="str">
        <f t="shared" si="64"/>
        <v>Yes</v>
      </c>
      <c r="H119" s="325" t="str">
        <f t="shared" si="65"/>
        <v>Yes</v>
      </c>
      <c r="I119" s="440">
        <f>SUMIF('Diags Raw Data'!$A$6:$A$3992,"*"&amp;$A119&amp;"*",'Diags Raw Data'!$K$6:$K$3992)</f>
        <v>7</v>
      </c>
      <c r="J119" s="442">
        <f>SUMIF('Diags Raw Data'!$A$6:$A$3992,"*"&amp;$A119&amp;"*",'Diags Raw Data'!$L$6:$L$3992)</f>
        <v>12</v>
      </c>
      <c r="K119" s="494" t="e" cm="1">
        <f t="array" ref="K119">IF(D119="",0, SUMPRODUCT(--(ISNUMBER(SEARCH($A119,'Diags Raw Data'!$A$6:$A$3992))),'Diags Raw Data'!$L$6:$L$3992,'Diags Raw Data'!$N$6:$N$3995)/J119)</f>
        <v>#VALUE!</v>
      </c>
      <c r="L119" s="495" cm="1">
        <f t="array" ref="L119">IF(D119="",0, SUMPRODUCT(--(ISNUMBER(SEARCH($A119,'Diags Raw Data'!$A$6:$A$3992))),'Diags Raw Data'!$L$6:$L$3992,'Diags Raw Data'!$P$6:$P$3992)/J119)</f>
        <v>1</v>
      </c>
      <c r="M119" s="496" cm="1">
        <f t="array" ref="M119">SUMPRODUCT(--(ISNUMBER(SEARCH($A119,'Diags Raw Data'!$A$6:$A$3992))),--('Diags Raw Data'!$Q$6:$Q$3992&lt;&gt;"N/A"),'Diags Raw Data'!$R$6:$R$3992)</f>
        <v>12</v>
      </c>
      <c r="N119" s="497" cm="1">
        <f t="array" ref="N119">SUMPRODUCT(--(ISNUMBER(SEARCH($A119,'Diags Raw Data'!$A$6:$A$3992))),--('Diags Raw Data'!$Q$6:$Q$3992&lt;&gt;"N/A"),'Diags Raw Data'!$T$6:$T$3992)+SUMPRODUCT(--(ISNUMBER(SEARCH($A119,'Diags Raw Data'!$A$6:$A$3992))),--('Diags Raw Data'!$Q$6:$Q$3992&lt;&gt;"N/A"),'Diags Raw Data'!$U$6:$U$3992)</f>
        <v>12</v>
      </c>
      <c r="O119" s="498">
        <f t="shared" si="66"/>
        <v>1</v>
      </c>
      <c r="P119" s="499">
        <f>SUMIF('Diags Raw Data'!$A$6:$A$3992,"*"&amp;$A119&amp;"*",'Diags Raw Data'!$Z$6:$Z$3992)</f>
        <v>11</v>
      </c>
      <c r="Q119" s="500">
        <f>SUM(SUMIF('Diags Raw Data'!$A$6:$A$3992,"*"&amp;$A119&amp;"*",'Diags Raw Data'!$AA$6:$AA$3992),SUMIF('Diags Raw Data'!$A$6:$A$3992,"*"&amp;$A119&amp;"*",'Diags Raw Data'!$AB$6:$AB$3992))</f>
        <v>10</v>
      </c>
      <c r="R119" s="501">
        <f t="shared" si="67"/>
        <v>0.91666666666666663</v>
      </c>
      <c r="S119" s="501">
        <f t="shared" si="68"/>
        <v>0.90909090909090906</v>
      </c>
      <c r="T119" s="502">
        <f t="shared" si="69"/>
        <v>0.83333333333333326</v>
      </c>
      <c r="U119" s="570" t="s">
        <v>1690</v>
      </c>
      <c r="V119" s="180"/>
    </row>
    <row r="120" spans="1:24" ht="30" x14ac:dyDescent="0.25">
      <c r="A120" s="564" t="s">
        <v>748</v>
      </c>
      <c r="B120" s="439" t="str">
        <f>VLOOKUP(A120,'Feature Raw Data'!$A$3:$B$4204,2,FALSE)</f>
        <v>GFXHUB:GCUTCL2:VML2 - PTE permissions returned</v>
      </c>
      <c r="C120" s="440" t="str">
        <f>VLOOKUP(A120,'Feature Raw Data'!$A$3:$C$4204,3,FALSE)</f>
        <v>P2</v>
      </c>
      <c r="D120" s="441" t="str" cm="1">
        <f t="array" ref="D120">_xlfn.TEXTJOIN("",TRUE,IF(ISNUMBER(SEARCH($A120,'Diags Raw Data'!$A$6:$A$3992)),CONCATENATE('Diags Raw Data'!$H$6:$H$3992,", "),""))</f>
        <v xml:space="preserve">mhub341.1, mhub341.2, </v>
      </c>
      <c r="E120" s="325" t="str">
        <f>VLOOKUP(A120,'Diags Raw Data'!$A$6:$D$3992,4,FALSE)</f>
        <v>GFXHUB</v>
      </c>
      <c r="F120" s="325" t="str">
        <f>VLOOKUP(A120,'Feature Raw Data'!$A$3:$E$4204,5,FALSE)</f>
        <v>Legacy</v>
      </c>
      <c r="G120" s="325" t="str">
        <f t="shared" si="64"/>
        <v>Yes</v>
      </c>
      <c r="H120" s="325" t="str">
        <f t="shared" si="65"/>
        <v>Yes</v>
      </c>
      <c r="I120" s="440">
        <f>SUMIF('Diags Raw Data'!$A$6:$A$3992,"*"&amp;$A120&amp;"*",'Diags Raw Data'!$K$6:$K$3992)</f>
        <v>2</v>
      </c>
      <c r="J120" s="442">
        <f>SUMIF('Diags Raw Data'!$A$6:$A$3992,"*"&amp;$A120&amp;"*",'Diags Raw Data'!$L$6:$L$3992)</f>
        <v>2</v>
      </c>
      <c r="K120" s="494" t="e" cm="1">
        <f t="array" ref="K120">IF(D120="",0, SUMPRODUCT(--(ISNUMBER(SEARCH($A120,'Diags Raw Data'!$A$6:$A$3992))),'Diags Raw Data'!$L$6:$L$3992,'Diags Raw Data'!$N$6:$N$3995)/J120)</f>
        <v>#VALUE!</v>
      </c>
      <c r="L120" s="495" cm="1">
        <f t="array" ref="L120">IF(D120="",0, SUMPRODUCT(--(ISNUMBER(SEARCH($A120,'Diags Raw Data'!$A$6:$A$3992))),'Diags Raw Data'!$L$6:$L$3992,'Diags Raw Data'!$P$6:$P$3992)/J120)</f>
        <v>1</v>
      </c>
      <c r="M120" s="496" cm="1">
        <f t="array" ref="M120">SUMPRODUCT(--(ISNUMBER(SEARCH($A120,'Diags Raw Data'!$A$6:$A$3992))),--('Diags Raw Data'!$Q$6:$Q$3992&lt;&gt;"N/A"),'Diags Raw Data'!$R$6:$R$3992)</f>
        <v>2</v>
      </c>
      <c r="N120" s="497" cm="1">
        <f t="array" ref="N120">SUMPRODUCT(--(ISNUMBER(SEARCH($A120,'Diags Raw Data'!$A$6:$A$3992))),--('Diags Raw Data'!$Q$6:$Q$3992&lt;&gt;"N/A"),'Diags Raw Data'!$T$6:$T$3992)+SUMPRODUCT(--(ISNUMBER(SEARCH($A120,'Diags Raw Data'!$A$6:$A$3992))),--('Diags Raw Data'!$Q$6:$Q$3992&lt;&gt;"N/A"),'Diags Raw Data'!$U$6:$U$3992)</f>
        <v>2</v>
      </c>
      <c r="O120" s="498">
        <f t="shared" si="66"/>
        <v>1</v>
      </c>
      <c r="P120" s="499">
        <f>SUMIF('Diags Raw Data'!$A$6:$A$3992,"*"&amp;$A120&amp;"*",'Diags Raw Data'!$Z$6:$Z$3992)</f>
        <v>2</v>
      </c>
      <c r="Q120" s="500">
        <f>SUM(SUMIF('Diags Raw Data'!$A$6:$A$3992,"*"&amp;$A120&amp;"*",'Diags Raw Data'!$AA$6:$AA$3992),SUMIF('Diags Raw Data'!$A$6:$A$3992,"*"&amp;$A120&amp;"*",'Diags Raw Data'!$AB$6:$AB$3992))</f>
        <v>0</v>
      </c>
      <c r="R120" s="501">
        <f t="shared" si="67"/>
        <v>1</v>
      </c>
      <c r="S120" s="501">
        <f t="shared" si="68"/>
        <v>0</v>
      </c>
      <c r="T120" s="502">
        <f t="shared" si="69"/>
        <v>0</v>
      </c>
      <c r="U120" s="570" t="s">
        <v>1692</v>
      </c>
      <c r="V120" s="180"/>
    </row>
    <row r="121" spans="1:24" ht="34.5" customHeight="1" x14ac:dyDescent="0.25">
      <c r="A121" s="564" t="s">
        <v>1181</v>
      </c>
      <c r="B121" s="439" t="str">
        <f>VLOOKUP(A121,'Feature Raw Data'!$A$3:$B$4204,2,FALSE)</f>
        <v>GFXHUB:GCUTCL2:VML2 - Translate Further/PTE.F bit</v>
      </c>
      <c r="C121" s="440" t="str">
        <f>VLOOKUP(A121,'Feature Raw Data'!$A$3:$C$4204,3,FALSE)</f>
        <v>P1</v>
      </c>
      <c r="D121" s="441" t="str" cm="1">
        <f t="array" ref="D121">_xlfn.TEXTJOIN("",TRUE,IF(ISNUMBER(SEARCH($A121,'Diags Raw Data'!$A$6:$A$3992)),CONCATENATE('Diags Raw Data'!$H$6:$H$3992,", "),""))</f>
        <v xml:space="preserve">mhub211.1, mhub211.2, mhub211.4, mhub327.1, mhub327.2, mhub327.3, mhub327.4, </v>
      </c>
      <c r="E121" s="325" t="str">
        <f>VLOOKUP(A121,'Diags Raw Data'!$A$6:$D$3992,4,FALSE)</f>
        <v>GFXHUB</v>
      </c>
      <c r="F121" s="325" t="str">
        <f>VLOOKUP(A121,'Feature Raw Data'!$A$3:$E$4204,5,FALSE)</f>
        <v>Delta</v>
      </c>
      <c r="G121" s="325" t="str">
        <f t="shared" si="64"/>
        <v>Yes</v>
      </c>
      <c r="H121" s="325" t="str">
        <f t="shared" si="65"/>
        <v>Yes</v>
      </c>
      <c r="I121" s="440">
        <f>SUMIF('Diags Raw Data'!$A$6:$A$3992,"*"&amp;$A121&amp;"*",'Diags Raw Data'!$K$6:$K$3992)</f>
        <v>31</v>
      </c>
      <c r="J121" s="442">
        <f>SUMIF('Diags Raw Data'!$A$6:$A$3992,"*"&amp;$A121&amp;"*",'Diags Raw Data'!$L$6:$L$3992)</f>
        <v>7</v>
      </c>
      <c r="K121" s="494" t="e" cm="1">
        <f t="array" ref="K121">IF(D121="",0, SUMPRODUCT(--(ISNUMBER(SEARCH($A121,'Diags Raw Data'!$A$6:$A$3992))),'Diags Raw Data'!$L$6:$L$3992,'Diags Raw Data'!$N$6:$N$3995)/J121)</f>
        <v>#VALUE!</v>
      </c>
      <c r="L121" s="495" cm="1">
        <f t="array" ref="L121">IF(D121="",0, SUMPRODUCT(--(ISNUMBER(SEARCH($A121,'Diags Raw Data'!$A$6:$A$3992))),'Diags Raw Data'!$L$6:$L$3992,'Diags Raw Data'!$P$6:$P$3992)/J121)</f>
        <v>1</v>
      </c>
      <c r="M121" s="496" cm="1">
        <f t="array" ref="M121">SUMPRODUCT(--(ISNUMBER(SEARCH($A121,'Diags Raw Data'!$A$6:$A$3992))),--('Diags Raw Data'!$Q$6:$Q$3992&lt;&gt;"N/A"),'Diags Raw Data'!$R$6:$R$3992)</f>
        <v>7</v>
      </c>
      <c r="N121" s="497" cm="1">
        <f t="array" ref="N121">SUMPRODUCT(--(ISNUMBER(SEARCH($A121,'Diags Raw Data'!$A$6:$A$3992))),--('Diags Raw Data'!$Q$6:$Q$3992&lt;&gt;"N/A"),'Diags Raw Data'!$T$6:$T$3992)+SUMPRODUCT(--(ISNUMBER(SEARCH($A121,'Diags Raw Data'!$A$6:$A$3992))),--('Diags Raw Data'!$Q$6:$Q$3992&lt;&gt;"N/A"),'Diags Raw Data'!$U$6:$U$3992)</f>
        <v>7</v>
      </c>
      <c r="O121" s="498">
        <f t="shared" si="66"/>
        <v>1</v>
      </c>
      <c r="P121" s="499">
        <f>SUMIF('Diags Raw Data'!$A$6:$A$3992,"*"&amp;$A121&amp;"*",'Diags Raw Data'!$Z$6:$Z$3992)</f>
        <v>7</v>
      </c>
      <c r="Q121" s="500">
        <f>SUM(SUMIF('Diags Raw Data'!$A$6:$A$3992,"*"&amp;$A121&amp;"*",'Diags Raw Data'!$AA$6:$AA$3992),SUMIF('Diags Raw Data'!$A$6:$A$3992,"*"&amp;$A121&amp;"*",'Diags Raw Data'!$AB$6:$AB$3992))</f>
        <v>3</v>
      </c>
      <c r="R121" s="501">
        <f t="shared" si="67"/>
        <v>1</v>
      </c>
      <c r="S121" s="501">
        <f t="shared" si="68"/>
        <v>0.42857142857142855</v>
      </c>
      <c r="T121" s="502">
        <f t="shared" si="69"/>
        <v>0.42857142857142855</v>
      </c>
      <c r="U121" s="570" t="s">
        <v>1692</v>
      </c>
      <c r="V121" s="180"/>
    </row>
    <row r="122" spans="1:24" ht="90" x14ac:dyDescent="0.25">
      <c r="A122" s="564" t="s">
        <v>395</v>
      </c>
      <c r="B122" s="439" t="str">
        <f>VLOOKUP(A122,'Feature Raw Data'!$A$3:$B$4204,2,FALSE)</f>
        <v>GFXHUB:GCUTCL2:VML2 - GPUVM fault with retry/Xnack interface</v>
      </c>
      <c r="C122" s="440" t="str">
        <f>VLOOKUP(A122,'Feature Raw Data'!$A$3:$C$4204,3,FALSE)</f>
        <v>P2</v>
      </c>
      <c r="D122" s="441" t="str" cm="1">
        <f t="array" ref="D122">_xlfn.TEXTJOIN("",TRUE,IF(ISNUMBER(SEARCH($A122,'Diags Raw Data'!$A$6:$A$3992)),CONCATENATE('Diags Raw Data'!$H$6:$H$3992,", "),""))</f>
        <v xml:space="preserve">mhub018.3,4, mhub019.3,4, mhub020.3,4, mhub218, mhub219, mhub220, mhub281.1,2, mhub282, mhub283, mhub284.1,2, mhub285, mhub286.1,2, mhub287, mhub289, mhub293.1, mhub294.1, mhub295, </v>
      </c>
      <c r="E122" s="325" t="str">
        <f>VLOOKUP(A122,'Diags Raw Data'!$A$6:$D$3992,4,FALSE)</f>
        <v>GFXHUB</v>
      </c>
      <c r="F122" s="325" t="str">
        <f>VLOOKUP(A122,'Feature Raw Data'!$A$3:$E$4204,5,FALSE)</f>
        <v>Legacy</v>
      </c>
      <c r="G122" s="325" t="str">
        <f t="shared" si="64"/>
        <v>Yes</v>
      </c>
      <c r="H122" s="325" t="str">
        <f t="shared" si="65"/>
        <v>Yes</v>
      </c>
      <c r="I122" s="440">
        <f>SUMIF('Diags Raw Data'!$A$6:$A$3992,"*"&amp;$A122&amp;"*",'Diags Raw Data'!$K$6:$K$3992)</f>
        <v>17</v>
      </c>
      <c r="J122" s="442">
        <f>SUMIF('Diags Raw Data'!$A$6:$A$3992,"*"&amp;$A122&amp;"*",'Diags Raw Data'!$L$6:$L$3992)</f>
        <v>23</v>
      </c>
      <c r="K122" s="494" t="e" cm="1">
        <f t="array" ref="K122">IF(D122="",0, SUMPRODUCT(--(ISNUMBER(SEARCH($A122,'Diags Raw Data'!$A$6:$A$3992))),'Diags Raw Data'!$L$6:$L$3992,'Diags Raw Data'!$N$6:$N$3995)/J122)</f>
        <v>#VALUE!</v>
      </c>
      <c r="L122" s="495" cm="1">
        <f t="array" ref="L122">IF(D122="",0, SUMPRODUCT(--(ISNUMBER(SEARCH($A122,'Diags Raw Data'!$A$6:$A$3992))),'Diags Raw Data'!$L$6:$L$3992,'Diags Raw Data'!$P$6:$P$3992)/J122)</f>
        <v>1</v>
      </c>
      <c r="M122" s="496" cm="1">
        <f t="array" ref="M122">SUMPRODUCT(--(ISNUMBER(SEARCH($A122,'Diags Raw Data'!$A$6:$A$3992))),--('Diags Raw Data'!$Q$6:$Q$3992&lt;&gt;"N/A"),'Diags Raw Data'!$R$6:$R$3992)</f>
        <v>23</v>
      </c>
      <c r="N122" s="497" cm="1">
        <f t="array" ref="N122">SUMPRODUCT(--(ISNUMBER(SEARCH($A122,'Diags Raw Data'!$A$6:$A$3992))),--('Diags Raw Data'!$Q$6:$Q$3992&lt;&gt;"N/A"),'Diags Raw Data'!$T$6:$T$3992)+SUMPRODUCT(--(ISNUMBER(SEARCH($A122,'Diags Raw Data'!$A$6:$A$3992))),--('Diags Raw Data'!$Q$6:$Q$3992&lt;&gt;"N/A"),'Diags Raw Data'!$U$6:$U$3992)</f>
        <v>23</v>
      </c>
      <c r="O122" s="498">
        <f t="shared" si="66"/>
        <v>1</v>
      </c>
      <c r="P122" s="499">
        <f>SUMIF('Diags Raw Data'!$A$6:$A$3992,"*"&amp;$A122&amp;"*",'Diags Raw Data'!$Z$6:$Z$3992)</f>
        <v>23</v>
      </c>
      <c r="Q122" s="500">
        <f>SUM(SUMIF('Diags Raw Data'!$A$6:$A$3992,"*"&amp;$A122&amp;"*",'Diags Raw Data'!$AA$6:$AA$3992),SUMIF('Diags Raw Data'!$A$6:$A$3992,"*"&amp;$A122&amp;"*",'Diags Raw Data'!$AB$6:$AB$3992))</f>
        <v>13</v>
      </c>
      <c r="R122" s="501">
        <f t="shared" si="67"/>
        <v>1</v>
      </c>
      <c r="S122" s="501">
        <f t="shared" si="68"/>
        <v>0.56521739130434778</v>
      </c>
      <c r="T122" s="502">
        <f t="shared" si="69"/>
        <v>0.56521739130434778</v>
      </c>
      <c r="U122" s="570" t="s">
        <v>1692</v>
      </c>
      <c r="V122" s="180"/>
    </row>
    <row r="123" spans="1:24" ht="30" x14ac:dyDescent="0.25">
      <c r="A123" s="564" t="s">
        <v>1542</v>
      </c>
      <c r="B123" s="439" t="str">
        <f>VLOOKUP(A123,'Feature Raw Data'!$A$3:$B$4204,2,FALSE)</f>
        <v>GFXHUB:GCUTCL2:VML2 - Support for 2MB, 1G, 512GB pages aka PDE Block Fragment Size</v>
      </c>
      <c r="C123" s="440" t="str">
        <f>VLOOKUP(A123,'Feature Raw Data'!$A$3:$C$4204,3,FALSE)</f>
        <v>P2</v>
      </c>
      <c r="D123" s="441" t="str" cm="1">
        <f t="array" ref="D123">_xlfn.TEXTJOIN("",TRUE,IF(ISNUMBER(SEARCH($A123,'Diags Raw Data'!$A$6:$A$3992)),CONCATENATE('Diags Raw Data'!$H$6:$H$3992,", "),""))</f>
        <v xml:space="preserve">mhub212, </v>
      </c>
      <c r="E123" s="325" t="e">
        <f>VLOOKUP(A123,'Diags Raw Data'!$A$6:$D$3992,4,FALSE)</f>
        <v>#N/A</v>
      </c>
      <c r="F123" s="325" t="str">
        <f>VLOOKUP(A123,'Feature Raw Data'!$A$3:$E$4204,5,FALSE)</f>
        <v>Legacy</v>
      </c>
      <c r="G123" s="325" t="str">
        <f t="shared" si="64"/>
        <v>Yes</v>
      </c>
      <c r="H123" s="325" t="str">
        <f t="shared" si="65"/>
        <v>Yes</v>
      </c>
      <c r="I123" s="440">
        <f>SUMIF('Diags Raw Data'!$A$6:$A$3992,"*"&amp;$A123&amp;"*",'Diags Raw Data'!$K$6:$K$3992)</f>
        <v>1</v>
      </c>
      <c r="J123" s="442">
        <f>SUMIF('Diags Raw Data'!$A$6:$A$3992,"*"&amp;$A123&amp;"*",'Diags Raw Data'!$L$6:$L$3992)</f>
        <v>1</v>
      </c>
      <c r="K123" s="494" t="e" cm="1">
        <f t="array" ref="K123">IF(D123="",0, SUMPRODUCT(--(ISNUMBER(SEARCH($A123,'Diags Raw Data'!$A$6:$A$3992))),'Diags Raw Data'!$L$6:$L$3992,'Diags Raw Data'!$N$6:$N$3995)/J123)</f>
        <v>#VALUE!</v>
      </c>
      <c r="L123" s="495" cm="1">
        <f t="array" ref="L123">IF(D123="",0, SUMPRODUCT(--(ISNUMBER(SEARCH($A123,'Diags Raw Data'!$A$6:$A$3992))),'Diags Raw Data'!$L$6:$L$3992,'Diags Raw Data'!$P$6:$P$3992)/J123)</f>
        <v>1</v>
      </c>
      <c r="M123" s="496" cm="1">
        <f t="array" ref="M123">SUMPRODUCT(--(ISNUMBER(SEARCH($A123,'Diags Raw Data'!$A$6:$A$3992))),--('Diags Raw Data'!$Q$6:$Q$3992&lt;&gt;"N/A"),'Diags Raw Data'!$R$6:$R$3992)</f>
        <v>1</v>
      </c>
      <c r="N123" s="497" cm="1">
        <f t="array" ref="N123">SUMPRODUCT(--(ISNUMBER(SEARCH($A123,'Diags Raw Data'!$A$6:$A$3992))),--('Diags Raw Data'!$Q$6:$Q$3992&lt;&gt;"N/A"),'Diags Raw Data'!$T$6:$T$3992)+SUMPRODUCT(--(ISNUMBER(SEARCH($A123,'Diags Raw Data'!$A$6:$A$3992))),--('Diags Raw Data'!$Q$6:$Q$3992&lt;&gt;"N/A"),'Diags Raw Data'!$U$6:$U$3992)</f>
        <v>1</v>
      </c>
      <c r="O123" s="498">
        <f t="shared" si="66"/>
        <v>1</v>
      </c>
      <c r="P123" s="499">
        <f>SUMIF('Diags Raw Data'!$A$6:$A$3992,"*"&amp;$A123&amp;"*",'Diags Raw Data'!$Z$6:$Z$3992)</f>
        <v>1</v>
      </c>
      <c r="Q123" s="500">
        <f>SUM(SUMIF('Diags Raw Data'!$A$6:$A$3992,"*"&amp;$A123&amp;"*",'Diags Raw Data'!$AA$6:$AA$3992),SUMIF('Diags Raw Data'!$A$6:$A$3992,"*"&amp;$A123&amp;"*",'Diags Raw Data'!$AB$6:$AB$3992))</f>
        <v>1</v>
      </c>
      <c r="R123" s="501">
        <f t="shared" si="67"/>
        <v>1</v>
      </c>
      <c r="S123" s="501">
        <f t="shared" si="68"/>
        <v>1</v>
      </c>
      <c r="T123" s="502">
        <f t="shared" si="69"/>
        <v>1</v>
      </c>
      <c r="U123" s="570" t="s">
        <v>1690</v>
      </c>
      <c r="V123" s="180"/>
    </row>
    <row r="124" spans="1:24" ht="30" hidden="1" x14ac:dyDescent="0.25">
      <c r="A124" s="564" t="s">
        <v>1544</v>
      </c>
      <c r="B124" s="439" t="str">
        <f>VLOOKUP(A124,'Feature Raw Data'!$A$3:$B$4204,2,FALSE)</f>
        <v>GFXHUB:GCUTCL2:VML2 - 44b PA</v>
      </c>
      <c r="C124" s="440" t="str">
        <f>VLOOKUP(A124,'Feature Raw Data'!$A$3:$C$4204,3,FALSE)</f>
        <v>P2</v>
      </c>
      <c r="D124" s="441" t="str" cm="1">
        <f t="array" ref="D124">_xlfn.TEXTJOIN("",TRUE,IF(ISNUMBER(SEARCH($A124,'Diags Raw Data'!$A$6:$A$3992)),CONCATENATE('Diags Raw Data'!$H$6:$H$3992,", "),""))</f>
        <v/>
      </c>
      <c r="E124" s="325" t="e">
        <f>VLOOKUP(A124,'Diags Raw Data'!$A$6:$D$3992,4,FALSE)</f>
        <v>#N/A</v>
      </c>
      <c r="F124" s="325" t="str">
        <f>VLOOKUP(A124,'Feature Raw Data'!$A$3:$E$4204,5,FALSE)</f>
        <v>Legacy</v>
      </c>
      <c r="G124" s="325" t="s">
        <v>31</v>
      </c>
      <c r="H124" s="325" t="str">
        <f t="shared" si="65"/>
        <v>No</v>
      </c>
      <c r="I124" s="440">
        <f>SUMIF('Diags Raw Data'!$A$6:$A$3992,"*"&amp;$A124&amp;"*",'Diags Raw Data'!$K$6:$K$3992)</f>
        <v>0</v>
      </c>
      <c r="J124" s="442">
        <f>SUMIF('Diags Raw Data'!$A$6:$A$3992,"*"&amp;$A124&amp;"*",'Diags Raw Data'!$L$6:$L$3992)</f>
        <v>0</v>
      </c>
      <c r="K124" s="494" cm="1">
        <f t="array" ref="K124">IF(D124="",0, SUMPRODUCT(--(ISNUMBER(SEARCH($A124,'Diags Raw Data'!$A$6:$A$3992))),'Diags Raw Data'!$L$6:$L$3992,'Diags Raw Data'!$N$6:$N$3995)/J124)</f>
        <v>0</v>
      </c>
      <c r="L124" s="495" cm="1">
        <f t="array" ref="L124">IF(D124="",0, SUMPRODUCT(--(ISNUMBER(SEARCH($A124,'Diags Raw Data'!$A$6:$A$3992))),'Diags Raw Data'!$L$6:$L$3992,'Diags Raw Data'!$P$6:$P$3992)/J124)</f>
        <v>0</v>
      </c>
      <c r="M124" s="496" cm="1">
        <f t="array" ref="M124">SUMPRODUCT(--(ISNUMBER(SEARCH($A124,'Diags Raw Data'!$A$6:$A$3992))),--('Diags Raw Data'!$Q$6:$Q$3992&lt;&gt;"N/A"),'Diags Raw Data'!$R$6:$R$3992)</f>
        <v>0</v>
      </c>
      <c r="N124" s="497" cm="1">
        <f t="array" ref="N124">SUMPRODUCT(--(ISNUMBER(SEARCH($A124,'Diags Raw Data'!$A$6:$A$3992))),--('Diags Raw Data'!$Q$6:$Q$3992&lt;&gt;"N/A"),'Diags Raw Data'!$T$6:$T$3992)+SUMPRODUCT(--(ISNUMBER(SEARCH($A124,'Diags Raw Data'!$A$6:$A$3992))),--('Diags Raw Data'!$Q$6:$Q$3992&lt;&gt;"N/A"),'Diags Raw Data'!$U$6:$U$3992)</f>
        <v>0</v>
      </c>
      <c r="O124" s="498">
        <f t="shared" si="66"/>
        <v>0</v>
      </c>
      <c r="P124" s="499">
        <f>SUMIF('Diags Raw Data'!$A$6:$A$3992,"*"&amp;$A124&amp;"*",'Diags Raw Data'!$Z$6:$Z$3992)</f>
        <v>0</v>
      </c>
      <c r="Q124" s="500">
        <f>SUM(SUMIF('Diags Raw Data'!$A$6:$A$3992,"*"&amp;$A124&amp;"*",'Diags Raw Data'!$AA$6:$AA$3992),SUMIF('Diags Raw Data'!$A$6:$A$3992,"*"&amp;$A124&amp;"*",'Diags Raw Data'!$AB$6:$AB$3992))</f>
        <v>0</v>
      </c>
      <c r="R124" s="501">
        <f t="shared" si="67"/>
        <v>0</v>
      </c>
      <c r="S124" s="501">
        <f t="shared" si="68"/>
        <v>0</v>
      </c>
      <c r="T124" s="502">
        <f t="shared" si="69"/>
        <v>0</v>
      </c>
      <c r="U124" s="570" t="s">
        <v>44</v>
      </c>
      <c r="V124" s="180" t="s">
        <v>1709</v>
      </c>
    </row>
    <row r="125" spans="1:24" ht="77.25" hidden="1" customHeight="1" x14ac:dyDescent="0.25">
      <c r="A125" s="564"/>
      <c r="B125" s="439"/>
      <c r="C125" s="440"/>
      <c r="D125" s="441"/>
      <c r="E125" s="325"/>
      <c r="F125" s="325"/>
      <c r="G125" s="325"/>
      <c r="H125" s="325"/>
      <c r="I125" s="440"/>
      <c r="J125" s="442"/>
      <c r="K125" s="494"/>
      <c r="L125" s="495"/>
      <c r="M125" s="496"/>
      <c r="N125" s="497"/>
      <c r="O125" s="498"/>
      <c r="P125" s="499"/>
      <c r="Q125" s="500"/>
      <c r="R125" s="501"/>
      <c r="S125" s="501"/>
      <c r="T125" s="502"/>
      <c r="U125" s="570"/>
      <c r="V125" s="180"/>
    </row>
    <row r="126" spans="1:24" ht="30" x14ac:dyDescent="0.25">
      <c r="A126" s="564" t="s">
        <v>1546</v>
      </c>
      <c r="B126" s="439" t="str">
        <f>VLOOKUP(A126,'Feature Raw Data'!$A$3:$B$4204,2,FALSE)</f>
        <v>GFXHUB:GCUTCL2:VML2 - Page Migration Retry state</v>
      </c>
      <c r="C126" s="440" t="str">
        <f>VLOOKUP(A126,'Feature Raw Data'!$A$3:$C$4204,3,FALSE)</f>
        <v>P2</v>
      </c>
      <c r="D126" s="441" t="str" cm="1">
        <f t="array" ref="D126">_xlfn.TEXTJOIN("",TRUE,IF(ISNUMBER(SEARCH($A126,'Diags Raw Data'!$A$6:$A$3992)),CONCATENATE('Diags Raw Data'!$H$6:$H$3992,", "),""))</f>
        <v xml:space="preserve">mhub209.3, mhub209.4, mhub209.5, mhub209.6, </v>
      </c>
      <c r="E126" s="325" t="e">
        <f>VLOOKUP(A126,'Diags Raw Data'!$A$6:$D$3992,4,FALSE)</f>
        <v>#N/A</v>
      </c>
      <c r="F126" s="325" t="str">
        <f>VLOOKUP(A126,'Feature Raw Data'!$A$3:$E$4204,5,FALSE)</f>
        <v>Legacy</v>
      </c>
      <c r="G126" s="325" t="str">
        <f t="shared" si="64"/>
        <v>Yes</v>
      </c>
      <c r="H126" s="325" t="str">
        <f t="shared" si="65"/>
        <v>Yes</v>
      </c>
      <c r="I126" s="440">
        <f>SUMIF('Diags Raw Data'!$A$6:$A$3992,"*"&amp;$A126&amp;"*",'Diags Raw Data'!$K$6:$K$3992)</f>
        <v>4</v>
      </c>
      <c r="J126" s="442">
        <f>SUMIF('Diags Raw Data'!$A$6:$A$3992,"*"&amp;$A126&amp;"*",'Diags Raw Data'!$L$6:$L$3992)</f>
        <v>4</v>
      </c>
      <c r="K126" s="494" t="e" cm="1">
        <f t="array" ref="K126">IF(D126="",0, SUMPRODUCT(--(ISNUMBER(SEARCH($A126,'Diags Raw Data'!$A$6:$A$3992))),'Diags Raw Data'!$L$6:$L$3992,'Diags Raw Data'!$N$6:$N$3995)/J126)</f>
        <v>#VALUE!</v>
      </c>
      <c r="L126" s="495" cm="1">
        <f t="array" ref="L126">IF(D126="",0, SUMPRODUCT(--(ISNUMBER(SEARCH($A126,'Diags Raw Data'!$A$6:$A$3992))),'Diags Raw Data'!$L$6:$L$3992,'Diags Raw Data'!$P$6:$P$3992)/J126)</f>
        <v>1</v>
      </c>
      <c r="M126" s="496" cm="1">
        <f t="array" ref="M126">SUMPRODUCT(--(ISNUMBER(SEARCH($A126,'Diags Raw Data'!$A$6:$A$3992))),--('Diags Raw Data'!$Q$6:$Q$3992&lt;&gt;"N/A"),'Diags Raw Data'!$R$6:$R$3992)</f>
        <v>4</v>
      </c>
      <c r="N126" s="497" cm="1">
        <f t="array" ref="N126">SUMPRODUCT(--(ISNUMBER(SEARCH($A126,'Diags Raw Data'!$A$6:$A$3992))),--('Diags Raw Data'!$Q$6:$Q$3992&lt;&gt;"N/A"),'Diags Raw Data'!$T$6:$T$3992)+SUMPRODUCT(--(ISNUMBER(SEARCH($A126,'Diags Raw Data'!$A$6:$A$3992))),--('Diags Raw Data'!$Q$6:$Q$3992&lt;&gt;"N/A"),'Diags Raw Data'!$U$6:$U$3992)</f>
        <v>4</v>
      </c>
      <c r="O126" s="498">
        <f t="shared" si="66"/>
        <v>1</v>
      </c>
      <c r="P126" s="499">
        <f>SUMIF('Diags Raw Data'!$A$6:$A$3992,"*"&amp;$A126&amp;"*",'Diags Raw Data'!$Z$6:$Z$3992)</f>
        <v>4</v>
      </c>
      <c r="Q126" s="500">
        <f>SUM(SUMIF('Diags Raw Data'!$A$6:$A$3992,"*"&amp;$A126&amp;"*",'Diags Raw Data'!$AA$6:$AA$3992),SUMIF('Diags Raw Data'!$A$6:$A$3992,"*"&amp;$A126&amp;"*",'Diags Raw Data'!$AB$6:$AB$3992))</f>
        <v>0</v>
      </c>
      <c r="R126" s="501">
        <f t="shared" si="67"/>
        <v>1</v>
      </c>
      <c r="S126" s="501">
        <f t="shared" si="68"/>
        <v>0</v>
      </c>
      <c r="T126" s="502">
        <f t="shared" si="69"/>
        <v>0</v>
      </c>
      <c r="U126" s="570" t="s">
        <v>1692</v>
      </c>
      <c r="V126" s="180"/>
    </row>
    <row r="127" spans="1:24" hidden="1" x14ac:dyDescent="0.25">
      <c r="A127" s="564"/>
      <c r="B127" s="439"/>
      <c r="C127" s="440"/>
      <c r="D127" s="441"/>
      <c r="E127" s="325"/>
      <c r="F127" s="325"/>
      <c r="G127" s="325"/>
      <c r="H127" s="325"/>
      <c r="I127" s="440"/>
      <c r="J127" s="442"/>
      <c r="K127" s="494"/>
      <c r="L127" s="495"/>
      <c r="M127" s="496"/>
      <c r="N127" s="497"/>
      <c r="O127" s="498"/>
      <c r="P127" s="499"/>
      <c r="Q127" s="500"/>
      <c r="R127" s="501"/>
      <c r="S127" s="501"/>
      <c r="T127" s="502"/>
      <c r="U127" s="570"/>
      <c r="V127" s="180"/>
    </row>
    <row r="128" spans="1:24" ht="27" customHeight="1" x14ac:dyDescent="0.25">
      <c r="A128" s="564" t="s">
        <v>1550</v>
      </c>
      <c r="B128" s="439" t="str">
        <f>VLOOKUP(A128,'Feature Raw Data'!$A$3:$B$4204,2,FALSE)</f>
        <v>GFXHUB:GCUTCL2:VML2 - VML2 BigK/4K cache swap</v>
      </c>
      <c r="C128" s="440" t="str">
        <f>VLOOKUP(A128,'Feature Raw Data'!$A$3:$C$4204,3,FALSE)</f>
        <v>P2</v>
      </c>
      <c r="D128" s="441" t="str" cm="1">
        <f t="array" ref="D128">_xlfn.TEXTJOIN("",TRUE,IF(ISNUMBER(SEARCH($A128,'Diags Raw Data'!$A$6:$A$3992)),CONCATENATE('Diags Raw Data'!$H$6:$H$3992,", "),""))</f>
        <v xml:space="preserve">mhub234.1, mhub234.2, mhub234.3, mhub234.4, </v>
      </c>
      <c r="E128" s="325" t="e">
        <f>VLOOKUP(A128,'Diags Raw Data'!$A$6:$D$3992,4,FALSE)</f>
        <v>#N/A</v>
      </c>
      <c r="F128" s="325" t="str">
        <f>VLOOKUP(A128,'Feature Raw Data'!$A$3:$E$4204,5,FALSE)</f>
        <v>Legacy</v>
      </c>
      <c r="G128" s="325" t="str">
        <f t="shared" si="64"/>
        <v>Yes</v>
      </c>
      <c r="H128" s="325" t="str">
        <f t="shared" si="65"/>
        <v>Yes</v>
      </c>
      <c r="I128" s="440">
        <f>SUMIF('Diags Raw Data'!$A$6:$A$3992,"*"&amp;$A128&amp;"*",'Diags Raw Data'!$K$6:$K$3992)</f>
        <v>4</v>
      </c>
      <c r="J128" s="442">
        <f>SUMIF('Diags Raw Data'!$A$6:$A$3992,"*"&amp;$A128&amp;"*",'Diags Raw Data'!$L$6:$L$3992)</f>
        <v>4</v>
      </c>
      <c r="K128" s="494" t="e" cm="1">
        <f t="array" ref="K128">IF(D128="",0, SUMPRODUCT(--(ISNUMBER(SEARCH($A128,'Diags Raw Data'!$A$6:$A$3992))),'Diags Raw Data'!$L$6:$L$3992,'Diags Raw Data'!$N$6:$N$3995)/J128)</f>
        <v>#VALUE!</v>
      </c>
      <c r="L128" s="495" cm="1">
        <f t="array" ref="L128">IF(D128="",0, SUMPRODUCT(--(ISNUMBER(SEARCH($A128,'Diags Raw Data'!$A$6:$A$3992))),'Diags Raw Data'!$L$6:$L$3992,'Diags Raw Data'!$P$6:$P$3992)/J128)</f>
        <v>1</v>
      </c>
      <c r="M128" s="496" cm="1">
        <f t="array" ref="M128">SUMPRODUCT(--(ISNUMBER(SEARCH($A128,'Diags Raw Data'!$A$6:$A$3992))),--('Diags Raw Data'!$Q$6:$Q$3992&lt;&gt;"N/A"),'Diags Raw Data'!$R$6:$R$3992)</f>
        <v>4</v>
      </c>
      <c r="N128" s="497" cm="1">
        <f t="array" ref="N128">SUMPRODUCT(--(ISNUMBER(SEARCH($A128,'Diags Raw Data'!$A$6:$A$3992))),--('Diags Raw Data'!$Q$6:$Q$3992&lt;&gt;"N/A"),'Diags Raw Data'!$T$6:$T$3992)+SUMPRODUCT(--(ISNUMBER(SEARCH($A128,'Diags Raw Data'!$A$6:$A$3992))),--('Diags Raw Data'!$Q$6:$Q$3992&lt;&gt;"N/A"),'Diags Raw Data'!$U$6:$U$3992)</f>
        <v>4</v>
      </c>
      <c r="O128" s="498">
        <f t="shared" si="66"/>
        <v>1</v>
      </c>
      <c r="P128" s="499">
        <f>SUMIF('Diags Raw Data'!$A$6:$A$3992,"*"&amp;$A128&amp;"*",'Diags Raw Data'!$Z$6:$Z$3992)</f>
        <v>4</v>
      </c>
      <c r="Q128" s="500">
        <f>SUM(SUMIF('Diags Raw Data'!$A$6:$A$3992,"*"&amp;$A128&amp;"*",'Diags Raw Data'!$AA$6:$AA$3992),SUMIF('Diags Raw Data'!$A$6:$A$3992,"*"&amp;$A128&amp;"*",'Diags Raw Data'!$AB$6:$AB$3992))</f>
        <v>0</v>
      </c>
      <c r="R128" s="501">
        <f t="shared" si="67"/>
        <v>1</v>
      </c>
      <c r="S128" s="501">
        <f t="shared" si="68"/>
        <v>0</v>
      </c>
      <c r="T128" s="502">
        <f t="shared" si="69"/>
        <v>0</v>
      </c>
      <c r="U128" s="570" t="s">
        <v>1690</v>
      </c>
      <c r="V128" s="180"/>
    </row>
    <row r="129" spans="1:24" hidden="1" x14ac:dyDescent="0.25">
      <c r="A129" s="564"/>
      <c r="B129" s="439"/>
      <c r="C129" s="440"/>
      <c r="D129" s="441"/>
      <c r="E129" s="325"/>
      <c r="F129" s="325"/>
      <c r="G129" s="325"/>
      <c r="H129" s="325"/>
      <c r="I129" s="440"/>
      <c r="J129" s="442"/>
      <c r="K129" s="494"/>
      <c r="L129" s="495"/>
      <c r="M129" s="496"/>
      <c r="N129" s="497"/>
      <c r="O129" s="498"/>
      <c r="P129" s="499"/>
      <c r="Q129" s="500"/>
      <c r="R129" s="501"/>
      <c r="S129" s="501"/>
      <c r="T129" s="502"/>
      <c r="U129" s="570"/>
      <c r="V129" s="180"/>
    </row>
    <row r="130" spans="1:24" ht="165" x14ac:dyDescent="0.25">
      <c r="A130" s="564" t="s">
        <v>1554</v>
      </c>
      <c r="B130" s="439" t="str">
        <f>VLOOKUP(A130,'Feature Raw Data'!$A$3:$B$4204,2,FALSE)</f>
        <v>GFXHUB:GCUTCL2:VML2 - Mtype Attribute</v>
      </c>
      <c r="C130" s="440" t="str">
        <f>VLOOKUP(A130,'Feature Raw Data'!$A$3:$C$4204,3,FALSE)</f>
        <v>P1</v>
      </c>
      <c r="D130" s="441" t="str" cm="1">
        <f t="array" ref="D130">_xlfn.TEXTJOIN("",TRUE,IF(ISNUMBER(SEARCH($A130,'Diags Raw Data'!$A$6:$A$3992)),CONCATENATE('Diags Raw Data'!$H$6:$H$3992,", "),""))</f>
        <v xml:space="preserve">mhub408.101, mhub408.103, mhub408.105, mhub408.107, mhub408.151, mhub408.153, mhub408.155, mhub408.157, mhub408.161, mhub408.163, mhub408.165, mhub408.167, mhub408.171, mhub408.173, mhub408.175, mhub408.177, mhub408.81, mhub408.83, mhub408.85, mhub408.87, mhub408.91, mhub408.93, mhub408.95, mhub408.97, </v>
      </c>
      <c r="E130" s="325" t="e">
        <f>VLOOKUP(A130,'Diags Raw Data'!$A$6:$D$3992,4,FALSE)</f>
        <v>#N/A</v>
      </c>
      <c r="F130" s="325" t="str">
        <f>VLOOKUP(A130,'Feature Raw Data'!$A$3:$E$4204,5,FALSE)</f>
        <v>Delta</v>
      </c>
      <c r="G130" s="325" t="str">
        <f t="shared" si="64"/>
        <v>Yes</v>
      </c>
      <c r="H130" s="325" t="str">
        <f t="shared" si="65"/>
        <v>Yes</v>
      </c>
      <c r="I130" s="440">
        <f>SUMIF('Diags Raw Data'!$A$6:$A$3992,"*"&amp;$A130&amp;"*",'Diags Raw Data'!$K$6:$K$3992)</f>
        <v>27</v>
      </c>
      <c r="J130" s="442">
        <f>SUMIF('Diags Raw Data'!$A$6:$A$3992,"*"&amp;$A130&amp;"*",'Diags Raw Data'!$L$6:$L$3992)</f>
        <v>24</v>
      </c>
      <c r="K130" s="494" t="e" cm="1">
        <f t="array" ref="K130">IF(D130="",0, SUMPRODUCT(--(ISNUMBER(SEARCH($A130,'Diags Raw Data'!$A$6:$A$3992))),'Diags Raw Data'!$L$6:$L$3992,'Diags Raw Data'!$N$6:$N$3995)/J130)</f>
        <v>#VALUE!</v>
      </c>
      <c r="L130" s="495" cm="1">
        <f t="array" ref="L130">IF(D130="",0, SUMPRODUCT(--(ISNUMBER(SEARCH($A130,'Diags Raw Data'!$A$6:$A$3992))),'Diags Raw Data'!$L$6:$L$3992,'Diags Raw Data'!$P$6:$P$3992)/J130)</f>
        <v>1</v>
      </c>
      <c r="M130" s="496" cm="1">
        <f t="array" ref="M130">SUMPRODUCT(--(ISNUMBER(SEARCH($A130,'Diags Raw Data'!$A$6:$A$3992))),--('Diags Raw Data'!$Q$6:$Q$3992&lt;&gt;"N/A"),'Diags Raw Data'!$R$6:$R$3992)</f>
        <v>24</v>
      </c>
      <c r="N130" s="497" cm="1">
        <f t="array" ref="N130">SUMPRODUCT(--(ISNUMBER(SEARCH($A130,'Diags Raw Data'!$A$6:$A$3992))),--('Diags Raw Data'!$Q$6:$Q$3992&lt;&gt;"N/A"),'Diags Raw Data'!$T$6:$T$3992)+SUMPRODUCT(--(ISNUMBER(SEARCH($A130,'Diags Raw Data'!$A$6:$A$3992))),--('Diags Raw Data'!$Q$6:$Q$3992&lt;&gt;"N/A"),'Diags Raw Data'!$U$6:$U$3992)</f>
        <v>24</v>
      </c>
      <c r="O130" s="498">
        <f t="shared" si="66"/>
        <v>1</v>
      </c>
      <c r="P130" s="499">
        <f>SUMIF('Diags Raw Data'!$A$6:$A$3992,"*"&amp;$A130&amp;"*",'Diags Raw Data'!$Z$6:$Z$3992)</f>
        <v>24</v>
      </c>
      <c r="Q130" s="500">
        <f>SUM(SUMIF('Diags Raw Data'!$A$6:$A$3992,"*"&amp;$A130&amp;"*",'Diags Raw Data'!$AA$6:$AA$3992),SUMIF('Diags Raw Data'!$A$6:$A$3992,"*"&amp;$A130&amp;"*",'Diags Raw Data'!$AB$6:$AB$3992))</f>
        <v>24</v>
      </c>
      <c r="R130" s="501">
        <f t="shared" si="67"/>
        <v>1</v>
      </c>
      <c r="S130" s="501">
        <f t="shared" si="68"/>
        <v>1</v>
      </c>
      <c r="T130" s="502">
        <f t="shared" si="69"/>
        <v>1</v>
      </c>
      <c r="U130" s="570" t="s">
        <v>1692</v>
      </c>
      <c r="V130" s="180"/>
    </row>
    <row r="131" spans="1:24" ht="29.25" customHeight="1" x14ac:dyDescent="0.25">
      <c r="A131" s="564" t="s">
        <v>1556</v>
      </c>
      <c r="B131" s="439" t="str">
        <f>VLOOKUP(A131,'Feature Raw Data'!$A$3:$B$4204,2,FALSE)</f>
        <v>GFXHUB:GCUTCL2:VML2 - Qualify eXecute bit for gfx clients</v>
      </c>
      <c r="C131" s="440" t="str">
        <f>VLOOKUP(A131,'Feature Raw Data'!$A$3:$C$4204,3,FALSE)</f>
        <v>P2</v>
      </c>
      <c r="D131" s="441" t="str" cm="1">
        <f t="array" ref="D131">_xlfn.TEXTJOIN("",TRUE,IF(ISNUMBER(SEARCH($A131,'Diags Raw Data'!$A$6:$A$3992)),CONCATENATE('Diags Raw Data'!$H$6:$H$3992,", "),""))</f>
        <v xml:space="preserve">mhub208.3, </v>
      </c>
      <c r="E131" s="325" t="e">
        <f>VLOOKUP(A131,'Diags Raw Data'!$A$6:$D$3992,4,FALSE)</f>
        <v>#N/A</v>
      </c>
      <c r="F131" s="325" t="str">
        <f>VLOOKUP(A131,'Feature Raw Data'!$A$3:$E$4204,5,FALSE)</f>
        <v>Legacy</v>
      </c>
      <c r="G131" s="325" t="str">
        <f t="shared" si="64"/>
        <v>Yes</v>
      </c>
      <c r="H131" s="325" t="str">
        <f t="shared" si="65"/>
        <v>Yes</v>
      </c>
      <c r="I131" s="440">
        <f>SUMIF('Diags Raw Data'!$A$6:$A$3992,"*"&amp;$A131&amp;"*",'Diags Raw Data'!$K$6:$K$3992)</f>
        <v>1</v>
      </c>
      <c r="J131" s="442">
        <f>SUMIF('Diags Raw Data'!$A$6:$A$3992,"*"&amp;$A131&amp;"*",'Diags Raw Data'!$L$6:$L$3992)</f>
        <v>1</v>
      </c>
      <c r="K131" s="494" t="e" cm="1">
        <f t="array" ref="K131">IF(D131="",0, SUMPRODUCT(--(ISNUMBER(SEARCH($A131,'Diags Raw Data'!$A$6:$A$3992))),'Diags Raw Data'!$L$6:$L$3992,'Diags Raw Data'!$N$6:$N$3995)/J131)</f>
        <v>#VALUE!</v>
      </c>
      <c r="L131" s="495" cm="1">
        <f t="array" ref="L131">IF(D131="",0, SUMPRODUCT(--(ISNUMBER(SEARCH($A131,'Diags Raw Data'!$A$6:$A$3992))),'Diags Raw Data'!$L$6:$L$3992,'Diags Raw Data'!$P$6:$P$3992)/J131)</f>
        <v>1</v>
      </c>
      <c r="M131" s="496" cm="1">
        <f t="array" ref="M131">SUMPRODUCT(--(ISNUMBER(SEARCH($A131,'Diags Raw Data'!$A$6:$A$3992))),--('Diags Raw Data'!$Q$6:$Q$3992&lt;&gt;"N/A"),'Diags Raw Data'!$R$6:$R$3992)</f>
        <v>1</v>
      </c>
      <c r="N131" s="497" cm="1">
        <f t="array" ref="N131">SUMPRODUCT(--(ISNUMBER(SEARCH($A131,'Diags Raw Data'!$A$6:$A$3992))),--('Diags Raw Data'!$Q$6:$Q$3992&lt;&gt;"N/A"),'Diags Raw Data'!$T$6:$T$3992)+SUMPRODUCT(--(ISNUMBER(SEARCH($A131,'Diags Raw Data'!$A$6:$A$3992))),--('Diags Raw Data'!$Q$6:$Q$3992&lt;&gt;"N/A"),'Diags Raw Data'!$U$6:$U$3992)</f>
        <v>1</v>
      </c>
      <c r="O131" s="498">
        <f t="shared" si="66"/>
        <v>1</v>
      </c>
      <c r="P131" s="499">
        <f>SUMIF('Diags Raw Data'!$A$6:$A$3992,"*"&amp;$A131&amp;"*",'Diags Raw Data'!$Z$6:$Z$3992)</f>
        <v>0</v>
      </c>
      <c r="Q131" s="500">
        <f>SUM(SUMIF('Diags Raw Data'!$A$6:$A$3992,"*"&amp;$A131&amp;"*",'Diags Raw Data'!$AA$6:$AA$3992),SUMIF('Diags Raw Data'!$A$6:$A$3992,"*"&amp;$A131&amp;"*",'Diags Raw Data'!$AB$6:$AB$3992))</f>
        <v>0</v>
      </c>
      <c r="R131" s="501">
        <f t="shared" si="67"/>
        <v>0</v>
      </c>
      <c r="S131" s="501">
        <f t="shared" si="68"/>
        <v>0</v>
      </c>
      <c r="T131" s="502">
        <f t="shared" si="69"/>
        <v>0</v>
      </c>
      <c r="U131" s="570" t="s">
        <v>1690</v>
      </c>
      <c r="V131" s="180"/>
    </row>
    <row r="132" spans="1:24" ht="225" x14ac:dyDescent="0.25">
      <c r="A132" s="564" t="s">
        <v>939</v>
      </c>
      <c r="B132" s="439" t="str">
        <f>VLOOKUP(A132,'Feature Raw Data'!$A$3:$B$4204,2,FALSE)</f>
        <v>GFXHUB:GCUTCL2:VML2 - "noalloc" support (MALL)</v>
      </c>
      <c r="C132" s="440" t="str">
        <f>VLOOKUP(A132,'Feature Raw Data'!$A$3:$C$4204,3,FALSE)</f>
        <v>P1</v>
      </c>
      <c r="D132" s="441" t="str" cm="1">
        <f t="array" ref="D132">_xlfn.TEXTJOIN("",TRUE,IF(ISNUMBER(SEARCH($A132,'Diags Raw Data'!$A$6:$A$3992)),CONCATENATE('Diags Raw Data'!$H$6:$H$3992,", "),""))</f>
        <v xml:space="preserve">mhub353.525,531,533,539, mhub353.526,532,534,540, mhub353.541,543,545,547, mhub353.542,544,546,548, mhub353.549,551,553,555, mhub353.550,552,554,556, mhub353.102, mhub353.1,7, mhub353.2,8, mhub353.201,204, mhub353.301,304, mhub353.5-6,11-12, mhub353.203,206, mhub353.303,306, mhub353.111-112, mhub353.13,16, 19,22, mhub353.207,210, 213, 216, mhub353.307,310, 313, 316, mhub353.15,18, 21, 24, mhub353.209,212, 215, 218, mhub353.309,312, 315, 318, glxixxxx, </v>
      </c>
      <c r="E132" s="325" t="str">
        <f>VLOOKUP(A132,'Diags Raw Data'!$A$6:$D$3992,4,FALSE)</f>
        <v>GFXHUB</v>
      </c>
      <c r="F132" s="325" t="str">
        <f>VLOOKUP(A132,'Feature Raw Data'!$A$3:$E$4204,5,FALSE)</f>
        <v>Delta</v>
      </c>
      <c r="G132" s="325" t="str">
        <f t="shared" si="64"/>
        <v>Yes</v>
      </c>
      <c r="H132" s="325" t="str">
        <f t="shared" si="65"/>
        <v>Yes</v>
      </c>
      <c r="I132" s="440">
        <f>SUMIF('Diags Raw Data'!$A$6:$A$3992,"*"&amp;$A132&amp;"*",'Diags Raw Data'!$K$6:$K$3992)</f>
        <v>7</v>
      </c>
      <c r="J132" s="442">
        <f>SUMIF('Diags Raw Data'!$A$6:$A$3992,"*"&amp;$A132&amp;"*",'Diags Raw Data'!$L$6:$L$3992)</f>
        <v>25</v>
      </c>
      <c r="K132" s="494" t="e" cm="1">
        <f t="array" ref="K132">IF(D132="",0, SUMPRODUCT(--(ISNUMBER(SEARCH($A132,'Diags Raw Data'!$A$6:$A$3992))),'Diags Raw Data'!$L$6:$L$3992,'Diags Raw Data'!$N$6:$N$3995)/J132)</f>
        <v>#VALUE!</v>
      </c>
      <c r="L132" s="495" cm="1">
        <f t="array" ref="L132">IF(D132="",0, SUMPRODUCT(--(ISNUMBER(SEARCH($A132,'Diags Raw Data'!$A$6:$A$3992))),'Diags Raw Data'!$L$6:$L$3992,'Diags Raw Data'!$P$6:$P$3992)/J132)</f>
        <v>1</v>
      </c>
      <c r="M132" s="496" cm="1">
        <f t="array" ref="M132">SUMPRODUCT(--(ISNUMBER(SEARCH($A132,'Diags Raw Data'!$A$6:$A$3992))),--('Diags Raw Data'!$Q$6:$Q$3992&lt;&gt;"N/A"),'Diags Raw Data'!$R$6:$R$3992)</f>
        <v>13</v>
      </c>
      <c r="N132" s="497" cm="1">
        <f t="array" ref="N132">SUMPRODUCT(--(ISNUMBER(SEARCH($A132,'Diags Raw Data'!$A$6:$A$3992))),--('Diags Raw Data'!$Q$6:$Q$3992&lt;&gt;"N/A"),'Diags Raw Data'!$T$6:$T$3992)+SUMPRODUCT(--(ISNUMBER(SEARCH($A132,'Diags Raw Data'!$A$6:$A$3992))),--('Diags Raw Data'!$Q$6:$Q$3992&lt;&gt;"N/A"),'Diags Raw Data'!$U$6:$U$3992)</f>
        <v>0</v>
      </c>
      <c r="O132" s="498">
        <f t="shared" si="66"/>
        <v>0</v>
      </c>
      <c r="P132" s="499">
        <f>SUMIF('Diags Raw Data'!$A$6:$A$3992,"*"&amp;$A132&amp;"*",'Diags Raw Data'!$Z$6:$Z$3992)</f>
        <v>8</v>
      </c>
      <c r="Q132" s="500">
        <f>SUM(SUMIF('Diags Raw Data'!$A$6:$A$3992,"*"&amp;$A132&amp;"*",'Diags Raw Data'!$AA$6:$AA$3992),SUMIF('Diags Raw Data'!$A$6:$A$3992,"*"&amp;$A132&amp;"*",'Diags Raw Data'!$AB$6:$AB$3992))</f>
        <v>4</v>
      </c>
      <c r="R132" s="501">
        <f t="shared" si="67"/>
        <v>0.32</v>
      </c>
      <c r="S132" s="501">
        <f t="shared" si="68"/>
        <v>0.5</v>
      </c>
      <c r="T132" s="502">
        <f t="shared" si="69"/>
        <v>0.16</v>
      </c>
      <c r="U132" s="570" t="s">
        <v>1692</v>
      </c>
      <c r="V132" s="180"/>
      <c r="X132" s="181" t="s">
        <v>1538</v>
      </c>
    </row>
    <row r="133" spans="1:24" ht="45" hidden="1" x14ac:dyDescent="0.25">
      <c r="A133" s="564" t="s">
        <v>1230</v>
      </c>
      <c r="B133" s="439" t="str">
        <f>VLOOKUP(A133,'Feature Raw Data'!$A$3:$B$4204,2,FALSE)</f>
        <v>GFXHUB:GCUTCL2:VML2 - SA/SE Harvesting</v>
      </c>
      <c r="C133" s="440" t="str">
        <f>VLOOKUP(A133,'Feature Raw Data'!$A$3:$C$4204,3,FALSE)</f>
        <v>P1</v>
      </c>
      <c r="D133" s="441" t="str" cm="1">
        <f t="array" ref="D133">_xlfn.TEXTJOIN("",TRUE,IF(ISNUMBER(SEARCH($A133,'Diags Raw Data'!$A$6:$A$3992)),CONCATENATE('Diags Raw Data'!$H$6:$H$3992,", "),""))</f>
        <v xml:space="preserve">shci601.3,4, </v>
      </c>
      <c r="E133" s="325" t="str">
        <f>VLOOKUP(A133,'Diags Raw Data'!$A$6:$D$3992,4,FALSE)</f>
        <v>GFXHUB</v>
      </c>
      <c r="F133" s="325" t="str">
        <f>VLOOKUP(A133,'Feature Raw Data'!$A$3:$E$4204,5,FALSE)</f>
        <v>Legacy</v>
      </c>
      <c r="G133" s="325" t="str">
        <f t="shared" si="64"/>
        <v>Yes</v>
      </c>
      <c r="H133" s="325" t="str">
        <f t="shared" si="65"/>
        <v>Yes</v>
      </c>
      <c r="I133" s="440">
        <f>SUMIF('Diags Raw Data'!$A$6:$A$3992,"*"&amp;$A133&amp;"*",'Diags Raw Data'!$K$6:$K$3992)</f>
        <v>0</v>
      </c>
      <c r="J133" s="442">
        <f>SUMIF('Diags Raw Data'!$A$6:$A$3992,"*"&amp;$A133&amp;"*",'Diags Raw Data'!$L$6:$L$3992)</f>
        <v>0</v>
      </c>
      <c r="K133" s="494" t="e" cm="1">
        <f t="array" ref="K133">IF(D133="",0, SUMPRODUCT(--(ISNUMBER(SEARCH($A133,'Diags Raw Data'!$A$6:$A$3992))),'Diags Raw Data'!$L$6:$L$3992,'Diags Raw Data'!$N$6:$N$3995)/J133)</f>
        <v>#VALUE!</v>
      </c>
      <c r="L133" s="495" t="e" cm="1">
        <f t="array" ref="L133">IF(D133="",0, SUMPRODUCT(--(ISNUMBER(SEARCH($A133,'Diags Raw Data'!$A$6:$A$3992))),'Diags Raw Data'!$L$6:$L$3992,'Diags Raw Data'!$P$6:$P$3992)/J133)</f>
        <v>#DIV/0!</v>
      </c>
      <c r="M133" s="496" cm="1">
        <f t="array" ref="M133">SUMPRODUCT(--(ISNUMBER(SEARCH($A133,'Diags Raw Data'!$A$6:$A$3992))),--('Diags Raw Data'!$Q$6:$Q$3992&lt;&gt;"N/A"),'Diags Raw Data'!$R$6:$R$3992)</f>
        <v>0</v>
      </c>
      <c r="N133" s="497" cm="1">
        <f t="array" ref="N133">SUMPRODUCT(--(ISNUMBER(SEARCH($A133,'Diags Raw Data'!$A$6:$A$3992))),--('Diags Raw Data'!$Q$6:$Q$3992&lt;&gt;"N/A"),'Diags Raw Data'!$T$6:$T$3992)+SUMPRODUCT(--(ISNUMBER(SEARCH($A133,'Diags Raw Data'!$A$6:$A$3992))),--('Diags Raw Data'!$Q$6:$Q$3992&lt;&gt;"N/A"),'Diags Raw Data'!$U$6:$U$3992)</f>
        <v>0</v>
      </c>
      <c r="O133" s="498">
        <f t="shared" si="66"/>
        <v>0</v>
      </c>
      <c r="P133" s="499">
        <f>SUMIF('Diags Raw Data'!$A$6:$A$3992,"*"&amp;$A133&amp;"*",'Diags Raw Data'!$Z$6:$Z$3992)</f>
        <v>0</v>
      </c>
      <c r="Q133" s="500">
        <f>SUM(SUMIF('Diags Raw Data'!$A$6:$A$3992,"*"&amp;$A133&amp;"*",'Diags Raw Data'!$AA$6:$AA$3992),SUMIF('Diags Raw Data'!$A$6:$A$3992,"*"&amp;$A133&amp;"*",'Diags Raw Data'!$AB$6:$AB$3992))</f>
        <v>0</v>
      </c>
      <c r="R133" s="501">
        <f t="shared" si="67"/>
        <v>0</v>
      </c>
      <c r="S133" s="501">
        <f t="shared" si="68"/>
        <v>0</v>
      </c>
      <c r="T133" s="502">
        <f t="shared" si="69"/>
        <v>0</v>
      </c>
      <c r="U133" s="570" t="s">
        <v>1692</v>
      </c>
      <c r="V133" s="180"/>
      <c r="X133" s="181" t="s">
        <v>1558</v>
      </c>
    </row>
    <row r="134" spans="1:24" ht="30" x14ac:dyDescent="0.25">
      <c r="A134" s="564" t="s">
        <v>1220</v>
      </c>
      <c r="B134" s="439" t="str">
        <f>VLOOKUP(A134,'Feature Raw Data'!$A$3:$B$4204,2,FALSE)</f>
        <v>GFXHUB:GCUTCL2:VML2 - Programmable bank select in UTCL1/UTCL2</v>
      </c>
      <c r="C134" s="440" t="str">
        <f>VLOOKUP(A134,'Feature Raw Data'!$A$3:$C$4204,3,FALSE)</f>
        <v>P2</v>
      </c>
      <c r="D134" s="441" t="str" cm="1">
        <f t="array" ref="D134">_xlfn.TEXTJOIN("",TRUE,IF(ISNUMBER(SEARCH($A134,'Diags Raw Data'!$A$6:$A$3992)),CONCATENATE('Diags Raw Data'!$H$6:$H$3992,", "),""))</f>
        <v xml:space="preserve">mhub354.1,2, </v>
      </c>
      <c r="E134" s="325" t="str">
        <f>VLOOKUP(A134,'Diags Raw Data'!$A$6:$D$3992,4,FALSE)</f>
        <v>GFXHUB</v>
      </c>
      <c r="F134" s="325" t="str">
        <f>VLOOKUP(A134,'Feature Raw Data'!$A$3:$E$4204,5,FALSE)</f>
        <v>Legacy</v>
      </c>
      <c r="G134" s="325" t="str">
        <f t="shared" si="64"/>
        <v>Yes</v>
      </c>
      <c r="H134" s="325" t="str">
        <f t="shared" si="65"/>
        <v>Yes</v>
      </c>
      <c r="I134" s="440">
        <f>SUMIF('Diags Raw Data'!$A$6:$A$3992,"*"&amp;$A134&amp;"*",'Diags Raw Data'!$K$6:$K$3992)</f>
        <v>6</v>
      </c>
      <c r="J134" s="442">
        <f>SUMIF('Diags Raw Data'!$A$6:$A$3992,"*"&amp;$A134&amp;"*",'Diags Raw Data'!$L$6:$L$3992)</f>
        <v>2</v>
      </c>
      <c r="K134" s="494" t="e" cm="1">
        <f t="array" ref="K134">IF(D134="",0, SUMPRODUCT(--(ISNUMBER(SEARCH($A134,'Diags Raw Data'!$A$6:$A$3992))),'Diags Raw Data'!$L$6:$L$3992,'Diags Raw Data'!$N$6:$N$3995)/J134)</f>
        <v>#VALUE!</v>
      </c>
      <c r="L134" s="495" cm="1">
        <f t="array" ref="L134">IF(D134="",0, SUMPRODUCT(--(ISNUMBER(SEARCH($A134,'Diags Raw Data'!$A$6:$A$3992))),'Diags Raw Data'!$L$6:$L$3992,'Diags Raw Data'!$P$6:$P$3992)/J134)</f>
        <v>1</v>
      </c>
      <c r="M134" s="496" cm="1">
        <f t="array" ref="M134">SUMPRODUCT(--(ISNUMBER(SEARCH($A134,'Diags Raw Data'!$A$6:$A$3992))),--('Diags Raw Data'!$Q$6:$Q$3992&lt;&gt;"N/A"),'Diags Raw Data'!$R$6:$R$3992)</f>
        <v>2</v>
      </c>
      <c r="N134" s="497" cm="1">
        <f t="array" ref="N134">SUMPRODUCT(--(ISNUMBER(SEARCH($A134,'Diags Raw Data'!$A$6:$A$3992))),--('Diags Raw Data'!$Q$6:$Q$3992&lt;&gt;"N/A"),'Diags Raw Data'!$T$6:$T$3992)+SUMPRODUCT(--(ISNUMBER(SEARCH($A134,'Diags Raw Data'!$A$6:$A$3992))),--('Diags Raw Data'!$Q$6:$Q$3992&lt;&gt;"N/A"),'Diags Raw Data'!$U$6:$U$3992)</f>
        <v>2</v>
      </c>
      <c r="O134" s="498">
        <f t="shared" si="66"/>
        <v>1</v>
      </c>
      <c r="P134" s="499">
        <f>SUMIF('Diags Raw Data'!$A$6:$A$3992,"*"&amp;$A134&amp;"*",'Diags Raw Data'!$Z$6:$Z$3992)</f>
        <v>2</v>
      </c>
      <c r="Q134" s="500">
        <f>SUM(SUMIF('Diags Raw Data'!$A$6:$A$3992,"*"&amp;$A134&amp;"*",'Diags Raw Data'!$AA$6:$AA$3992),SUMIF('Diags Raw Data'!$A$6:$A$3992,"*"&amp;$A134&amp;"*",'Diags Raw Data'!$AB$6:$AB$3992))</f>
        <v>2</v>
      </c>
      <c r="R134" s="501">
        <f t="shared" si="67"/>
        <v>1</v>
      </c>
      <c r="S134" s="501">
        <f t="shared" si="68"/>
        <v>1</v>
      </c>
      <c r="T134" s="502">
        <f t="shared" si="69"/>
        <v>1</v>
      </c>
      <c r="U134" s="570" t="s">
        <v>1692</v>
      </c>
      <c r="V134" s="180"/>
    </row>
    <row r="135" spans="1:24" ht="30.75" hidden="1" customHeight="1" x14ac:dyDescent="0.25">
      <c r="A135" s="564"/>
      <c r="B135" s="439"/>
      <c r="C135" s="440"/>
      <c r="D135" s="441"/>
      <c r="E135" s="325"/>
      <c r="F135" s="325"/>
      <c r="G135" s="325"/>
      <c r="H135" s="325"/>
      <c r="I135" s="440"/>
      <c r="J135" s="442"/>
      <c r="K135" s="494"/>
      <c r="L135" s="495"/>
      <c r="M135" s="496"/>
      <c r="N135" s="497"/>
      <c r="O135" s="498"/>
      <c r="P135" s="499"/>
      <c r="Q135" s="500"/>
      <c r="R135" s="501"/>
      <c r="S135" s="501"/>
      <c r="T135" s="502"/>
      <c r="U135" s="570"/>
      <c r="V135" s="180"/>
    </row>
    <row r="136" spans="1:24" ht="32.25" customHeight="1" x14ac:dyDescent="0.25">
      <c r="A136" s="564" t="s">
        <v>1560</v>
      </c>
      <c r="B136" s="439" t="str">
        <f>VLOOKUP(A136,'Feature Raw Data'!$A$3:$B$4204,2,FALSE)</f>
        <v>GFXHUB:GCUTCL2:VML2 - Per VMID BigK support/SmallK/Bank_Select Support</v>
      </c>
      <c r="C136" s="440" t="str">
        <f>VLOOKUP(A136,'Feature Raw Data'!$A$3:$C$4204,3,FALSE)</f>
        <v>P2</v>
      </c>
      <c r="D136" s="441" t="str" cm="1">
        <f t="array" ref="D136">_xlfn.TEXTJOIN("",TRUE,IF(ISNUMBER(SEARCH($A136,'Diags Raw Data'!$A$6:$A$3992)),CONCATENATE('Diags Raw Data'!$H$6:$H$3992,", "),""))</f>
        <v xml:space="preserve">mhub259.1-32, </v>
      </c>
      <c r="E136" s="325" t="e">
        <f>VLOOKUP(A136,'Diags Raw Data'!$A$6:$D$3992,4,FALSE)</f>
        <v>#N/A</v>
      </c>
      <c r="F136" s="325" t="str">
        <f>VLOOKUP(A136,'Feature Raw Data'!$A$3:$E$4204,5,FALSE)</f>
        <v>Legacy</v>
      </c>
      <c r="G136" s="325" t="str">
        <f t="shared" si="64"/>
        <v>Yes</v>
      </c>
      <c r="H136" s="325" t="str">
        <f t="shared" si="65"/>
        <v>Yes</v>
      </c>
      <c r="I136" s="440">
        <f>SUMIF('Diags Raw Data'!$A$6:$A$3992,"*"&amp;$A136&amp;"*",'Diags Raw Data'!$K$6:$K$3992)</f>
        <v>1</v>
      </c>
      <c r="J136" s="442">
        <f>SUMIF('Diags Raw Data'!$A$6:$A$3992,"*"&amp;$A136&amp;"*",'Diags Raw Data'!$L$6:$L$3992)</f>
        <v>32</v>
      </c>
      <c r="K136" s="494" t="e" cm="1">
        <f t="array" ref="K136">IF(D136="",0, SUMPRODUCT(--(ISNUMBER(SEARCH($A136,'Diags Raw Data'!$A$6:$A$3992))),'Diags Raw Data'!$L$6:$L$3992,'Diags Raw Data'!$N$6:$N$3995)/J136)</f>
        <v>#VALUE!</v>
      </c>
      <c r="L136" s="495" cm="1">
        <f t="array" ref="L136">IF(D136="",0, SUMPRODUCT(--(ISNUMBER(SEARCH($A136,'Diags Raw Data'!$A$6:$A$3992))),'Diags Raw Data'!$L$6:$L$3992,'Diags Raw Data'!$P$6:$P$3992)/J136)</f>
        <v>1</v>
      </c>
      <c r="M136" s="496" cm="1">
        <f t="array" ref="M136">SUMPRODUCT(--(ISNUMBER(SEARCH($A136,'Diags Raw Data'!$A$6:$A$3992))),--('Diags Raw Data'!$Q$6:$Q$3992&lt;&gt;"N/A"),'Diags Raw Data'!$R$6:$R$3992)</f>
        <v>32</v>
      </c>
      <c r="N136" s="497" cm="1">
        <f t="array" ref="N136">SUMPRODUCT(--(ISNUMBER(SEARCH($A136,'Diags Raw Data'!$A$6:$A$3992))),--('Diags Raw Data'!$Q$6:$Q$3992&lt;&gt;"N/A"),'Diags Raw Data'!$T$6:$T$3992)+SUMPRODUCT(--(ISNUMBER(SEARCH($A136,'Diags Raw Data'!$A$6:$A$3992))),--('Diags Raw Data'!$Q$6:$Q$3992&lt;&gt;"N/A"),'Diags Raw Data'!$U$6:$U$3992)</f>
        <v>32</v>
      </c>
      <c r="O136" s="498">
        <f t="shared" si="66"/>
        <v>1</v>
      </c>
      <c r="P136" s="499">
        <f>SUMIF('Diags Raw Data'!$A$6:$A$3992,"*"&amp;$A136&amp;"*",'Diags Raw Data'!$Z$6:$Z$3992)</f>
        <v>32</v>
      </c>
      <c r="Q136" s="500">
        <f>SUM(SUMIF('Diags Raw Data'!$A$6:$A$3992,"*"&amp;$A136&amp;"*",'Diags Raw Data'!$AA$6:$AA$3992),SUMIF('Diags Raw Data'!$A$6:$A$3992,"*"&amp;$A136&amp;"*",'Diags Raw Data'!$AB$6:$AB$3992))</f>
        <v>18</v>
      </c>
      <c r="R136" s="501">
        <f t="shared" si="67"/>
        <v>1</v>
      </c>
      <c r="S136" s="501">
        <f t="shared" si="68"/>
        <v>0.5625</v>
      </c>
      <c r="T136" s="502">
        <f t="shared" si="69"/>
        <v>0.5625</v>
      </c>
      <c r="U136" s="570" t="s">
        <v>1690</v>
      </c>
      <c r="V136" s="180"/>
    </row>
    <row r="137" spans="1:24" ht="30" x14ac:dyDescent="0.25">
      <c r="A137" s="564" t="s">
        <v>883</v>
      </c>
      <c r="B137" s="439" t="str">
        <f>VLOOKUP(A137,'Feature Raw Data'!$A$3:$B$4204,2,FALSE)</f>
        <v>GFXHUB:GCUTCL2:VML2 - GPUVM L2 cache read/dump capabilities</v>
      </c>
      <c r="C137" s="440" t="str">
        <f>VLOOKUP(A137,'Feature Raw Data'!$A$3:$C$4204,3,FALSE)</f>
        <v>P2</v>
      </c>
      <c r="D137" s="441" t="str" cm="1">
        <f t="array" ref="D137">_xlfn.TEXTJOIN("",TRUE,IF(ISNUMBER(SEARCH($A137,'Diags Raw Data'!$A$6:$A$3992)),CONCATENATE('Diags Raw Data'!$H$6:$H$3992,", "),""))</f>
        <v xml:space="preserve">mhub233.1,3, 101,103, mhub233.2, mhub231.10,11, </v>
      </c>
      <c r="E137" s="325" t="str">
        <f>VLOOKUP(A137,'Diags Raw Data'!$A$6:$D$3992,4,FALSE)</f>
        <v>GFXHUB</v>
      </c>
      <c r="F137" s="325" t="str">
        <f>VLOOKUP(A137,'Feature Raw Data'!$A$3:$E$4204,5,FALSE)</f>
        <v>Legacy</v>
      </c>
      <c r="G137" s="325" t="str">
        <f t="shared" si="64"/>
        <v>Yes</v>
      </c>
      <c r="H137" s="325" t="str">
        <f t="shared" si="65"/>
        <v>Yes</v>
      </c>
      <c r="I137" s="440">
        <f>SUMIF('Diags Raw Data'!$A$6:$A$3992,"*"&amp;$A137&amp;"*",'Diags Raw Data'!$K$6:$K$3992)</f>
        <v>3</v>
      </c>
      <c r="J137" s="442">
        <f>SUMIF('Diags Raw Data'!$A$6:$A$3992,"*"&amp;$A137&amp;"*",'Diags Raw Data'!$L$6:$L$3992)</f>
        <v>7</v>
      </c>
      <c r="K137" s="494" t="e" cm="1">
        <f t="array" ref="K137">IF(D137="",0, SUMPRODUCT(--(ISNUMBER(SEARCH($A137,'Diags Raw Data'!$A$6:$A$3992))),'Diags Raw Data'!$L$6:$L$3992,'Diags Raw Data'!$N$6:$N$3995)/J137)</f>
        <v>#VALUE!</v>
      </c>
      <c r="L137" s="495" cm="1">
        <f t="array" ref="L137">IF(D137="",0, SUMPRODUCT(--(ISNUMBER(SEARCH($A137,'Diags Raw Data'!$A$6:$A$3992))),'Diags Raw Data'!$L$6:$L$3992,'Diags Raw Data'!$P$6:$P$3992)/J137)</f>
        <v>1</v>
      </c>
      <c r="M137" s="496" cm="1">
        <f t="array" ref="M137">SUMPRODUCT(--(ISNUMBER(SEARCH($A137,'Diags Raw Data'!$A$6:$A$3992))),--('Diags Raw Data'!$Q$6:$Q$3992&lt;&gt;"N/A"),'Diags Raw Data'!$R$6:$R$3992)</f>
        <v>7</v>
      </c>
      <c r="N137" s="497" cm="1">
        <f t="array" ref="N137">SUMPRODUCT(--(ISNUMBER(SEARCH($A137,'Diags Raw Data'!$A$6:$A$3992))),--('Diags Raw Data'!$Q$6:$Q$3992&lt;&gt;"N/A"),'Diags Raw Data'!$T$6:$T$3992)+SUMPRODUCT(--(ISNUMBER(SEARCH($A137,'Diags Raw Data'!$A$6:$A$3992))),--('Diags Raw Data'!$Q$6:$Q$3992&lt;&gt;"N/A"),'Diags Raw Data'!$U$6:$U$3992)</f>
        <v>7</v>
      </c>
      <c r="O137" s="498">
        <f t="shared" si="66"/>
        <v>1</v>
      </c>
      <c r="P137" s="499">
        <f>SUMIF('Diags Raw Data'!$A$6:$A$3992,"*"&amp;$A137&amp;"*",'Diags Raw Data'!$Z$6:$Z$3992)</f>
        <v>7</v>
      </c>
      <c r="Q137" s="500">
        <f>SUM(SUMIF('Diags Raw Data'!$A$6:$A$3992,"*"&amp;$A137&amp;"*",'Diags Raw Data'!$AA$6:$AA$3992),SUMIF('Diags Raw Data'!$A$6:$A$3992,"*"&amp;$A137&amp;"*",'Diags Raw Data'!$AB$6:$AB$3992))</f>
        <v>4</v>
      </c>
      <c r="R137" s="501">
        <f t="shared" si="67"/>
        <v>1</v>
      </c>
      <c r="S137" s="501">
        <f t="shared" si="68"/>
        <v>0.5714285714285714</v>
      </c>
      <c r="T137" s="502">
        <f t="shared" si="69"/>
        <v>0.5714285714285714</v>
      </c>
      <c r="U137" s="570" t="s">
        <v>1699</v>
      </c>
      <c r="V137" s="180"/>
    </row>
    <row r="138" spans="1:24" ht="75" hidden="1" x14ac:dyDescent="0.25">
      <c r="A138" s="564" t="s">
        <v>1225</v>
      </c>
      <c r="B138" s="439" t="str">
        <f>VLOOKUP(A138,'Feature Raw Data'!$A$3:$B$4204,2,FALSE)</f>
        <v>GFXHUB:GCUTCL2:VML2 - Virtual FIFOs to maximize bank probes</v>
      </c>
      <c r="C138" s="440" t="str">
        <f>VLOOKUP(A138,'Feature Raw Data'!$A$3:$C$4204,3,FALSE)</f>
        <v>P1</v>
      </c>
      <c r="D138" s="441" t="str" cm="1">
        <f t="array" ref="D138">_xlfn.TEXTJOIN("",TRUE,IF(ISNUMBER(SEARCH($A138,'Diags Raw Data'!$A$6:$A$3992)),CONCATENATE('Diags Raw Data'!$H$6:$H$3992,", "),""))</f>
        <v xml:space="preserve">gci30.900, </v>
      </c>
      <c r="E138" s="325" t="str">
        <f>VLOOKUP(A138,'Diags Raw Data'!$A$6:$D$3992,4,FALSE)</f>
        <v>GFXHUB</v>
      </c>
      <c r="F138" s="325" t="str">
        <f>VLOOKUP(A138,'Feature Raw Data'!$A$3:$E$4204,5,FALSE)</f>
        <v>Legacy</v>
      </c>
      <c r="G138" s="325" t="str">
        <f t="shared" si="64"/>
        <v>Yes</v>
      </c>
      <c r="H138" s="325" t="str">
        <f t="shared" si="65"/>
        <v>Yes</v>
      </c>
      <c r="I138" s="440">
        <f>SUMIF('Diags Raw Data'!$A$6:$A$3992,"*"&amp;$A138&amp;"*",'Diags Raw Data'!$K$6:$K$3992)</f>
        <v>0</v>
      </c>
      <c r="J138" s="442">
        <f>SUMIF('Diags Raw Data'!$A$6:$A$3992,"*"&amp;$A138&amp;"*",'Diags Raw Data'!$L$6:$L$3992)</f>
        <v>0</v>
      </c>
      <c r="K138" s="494" t="e" cm="1">
        <f t="array" ref="K138">IF(D138="",0, SUMPRODUCT(--(ISNUMBER(SEARCH($A138,'Diags Raw Data'!$A$6:$A$3992))),'Diags Raw Data'!$L$6:$L$3992,'Diags Raw Data'!$N$6:$N$3995)/J138)</f>
        <v>#VALUE!</v>
      </c>
      <c r="L138" s="495" t="e" cm="1">
        <f t="array" ref="L138">IF(D138="",0, SUMPRODUCT(--(ISNUMBER(SEARCH($A138,'Diags Raw Data'!$A$6:$A$3992))),'Diags Raw Data'!$L$6:$L$3992,'Diags Raw Data'!$P$6:$P$3992)/J138)</f>
        <v>#DIV/0!</v>
      </c>
      <c r="M138" s="496" cm="1">
        <f t="array" ref="M138">SUMPRODUCT(--(ISNUMBER(SEARCH($A138,'Diags Raw Data'!$A$6:$A$3992))),--('Diags Raw Data'!$Q$6:$Q$3992&lt;&gt;"N/A"),'Diags Raw Data'!$R$6:$R$3992)</f>
        <v>0</v>
      </c>
      <c r="N138" s="497" cm="1">
        <f t="array" ref="N138">SUMPRODUCT(--(ISNUMBER(SEARCH($A138,'Diags Raw Data'!$A$6:$A$3992))),--('Diags Raw Data'!$Q$6:$Q$3992&lt;&gt;"N/A"),'Diags Raw Data'!$T$6:$T$3992)+SUMPRODUCT(--(ISNUMBER(SEARCH($A138,'Diags Raw Data'!$A$6:$A$3992))),--('Diags Raw Data'!$Q$6:$Q$3992&lt;&gt;"N/A"),'Diags Raw Data'!$U$6:$U$3992)</f>
        <v>0</v>
      </c>
      <c r="O138" s="498">
        <f t="shared" si="66"/>
        <v>0</v>
      </c>
      <c r="P138" s="499">
        <f>SUMIF('Diags Raw Data'!$A$6:$A$3992,"*"&amp;$A138&amp;"*",'Diags Raw Data'!$Z$6:$Z$3992)</f>
        <v>0</v>
      </c>
      <c r="Q138" s="500">
        <f>SUM(SUMIF('Diags Raw Data'!$A$6:$A$3992,"*"&amp;$A138&amp;"*",'Diags Raw Data'!$AA$6:$AA$3992),SUMIF('Diags Raw Data'!$A$6:$A$3992,"*"&amp;$A138&amp;"*",'Diags Raw Data'!$AB$6:$AB$3992))</f>
        <v>0</v>
      </c>
      <c r="R138" s="501">
        <f>IF((J138=0),0,P138/J138)</f>
        <v>0</v>
      </c>
      <c r="S138" s="501">
        <f t="shared" si="68"/>
        <v>0</v>
      </c>
      <c r="T138" s="502">
        <f t="shared" si="69"/>
        <v>0</v>
      </c>
      <c r="U138" s="570" t="s">
        <v>1706</v>
      </c>
      <c r="V138" s="180"/>
      <c r="X138" s="181" t="s">
        <v>1562</v>
      </c>
    </row>
    <row r="139" spans="1:24" ht="17.25" hidden="1" customHeight="1" x14ac:dyDescent="0.25">
      <c r="A139" s="564"/>
      <c r="B139" s="439"/>
      <c r="C139" s="440"/>
      <c r="D139" s="441"/>
      <c r="E139" s="325"/>
      <c r="F139" s="325"/>
      <c r="G139" s="325"/>
      <c r="H139" s="325"/>
      <c r="I139" s="440"/>
      <c r="J139" s="442"/>
      <c r="K139" s="494"/>
      <c r="L139" s="495"/>
      <c r="M139" s="496"/>
      <c r="N139" s="497"/>
      <c r="O139" s="498"/>
      <c r="P139" s="499"/>
      <c r="Q139" s="500"/>
      <c r="R139" s="501"/>
      <c r="S139" s="501"/>
      <c r="T139" s="502"/>
      <c r="U139" s="570"/>
      <c r="V139" s="180"/>
    </row>
    <row r="140" spans="1:24" ht="30" x14ac:dyDescent="0.25">
      <c r="A140" s="564" t="s">
        <v>733</v>
      </c>
      <c r="B140" s="439" t="str">
        <f>VLOOKUP(A140,'Feature Raw Data'!$A$3:$B$4204,2,FALSE)</f>
        <v>GFXHUB:GCUTCL2:VML2 - Page Size Optimization</v>
      </c>
      <c r="C140" s="440" t="str">
        <f>VLOOKUP(A140,'Feature Raw Data'!$A$3:$C$4204,3,FALSE)</f>
        <v>P2</v>
      </c>
      <c r="D140" s="441" t="str" cm="1">
        <f t="array" ref="D140">_xlfn.TEXTJOIN("",TRUE,IF(ISNUMBER(SEARCH($A140,'Diags Raw Data'!$A$6:$A$3992)),CONCATENATE('Diags Raw Data'!$H$6:$H$3992,", "),""))</f>
        <v xml:space="preserve">mhub248.1, mhub248.2, mhub248.3, </v>
      </c>
      <c r="E140" s="325" t="str">
        <f>VLOOKUP(A140,'Diags Raw Data'!$A$6:$D$3992,4,FALSE)</f>
        <v>GFXHUB</v>
      </c>
      <c r="F140" s="325" t="str">
        <f>VLOOKUP(A140,'Feature Raw Data'!$A$3:$E$4204,5,FALSE)</f>
        <v>Legacy</v>
      </c>
      <c r="G140" s="325" t="str">
        <f t="shared" si="64"/>
        <v>Yes</v>
      </c>
      <c r="H140" s="325" t="str">
        <f t="shared" si="65"/>
        <v>Yes</v>
      </c>
      <c r="I140" s="440">
        <f>SUMIF('Diags Raw Data'!$A$6:$A$3992,"*"&amp;$A140&amp;"*",'Diags Raw Data'!$K$6:$K$3992)</f>
        <v>3</v>
      </c>
      <c r="J140" s="442">
        <f>SUMIF('Diags Raw Data'!$A$6:$A$3992,"*"&amp;$A140&amp;"*",'Diags Raw Data'!$L$6:$L$3992)</f>
        <v>3</v>
      </c>
      <c r="K140" s="494" t="e" cm="1">
        <f t="array" ref="K140">IF(D140="",0, SUMPRODUCT(--(ISNUMBER(SEARCH($A140,'Diags Raw Data'!$A$6:$A$3992))),'Diags Raw Data'!$L$6:$L$3992,'Diags Raw Data'!$N$6:$N$3995)/J140)</f>
        <v>#VALUE!</v>
      </c>
      <c r="L140" s="495" cm="1">
        <f t="array" ref="L140">IF(D140="",0, SUMPRODUCT(--(ISNUMBER(SEARCH($A140,'Diags Raw Data'!$A$6:$A$3992))),'Diags Raw Data'!$L$6:$L$3992,'Diags Raw Data'!$P$6:$P$3992)/J140)</f>
        <v>1</v>
      </c>
      <c r="M140" s="496" cm="1">
        <f t="array" ref="M140">SUMPRODUCT(--(ISNUMBER(SEARCH($A140,'Diags Raw Data'!$A$6:$A$3992))),--('Diags Raw Data'!$Q$6:$Q$3992&lt;&gt;"N/A"),'Diags Raw Data'!$R$6:$R$3992)</f>
        <v>3</v>
      </c>
      <c r="N140" s="497" cm="1">
        <f t="array" ref="N140">SUMPRODUCT(--(ISNUMBER(SEARCH($A140,'Diags Raw Data'!$A$6:$A$3992))),--('Diags Raw Data'!$Q$6:$Q$3992&lt;&gt;"N/A"),'Diags Raw Data'!$T$6:$T$3992)+SUMPRODUCT(--(ISNUMBER(SEARCH($A140,'Diags Raw Data'!$A$6:$A$3992))),--('Diags Raw Data'!$Q$6:$Q$3992&lt;&gt;"N/A"),'Diags Raw Data'!$U$6:$U$3992)</f>
        <v>3</v>
      </c>
      <c r="O140" s="498">
        <f t="shared" si="66"/>
        <v>1</v>
      </c>
      <c r="P140" s="499">
        <f>SUMIF('Diags Raw Data'!$A$6:$A$3992,"*"&amp;$A140&amp;"*",'Diags Raw Data'!$Z$6:$Z$3992)</f>
        <v>3</v>
      </c>
      <c r="Q140" s="500">
        <f>SUM(SUMIF('Diags Raw Data'!$A$6:$A$3992,"*"&amp;$A140&amp;"*",'Diags Raw Data'!$AA$6:$AA$3992),SUMIF('Diags Raw Data'!$A$6:$A$3992,"*"&amp;$A140&amp;"*",'Diags Raw Data'!$AB$6:$AB$3992))</f>
        <v>0</v>
      </c>
      <c r="R140" s="501">
        <f t="shared" ref="R140" si="82">IF((J140=0),0,P140/J140)</f>
        <v>1</v>
      </c>
      <c r="S140" s="501">
        <f t="shared" si="68"/>
        <v>0</v>
      </c>
      <c r="T140" s="502">
        <f t="shared" si="69"/>
        <v>0</v>
      </c>
      <c r="U140" s="570" t="s">
        <v>1706</v>
      </c>
      <c r="V140" s="180"/>
    </row>
    <row r="141" spans="1:24" hidden="1" x14ac:dyDescent="0.25">
      <c r="A141" s="564"/>
      <c r="B141" s="439"/>
      <c r="C141" s="440"/>
      <c r="D141" s="441"/>
      <c r="E141" s="325"/>
      <c r="F141" s="325"/>
      <c r="G141" s="325"/>
      <c r="H141" s="325"/>
      <c r="I141" s="440"/>
      <c r="J141" s="442"/>
      <c r="K141" s="494"/>
      <c r="L141" s="495"/>
      <c r="M141" s="496"/>
      <c r="N141" s="497"/>
      <c r="O141" s="498"/>
      <c r="P141" s="499"/>
      <c r="Q141" s="500"/>
      <c r="R141" s="501"/>
      <c r="S141" s="501"/>
      <c r="T141" s="502"/>
      <c r="U141" s="570"/>
      <c r="V141" s="180"/>
    </row>
    <row r="142" spans="1:24" hidden="1" x14ac:dyDescent="0.25">
      <c r="A142" s="564"/>
      <c r="B142" s="439"/>
      <c r="C142" s="440"/>
      <c r="D142" s="441"/>
      <c r="E142" s="325"/>
      <c r="F142" s="325"/>
      <c r="G142" s="325"/>
      <c r="H142" s="325"/>
      <c r="I142" s="440"/>
      <c r="J142" s="442"/>
      <c r="K142" s="494"/>
      <c r="L142" s="495"/>
      <c r="M142" s="496"/>
      <c r="N142" s="497"/>
      <c r="O142" s="498"/>
      <c r="P142" s="499"/>
      <c r="Q142" s="500"/>
      <c r="R142" s="501"/>
      <c r="S142" s="501"/>
      <c r="T142" s="502"/>
      <c r="U142" s="570"/>
      <c r="V142" s="180"/>
    </row>
    <row r="143" spans="1:24" hidden="1" x14ac:dyDescent="0.25">
      <c r="A143" s="564"/>
      <c r="B143" s="439"/>
      <c r="C143" s="440"/>
      <c r="D143" s="441"/>
      <c r="E143" s="325"/>
      <c r="F143" s="325"/>
      <c r="G143" s="325"/>
      <c r="H143" s="325"/>
      <c r="I143" s="440"/>
      <c r="J143" s="442"/>
      <c r="K143" s="494"/>
      <c r="L143" s="495"/>
      <c r="M143" s="496"/>
      <c r="N143" s="497"/>
      <c r="O143" s="498"/>
      <c r="P143" s="499"/>
      <c r="Q143" s="500"/>
      <c r="R143" s="501"/>
      <c r="S143" s="501"/>
      <c r="T143" s="502"/>
      <c r="U143" s="570"/>
      <c r="V143" s="180"/>
    </row>
    <row r="144" spans="1:24" hidden="1" x14ac:dyDescent="0.25">
      <c r="A144" s="564"/>
      <c r="B144" s="439"/>
      <c r="C144" s="440"/>
      <c r="D144" s="441"/>
      <c r="E144" s="325"/>
      <c r="F144" s="325"/>
      <c r="G144" s="325"/>
      <c r="H144" s="325"/>
      <c r="I144" s="440"/>
      <c r="J144" s="442"/>
      <c r="K144" s="494"/>
      <c r="L144" s="495"/>
      <c r="M144" s="496"/>
      <c r="N144" s="497"/>
      <c r="O144" s="498"/>
      <c r="P144" s="499"/>
      <c r="Q144" s="500"/>
      <c r="R144" s="501"/>
      <c r="S144" s="501"/>
      <c r="T144" s="502"/>
      <c r="U144" s="570"/>
      <c r="V144" s="180"/>
    </row>
    <row r="145" spans="1:22" hidden="1" x14ac:dyDescent="0.25">
      <c r="A145" s="564"/>
      <c r="B145" s="439"/>
      <c r="C145" s="440"/>
      <c r="D145" s="441"/>
      <c r="E145" s="325"/>
      <c r="F145" s="325"/>
      <c r="G145" s="325"/>
      <c r="H145" s="325"/>
      <c r="I145" s="440"/>
      <c r="J145" s="442"/>
      <c r="K145" s="494"/>
      <c r="L145" s="495"/>
      <c r="M145" s="496"/>
      <c r="N145" s="497"/>
      <c r="O145" s="498"/>
      <c r="P145" s="499"/>
      <c r="Q145" s="500"/>
      <c r="R145" s="501"/>
      <c r="S145" s="501"/>
      <c r="T145" s="502"/>
      <c r="U145" s="570"/>
      <c r="V145" s="180"/>
    </row>
    <row r="146" spans="1:22" hidden="1" x14ac:dyDescent="0.25">
      <c r="A146" s="564"/>
      <c r="B146" s="439"/>
      <c r="C146" s="440"/>
      <c r="D146" s="441"/>
      <c r="E146" s="325"/>
      <c r="F146" s="325"/>
      <c r="G146" s="325"/>
      <c r="H146" s="325"/>
      <c r="I146" s="440"/>
      <c r="J146" s="442"/>
      <c r="K146" s="494"/>
      <c r="L146" s="495"/>
      <c r="M146" s="496"/>
      <c r="N146" s="497"/>
      <c r="O146" s="498"/>
      <c r="P146" s="499"/>
      <c r="Q146" s="500"/>
      <c r="R146" s="501"/>
      <c r="S146" s="501"/>
      <c r="T146" s="502"/>
      <c r="U146" s="570"/>
      <c r="V146" s="180"/>
    </row>
    <row r="147" spans="1:22" ht="110.25" hidden="1" customHeight="1" x14ac:dyDescent="0.25">
      <c r="A147" s="564"/>
      <c r="B147" s="439"/>
      <c r="C147" s="440"/>
      <c r="D147" s="441"/>
      <c r="E147" s="325"/>
      <c r="F147" s="325"/>
      <c r="G147" s="325"/>
      <c r="H147" s="325"/>
      <c r="I147" s="440"/>
      <c r="J147" s="442"/>
      <c r="K147" s="494"/>
      <c r="L147" s="495"/>
      <c r="M147" s="496"/>
      <c r="N147" s="497"/>
      <c r="O147" s="498"/>
      <c r="P147" s="499"/>
      <c r="Q147" s="500"/>
      <c r="R147" s="501"/>
      <c r="S147" s="501"/>
      <c r="T147" s="502"/>
      <c r="U147" s="570"/>
      <c r="V147" s="180"/>
    </row>
    <row r="148" spans="1:22" hidden="1" x14ac:dyDescent="0.25">
      <c r="A148" s="564"/>
      <c r="B148" s="439"/>
      <c r="C148" s="440"/>
      <c r="D148" s="441"/>
      <c r="E148" s="325"/>
      <c r="F148" s="325"/>
      <c r="G148" s="325"/>
      <c r="H148" s="325"/>
      <c r="I148" s="440"/>
      <c r="J148" s="442"/>
      <c r="K148" s="494"/>
      <c r="L148" s="495"/>
      <c r="M148" s="496"/>
      <c r="N148" s="497"/>
      <c r="O148" s="498"/>
      <c r="P148" s="499"/>
      <c r="Q148" s="500"/>
      <c r="R148" s="501"/>
      <c r="S148" s="501"/>
      <c r="T148" s="502"/>
      <c r="U148" s="570"/>
      <c r="V148" s="182"/>
    </row>
    <row r="149" spans="1:22" hidden="1" x14ac:dyDescent="0.25">
      <c r="A149" s="564"/>
      <c r="B149" s="439"/>
      <c r="C149" s="440"/>
      <c r="D149" s="441"/>
      <c r="E149" s="325"/>
      <c r="F149" s="325"/>
      <c r="G149" s="325"/>
      <c r="H149" s="325"/>
      <c r="I149" s="440"/>
      <c r="J149" s="442"/>
      <c r="K149" s="494"/>
      <c r="L149" s="495"/>
      <c r="M149" s="496"/>
      <c r="N149" s="497"/>
      <c r="O149" s="498"/>
      <c r="P149" s="499"/>
      <c r="Q149" s="500"/>
      <c r="R149" s="501"/>
      <c r="S149" s="501"/>
      <c r="T149" s="502"/>
      <c r="U149" s="570"/>
      <c r="V149" s="180"/>
    </row>
    <row r="150" spans="1:22" hidden="1" x14ac:dyDescent="0.25">
      <c r="A150" s="564"/>
      <c r="B150" s="439"/>
      <c r="C150" s="440"/>
      <c r="D150" s="441"/>
      <c r="E150" s="325"/>
      <c r="F150" s="325"/>
      <c r="G150" s="325"/>
      <c r="H150" s="325"/>
      <c r="I150" s="440"/>
      <c r="J150" s="442"/>
      <c r="K150" s="494"/>
      <c r="L150" s="495"/>
      <c r="M150" s="496"/>
      <c r="N150" s="497"/>
      <c r="O150" s="498"/>
      <c r="P150" s="499"/>
      <c r="Q150" s="500"/>
      <c r="R150" s="501"/>
      <c r="S150" s="501"/>
      <c r="T150" s="502"/>
      <c r="U150" s="570"/>
      <c r="V150" s="180"/>
    </row>
    <row r="151" spans="1:22" hidden="1" x14ac:dyDescent="0.25">
      <c r="A151" s="564"/>
      <c r="B151" s="439"/>
      <c r="C151" s="440"/>
      <c r="D151" s="441"/>
      <c r="E151" s="325"/>
      <c r="F151" s="325"/>
      <c r="G151" s="325"/>
      <c r="H151" s="325"/>
      <c r="I151" s="440"/>
      <c r="J151" s="442"/>
      <c r="K151" s="494"/>
      <c r="L151" s="495"/>
      <c r="M151" s="496"/>
      <c r="N151" s="497"/>
      <c r="O151" s="498"/>
      <c r="P151" s="499"/>
      <c r="Q151" s="500"/>
      <c r="R151" s="501"/>
      <c r="S151" s="501"/>
      <c r="T151" s="502"/>
      <c r="U151" s="570"/>
      <c r="V151" s="180"/>
    </row>
    <row r="152" spans="1:22" hidden="1" x14ac:dyDescent="0.25">
      <c r="A152" s="564"/>
      <c r="B152" s="439"/>
      <c r="C152" s="440"/>
      <c r="D152" s="441"/>
      <c r="E152" s="325"/>
      <c r="F152" s="325"/>
      <c r="G152" s="325"/>
      <c r="H152" s="325"/>
      <c r="I152" s="440"/>
      <c r="J152" s="442"/>
      <c r="K152" s="494"/>
      <c r="L152" s="495"/>
      <c r="M152" s="496"/>
      <c r="N152" s="497"/>
      <c r="O152" s="498"/>
      <c r="P152" s="499"/>
      <c r="Q152" s="500"/>
      <c r="R152" s="501"/>
      <c r="S152" s="501"/>
      <c r="T152" s="502"/>
      <c r="U152" s="570"/>
      <c r="V152" s="180"/>
    </row>
    <row r="153" spans="1:22" hidden="1" x14ac:dyDescent="0.25">
      <c r="A153" s="564"/>
      <c r="B153" s="439"/>
      <c r="C153" s="440"/>
      <c r="D153" s="441"/>
      <c r="E153" s="325"/>
      <c r="F153" s="325"/>
      <c r="G153" s="325"/>
      <c r="H153" s="325"/>
      <c r="I153" s="440"/>
      <c r="J153" s="442"/>
      <c r="K153" s="494"/>
      <c r="L153" s="495"/>
      <c r="M153" s="496"/>
      <c r="N153" s="497"/>
      <c r="O153" s="498"/>
      <c r="P153" s="499"/>
      <c r="Q153" s="500"/>
      <c r="R153" s="501"/>
      <c r="S153" s="501"/>
      <c r="T153" s="502"/>
      <c r="U153" s="570"/>
      <c r="V153" s="180"/>
    </row>
    <row r="154" spans="1:22" hidden="1" x14ac:dyDescent="0.25">
      <c r="A154" s="564"/>
      <c r="B154" s="439"/>
      <c r="C154" s="440"/>
      <c r="D154" s="441"/>
      <c r="E154" s="325"/>
      <c r="F154" s="325"/>
      <c r="G154" s="325"/>
      <c r="H154" s="325"/>
      <c r="I154" s="440"/>
      <c r="J154" s="442"/>
      <c r="K154" s="494"/>
      <c r="L154" s="495"/>
      <c r="M154" s="496"/>
      <c r="N154" s="497"/>
      <c r="O154" s="498"/>
      <c r="P154" s="499"/>
      <c r="Q154" s="500"/>
      <c r="R154" s="501"/>
      <c r="S154" s="501"/>
      <c r="T154" s="502"/>
      <c r="U154" s="570"/>
      <c r="V154" s="180"/>
    </row>
    <row r="155" spans="1:22" hidden="1" x14ac:dyDescent="0.25">
      <c r="A155" s="564"/>
      <c r="B155" s="439"/>
      <c r="C155" s="440"/>
      <c r="D155" s="441"/>
      <c r="E155" s="325"/>
      <c r="F155" s="325"/>
      <c r="G155" s="325"/>
      <c r="H155" s="325"/>
      <c r="I155" s="440"/>
      <c r="J155" s="442"/>
      <c r="K155" s="494"/>
      <c r="L155" s="495"/>
      <c r="M155" s="496"/>
      <c r="N155" s="497"/>
      <c r="O155" s="498"/>
      <c r="P155" s="499"/>
      <c r="Q155" s="500"/>
      <c r="R155" s="501"/>
      <c r="S155" s="501"/>
      <c r="T155" s="502"/>
      <c r="U155" s="570"/>
      <c r="V155" s="180"/>
    </row>
    <row r="156" spans="1:22" hidden="1" x14ac:dyDescent="0.25">
      <c r="A156" s="564"/>
      <c r="B156" s="439"/>
      <c r="C156" s="440"/>
      <c r="D156" s="441"/>
      <c r="E156" s="325"/>
      <c r="F156" s="325"/>
      <c r="G156" s="325"/>
      <c r="H156" s="325"/>
      <c r="I156" s="440"/>
      <c r="J156" s="442"/>
      <c r="K156" s="494"/>
      <c r="L156" s="495"/>
      <c r="M156" s="496"/>
      <c r="N156" s="497"/>
      <c r="O156" s="498"/>
      <c r="P156" s="499"/>
      <c r="Q156" s="500"/>
      <c r="R156" s="501"/>
      <c r="S156" s="501"/>
      <c r="T156" s="502"/>
      <c r="U156" s="570"/>
      <c r="V156" s="180"/>
    </row>
    <row r="157" spans="1:22" hidden="1" x14ac:dyDescent="0.25">
      <c r="A157" s="564"/>
      <c r="B157" s="439"/>
      <c r="C157" s="440"/>
      <c r="D157" s="441"/>
      <c r="E157" s="325"/>
      <c r="F157" s="325"/>
      <c r="G157" s="325"/>
      <c r="H157" s="325"/>
      <c r="I157" s="440"/>
      <c r="J157" s="442"/>
      <c r="K157" s="494"/>
      <c r="L157" s="495"/>
      <c r="M157" s="496"/>
      <c r="N157" s="497"/>
      <c r="O157" s="498"/>
      <c r="P157" s="499"/>
      <c r="Q157" s="500"/>
      <c r="R157" s="501"/>
      <c r="S157" s="501"/>
      <c r="T157" s="502"/>
      <c r="U157" s="570"/>
      <c r="V157" s="180"/>
    </row>
    <row r="158" spans="1:22" hidden="1" x14ac:dyDescent="0.25">
      <c r="A158" s="564"/>
      <c r="B158" s="439"/>
      <c r="C158" s="440"/>
      <c r="D158" s="441"/>
      <c r="E158" s="325"/>
      <c r="F158" s="325"/>
      <c r="G158" s="325"/>
      <c r="H158" s="325"/>
      <c r="I158" s="440"/>
      <c r="J158" s="442"/>
      <c r="K158" s="494"/>
      <c r="L158" s="495"/>
      <c r="M158" s="496"/>
      <c r="N158" s="497"/>
      <c r="O158" s="498"/>
      <c r="P158" s="499"/>
      <c r="Q158" s="500"/>
      <c r="R158" s="501"/>
      <c r="S158" s="501"/>
      <c r="T158" s="502"/>
      <c r="U158" s="570"/>
      <c r="V158" s="180"/>
    </row>
    <row r="159" spans="1:22" ht="42" customHeight="1" x14ac:dyDescent="0.25">
      <c r="A159" s="564" t="s">
        <v>1579</v>
      </c>
      <c r="B159" s="439" t="str">
        <f>VLOOKUP(A159,'Feature Raw Data'!$A$3:$B$4204,2,FALSE)</f>
        <v>ATHUB:SOC - SOC-15 SDP interfaces (SOC-15 baseline)</v>
      </c>
      <c r="C159" s="440" t="str">
        <f>VLOOKUP(A159,'Feature Raw Data'!$A$3:$C$4204,3,FALSE)</f>
        <v>P1</v>
      </c>
      <c r="D159" s="441" t="str" cm="1">
        <f t="array" ref="D159">_xlfn.TEXTJOIN("",TRUE,IF(ISNUMBER(SEARCH($A159,'Diags Raw Data'!$A$6:$A$3992)),CONCATENATE('Diags Raw Data'!$H$6:$H$3992,", "),""))</f>
        <v xml:space="preserve">mhub001.1, mhub001.2, mhub001.3, mhub001.4, mhub001.5, mhub001.6, mhub001.7, mhub001.9, </v>
      </c>
      <c r="E159" s="325" t="e">
        <f>VLOOKUP(A159,'Diags Raw Data'!$A$6:$D$3992,4,FALSE)</f>
        <v>#N/A</v>
      </c>
      <c r="F159" s="325" t="str">
        <f>VLOOKUP(A159,'Feature Raw Data'!$A$3:$E$4204,5,FALSE)</f>
        <v>Delta</v>
      </c>
      <c r="G159" s="325" t="str">
        <f t="shared" ref="G159:G201" si="83">IF(D159="","No","Yes")</f>
        <v>Yes</v>
      </c>
      <c r="H159" s="325" t="str">
        <f t="shared" ref="H159:H201" si="84">IF(D159="","No","Yes")</f>
        <v>Yes</v>
      </c>
      <c r="I159" s="440">
        <f>SUMIF('Diags Raw Data'!$A$6:$A$3992,"*"&amp;$A159&amp;"*",'Diags Raw Data'!$K$6:$K$3992)</f>
        <v>8</v>
      </c>
      <c r="J159" s="442">
        <f>SUMIF('Diags Raw Data'!$A$6:$A$3992,"*"&amp;$A159&amp;"*",'Diags Raw Data'!$L$6:$L$3992)</f>
        <v>8</v>
      </c>
      <c r="K159" s="494" t="e" cm="1">
        <f t="array" ref="K159">IF(D159="",0, SUMPRODUCT(--(ISNUMBER(SEARCH($A159,'Diags Raw Data'!$A$6:$A$3992))),'Diags Raw Data'!$L$6:$L$3992,'Diags Raw Data'!$N$6:$N$3995)/J159)</f>
        <v>#VALUE!</v>
      </c>
      <c r="L159" s="495" cm="1">
        <f t="array" ref="L159">IF(D159="",0, SUMPRODUCT(--(ISNUMBER(SEARCH($A159,'Diags Raw Data'!$A$6:$A$3992))),'Diags Raw Data'!$L$6:$L$3992,'Diags Raw Data'!$P$6:$P$3992)/J159)</f>
        <v>1</v>
      </c>
      <c r="M159" s="496" cm="1">
        <f t="array" ref="M159">SUMPRODUCT(--(ISNUMBER(SEARCH($A159,'Diags Raw Data'!$A$6:$A$3992))),--('Diags Raw Data'!$Q$6:$Q$3992&lt;&gt;"N/A"),'Diags Raw Data'!$R$6:$R$3992)</f>
        <v>8</v>
      </c>
      <c r="N159" s="497" cm="1">
        <f t="array" ref="N159">SUMPRODUCT(--(ISNUMBER(SEARCH($A159,'Diags Raw Data'!$A$6:$A$3992))),--('Diags Raw Data'!$Q$6:$Q$3992&lt;&gt;"N/A"),'Diags Raw Data'!$T$6:$T$3992)+SUMPRODUCT(--(ISNUMBER(SEARCH($A159,'Diags Raw Data'!$A$6:$A$3992))),--('Diags Raw Data'!$Q$6:$Q$3992&lt;&gt;"N/A"),'Diags Raw Data'!$U$6:$U$3992)</f>
        <v>8</v>
      </c>
      <c r="O159" s="498">
        <f t="shared" ref="O159:O201" si="85">IF((M159=0),0,N159/M159)</f>
        <v>1</v>
      </c>
      <c r="P159" s="499">
        <f>SUMIF('Diags Raw Data'!$A$6:$A$3992,"*"&amp;$A159&amp;"*",'Diags Raw Data'!$Z$6:$Z$3992)</f>
        <v>8</v>
      </c>
      <c r="Q159" s="500">
        <f>SUM(SUMIF('Diags Raw Data'!$A$6:$A$3992,"*"&amp;$A159&amp;"*",'Diags Raw Data'!$AA$6:$AA$3992),SUMIF('Diags Raw Data'!$A$6:$A$3992,"*"&amp;$A159&amp;"*",'Diags Raw Data'!$AB$6:$AB$3992))</f>
        <v>8</v>
      </c>
      <c r="R159" s="501">
        <f t="shared" ref="R159:R201" si="86">IF((J159=0),0,P159/J159)</f>
        <v>1</v>
      </c>
      <c r="S159" s="501">
        <f t="shared" ref="S159:S201" si="87">IF((P159=0),0,Q159/P159)</f>
        <v>1</v>
      </c>
      <c r="T159" s="502">
        <f t="shared" ref="T159:T201" si="88">R159*S159</f>
        <v>1</v>
      </c>
      <c r="U159" s="570" t="s">
        <v>1690</v>
      </c>
      <c r="V159" s="180"/>
    </row>
    <row r="160" spans="1:22" ht="30" x14ac:dyDescent="0.25">
      <c r="A160" s="564" t="s">
        <v>1581</v>
      </c>
      <c r="B160" s="439" t="str">
        <f>VLOOKUP(A160,'Feature Raw Data'!$A$3:$B$4204,2,FALSE)</f>
        <v>ATHUB:SOC - SOC-15 SCF interfaces (SOC-15 baseline)</v>
      </c>
      <c r="C160" s="440" t="str">
        <f>VLOOKUP(A160,'Feature Raw Data'!$A$3:$C$4204,3,FALSE)</f>
        <v>P2</v>
      </c>
      <c r="D160" s="441" t="str" cm="1">
        <f t="array" ref="D160">_xlfn.TEXTJOIN("",TRUE,IF(ISNUMBER(SEARCH($A160,'Diags Raw Data'!$A$6:$A$3992)),CONCATENATE('Diags Raw Data'!$H$6:$H$3992,", "),""))</f>
        <v xml:space="preserve">mhub002.1-15, mhub002.1-15, mhub002.16, mhub002.16, </v>
      </c>
      <c r="E160" s="325" t="e">
        <f>VLOOKUP(A160,'Diags Raw Data'!$A$6:$D$3992,4,FALSE)</f>
        <v>#N/A</v>
      </c>
      <c r="F160" s="325" t="str">
        <f>VLOOKUP(A160,'Feature Raw Data'!$A$3:$E$4204,5,FALSE)</f>
        <v>Legacy</v>
      </c>
      <c r="G160" s="325" t="str">
        <f t="shared" si="83"/>
        <v>Yes</v>
      </c>
      <c r="H160" s="325" t="str">
        <f t="shared" si="84"/>
        <v>Yes</v>
      </c>
      <c r="I160" s="440">
        <f>SUMIF('Diags Raw Data'!$A$6:$A$3992,"*"&amp;$A160&amp;"*",'Diags Raw Data'!$K$6:$K$3992)</f>
        <v>4</v>
      </c>
      <c r="J160" s="442">
        <f>SUMIF('Diags Raw Data'!$A$6:$A$3992,"*"&amp;$A160&amp;"*",'Diags Raw Data'!$L$6:$L$3992)</f>
        <v>32</v>
      </c>
      <c r="K160" s="494" t="e" cm="1">
        <f t="array" ref="K160">IF(D160="",0, SUMPRODUCT(--(ISNUMBER(SEARCH($A160,'Diags Raw Data'!$A$6:$A$3992))),'Diags Raw Data'!$L$6:$L$3992,'Diags Raw Data'!$N$6:$N$3995)/J160)</f>
        <v>#VALUE!</v>
      </c>
      <c r="L160" s="495" cm="1">
        <f t="array" ref="L160">IF(D160="",0, SUMPRODUCT(--(ISNUMBER(SEARCH($A160,'Diags Raw Data'!$A$6:$A$3992))),'Diags Raw Data'!$L$6:$L$3992,'Diags Raw Data'!$P$6:$P$3992)/J160)</f>
        <v>1</v>
      </c>
      <c r="M160" s="496" cm="1">
        <f t="array" ref="M160">SUMPRODUCT(--(ISNUMBER(SEARCH($A160,'Diags Raw Data'!$A$6:$A$3992))),--('Diags Raw Data'!$Q$6:$Q$3992&lt;&gt;"N/A"),'Diags Raw Data'!$R$6:$R$3992)</f>
        <v>32</v>
      </c>
      <c r="N160" s="497" cm="1">
        <f t="array" ref="N160">SUMPRODUCT(--(ISNUMBER(SEARCH($A160,'Diags Raw Data'!$A$6:$A$3992))),--('Diags Raw Data'!$Q$6:$Q$3992&lt;&gt;"N/A"),'Diags Raw Data'!$T$6:$T$3992)+SUMPRODUCT(--(ISNUMBER(SEARCH($A160,'Diags Raw Data'!$A$6:$A$3992))),--('Diags Raw Data'!$Q$6:$Q$3992&lt;&gt;"N/A"),'Diags Raw Data'!$U$6:$U$3992)</f>
        <v>32</v>
      </c>
      <c r="O160" s="498">
        <f t="shared" si="85"/>
        <v>1</v>
      </c>
      <c r="P160" s="499">
        <f>SUMIF('Diags Raw Data'!$A$6:$A$3992,"*"&amp;$A160&amp;"*",'Diags Raw Data'!$Z$6:$Z$3992)</f>
        <v>32</v>
      </c>
      <c r="Q160" s="500">
        <f>SUM(SUMIF('Diags Raw Data'!$A$6:$A$3992,"*"&amp;$A160&amp;"*",'Diags Raw Data'!$AA$6:$AA$3992),SUMIF('Diags Raw Data'!$A$6:$A$3992,"*"&amp;$A160&amp;"*",'Diags Raw Data'!$AB$6:$AB$3992))</f>
        <v>32</v>
      </c>
      <c r="R160" s="501">
        <f t="shared" si="86"/>
        <v>1</v>
      </c>
      <c r="S160" s="501">
        <f t="shared" si="87"/>
        <v>1</v>
      </c>
      <c r="T160" s="502">
        <f t="shared" si="88"/>
        <v>1</v>
      </c>
      <c r="U160" s="570" t="s">
        <v>1690</v>
      </c>
      <c r="V160" s="180"/>
    </row>
    <row r="161" spans="1:22" ht="30" hidden="1" x14ac:dyDescent="0.25">
      <c r="A161" s="564" t="s">
        <v>1584</v>
      </c>
      <c r="B161" s="439" t="str">
        <f>VLOOKUP(A161,'Feature Raw Data'!$A$3:$B$4204,2,FALSE)</f>
        <v>ATHUB:SOC - VDCI on DF SDP interfaces</v>
      </c>
      <c r="C161" s="440" t="str">
        <f>VLOOKUP(A161,'Feature Raw Data'!$A$3:$C$4204,3,FALSE)</f>
        <v>P2</v>
      </c>
      <c r="D161" s="441" t="str" cm="1">
        <f t="array" ref="D161">_xlfn.TEXTJOIN("",TRUE,IF(ISNUMBER(SEARCH($A161,'Diags Raw Data'!$A$6:$A$3992)),CONCATENATE('Diags Raw Data'!$H$6:$H$3992,", "),""))</f>
        <v/>
      </c>
      <c r="E161" s="325" t="e">
        <f>VLOOKUP(A161,'Diags Raw Data'!$A$6:$D$3992,4,FALSE)</f>
        <v>#N/A</v>
      </c>
      <c r="F161" s="325" t="str">
        <f>VLOOKUP(A161,'Feature Raw Data'!$A$3:$E$4204,5,FALSE)</f>
        <v>Legacy</v>
      </c>
      <c r="G161" s="325" t="str">
        <f t="shared" si="83"/>
        <v>No</v>
      </c>
      <c r="H161" s="325" t="str">
        <f t="shared" si="84"/>
        <v>No</v>
      </c>
      <c r="I161" s="440">
        <f>SUMIF('Diags Raw Data'!$A$6:$A$3992,"*"&amp;$A161&amp;"*",'Diags Raw Data'!$K$6:$K$3992)</f>
        <v>0</v>
      </c>
      <c r="J161" s="442">
        <f>SUMIF('Diags Raw Data'!$A$6:$A$3992,"*"&amp;$A161&amp;"*",'Diags Raw Data'!$L$6:$L$3992)</f>
        <v>0</v>
      </c>
      <c r="K161" s="494" cm="1">
        <f t="array" ref="K161">IF(D161="",0, SUMPRODUCT(--(ISNUMBER(SEARCH($A161,'Diags Raw Data'!$A$6:$A$3992))),'Diags Raw Data'!$L$6:$L$3992,'Diags Raw Data'!$N$6:$N$3995)/J161)</f>
        <v>0</v>
      </c>
      <c r="L161" s="495" cm="1">
        <f t="array" ref="L161">IF(D161="",0, SUMPRODUCT(--(ISNUMBER(SEARCH($A161,'Diags Raw Data'!$A$6:$A$3992))),'Diags Raw Data'!$L$6:$L$3992,'Diags Raw Data'!$P$6:$P$3992)/J161)</f>
        <v>0</v>
      </c>
      <c r="M161" s="496" cm="1">
        <f t="array" ref="M161">SUMPRODUCT(--(ISNUMBER(SEARCH($A161,'Diags Raw Data'!$A$6:$A$3992))),--('Diags Raw Data'!$Q$6:$Q$3992&lt;&gt;"N/A"),'Diags Raw Data'!$R$6:$R$3992)</f>
        <v>0</v>
      </c>
      <c r="N161" s="497" cm="1">
        <f t="array" ref="N161">SUMPRODUCT(--(ISNUMBER(SEARCH($A161,'Diags Raw Data'!$A$6:$A$3992))),--('Diags Raw Data'!$Q$6:$Q$3992&lt;&gt;"N/A"),'Diags Raw Data'!$T$6:$T$3992)+SUMPRODUCT(--(ISNUMBER(SEARCH($A161,'Diags Raw Data'!$A$6:$A$3992))),--('Diags Raw Data'!$Q$6:$Q$3992&lt;&gt;"N/A"),'Diags Raw Data'!$U$6:$U$3992)</f>
        <v>0</v>
      </c>
      <c r="O161" s="498">
        <f t="shared" si="85"/>
        <v>0</v>
      </c>
      <c r="P161" s="499">
        <f>SUMIF('Diags Raw Data'!$A$6:$A$3992,"*"&amp;$A161&amp;"*",'Diags Raw Data'!$Z$6:$Z$3992)</f>
        <v>0</v>
      </c>
      <c r="Q161" s="500">
        <f>SUM(SUMIF('Diags Raw Data'!$A$6:$A$3992,"*"&amp;$A161&amp;"*",'Diags Raw Data'!$AA$6:$AA$3992),SUMIF('Diags Raw Data'!$A$6:$A$3992,"*"&amp;$A161&amp;"*",'Diags Raw Data'!$AB$6:$AB$3992))</f>
        <v>0</v>
      </c>
      <c r="R161" s="501">
        <f t="shared" si="86"/>
        <v>0</v>
      </c>
      <c r="S161" s="501">
        <f t="shared" si="87"/>
        <v>0</v>
      </c>
      <c r="T161" s="502">
        <f t="shared" si="88"/>
        <v>0</v>
      </c>
      <c r="U161" s="570" t="s">
        <v>44</v>
      </c>
      <c r="V161" s="180" t="s">
        <v>1710</v>
      </c>
    </row>
    <row r="162" spans="1:22" hidden="1" x14ac:dyDescent="0.25">
      <c r="A162" s="564" t="s">
        <v>1586</v>
      </c>
      <c r="B162" s="439" t="str">
        <f>VLOOKUP(A162,'Feature Raw Data'!$A$3:$B$4204,2,FALSE)</f>
        <v>ATHUB:SOC - OpenCL Platform Atomics</v>
      </c>
      <c r="C162" s="440" t="str">
        <f>VLOOKUP(A162,'Feature Raw Data'!$A$3:$C$4204,3,FALSE)</f>
        <v>P2</v>
      </c>
      <c r="D162" s="441" t="str" cm="1">
        <f t="array" ref="D162">_xlfn.TEXTJOIN("",TRUE,IF(ISNUMBER(SEARCH($A162,'Diags Raw Data'!$A$6:$A$3992)),CONCATENATE('Diags Raw Data'!$H$6:$H$3992,", "),""))</f>
        <v xml:space="preserve">vcn005.1-4, </v>
      </c>
      <c r="E162" s="325" t="e">
        <f>VLOOKUP(A162,'Diags Raw Data'!$A$6:$D$3992,4,FALSE)</f>
        <v>#N/A</v>
      </c>
      <c r="F162" s="325" t="str">
        <f>VLOOKUP(A162,'Feature Raw Data'!$A$3:$E$4204,5,FALSE)</f>
        <v>Legacy</v>
      </c>
      <c r="G162" s="325" t="str">
        <f t="shared" ref="G162" si="89">IF(D162="","No","Yes")</f>
        <v>Yes</v>
      </c>
      <c r="H162" s="325" t="str">
        <f t="shared" ref="H162" si="90">IF(D162="","No","Yes")</f>
        <v>Yes</v>
      </c>
      <c r="I162" s="440">
        <f>SUMIF('Diags Raw Data'!$A$6:$A$3992,"*"&amp;$A162&amp;"*",'Diags Raw Data'!$K$6:$K$3992)</f>
        <v>0</v>
      </c>
      <c r="J162" s="442">
        <f>SUMIF('Diags Raw Data'!$A$6:$A$3992,"*"&amp;$A162&amp;"*",'Diags Raw Data'!$L$6:$L$3992)</f>
        <v>0</v>
      </c>
      <c r="K162" s="494" t="e" cm="1">
        <f t="array" ref="K162">IF(D162="",0, SUMPRODUCT(--(ISNUMBER(SEARCH($A162,'Diags Raw Data'!$A$6:$A$3992))),'Diags Raw Data'!$L$6:$L$3992,'Diags Raw Data'!$N$6:$N$3995)/J162)</f>
        <v>#VALUE!</v>
      </c>
      <c r="L162" s="495" t="e" cm="1">
        <f t="array" ref="L162">IF(D162="",0, SUMPRODUCT(--(ISNUMBER(SEARCH($A162,'Diags Raw Data'!$A$6:$A$3992))),'Diags Raw Data'!$L$6:$L$3992,'Diags Raw Data'!$P$6:$P$3992)/J162)</f>
        <v>#DIV/0!</v>
      </c>
      <c r="M162" s="496" cm="1">
        <f t="array" ref="M162">SUMPRODUCT(--(ISNUMBER(SEARCH($A162,'Diags Raw Data'!$A$6:$A$3992))),--('Diags Raw Data'!$Q$6:$Q$3992&lt;&gt;"N/A"),'Diags Raw Data'!$R$6:$R$3992)</f>
        <v>0</v>
      </c>
      <c r="N162" s="497" cm="1">
        <f t="array" ref="N162">SUMPRODUCT(--(ISNUMBER(SEARCH($A162,'Diags Raw Data'!$A$6:$A$3992))),--('Diags Raw Data'!$Q$6:$Q$3992&lt;&gt;"N/A"),'Diags Raw Data'!$T$6:$T$3992)+SUMPRODUCT(--(ISNUMBER(SEARCH($A162,'Diags Raw Data'!$A$6:$A$3992))),--('Diags Raw Data'!$Q$6:$Q$3992&lt;&gt;"N/A"),'Diags Raw Data'!$U$6:$U$3992)</f>
        <v>0</v>
      </c>
      <c r="O162" s="498">
        <f t="shared" ref="O162" si="91">IF((M162=0),0,N162/M162)</f>
        <v>0</v>
      </c>
      <c r="P162" s="499">
        <f>SUMIF('Diags Raw Data'!$A$6:$A$3992,"*"&amp;$A162&amp;"*",'Diags Raw Data'!$Z$6:$Z$3992)</f>
        <v>0</v>
      </c>
      <c r="Q162" s="500">
        <f>SUM(SUMIF('Diags Raw Data'!$A$6:$A$3992,"*"&amp;$A162&amp;"*",'Diags Raw Data'!$AA$6:$AA$3992),SUMIF('Diags Raw Data'!$A$6:$A$3992,"*"&amp;$A162&amp;"*",'Diags Raw Data'!$AB$6:$AB$3992))</f>
        <v>0</v>
      </c>
      <c r="R162" s="501">
        <f t="shared" ref="R162" si="92">IF((J162=0),0,P162/J162)</f>
        <v>0</v>
      </c>
      <c r="S162" s="501">
        <f t="shared" ref="S162" si="93">IF((P162=0),0,Q162/P162)</f>
        <v>0</v>
      </c>
      <c r="T162" s="502">
        <f t="shared" ref="T162" si="94">R162*S162</f>
        <v>0</v>
      </c>
      <c r="U162" s="570" t="s">
        <v>1690</v>
      </c>
      <c r="V162" s="180"/>
    </row>
    <row r="163" spans="1:22" hidden="1" x14ac:dyDescent="0.25">
      <c r="A163" s="564"/>
      <c r="B163" s="439"/>
      <c r="C163" s="440"/>
      <c r="D163" s="441"/>
      <c r="E163" s="325"/>
      <c r="F163" s="325"/>
      <c r="G163" s="325"/>
      <c r="H163" s="325"/>
      <c r="I163" s="440"/>
      <c r="J163" s="442"/>
      <c r="K163" s="494"/>
      <c r="L163" s="495"/>
      <c r="M163" s="496"/>
      <c r="N163" s="497"/>
      <c r="O163" s="498"/>
      <c r="P163" s="499"/>
      <c r="Q163" s="500"/>
      <c r="R163" s="501"/>
      <c r="S163" s="501"/>
      <c r="T163" s="502"/>
      <c r="U163" s="570"/>
      <c r="V163" s="180"/>
    </row>
    <row r="164" spans="1:22" hidden="1" x14ac:dyDescent="0.25">
      <c r="A164" s="564"/>
      <c r="B164" s="439"/>
      <c r="C164" s="440"/>
      <c r="D164" s="441"/>
      <c r="E164" s="325"/>
      <c r="F164" s="325"/>
      <c r="G164" s="325"/>
      <c r="H164" s="325"/>
      <c r="I164" s="440"/>
      <c r="J164" s="442"/>
      <c r="K164" s="494"/>
      <c r="L164" s="495"/>
      <c r="M164" s="496"/>
      <c r="N164" s="497"/>
      <c r="O164" s="498"/>
      <c r="P164" s="499"/>
      <c r="Q164" s="500"/>
      <c r="R164" s="501"/>
      <c r="S164" s="501"/>
      <c r="T164" s="502"/>
      <c r="U164" s="570"/>
      <c r="V164" s="180"/>
    </row>
    <row r="165" spans="1:22" ht="45" hidden="1" x14ac:dyDescent="0.25">
      <c r="A165" s="564" t="s">
        <v>1592</v>
      </c>
      <c r="B165" s="439" t="str">
        <f>VLOOKUP(A165,'Feature Raw Data'!$A$3:$B$4204,2,FALSE)</f>
        <v>ATHUB:RPB - Supports multiple VCs (SDP Virtual Channel)</v>
      </c>
      <c r="C165" s="440" t="str">
        <f>VLOOKUP(A165,'Feature Raw Data'!$A$3:$C$4204,3,FALSE)</f>
        <v>P2</v>
      </c>
      <c r="D165" s="441" t="str" cm="1">
        <f t="array" ref="D165">_xlfn.TEXTJOIN("",TRUE,IF(ISNUMBER(SEARCH($A165,'Diags Raw Data'!$A$6:$A$3992)),CONCATENATE('Diags Raw Data'!$H$6:$H$3992,", "),""))</f>
        <v/>
      </c>
      <c r="E165" s="325" t="e">
        <f>VLOOKUP(A165,'Diags Raw Data'!$A$6:$D$3992,4,FALSE)</f>
        <v>#N/A</v>
      </c>
      <c r="F165" s="325" t="str">
        <f>VLOOKUP(A165,'Feature Raw Data'!$A$3:$E$4204,5,FALSE)</f>
        <v>Legacy</v>
      </c>
      <c r="G165" s="325" t="str">
        <f t="shared" si="83"/>
        <v>No</v>
      </c>
      <c r="H165" s="325" t="str">
        <f t="shared" si="84"/>
        <v>No</v>
      </c>
      <c r="I165" s="440">
        <f>SUMIF('Diags Raw Data'!$A$6:$A$3992,"*"&amp;$A165&amp;"*",'Diags Raw Data'!$K$6:$K$3992)</f>
        <v>0</v>
      </c>
      <c r="J165" s="442">
        <f>SUMIF('Diags Raw Data'!$A$6:$A$3992,"*"&amp;$A165&amp;"*",'Diags Raw Data'!$L$6:$L$3992)</f>
        <v>0</v>
      </c>
      <c r="K165" s="494" cm="1">
        <f t="array" ref="K165">IF(D165="",0, SUMPRODUCT(--(ISNUMBER(SEARCH($A165,'Diags Raw Data'!$A$6:$A$3992))),'Diags Raw Data'!$L$6:$L$3992,'Diags Raw Data'!$N$6:$N$3995)/J165)</f>
        <v>0</v>
      </c>
      <c r="L165" s="495" cm="1">
        <f t="array" ref="L165">IF(D165="",0, SUMPRODUCT(--(ISNUMBER(SEARCH($A165,'Diags Raw Data'!$A$6:$A$3992))),'Diags Raw Data'!$L$6:$L$3992,'Diags Raw Data'!$P$6:$P$3992)/J165)</f>
        <v>0</v>
      </c>
      <c r="M165" s="496" cm="1">
        <f t="array" ref="M165">SUMPRODUCT(--(ISNUMBER(SEARCH($A165,'Diags Raw Data'!$A$6:$A$3992))),--('Diags Raw Data'!$Q$6:$Q$3992&lt;&gt;"N/A"),'Diags Raw Data'!$R$6:$R$3992)</f>
        <v>0</v>
      </c>
      <c r="N165" s="497" cm="1">
        <f t="array" ref="N165">SUMPRODUCT(--(ISNUMBER(SEARCH($A165,'Diags Raw Data'!$A$6:$A$3992))),--('Diags Raw Data'!$Q$6:$Q$3992&lt;&gt;"N/A"),'Diags Raw Data'!$T$6:$T$3992)+SUMPRODUCT(--(ISNUMBER(SEARCH($A165,'Diags Raw Data'!$A$6:$A$3992))),--('Diags Raw Data'!$Q$6:$Q$3992&lt;&gt;"N/A"),'Diags Raw Data'!$U$6:$U$3992)</f>
        <v>0</v>
      </c>
      <c r="O165" s="498">
        <f t="shared" si="85"/>
        <v>0</v>
      </c>
      <c r="P165" s="499">
        <f>SUMIF('Diags Raw Data'!$A$6:$A$3992,"*"&amp;$A165&amp;"*",'Diags Raw Data'!$Z$6:$Z$3992)</f>
        <v>0</v>
      </c>
      <c r="Q165" s="500">
        <f>SUM(SUMIF('Diags Raw Data'!$A$6:$A$3992,"*"&amp;$A165&amp;"*",'Diags Raw Data'!$AA$6:$AA$3992),SUMIF('Diags Raw Data'!$A$6:$A$3992,"*"&amp;$A165&amp;"*",'Diags Raw Data'!$AB$6:$AB$3992))</f>
        <v>0</v>
      </c>
      <c r="R165" s="501">
        <f t="shared" si="86"/>
        <v>0</v>
      </c>
      <c r="S165" s="501">
        <f t="shared" si="87"/>
        <v>0</v>
      </c>
      <c r="T165" s="502">
        <f t="shared" si="88"/>
        <v>0</v>
      </c>
      <c r="U165" s="570" t="s">
        <v>44</v>
      </c>
      <c r="V165" s="180" t="s">
        <v>1711</v>
      </c>
    </row>
    <row r="166" spans="1:22" ht="63" hidden="1" customHeight="1" x14ac:dyDescent="0.25">
      <c r="A166" s="564"/>
      <c r="B166" s="439"/>
      <c r="C166" s="440"/>
      <c r="D166" s="441"/>
      <c r="E166" s="325"/>
      <c r="F166" s="325"/>
      <c r="G166" s="325"/>
      <c r="H166" s="325"/>
      <c r="I166" s="440"/>
      <c r="J166" s="442"/>
      <c r="K166" s="494"/>
      <c r="L166" s="495"/>
      <c r="M166" s="496"/>
      <c r="N166" s="497"/>
      <c r="O166" s="498"/>
      <c r="P166" s="499"/>
      <c r="Q166" s="500"/>
      <c r="R166" s="501"/>
      <c r="S166" s="501"/>
      <c r="T166" s="502"/>
      <c r="U166" s="570"/>
      <c r="V166" s="180"/>
    </row>
    <row r="167" spans="1:22" ht="45" hidden="1" x14ac:dyDescent="0.25">
      <c r="A167" s="564" t="s">
        <v>1594</v>
      </c>
      <c r="B167" s="439" t="str">
        <f>VLOOKUP(A167,'Feature Raw Data'!$A$3:$B$4204,2,FALSE)</f>
        <v>ATHUB:RPB - Support configurable tag partition for read/write requests</v>
      </c>
      <c r="C167" s="440" t="str">
        <f>VLOOKUP(A167,'Feature Raw Data'!$A$3:$C$4204,3,FALSE)</f>
        <v>P2</v>
      </c>
      <c r="D167" s="441" t="str" cm="1">
        <f t="array" ref="D167">_xlfn.TEXTJOIN("",TRUE,IF(ISNUMBER(SEARCH($A167,'Diags Raw Data'!$A$6:$A$3992)),CONCATENATE('Diags Raw Data'!$H$6:$H$3992,", "),""))</f>
        <v/>
      </c>
      <c r="E167" s="325" t="e">
        <f>VLOOKUP(A167,'Diags Raw Data'!$A$6:$D$3992,4,FALSE)</f>
        <v>#N/A</v>
      </c>
      <c r="F167" s="325" t="str">
        <f>VLOOKUP(A167,'Feature Raw Data'!$A$3:$E$4204,5,FALSE)</f>
        <v>Legacy</v>
      </c>
      <c r="G167" s="325" t="s">
        <v>31</v>
      </c>
      <c r="H167" s="325" t="str">
        <f t="shared" si="84"/>
        <v>No</v>
      </c>
      <c r="I167" s="440">
        <f>SUMIF('Diags Raw Data'!$A$6:$A$3992,"*"&amp;$A167&amp;"*",'Diags Raw Data'!$K$6:$K$3992)</f>
        <v>0</v>
      </c>
      <c r="J167" s="442">
        <f>SUMIF('Diags Raw Data'!$A$6:$A$3992,"*"&amp;$A167&amp;"*",'Diags Raw Data'!$L$6:$L$3992)</f>
        <v>0</v>
      </c>
      <c r="K167" s="494" cm="1">
        <f t="array" ref="K167">IF(D167="",0, SUMPRODUCT(--(ISNUMBER(SEARCH($A167,'Diags Raw Data'!$A$6:$A$3992))),'Diags Raw Data'!$L$6:$L$3992,'Diags Raw Data'!$N$6:$N$3995)/J167)</f>
        <v>0</v>
      </c>
      <c r="L167" s="495" cm="1">
        <f t="array" ref="L167">IF(D167="",0, SUMPRODUCT(--(ISNUMBER(SEARCH($A167,'Diags Raw Data'!$A$6:$A$3992))),'Diags Raw Data'!$L$6:$L$3992,'Diags Raw Data'!$P$6:$P$3992)/J167)</f>
        <v>0</v>
      </c>
      <c r="M167" s="496" cm="1">
        <f t="array" ref="M167">SUMPRODUCT(--(ISNUMBER(SEARCH($A167,'Diags Raw Data'!$A$6:$A$3992))),--('Diags Raw Data'!$Q$6:$Q$3992&lt;&gt;"N/A"),'Diags Raw Data'!$R$6:$R$3992)</f>
        <v>0</v>
      </c>
      <c r="N167" s="497" cm="1">
        <f t="array" ref="N167">SUMPRODUCT(--(ISNUMBER(SEARCH($A167,'Diags Raw Data'!$A$6:$A$3992))),--('Diags Raw Data'!$Q$6:$Q$3992&lt;&gt;"N/A"),'Diags Raw Data'!$T$6:$T$3992)+SUMPRODUCT(--(ISNUMBER(SEARCH($A167,'Diags Raw Data'!$A$6:$A$3992))),--('Diags Raw Data'!$Q$6:$Q$3992&lt;&gt;"N/A"),'Diags Raw Data'!$U$6:$U$3992)</f>
        <v>0</v>
      </c>
      <c r="O167" s="498">
        <f t="shared" si="85"/>
        <v>0</v>
      </c>
      <c r="P167" s="499">
        <f>SUMIF('Diags Raw Data'!$A$6:$A$3992,"*"&amp;$A167&amp;"*",'Diags Raw Data'!$Z$6:$Z$3992)</f>
        <v>0</v>
      </c>
      <c r="Q167" s="500">
        <f>SUM(SUMIF('Diags Raw Data'!$A$6:$A$3992,"*"&amp;$A167&amp;"*",'Diags Raw Data'!$AA$6:$AA$3992),SUMIF('Diags Raw Data'!$A$6:$A$3992,"*"&amp;$A167&amp;"*",'Diags Raw Data'!$AB$6:$AB$3992))</f>
        <v>0</v>
      </c>
      <c r="R167" s="501">
        <f t="shared" si="86"/>
        <v>0</v>
      </c>
      <c r="S167" s="501">
        <f t="shared" si="87"/>
        <v>0</v>
      </c>
      <c r="T167" s="502">
        <f t="shared" si="88"/>
        <v>0</v>
      </c>
      <c r="U167" s="570" t="s">
        <v>44</v>
      </c>
      <c r="V167" s="180" t="s">
        <v>1712</v>
      </c>
    </row>
    <row r="168" spans="1:22" ht="45" hidden="1" x14ac:dyDescent="0.25">
      <c r="A168" s="564" t="s">
        <v>1596</v>
      </c>
      <c r="B168" s="439" t="str">
        <f>VLOOKUP(A168,'Feature Raw Data'!$A$3:$B$4204,2,FALSE)</f>
        <v>ATHUB:RPB - Support more arbitration method between different streams and channels</v>
      </c>
      <c r="C168" s="440" t="str">
        <f>VLOOKUP(A168,'Feature Raw Data'!$A$3:$C$4204,3,FALSE)</f>
        <v>P2</v>
      </c>
      <c r="D168" s="441" t="str" cm="1">
        <f t="array" ref="D168">_xlfn.TEXTJOIN("",TRUE,IF(ISNUMBER(SEARCH($A168,'Diags Raw Data'!$A$6:$A$3992)),CONCATENATE('Diags Raw Data'!$H$6:$H$3992,", "),""))</f>
        <v/>
      </c>
      <c r="E168" s="325" t="e">
        <f>VLOOKUP(A168,'Diags Raw Data'!$A$6:$D$3992,4,FALSE)</f>
        <v>#N/A</v>
      </c>
      <c r="F168" s="325" t="str">
        <f>VLOOKUP(A168,'Feature Raw Data'!$A$3:$E$4204,5,FALSE)</f>
        <v>Legacy</v>
      </c>
      <c r="G168" s="325" t="s">
        <v>31</v>
      </c>
      <c r="H168" s="325" t="str">
        <f t="shared" si="84"/>
        <v>No</v>
      </c>
      <c r="I168" s="440">
        <f>SUMIF('Diags Raw Data'!$A$6:$A$3992,"*"&amp;$A168&amp;"*",'Diags Raw Data'!$K$6:$K$3992)</f>
        <v>0</v>
      </c>
      <c r="J168" s="442">
        <f>SUMIF('Diags Raw Data'!$A$6:$A$3992,"*"&amp;$A168&amp;"*",'Diags Raw Data'!$L$6:$L$3992)</f>
        <v>0</v>
      </c>
      <c r="K168" s="494" cm="1">
        <f t="array" ref="K168">IF(D168="",0, SUMPRODUCT(--(ISNUMBER(SEARCH($A168,'Diags Raw Data'!$A$6:$A$3992))),'Diags Raw Data'!$L$6:$L$3992,'Diags Raw Data'!$N$6:$N$3995)/J168)</f>
        <v>0</v>
      </c>
      <c r="L168" s="495" cm="1">
        <f t="array" ref="L168">IF(D168="",0, SUMPRODUCT(--(ISNUMBER(SEARCH($A168,'Diags Raw Data'!$A$6:$A$3992))),'Diags Raw Data'!$L$6:$L$3992,'Diags Raw Data'!$P$6:$P$3992)/J168)</f>
        <v>0</v>
      </c>
      <c r="M168" s="496" cm="1">
        <f t="array" ref="M168">SUMPRODUCT(--(ISNUMBER(SEARCH($A168,'Diags Raw Data'!$A$6:$A$3992))),--('Diags Raw Data'!$Q$6:$Q$3992&lt;&gt;"N/A"),'Diags Raw Data'!$R$6:$R$3992)</f>
        <v>0</v>
      </c>
      <c r="N168" s="497" cm="1">
        <f t="array" ref="N168">SUMPRODUCT(--(ISNUMBER(SEARCH($A168,'Diags Raw Data'!$A$6:$A$3992))),--('Diags Raw Data'!$Q$6:$Q$3992&lt;&gt;"N/A"),'Diags Raw Data'!$T$6:$T$3992)+SUMPRODUCT(--(ISNUMBER(SEARCH($A168,'Diags Raw Data'!$A$6:$A$3992))),--('Diags Raw Data'!$Q$6:$Q$3992&lt;&gt;"N/A"),'Diags Raw Data'!$U$6:$U$3992)</f>
        <v>0</v>
      </c>
      <c r="O168" s="498">
        <f t="shared" si="85"/>
        <v>0</v>
      </c>
      <c r="P168" s="499">
        <f>SUMIF('Diags Raw Data'!$A$6:$A$3992,"*"&amp;$A168&amp;"*",'Diags Raw Data'!$Z$6:$Z$3992)</f>
        <v>0</v>
      </c>
      <c r="Q168" s="500">
        <f>SUM(SUMIF('Diags Raw Data'!$A$6:$A$3992,"*"&amp;$A168&amp;"*",'Diags Raw Data'!$AA$6:$AA$3992),SUMIF('Diags Raw Data'!$A$6:$A$3992,"*"&amp;$A168&amp;"*",'Diags Raw Data'!$AB$6:$AB$3992))</f>
        <v>0</v>
      </c>
      <c r="R168" s="501">
        <f t="shared" si="86"/>
        <v>0</v>
      </c>
      <c r="S168" s="501">
        <f t="shared" si="87"/>
        <v>0</v>
      </c>
      <c r="T168" s="502">
        <f t="shared" si="88"/>
        <v>0</v>
      </c>
      <c r="U168" s="570" t="s">
        <v>44</v>
      </c>
      <c r="V168" s="180" t="s">
        <v>1712</v>
      </c>
    </row>
    <row r="169" spans="1:22" hidden="1" x14ac:dyDescent="0.25">
      <c r="A169" s="564" t="s">
        <v>1598</v>
      </c>
      <c r="B169" s="439" t="str">
        <f>VLOOKUP(A169,'Feature Raw Data'!$A$3:$B$4204,2,FALSE)</f>
        <v>ATHUB:RPB - P2P Traffic</v>
      </c>
      <c r="C169" s="440" t="str">
        <f>VLOOKUP(A169,'Feature Raw Data'!$A$3:$C$4204,3,FALSE)</f>
        <v>P2</v>
      </c>
      <c r="D169" s="441" t="str" cm="1">
        <f t="array" ref="D169">_xlfn.TEXTJOIN("",TRUE,IF(ISNUMBER(SEARCH($A169,'Diags Raw Data'!$A$6:$A$3992)),CONCATENATE('Diags Raw Data'!$H$6:$H$3992,", "),""))</f>
        <v/>
      </c>
      <c r="E169" s="325" t="e">
        <f>VLOOKUP(A169,'Diags Raw Data'!$A$6:$D$3992,4,FALSE)</f>
        <v>#N/A</v>
      </c>
      <c r="F169" s="325" t="str">
        <f>VLOOKUP(A169,'Feature Raw Data'!$A$3:$E$4204,5,FALSE)</f>
        <v>Legacy</v>
      </c>
      <c r="G169" s="325" t="str">
        <f t="shared" si="83"/>
        <v>No</v>
      </c>
      <c r="H169" s="325" t="str">
        <f t="shared" si="84"/>
        <v>No</v>
      </c>
      <c r="I169" s="440">
        <f>SUMIF('Diags Raw Data'!$A$6:$A$3992,"*"&amp;$A169&amp;"*",'Diags Raw Data'!$K$6:$K$3992)</f>
        <v>0</v>
      </c>
      <c r="J169" s="442">
        <f>SUMIF('Diags Raw Data'!$A$6:$A$3992,"*"&amp;$A169&amp;"*",'Diags Raw Data'!$L$6:$L$3992)</f>
        <v>0</v>
      </c>
      <c r="K169" s="494" cm="1">
        <f t="array" ref="K169">IF(D169="",0, SUMPRODUCT(--(ISNUMBER(SEARCH($A169,'Diags Raw Data'!$A$6:$A$3992))),'Diags Raw Data'!$L$6:$L$3992,'Diags Raw Data'!$N$6:$N$3995)/J169)</f>
        <v>0</v>
      </c>
      <c r="L169" s="495" cm="1">
        <f t="array" ref="L169">IF(D169="",0, SUMPRODUCT(--(ISNUMBER(SEARCH($A169,'Diags Raw Data'!$A$6:$A$3992))),'Diags Raw Data'!$L$6:$L$3992,'Diags Raw Data'!$P$6:$P$3992)/J169)</f>
        <v>0</v>
      </c>
      <c r="M169" s="496" cm="1">
        <f t="array" ref="M169">SUMPRODUCT(--(ISNUMBER(SEARCH($A169,'Diags Raw Data'!$A$6:$A$3992))),--('Diags Raw Data'!$Q$6:$Q$3992&lt;&gt;"N/A"),'Diags Raw Data'!$R$6:$R$3992)</f>
        <v>0</v>
      </c>
      <c r="N169" s="497" cm="1">
        <f t="array" ref="N169">SUMPRODUCT(--(ISNUMBER(SEARCH($A169,'Diags Raw Data'!$A$6:$A$3992))),--('Diags Raw Data'!$Q$6:$Q$3992&lt;&gt;"N/A"),'Diags Raw Data'!$T$6:$T$3992)+SUMPRODUCT(--(ISNUMBER(SEARCH($A169,'Diags Raw Data'!$A$6:$A$3992))),--('Diags Raw Data'!$Q$6:$Q$3992&lt;&gt;"N/A"),'Diags Raw Data'!$U$6:$U$3992)</f>
        <v>0</v>
      </c>
      <c r="O169" s="498">
        <f t="shared" si="85"/>
        <v>0</v>
      </c>
      <c r="P169" s="499">
        <f>SUMIF('Diags Raw Data'!$A$6:$A$3992,"*"&amp;$A169&amp;"*",'Diags Raw Data'!$Z$6:$Z$3992)</f>
        <v>0</v>
      </c>
      <c r="Q169" s="500">
        <f>SUM(SUMIF('Diags Raw Data'!$A$6:$A$3992,"*"&amp;$A169&amp;"*",'Diags Raw Data'!$AA$6:$AA$3992),SUMIF('Diags Raw Data'!$A$6:$A$3992,"*"&amp;$A169&amp;"*",'Diags Raw Data'!$AB$6:$AB$3992))</f>
        <v>0</v>
      </c>
      <c r="R169" s="501">
        <f t="shared" si="86"/>
        <v>0</v>
      </c>
      <c r="S169" s="501">
        <f t="shared" si="87"/>
        <v>0</v>
      </c>
      <c r="T169" s="502">
        <f t="shared" si="88"/>
        <v>0</v>
      </c>
      <c r="U169" s="570" t="s">
        <v>44</v>
      </c>
      <c r="V169" s="180" t="s">
        <v>1713</v>
      </c>
    </row>
    <row r="170" spans="1:22" ht="30" x14ac:dyDescent="0.25">
      <c r="A170" s="564" t="s">
        <v>1289</v>
      </c>
      <c r="B170" s="439" t="str">
        <f>VLOOKUP(A170,'Feature Raw Data'!$A$3:$B$4204,2,FALSE)</f>
        <v>ATHUB:RAS - Datapath Parity</v>
      </c>
      <c r="C170" s="440" t="str">
        <f>VLOOKUP(A170,'Feature Raw Data'!$A$3:$C$4204,3,FALSE)</f>
        <v>P2</v>
      </c>
      <c r="D170" s="441" t="str" cm="1">
        <f t="array" ref="D170">_xlfn.TEXTJOIN("",TRUE,IF(ISNUMBER(SEARCH($A170,'Diags Raw Data'!$A$6:$A$3992)),CONCATENATE('Diags Raw Data'!$H$6:$H$3992,", "),""))</f>
        <v xml:space="preserve">mhub611.1, mhub611.2, mhub611.3, mhub611.4, mhub611.5, mhub611.6, </v>
      </c>
      <c r="E170" s="325" t="str">
        <f>VLOOKUP(A170,'Diags Raw Data'!$A$6:$D$3992,4,FALSE)</f>
        <v>ATHUB</v>
      </c>
      <c r="F170" s="325" t="str">
        <f>VLOOKUP(A170,'Feature Raw Data'!$A$3:$E$4204,5,FALSE)</f>
        <v>Legacy</v>
      </c>
      <c r="G170" s="325" t="str">
        <f t="shared" si="83"/>
        <v>Yes</v>
      </c>
      <c r="H170" s="325" t="str">
        <f t="shared" si="84"/>
        <v>Yes</v>
      </c>
      <c r="I170" s="440">
        <f>SUMIF('Diags Raw Data'!$A$6:$A$3992,"*"&amp;$A170&amp;"*",'Diags Raw Data'!$K$6:$K$3992)</f>
        <v>6</v>
      </c>
      <c r="J170" s="442">
        <f>SUMIF('Diags Raw Data'!$A$6:$A$3992,"*"&amp;$A170&amp;"*",'Diags Raw Data'!$L$6:$L$3992)</f>
        <v>6</v>
      </c>
      <c r="K170" s="494" t="e" cm="1">
        <f t="array" ref="K170">IF(D170="",0, SUMPRODUCT(--(ISNUMBER(SEARCH($A170,'Diags Raw Data'!$A$6:$A$3992))),'Diags Raw Data'!$L$6:$L$3992,'Diags Raw Data'!$N$6:$N$3995)/J170)</f>
        <v>#VALUE!</v>
      </c>
      <c r="L170" s="495" cm="1">
        <f t="array" ref="L170">IF(D170="",0, SUMPRODUCT(--(ISNUMBER(SEARCH($A170,'Diags Raw Data'!$A$6:$A$3992))),'Diags Raw Data'!$L$6:$L$3992,'Diags Raw Data'!$P$6:$P$3992)/J170)</f>
        <v>1</v>
      </c>
      <c r="M170" s="496" cm="1">
        <f t="array" ref="M170">SUMPRODUCT(--(ISNUMBER(SEARCH($A170,'Diags Raw Data'!$A$6:$A$3992))),--('Diags Raw Data'!$Q$6:$Q$3992&lt;&gt;"N/A"),'Diags Raw Data'!$R$6:$R$3992)</f>
        <v>6</v>
      </c>
      <c r="N170" s="497" cm="1">
        <f t="array" ref="N170">SUMPRODUCT(--(ISNUMBER(SEARCH($A170,'Diags Raw Data'!$A$6:$A$3992))),--('Diags Raw Data'!$Q$6:$Q$3992&lt;&gt;"N/A"),'Diags Raw Data'!$T$6:$T$3992)+SUMPRODUCT(--(ISNUMBER(SEARCH($A170,'Diags Raw Data'!$A$6:$A$3992))),--('Diags Raw Data'!$Q$6:$Q$3992&lt;&gt;"N/A"),'Diags Raw Data'!$U$6:$U$3992)</f>
        <v>0</v>
      </c>
      <c r="O170" s="498">
        <f t="shared" si="85"/>
        <v>0</v>
      </c>
      <c r="P170" s="499">
        <f>SUMIF('Diags Raw Data'!$A$6:$A$3992,"*"&amp;$A170&amp;"*",'Diags Raw Data'!$Z$6:$Z$3992)</f>
        <v>0</v>
      </c>
      <c r="Q170" s="500">
        <f>SUM(SUMIF('Diags Raw Data'!$A$6:$A$3992,"*"&amp;$A170&amp;"*",'Diags Raw Data'!$AA$6:$AA$3992),SUMIF('Diags Raw Data'!$A$6:$A$3992,"*"&amp;$A170&amp;"*",'Diags Raw Data'!$AB$6:$AB$3992))</f>
        <v>0</v>
      </c>
      <c r="R170" s="501">
        <f t="shared" si="86"/>
        <v>0</v>
      </c>
      <c r="S170" s="501">
        <f t="shared" si="87"/>
        <v>0</v>
      </c>
      <c r="T170" s="502">
        <f t="shared" si="88"/>
        <v>0</v>
      </c>
      <c r="U170" s="570" t="s">
        <v>1692</v>
      </c>
      <c r="V170" s="180"/>
    </row>
    <row r="171" spans="1:22" x14ac:dyDescent="0.25">
      <c r="A171" s="564" t="s">
        <v>1278</v>
      </c>
      <c r="B171" s="439" t="str">
        <f>VLOOKUP(A171,'Feature Raw Data'!$A$3:$B$4204,2,FALSE)</f>
        <v>ATHUB:RAS - Poison Data propergation</v>
      </c>
      <c r="C171" s="440" t="str">
        <f>VLOOKUP(A171,'Feature Raw Data'!$A$3:$C$4204,3,FALSE)</f>
        <v>P2</v>
      </c>
      <c r="D171" s="441" t="str" cm="1">
        <f t="array" ref="D171">_xlfn.TEXTJOIN("",TRUE,IF(ISNUMBER(SEARCH($A171,'Diags Raw Data'!$A$6:$A$3992)),CONCATENATE('Diags Raw Data'!$H$6:$H$3992,", "),""))</f>
        <v xml:space="preserve">mhub609.3, </v>
      </c>
      <c r="E171" s="325" t="str">
        <f>VLOOKUP(A171,'Diags Raw Data'!$A$6:$D$3992,4,FALSE)</f>
        <v>RAS</v>
      </c>
      <c r="F171" s="325" t="str">
        <f>VLOOKUP(A171,'Feature Raw Data'!$A$3:$E$4204,5,FALSE)</f>
        <v>Legacy</v>
      </c>
      <c r="G171" s="325" t="str">
        <f>IF(D171="","No","Yes")</f>
        <v>Yes</v>
      </c>
      <c r="H171" s="325" t="str">
        <f t="shared" si="84"/>
        <v>Yes</v>
      </c>
      <c r="I171" s="440">
        <f>SUMIF('Diags Raw Data'!$A$6:$A$3992,"*"&amp;$A171&amp;"*",'Diags Raw Data'!$K$6:$K$3992)</f>
        <v>1</v>
      </c>
      <c r="J171" s="442">
        <f>SUMIF('Diags Raw Data'!$A$6:$A$3992,"*"&amp;$A171&amp;"*",'Diags Raw Data'!$L$6:$L$3992)</f>
        <v>1</v>
      </c>
      <c r="K171" s="494" t="e" cm="1">
        <f t="array" ref="K171">IF(D171="",0, SUMPRODUCT(--(ISNUMBER(SEARCH($A171,'Diags Raw Data'!$A$6:$A$3992))),'Diags Raw Data'!$L$6:$L$3992,'Diags Raw Data'!$N$6:$N$3995)/J171)</f>
        <v>#VALUE!</v>
      </c>
      <c r="L171" s="495" cm="1">
        <f t="array" ref="L171">IF(D171="",0, SUMPRODUCT(--(ISNUMBER(SEARCH($A171,'Diags Raw Data'!$A$6:$A$3992))),'Diags Raw Data'!$L$6:$L$3992,'Diags Raw Data'!$P$6:$P$3992)/J171)</f>
        <v>1</v>
      </c>
      <c r="M171" s="496" cm="1">
        <f t="array" ref="M171">SUMPRODUCT(--(ISNUMBER(SEARCH($A171,'Diags Raw Data'!$A$6:$A$3992))),--('Diags Raw Data'!$Q$6:$Q$3992&lt;&gt;"N/A"),'Diags Raw Data'!$R$6:$R$3992)</f>
        <v>1</v>
      </c>
      <c r="N171" s="497" cm="1">
        <f t="array" ref="N171">SUMPRODUCT(--(ISNUMBER(SEARCH($A171,'Diags Raw Data'!$A$6:$A$3992))),--('Diags Raw Data'!$Q$6:$Q$3992&lt;&gt;"N/A"),'Diags Raw Data'!$T$6:$T$3992)+SUMPRODUCT(--(ISNUMBER(SEARCH($A171,'Diags Raw Data'!$A$6:$A$3992))),--('Diags Raw Data'!$Q$6:$Q$3992&lt;&gt;"N/A"),'Diags Raw Data'!$U$6:$U$3992)</f>
        <v>1</v>
      </c>
      <c r="O171" s="498">
        <f t="shared" si="85"/>
        <v>1</v>
      </c>
      <c r="P171" s="499">
        <f>SUMIF('Diags Raw Data'!$A$6:$A$3992,"*"&amp;$A171&amp;"*",'Diags Raw Data'!$Z$6:$Z$3992)</f>
        <v>0</v>
      </c>
      <c r="Q171" s="500">
        <f>SUM(SUMIF('Diags Raw Data'!$A$6:$A$3992,"*"&amp;$A171&amp;"*",'Diags Raw Data'!$AA$6:$AA$3992),SUMIF('Diags Raw Data'!$A$6:$A$3992,"*"&amp;$A171&amp;"*",'Diags Raw Data'!$AB$6:$AB$3992))</f>
        <v>0</v>
      </c>
      <c r="R171" s="501">
        <f t="shared" si="86"/>
        <v>0</v>
      </c>
      <c r="S171" s="501"/>
      <c r="T171" s="502"/>
      <c r="U171" s="570" t="s">
        <v>1692</v>
      </c>
      <c r="V171" s="180"/>
    </row>
    <row r="172" spans="1:22" hidden="1" x14ac:dyDescent="0.25">
      <c r="A172" s="564"/>
      <c r="B172" s="439"/>
      <c r="C172" s="440"/>
      <c r="D172" s="441"/>
      <c r="E172" s="325"/>
      <c r="F172" s="325"/>
      <c r="G172" s="325"/>
      <c r="H172" s="325"/>
      <c r="I172" s="440"/>
      <c r="J172" s="442"/>
      <c r="K172" s="494"/>
      <c r="L172" s="495"/>
      <c r="M172" s="496"/>
      <c r="N172" s="497"/>
      <c r="O172" s="498"/>
      <c r="P172" s="499"/>
      <c r="Q172" s="500"/>
      <c r="R172" s="501"/>
      <c r="S172" s="501"/>
      <c r="T172" s="502"/>
      <c r="U172" s="570"/>
      <c r="V172" s="180"/>
    </row>
    <row r="173" spans="1:22" hidden="1" x14ac:dyDescent="0.25">
      <c r="A173" s="564"/>
      <c r="B173" s="439"/>
      <c r="C173" s="440"/>
      <c r="D173" s="441"/>
      <c r="E173" s="325"/>
      <c r="F173" s="325"/>
      <c r="G173" s="325"/>
      <c r="H173" s="325"/>
      <c r="I173" s="440"/>
      <c r="J173" s="442"/>
      <c r="K173" s="494"/>
      <c r="L173" s="495"/>
      <c r="M173" s="496"/>
      <c r="N173" s="497"/>
      <c r="O173" s="498"/>
      <c r="P173" s="499"/>
      <c r="Q173" s="500"/>
      <c r="R173" s="501"/>
      <c r="S173" s="501"/>
      <c r="T173" s="502"/>
      <c r="U173" s="570"/>
      <c r="V173" s="180"/>
    </row>
    <row r="174" spans="1:22" hidden="1" x14ac:dyDescent="0.25">
      <c r="A174" s="564" t="s">
        <v>1606</v>
      </c>
      <c r="B174" s="439" t="str">
        <f>VLOOKUP(A174,'Feature Raw Data'!$A$3:$B$4204,2,FALSE)</f>
        <v>ATHUB:Power - Dynamic Clock Gating</v>
      </c>
      <c r="C174" s="440" t="str">
        <f>VLOOKUP(A174,'Feature Raw Data'!$A$3:$C$4204,3,FALSE)</f>
        <v>P2</v>
      </c>
      <c r="D174" s="441" t="str" cm="1">
        <f t="array" ref="D174">_xlfn.TEXTJOIN("",TRUE,IF(ISNUMBER(SEARCH($A174,'Diags Raw Data'!$A$6:$A$3992)),CONCATENATE('Diags Raw Data'!$H$6:$H$3992,", "),""))</f>
        <v/>
      </c>
      <c r="E174" s="325" t="e">
        <f>VLOOKUP(A174,'Diags Raw Data'!$A$6:$D$3992,4,FALSE)</f>
        <v>#N/A</v>
      </c>
      <c r="F174" s="325" t="str">
        <f>VLOOKUP(A174,'Feature Raw Data'!$A$3:$E$4204,5,FALSE)</f>
        <v>Legacy</v>
      </c>
      <c r="G174" s="325" t="str">
        <f t="shared" si="83"/>
        <v>No</v>
      </c>
      <c r="H174" s="325" t="str">
        <f t="shared" si="84"/>
        <v>No</v>
      </c>
      <c r="I174" s="440">
        <f>SUMIF('Diags Raw Data'!$A$6:$A$3992,"*"&amp;$A174&amp;"*",'Diags Raw Data'!$K$6:$K$3992)</f>
        <v>0</v>
      </c>
      <c r="J174" s="442">
        <f>SUMIF('Diags Raw Data'!$A$6:$A$3992,"*"&amp;$A174&amp;"*",'Diags Raw Data'!$L$6:$L$3992)</f>
        <v>0</v>
      </c>
      <c r="K174" s="494" cm="1">
        <f t="array" ref="K174">IF(D174="",0, SUMPRODUCT(--(ISNUMBER(SEARCH($A174,'Diags Raw Data'!$A$6:$A$3992))),'Diags Raw Data'!$L$6:$L$3992,'Diags Raw Data'!$N$6:$N$3995)/J174)</f>
        <v>0</v>
      </c>
      <c r="L174" s="495" cm="1">
        <f t="array" ref="L174">IF(D174="",0, SUMPRODUCT(--(ISNUMBER(SEARCH($A174,'Diags Raw Data'!$A$6:$A$3992))),'Diags Raw Data'!$L$6:$L$3992,'Diags Raw Data'!$P$6:$P$3992)/J174)</f>
        <v>0</v>
      </c>
      <c r="M174" s="496" cm="1">
        <f t="array" ref="M174">SUMPRODUCT(--(ISNUMBER(SEARCH($A174,'Diags Raw Data'!$A$6:$A$3992))),--('Diags Raw Data'!$Q$6:$Q$3992&lt;&gt;"N/A"),'Diags Raw Data'!$R$6:$R$3992)</f>
        <v>0</v>
      </c>
      <c r="N174" s="497" cm="1">
        <f t="array" ref="N174">SUMPRODUCT(--(ISNUMBER(SEARCH($A174,'Diags Raw Data'!$A$6:$A$3992))),--('Diags Raw Data'!$Q$6:$Q$3992&lt;&gt;"N/A"),'Diags Raw Data'!$T$6:$T$3992)+SUMPRODUCT(--(ISNUMBER(SEARCH($A174,'Diags Raw Data'!$A$6:$A$3992))),--('Diags Raw Data'!$Q$6:$Q$3992&lt;&gt;"N/A"),'Diags Raw Data'!$U$6:$U$3992)</f>
        <v>0</v>
      </c>
      <c r="O174" s="498">
        <f t="shared" si="85"/>
        <v>0</v>
      </c>
      <c r="P174" s="499">
        <f>SUMIF('Diags Raw Data'!$A$6:$A$3992,"*"&amp;$A174&amp;"*",'Diags Raw Data'!$Z$6:$Z$3992)</f>
        <v>0</v>
      </c>
      <c r="Q174" s="500">
        <f>SUM(SUMIF('Diags Raw Data'!$A$6:$A$3992,"*"&amp;$A174&amp;"*",'Diags Raw Data'!$AA$6:$AA$3992),SUMIF('Diags Raw Data'!$A$6:$A$3992,"*"&amp;$A174&amp;"*",'Diags Raw Data'!$AB$6:$AB$3992))</f>
        <v>0</v>
      </c>
      <c r="R174" s="501">
        <f t="shared" si="86"/>
        <v>0</v>
      </c>
      <c r="S174" s="501">
        <f t="shared" si="87"/>
        <v>0</v>
      </c>
      <c r="T174" s="502">
        <f t="shared" si="88"/>
        <v>0</v>
      </c>
      <c r="U174" s="570" t="s">
        <v>44</v>
      </c>
      <c r="V174" s="180" t="s">
        <v>1714</v>
      </c>
    </row>
    <row r="175" spans="1:22" hidden="1" x14ac:dyDescent="0.25">
      <c r="A175" s="564" t="s">
        <v>1608</v>
      </c>
      <c r="B175" s="439" t="str">
        <f>VLOOKUP(A175,'Feature Raw Data'!$A$3:$B$4204,2,FALSE)</f>
        <v>ATHUB:Power - Dynamic Power Gating</v>
      </c>
      <c r="C175" s="440" t="str">
        <f>VLOOKUP(A175,'Feature Raw Data'!$A$3:$C$4204,3,FALSE)</f>
        <v>P2</v>
      </c>
      <c r="D175" s="441" t="str" cm="1">
        <f t="array" ref="D175">_xlfn.TEXTJOIN("",TRUE,IF(ISNUMBER(SEARCH($A175,'Diags Raw Data'!$A$6:$A$3992)),CONCATENATE('Diags Raw Data'!$H$6:$H$3992,", "),""))</f>
        <v/>
      </c>
      <c r="E175" s="325" t="e">
        <f>VLOOKUP(A175,'Diags Raw Data'!$A$6:$D$3992,4,FALSE)</f>
        <v>#N/A</v>
      </c>
      <c r="F175" s="325" t="str">
        <f>VLOOKUP(A175,'Feature Raw Data'!$A$3:$E$4204,5,FALSE)</f>
        <v>Legacy</v>
      </c>
      <c r="G175" s="325" t="str">
        <f t="shared" si="83"/>
        <v>No</v>
      </c>
      <c r="H175" s="325" t="str">
        <f t="shared" si="84"/>
        <v>No</v>
      </c>
      <c r="I175" s="440">
        <f>SUMIF('Diags Raw Data'!$A$6:$A$3992,"*"&amp;$A175&amp;"*",'Diags Raw Data'!$K$6:$K$3992)</f>
        <v>0</v>
      </c>
      <c r="J175" s="442">
        <f>SUMIF('Diags Raw Data'!$A$6:$A$3992,"*"&amp;$A175&amp;"*",'Diags Raw Data'!$L$6:$L$3992)</f>
        <v>0</v>
      </c>
      <c r="K175" s="494" cm="1">
        <f t="array" ref="K175">IF(D175="",0, SUMPRODUCT(--(ISNUMBER(SEARCH($A175,'Diags Raw Data'!$A$6:$A$3992))),'Diags Raw Data'!$L$6:$L$3992,'Diags Raw Data'!$N$6:$N$3995)/J175)</f>
        <v>0</v>
      </c>
      <c r="L175" s="495" cm="1">
        <f t="array" ref="L175">IF(D175="",0, SUMPRODUCT(--(ISNUMBER(SEARCH($A175,'Diags Raw Data'!$A$6:$A$3992))),'Diags Raw Data'!$L$6:$L$3992,'Diags Raw Data'!$P$6:$P$3992)/J175)</f>
        <v>0</v>
      </c>
      <c r="M175" s="496" cm="1">
        <f t="array" ref="M175">SUMPRODUCT(--(ISNUMBER(SEARCH($A175,'Diags Raw Data'!$A$6:$A$3992))),--('Diags Raw Data'!$Q$6:$Q$3992&lt;&gt;"N/A"),'Diags Raw Data'!$R$6:$R$3992)</f>
        <v>0</v>
      </c>
      <c r="N175" s="497" cm="1">
        <f t="array" ref="N175">SUMPRODUCT(--(ISNUMBER(SEARCH($A175,'Diags Raw Data'!$A$6:$A$3992))),--('Diags Raw Data'!$Q$6:$Q$3992&lt;&gt;"N/A"),'Diags Raw Data'!$T$6:$T$3992)+SUMPRODUCT(--(ISNUMBER(SEARCH($A175,'Diags Raw Data'!$A$6:$A$3992))),--('Diags Raw Data'!$Q$6:$Q$3992&lt;&gt;"N/A"),'Diags Raw Data'!$U$6:$U$3992)</f>
        <v>0</v>
      </c>
      <c r="O175" s="498">
        <f t="shared" si="85"/>
        <v>0</v>
      </c>
      <c r="P175" s="499">
        <f>SUMIF('Diags Raw Data'!$A$6:$A$3992,"*"&amp;$A175&amp;"*",'Diags Raw Data'!$Z$6:$Z$3992)</f>
        <v>0</v>
      </c>
      <c r="Q175" s="500">
        <f>SUM(SUMIF('Diags Raw Data'!$A$6:$A$3992,"*"&amp;$A175&amp;"*",'Diags Raw Data'!$AA$6:$AA$3992),SUMIF('Diags Raw Data'!$A$6:$A$3992,"*"&amp;$A175&amp;"*",'Diags Raw Data'!$AB$6:$AB$3992))</f>
        <v>0</v>
      </c>
      <c r="R175" s="501">
        <f t="shared" si="86"/>
        <v>0</v>
      </c>
      <c r="S175" s="501">
        <f t="shared" si="87"/>
        <v>0</v>
      </c>
      <c r="T175" s="502">
        <f t="shared" si="88"/>
        <v>0</v>
      </c>
      <c r="U175" s="570" t="s">
        <v>44</v>
      </c>
      <c r="V175" s="180" t="s">
        <v>1714</v>
      </c>
    </row>
    <row r="176" spans="1:22" ht="30" hidden="1" x14ac:dyDescent="0.25">
      <c r="A176" s="564" t="s">
        <v>1610</v>
      </c>
      <c r="B176" s="439" t="str">
        <f>VLOOKUP(A176,'Feature Raw Data'!$A$3:$B$4204,2,FALSE)</f>
        <v>ATHUB:Security - SOC15 Security</v>
      </c>
      <c r="C176" s="440" t="str">
        <f>VLOOKUP(A176,'Feature Raw Data'!$A$3:$C$4204,3,FALSE)</f>
        <v>P2</v>
      </c>
      <c r="D176" s="441" t="str" cm="1">
        <f t="array" ref="D176">_xlfn.TEXTJOIN("",TRUE,IF(ISNUMBER(SEARCH($A176,'Diags Raw Data'!$A$6:$A$3992)),CONCATENATE('Diags Raw Data'!$H$6:$H$3992,", "),""))</f>
        <v/>
      </c>
      <c r="E176" s="325" t="e">
        <f>VLOOKUP(A176,'Diags Raw Data'!$A$6:$D$3992,4,FALSE)</f>
        <v>#N/A</v>
      </c>
      <c r="F176" s="325" t="str">
        <f>VLOOKUP(A176,'Feature Raw Data'!$A$3:$E$4204,5,FALSE)</f>
        <v>Legacy</v>
      </c>
      <c r="G176" s="325" t="s">
        <v>31</v>
      </c>
      <c r="H176" s="325" t="str">
        <f t="shared" si="84"/>
        <v>No</v>
      </c>
      <c r="I176" s="440">
        <f>SUMIF('Diags Raw Data'!$A$6:$A$3992,"*"&amp;$A176&amp;"*",'Diags Raw Data'!$K$6:$K$3992)</f>
        <v>0</v>
      </c>
      <c r="J176" s="442">
        <f>SUMIF('Diags Raw Data'!$A$6:$A$3992,"*"&amp;$A176&amp;"*",'Diags Raw Data'!$L$6:$L$3992)</f>
        <v>0</v>
      </c>
      <c r="K176" s="494" cm="1">
        <f t="array" ref="K176">IF(D176="",0, SUMPRODUCT(--(ISNUMBER(SEARCH($A176,'Diags Raw Data'!$A$6:$A$3992))),'Diags Raw Data'!$L$6:$L$3992,'Diags Raw Data'!$N$6:$N$3995)/J176)</f>
        <v>0</v>
      </c>
      <c r="L176" s="495" cm="1">
        <f t="array" ref="L176">IF(D176="",0, SUMPRODUCT(--(ISNUMBER(SEARCH($A176,'Diags Raw Data'!$A$6:$A$3992))),'Diags Raw Data'!$L$6:$L$3992,'Diags Raw Data'!$P$6:$P$3992)/J176)</f>
        <v>0</v>
      </c>
      <c r="M176" s="496" cm="1">
        <f t="array" ref="M176">SUMPRODUCT(--(ISNUMBER(SEARCH($A176,'Diags Raw Data'!$A$6:$A$3992))),--('Diags Raw Data'!$Q$6:$Q$3992&lt;&gt;"N/A"),'Diags Raw Data'!$R$6:$R$3992)</f>
        <v>0</v>
      </c>
      <c r="N176" s="497" cm="1">
        <f t="array" ref="N176">SUMPRODUCT(--(ISNUMBER(SEARCH($A176,'Diags Raw Data'!$A$6:$A$3992))),--('Diags Raw Data'!$Q$6:$Q$3992&lt;&gt;"N/A"),'Diags Raw Data'!$T$6:$T$3992)+SUMPRODUCT(--(ISNUMBER(SEARCH($A176,'Diags Raw Data'!$A$6:$A$3992))),--('Diags Raw Data'!$Q$6:$Q$3992&lt;&gt;"N/A"),'Diags Raw Data'!$U$6:$U$3992)</f>
        <v>0</v>
      </c>
      <c r="O176" s="498">
        <f t="shared" si="85"/>
        <v>0</v>
      </c>
      <c r="P176" s="499">
        <f>SUMIF('Diags Raw Data'!$A$6:$A$3992,"*"&amp;$A176&amp;"*",'Diags Raw Data'!$Z$6:$Z$3992)</f>
        <v>0</v>
      </c>
      <c r="Q176" s="500">
        <f>SUM(SUMIF('Diags Raw Data'!$A$6:$A$3992,"*"&amp;$A176&amp;"*",'Diags Raw Data'!$AA$6:$AA$3992),SUMIF('Diags Raw Data'!$A$6:$A$3992,"*"&amp;$A176&amp;"*",'Diags Raw Data'!$AB$6:$AB$3992))</f>
        <v>0</v>
      </c>
      <c r="R176" s="501">
        <f t="shared" si="86"/>
        <v>0</v>
      </c>
      <c r="S176" s="501">
        <f t="shared" si="87"/>
        <v>0</v>
      </c>
      <c r="T176" s="502">
        <f t="shared" si="88"/>
        <v>0</v>
      </c>
      <c r="U176" s="570" t="s">
        <v>44</v>
      </c>
      <c r="V176" s="180" t="s">
        <v>1715</v>
      </c>
    </row>
    <row r="177" spans="1:24" hidden="1" x14ac:dyDescent="0.25">
      <c r="A177" s="564" t="s">
        <v>1612</v>
      </c>
      <c r="B177" s="439" t="str">
        <f>VLOOKUP(A177,'Feature Raw Data'!$A$3:$B$4204,2,FALSE)</f>
        <v>ATHUB:Debug - Debug Bus</v>
      </c>
      <c r="C177" s="440" t="str">
        <f>VLOOKUP(A177,'Feature Raw Data'!$A$3:$C$4204,3,FALSE)</f>
        <v>P2</v>
      </c>
      <c r="D177" s="441" t="str" cm="1">
        <f t="array" ref="D177">_xlfn.TEXTJOIN("",TRUE,IF(ISNUMBER(SEARCH($A177,'Diags Raw Data'!$A$6:$A$3992)),CONCATENATE('Diags Raw Data'!$H$6:$H$3992,", "),""))</f>
        <v/>
      </c>
      <c r="E177" s="325" t="e">
        <f>VLOOKUP(A177,'Diags Raw Data'!$A$6:$D$3992,4,FALSE)</f>
        <v>#N/A</v>
      </c>
      <c r="F177" s="325" t="str">
        <f>VLOOKUP(A177,'Feature Raw Data'!$A$3:$E$4204,5,FALSE)</f>
        <v>Legacy</v>
      </c>
      <c r="G177" s="325" t="str">
        <f t="shared" si="83"/>
        <v>No</v>
      </c>
      <c r="H177" s="325" t="str">
        <f t="shared" si="84"/>
        <v>No</v>
      </c>
      <c r="I177" s="440">
        <f>SUMIF('Diags Raw Data'!$A$6:$A$3992,"*"&amp;$A177&amp;"*",'Diags Raw Data'!$K$6:$K$3992)</f>
        <v>0</v>
      </c>
      <c r="J177" s="442">
        <f>SUMIF('Diags Raw Data'!$A$6:$A$3992,"*"&amp;$A177&amp;"*",'Diags Raw Data'!$L$6:$L$3992)</f>
        <v>0</v>
      </c>
      <c r="K177" s="494" cm="1">
        <f t="array" ref="K177">IF(D177="",0, SUMPRODUCT(--(ISNUMBER(SEARCH($A177,'Diags Raw Data'!$A$6:$A$3992))),'Diags Raw Data'!$L$6:$L$3992,'Diags Raw Data'!$N$6:$N$3995)/J177)</f>
        <v>0</v>
      </c>
      <c r="L177" s="495" cm="1">
        <f t="array" ref="L177">IF(D177="",0, SUMPRODUCT(--(ISNUMBER(SEARCH($A177,'Diags Raw Data'!$A$6:$A$3992))),'Diags Raw Data'!$L$6:$L$3992,'Diags Raw Data'!$P$6:$P$3992)/J177)</f>
        <v>0</v>
      </c>
      <c r="M177" s="496" cm="1">
        <f t="array" ref="M177">SUMPRODUCT(--(ISNUMBER(SEARCH($A177,'Diags Raw Data'!$A$6:$A$3992))),--('Diags Raw Data'!$Q$6:$Q$3992&lt;&gt;"N/A"),'Diags Raw Data'!$R$6:$R$3992)</f>
        <v>0</v>
      </c>
      <c r="N177" s="497" cm="1">
        <f t="array" ref="N177">SUMPRODUCT(--(ISNUMBER(SEARCH($A177,'Diags Raw Data'!$A$6:$A$3992))),--('Diags Raw Data'!$Q$6:$Q$3992&lt;&gt;"N/A"),'Diags Raw Data'!$T$6:$T$3992)+SUMPRODUCT(--(ISNUMBER(SEARCH($A177,'Diags Raw Data'!$A$6:$A$3992))),--('Diags Raw Data'!$Q$6:$Q$3992&lt;&gt;"N/A"),'Diags Raw Data'!$U$6:$U$3992)</f>
        <v>0</v>
      </c>
      <c r="O177" s="498">
        <f t="shared" si="85"/>
        <v>0</v>
      </c>
      <c r="P177" s="499">
        <f>SUMIF('Diags Raw Data'!$A$6:$A$3992,"*"&amp;$A177&amp;"*",'Diags Raw Data'!$Z$6:$Z$3992)</f>
        <v>0</v>
      </c>
      <c r="Q177" s="500">
        <f>SUM(SUMIF('Diags Raw Data'!$A$6:$A$3992,"*"&amp;$A177&amp;"*",'Diags Raw Data'!$AA$6:$AA$3992),SUMIF('Diags Raw Data'!$A$6:$A$3992,"*"&amp;$A177&amp;"*",'Diags Raw Data'!$AB$6:$AB$3992))</f>
        <v>0</v>
      </c>
      <c r="R177" s="501">
        <f>IF((J177=0),0,P177/J177)</f>
        <v>0</v>
      </c>
      <c r="S177" s="501">
        <f t="shared" si="87"/>
        <v>0</v>
      </c>
      <c r="T177" s="502">
        <f t="shared" si="88"/>
        <v>0</v>
      </c>
      <c r="U177" s="570" t="s">
        <v>44</v>
      </c>
      <c r="V177" s="180" t="s">
        <v>1703</v>
      </c>
    </row>
    <row r="178" spans="1:24" hidden="1" x14ac:dyDescent="0.25">
      <c r="A178" s="564"/>
      <c r="B178" s="439"/>
      <c r="C178" s="440"/>
      <c r="D178" s="441"/>
      <c r="E178" s="325"/>
      <c r="F178" s="325"/>
      <c r="G178" s="325"/>
      <c r="H178" s="325"/>
      <c r="I178" s="440"/>
      <c r="J178" s="442"/>
      <c r="K178" s="494"/>
      <c r="L178" s="495"/>
      <c r="M178" s="496"/>
      <c r="N178" s="497"/>
      <c r="O178" s="498"/>
      <c r="P178" s="499"/>
      <c r="Q178" s="500"/>
      <c r="R178" s="501"/>
      <c r="S178" s="501"/>
      <c r="T178" s="502"/>
      <c r="U178" s="570"/>
      <c r="V178" s="180"/>
    </row>
    <row r="179" spans="1:24" ht="45" x14ac:dyDescent="0.25">
      <c r="A179" s="564" t="s">
        <v>1311</v>
      </c>
      <c r="B179" s="439" t="str">
        <f>VLOOKUP(A179,'Feature Raw Data'!$A$3:$B$4204,2,FALSE)</f>
        <v>MMHUB:DAGB - Delta Color Compression (DCC)</v>
      </c>
      <c r="C179" s="440" t="str">
        <f>VLOOKUP(A179,'Feature Raw Data'!$A$3:$C$4204,3,FALSE)</f>
        <v>P1</v>
      </c>
      <c r="D179" s="441" t="str" cm="1">
        <f t="array" ref="D179">_xlfn.TEXTJOIN("",TRUE,IF(ISNUMBER(SEARCH($A179,'Diags Raw Data'!$A$6:$A$3992)),CONCATENATE('Diags Raw Data'!$H$6:$H$3992,", "),""))</f>
        <v xml:space="preserve">mhub167.1, </v>
      </c>
      <c r="E179" s="325" t="str">
        <f>VLOOKUP(A179,'Diags Raw Data'!$A$6:$D$3992,4,FALSE)</f>
        <v>MMHUB</v>
      </c>
      <c r="F179" s="325" t="str">
        <f>VLOOKUP(A179,'Feature Raw Data'!$A$3:$E$4204,5,FALSE)</f>
        <v>New</v>
      </c>
      <c r="G179" s="325" t="str">
        <f t="shared" si="83"/>
        <v>Yes</v>
      </c>
      <c r="H179" s="325" t="str">
        <f t="shared" si="84"/>
        <v>Yes</v>
      </c>
      <c r="I179" s="440">
        <f>SUMIF('Diags Raw Data'!$A$6:$A$3992,"*"&amp;$A179&amp;"*",'Diags Raw Data'!$K$6:$K$3992)</f>
        <v>1</v>
      </c>
      <c r="J179" s="442">
        <f>SUMIF('Diags Raw Data'!$A$6:$A$3992,"*"&amp;$A179&amp;"*",'Diags Raw Data'!$L$6:$L$3992)</f>
        <v>1</v>
      </c>
      <c r="K179" s="494" t="e" cm="1">
        <f t="array" ref="K179">IF(D179="",0, SUMPRODUCT(--(ISNUMBER(SEARCH($A179,'Diags Raw Data'!$A$6:$A$3992))),'Diags Raw Data'!$L$6:$L$3992,'Diags Raw Data'!$N$6:$N$3995)/J179)</f>
        <v>#VALUE!</v>
      </c>
      <c r="L179" s="495" cm="1">
        <f t="array" ref="L179">IF(D179="",0, SUMPRODUCT(--(ISNUMBER(SEARCH($A179,'Diags Raw Data'!$A$6:$A$3992))),'Diags Raw Data'!$L$6:$L$3992,'Diags Raw Data'!$P$6:$P$3992)/J179)</f>
        <v>1</v>
      </c>
      <c r="M179" s="496" cm="1">
        <f t="array" ref="M179">SUMPRODUCT(--(ISNUMBER(SEARCH($A179,'Diags Raw Data'!$A$6:$A$3992))),--('Diags Raw Data'!$Q$6:$Q$3992&lt;&gt;"N/A"),'Diags Raw Data'!$R$6:$R$3992)</f>
        <v>1</v>
      </c>
      <c r="N179" s="497" cm="1">
        <f t="array" ref="N179">SUMPRODUCT(--(ISNUMBER(SEARCH($A179,'Diags Raw Data'!$A$6:$A$3992))),--('Diags Raw Data'!$Q$6:$Q$3992&lt;&gt;"N/A"),'Diags Raw Data'!$T$6:$T$3992)+SUMPRODUCT(--(ISNUMBER(SEARCH($A179,'Diags Raw Data'!$A$6:$A$3992))),--('Diags Raw Data'!$Q$6:$Q$3992&lt;&gt;"N/A"),'Diags Raw Data'!$U$6:$U$3992)</f>
        <v>1</v>
      </c>
      <c r="O179" s="498">
        <f t="shared" si="85"/>
        <v>1</v>
      </c>
      <c r="P179" s="499">
        <f>SUMIF('Diags Raw Data'!$A$6:$A$3992,"*"&amp;$A179&amp;"*",'Diags Raw Data'!$Z$6:$Z$3992)</f>
        <v>0</v>
      </c>
      <c r="Q179" s="500">
        <f>SUM(SUMIF('Diags Raw Data'!$A$6:$A$3992,"*"&amp;$A179&amp;"*",'Diags Raw Data'!$AA$6:$AA$3992),SUMIF('Diags Raw Data'!$A$6:$A$3992,"*"&amp;$A179&amp;"*",'Diags Raw Data'!$AB$6:$AB$3992))</f>
        <v>0</v>
      </c>
      <c r="R179" s="501">
        <f t="shared" si="86"/>
        <v>0</v>
      </c>
      <c r="S179" s="501">
        <f t="shared" si="87"/>
        <v>0</v>
      </c>
      <c r="T179" s="502">
        <f t="shared" si="88"/>
        <v>0</v>
      </c>
      <c r="U179" s="570" t="s">
        <v>1716</v>
      </c>
      <c r="V179" s="180"/>
      <c r="X179" s="181" t="s">
        <v>1717</v>
      </c>
    </row>
    <row r="180" spans="1:24" ht="30" hidden="1" x14ac:dyDescent="0.25">
      <c r="A180" s="564" t="s">
        <v>1486</v>
      </c>
      <c r="B180" s="439" t="str">
        <f>VLOOKUP(A180,'Feature Raw Data'!$A$3:$B$4204,2,FALSE)</f>
        <v>MMHUB:DAGB - Client Read/Write Override</v>
      </c>
      <c r="C180" s="440" t="str">
        <f>VLOOKUP(A180,'Feature Raw Data'!$A$3:$C$4204,3,FALSE)</f>
        <v>P2</v>
      </c>
      <c r="D180" s="441" t="str" cm="1">
        <f t="array" ref="D180">_xlfn.TEXTJOIN("",TRUE,IF(ISNUMBER(SEARCH($A180,'Diags Raw Data'!$A$6:$A$3992)),CONCATENATE('Diags Raw Data'!$H$6:$H$3992,", "),""))</f>
        <v/>
      </c>
      <c r="E180" s="325" t="e">
        <f>VLOOKUP(A180,'Diags Raw Data'!$A$6:$D$3992,4,FALSE)</f>
        <v>#N/A</v>
      </c>
      <c r="F180" s="325" t="str">
        <f>VLOOKUP(A180,'Feature Raw Data'!$A$3:$E$4204,5,FALSE)</f>
        <v>New</v>
      </c>
      <c r="G180" s="325" t="s">
        <v>31</v>
      </c>
      <c r="H180" s="325" t="str">
        <f t="shared" si="84"/>
        <v>No</v>
      </c>
      <c r="I180" s="440">
        <f>SUMIF('Diags Raw Data'!$A$6:$A$3992,"*"&amp;$A180&amp;"*",'Diags Raw Data'!$K$6:$K$3992)</f>
        <v>0</v>
      </c>
      <c r="J180" s="442">
        <f>SUMIF('Diags Raw Data'!$A$6:$A$3992,"*"&amp;$A180&amp;"*",'Diags Raw Data'!$L$6:$L$3992)</f>
        <v>0</v>
      </c>
      <c r="K180" s="494" cm="1">
        <f t="array" ref="K180">IF(D180="",0, SUMPRODUCT(--(ISNUMBER(SEARCH($A180,'Diags Raw Data'!$A$6:$A$3992))),'Diags Raw Data'!$L$6:$L$3992,'Diags Raw Data'!$N$6:$N$3995)/J180)</f>
        <v>0</v>
      </c>
      <c r="L180" s="495" cm="1">
        <f t="array" ref="L180">IF(D180="",0, SUMPRODUCT(--(ISNUMBER(SEARCH($A180,'Diags Raw Data'!$A$6:$A$3992))),'Diags Raw Data'!$L$6:$L$3992,'Diags Raw Data'!$P$6:$P$3992)/J180)</f>
        <v>0</v>
      </c>
      <c r="M180" s="496" cm="1">
        <f t="array" ref="M180">SUMPRODUCT(--(ISNUMBER(SEARCH($A180,'Diags Raw Data'!$A$6:$A$3992))),--('Diags Raw Data'!$Q$6:$Q$3992&lt;&gt;"N/A"),'Diags Raw Data'!$R$6:$R$3992)</f>
        <v>0</v>
      </c>
      <c r="N180" s="497" cm="1">
        <f t="array" ref="N180">SUMPRODUCT(--(ISNUMBER(SEARCH($A180,'Diags Raw Data'!$A$6:$A$3992))),--('Diags Raw Data'!$Q$6:$Q$3992&lt;&gt;"N/A"),'Diags Raw Data'!$T$6:$T$3992)+SUMPRODUCT(--(ISNUMBER(SEARCH($A180,'Diags Raw Data'!$A$6:$A$3992))),--('Diags Raw Data'!$Q$6:$Q$3992&lt;&gt;"N/A"),'Diags Raw Data'!$U$6:$U$3992)</f>
        <v>0</v>
      </c>
      <c r="O180" s="498">
        <f t="shared" si="85"/>
        <v>0</v>
      </c>
      <c r="P180" s="499">
        <f>SUMIF('Diags Raw Data'!$A$6:$A$3992,"*"&amp;$A180&amp;"*",'Diags Raw Data'!$Z$6:$Z$3992)</f>
        <v>0</v>
      </c>
      <c r="Q180" s="500">
        <f>SUM(SUMIF('Diags Raw Data'!$A$6:$A$3992,"*"&amp;$A180&amp;"*",'Diags Raw Data'!$AA$6:$AA$3992),SUMIF('Diags Raw Data'!$A$6:$A$3992,"*"&amp;$A180&amp;"*",'Diags Raw Data'!$AB$6:$AB$3992))</f>
        <v>0</v>
      </c>
      <c r="R180" s="501">
        <f t="shared" si="86"/>
        <v>0</v>
      </c>
      <c r="S180" s="501">
        <f t="shared" si="87"/>
        <v>0</v>
      </c>
      <c r="T180" s="502">
        <f t="shared" si="88"/>
        <v>0</v>
      </c>
      <c r="U180" s="570" t="s">
        <v>44</v>
      </c>
      <c r="V180" s="180"/>
      <c r="W180" s="181" t="s">
        <v>1718</v>
      </c>
    </row>
    <row r="181" spans="1:24" hidden="1" x14ac:dyDescent="0.25">
      <c r="A181" s="564" t="s">
        <v>1489</v>
      </c>
      <c r="B181" s="439" t="str">
        <f>VLOOKUP(A181,'Feature Raw Data'!$A$3:$B$4204,2,FALSE)</f>
        <v>MMHUB:SOC - SRAM FGCG</v>
      </c>
      <c r="C181" s="440" t="str">
        <f>VLOOKUP(A181,'Feature Raw Data'!$A$3:$C$4204,3,FALSE)</f>
        <v>P1</v>
      </c>
      <c r="D181" s="441" t="str" cm="1">
        <f t="array" ref="D181">_xlfn.TEXTJOIN("",TRUE,IF(ISNUMBER(SEARCH($A181,'Diags Raw Data'!$A$6:$A$3992)),CONCATENATE('Diags Raw Data'!$H$6:$H$3992,", "),""))</f>
        <v/>
      </c>
      <c r="E181" s="325" t="e">
        <f>VLOOKUP(A181,'Diags Raw Data'!$A$6:$D$3992,4,FALSE)</f>
        <v>#N/A</v>
      </c>
      <c r="F181" s="325" t="str">
        <f>VLOOKUP(A181,'Feature Raw Data'!$A$3:$E$4204,5,FALSE)</f>
        <v>New</v>
      </c>
      <c r="G181" s="325" t="str">
        <f t="shared" si="83"/>
        <v>No</v>
      </c>
      <c r="H181" s="325" t="str">
        <f t="shared" si="84"/>
        <v>No</v>
      </c>
      <c r="I181" s="440">
        <f>SUMIF('Diags Raw Data'!$A$6:$A$3992,"*"&amp;$A181&amp;"*",'Diags Raw Data'!$K$6:$K$3992)</f>
        <v>0</v>
      </c>
      <c r="J181" s="442">
        <f>SUMIF('Diags Raw Data'!$A$6:$A$3992,"*"&amp;$A181&amp;"*",'Diags Raw Data'!$L$6:$L$3992)</f>
        <v>0</v>
      </c>
      <c r="K181" s="494" cm="1">
        <f t="array" ref="K181">IF(D181="",0, SUMPRODUCT(--(ISNUMBER(SEARCH($A181,'Diags Raw Data'!$A$6:$A$3992))),'Diags Raw Data'!$L$6:$L$3992,'Diags Raw Data'!$N$6:$N$3995)/J181)</f>
        <v>0</v>
      </c>
      <c r="L181" s="495" cm="1">
        <f t="array" ref="L181">IF(D181="",0, SUMPRODUCT(--(ISNUMBER(SEARCH($A181,'Diags Raw Data'!$A$6:$A$3992))),'Diags Raw Data'!$L$6:$L$3992,'Diags Raw Data'!$P$6:$P$3992)/J181)</f>
        <v>0</v>
      </c>
      <c r="M181" s="496" cm="1">
        <f t="array" ref="M181">SUMPRODUCT(--(ISNUMBER(SEARCH($A181,'Diags Raw Data'!$A$6:$A$3992))),--('Diags Raw Data'!$Q$6:$Q$3992&lt;&gt;"N/A"),'Diags Raw Data'!$R$6:$R$3992)</f>
        <v>0</v>
      </c>
      <c r="N181" s="497" cm="1">
        <f t="array" ref="N181">SUMPRODUCT(--(ISNUMBER(SEARCH($A181,'Diags Raw Data'!$A$6:$A$3992))),--('Diags Raw Data'!$Q$6:$Q$3992&lt;&gt;"N/A"),'Diags Raw Data'!$T$6:$T$3992)+SUMPRODUCT(--(ISNUMBER(SEARCH($A181,'Diags Raw Data'!$A$6:$A$3992))),--('Diags Raw Data'!$Q$6:$Q$3992&lt;&gt;"N/A"),'Diags Raw Data'!$U$6:$U$3992)</f>
        <v>0</v>
      </c>
      <c r="O181" s="498">
        <f t="shared" si="85"/>
        <v>0</v>
      </c>
      <c r="P181" s="499">
        <f>SUMIF('Diags Raw Data'!$A$6:$A$3992,"*"&amp;$A181&amp;"*",'Diags Raw Data'!$Z$6:$Z$3992)</f>
        <v>0</v>
      </c>
      <c r="Q181" s="500">
        <f>SUM(SUMIF('Diags Raw Data'!$A$6:$A$3992,"*"&amp;$A181&amp;"*",'Diags Raw Data'!$AA$6:$AA$3992),SUMIF('Diags Raw Data'!$A$6:$A$3992,"*"&amp;$A181&amp;"*",'Diags Raw Data'!$AB$6:$AB$3992))</f>
        <v>0</v>
      </c>
      <c r="R181" s="501">
        <f t="shared" si="86"/>
        <v>0</v>
      </c>
      <c r="S181" s="501">
        <f t="shared" si="87"/>
        <v>0</v>
      </c>
      <c r="T181" s="502">
        <f t="shared" si="88"/>
        <v>0</v>
      </c>
      <c r="U181" s="570" t="s">
        <v>44</v>
      </c>
      <c r="V181" s="180" t="s">
        <v>1719</v>
      </c>
    </row>
    <row r="182" spans="1:24" ht="30" x14ac:dyDescent="0.25">
      <c r="A182" s="564" t="s">
        <v>1315</v>
      </c>
      <c r="B182" s="439" t="str">
        <f>VLOOKUP(A182,'Feature Raw Data'!$A$3:$B$4204,2,FALSE)</f>
        <v>GFXHUB:GCUTCL2:VMl2 - Delta Color Compress (DCC) Support</v>
      </c>
      <c r="C182" s="440" t="str">
        <f>VLOOKUP(A182,'Feature Raw Data'!$A$3:$C$4204,3,FALSE)</f>
        <v>P1</v>
      </c>
      <c r="D182" s="441" t="str" cm="1">
        <f t="array" ref="D182">_xlfn.TEXTJOIN("",TRUE,IF(ISNUMBER(SEARCH($A182,'Diags Raw Data'!$A$6:$A$3992)),CONCATENATE('Diags Raw Data'!$H$6:$H$3992,", "),""))</f>
        <v xml:space="preserve">mhub367.1, </v>
      </c>
      <c r="E182" s="325" t="str">
        <f>VLOOKUP(A182,'Diags Raw Data'!$A$6:$D$3992,4,FALSE)</f>
        <v>GFXHUB</v>
      </c>
      <c r="F182" s="325" t="str">
        <f>VLOOKUP(A182,'Feature Raw Data'!$A$3:$E$4204,5,FALSE)</f>
        <v>New</v>
      </c>
      <c r="G182" s="325" t="str">
        <f t="shared" si="83"/>
        <v>Yes</v>
      </c>
      <c r="H182" s="325" t="str">
        <f t="shared" si="84"/>
        <v>Yes</v>
      </c>
      <c r="I182" s="440">
        <f>SUMIF('Diags Raw Data'!$A$6:$A$3992,"*"&amp;$A182&amp;"*",'Diags Raw Data'!$K$6:$K$3992)</f>
        <v>1</v>
      </c>
      <c r="J182" s="442">
        <f>SUMIF('Diags Raw Data'!$A$6:$A$3992,"*"&amp;$A182&amp;"*",'Diags Raw Data'!$L$6:$L$3992)</f>
        <v>1</v>
      </c>
      <c r="K182" s="494" t="e" cm="1">
        <f t="array" ref="K182">IF(D182="",0, SUMPRODUCT(--(ISNUMBER(SEARCH($A182,'Diags Raw Data'!$A$6:$A$3992))),'Diags Raw Data'!$L$6:$L$3992,'Diags Raw Data'!$N$6:$N$3995)/J182)</f>
        <v>#VALUE!</v>
      </c>
      <c r="L182" s="495" cm="1">
        <f t="array" ref="L182">IF(D182="",0, SUMPRODUCT(--(ISNUMBER(SEARCH($A182,'Diags Raw Data'!$A$6:$A$3992))),'Diags Raw Data'!$L$6:$L$3992,'Diags Raw Data'!$P$6:$P$3992)/J182)</f>
        <v>1</v>
      </c>
      <c r="M182" s="496" cm="1">
        <f t="array" ref="M182">SUMPRODUCT(--(ISNUMBER(SEARCH($A182,'Diags Raw Data'!$A$6:$A$3992))),--('Diags Raw Data'!$Q$6:$Q$3992&lt;&gt;"N/A"),'Diags Raw Data'!$R$6:$R$3992)</f>
        <v>1</v>
      </c>
      <c r="N182" s="497" cm="1">
        <f t="array" ref="N182">SUMPRODUCT(--(ISNUMBER(SEARCH($A182,'Diags Raw Data'!$A$6:$A$3992))),--('Diags Raw Data'!$Q$6:$Q$3992&lt;&gt;"N/A"),'Diags Raw Data'!$T$6:$T$3992)+SUMPRODUCT(--(ISNUMBER(SEARCH($A182,'Diags Raw Data'!$A$6:$A$3992))),--('Diags Raw Data'!$Q$6:$Q$3992&lt;&gt;"N/A"),'Diags Raw Data'!$U$6:$U$3992)</f>
        <v>1</v>
      </c>
      <c r="O182" s="498">
        <f t="shared" si="85"/>
        <v>1</v>
      </c>
      <c r="P182" s="499">
        <f>SUMIF('Diags Raw Data'!$A$6:$A$3992,"*"&amp;$A182&amp;"*",'Diags Raw Data'!$Z$6:$Z$3992)</f>
        <v>0</v>
      </c>
      <c r="Q182" s="500">
        <f>SUM(SUMIF('Diags Raw Data'!$A$6:$A$3992,"*"&amp;$A182&amp;"*",'Diags Raw Data'!$AA$6:$AA$3992),SUMIF('Diags Raw Data'!$A$6:$A$3992,"*"&amp;$A182&amp;"*",'Diags Raw Data'!$AB$6:$AB$3992))</f>
        <v>0</v>
      </c>
      <c r="R182" s="501">
        <f t="shared" si="86"/>
        <v>0</v>
      </c>
      <c r="S182" s="501">
        <f t="shared" si="87"/>
        <v>0</v>
      </c>
      <c r="T182" s="502">
        <f t="shared" si="88"/>
        <v>0</v>
      </c>
      <c r="U182" s="570" t="s">
        <v>1716</v>
      </c>
      <c r="V182" s="180"/>
      <c r="X182" s="181" t="s">
        <v>1720</v>
      </c>
    </row>
    <row r="183" spans="1:24" x14ac:dyDescent="0.25">
      <c r="A183" s="564" t="s">
        <v>1319</v>
      </c>
      <c r="B183" s="439" t="str">
        <f>VLOOKUP(A183,'Feature Raw Data'!$A$3:$B$4204,2,FALSE)</f>
        <v>MMHUB:DAGB - Native large writes</v>
      </c>
      <c r="C183" s="440" t="str">
        <f>VLOOKUP(A183,'Feature Raw Data'!$A$3:$C$4204,3,FALSE)</f>
        <v>P1</v>
      </c>
      <c r="D183" s="441" t="str" cm="1">
        <f t="array" ref="D183">_xlfn.TEXTJOIN("",TRUE,IF(ISNUMBER(SEARCH($A183,'Diags Raw Data'!$A$6:$A$3992)),CONCATENATE('Diags Raw Data'!$H$6:$H$3992,", "),""))</f>
        <v xml:space="preserve">mhub168.1,2,3,4, mhub169.1,2,3,4, </v>
      </c>
      <c r="E183" s="325" t="str">
        <f>VLOOKUP(A183,'Diags Raw Data'!$A$6:$D$3992,4,FALSE)</f>
        <v>MMHUB</v>
      </c>
      <c r="F183" s="325" t="str">
        <f>VLOOKUP(A183,'Feature Raw Data'!$A$3:$E$4204,5,FALSE)</f>
        <v>New</v>
      </c>
      <c r="G183" s="325" t="str">
        <f t="shared" si="83"/>
        <v>Yes</v>
      </c>
      <c r="H183" s="325" t="str">
        <f t="shared" si="84"/>
        <v>Yes</v>
      </c>
      <c r="I183" s="440">
        <f>SUMIF('Diags Raw Data'!$A$6:$A$3992,"*"&amp;$A183&amp;"*",'Diags Raw Data'!$K$6:$K$3992)</f>
        <v>2</v>
      </c>
      <c r="J183" s="442">
        <f>SUMIF('Diags Raw Data'!$A$6:$A$3992,"*"&amp;$A183&amp;"*",'Diags Raw Data'!$L$6:$L$3992)</f>
        <v>8</v>
      </c>
      <c r="K183" s="494" t="e" cm="1">
        <f t="array" ref="K183">IF(D183="",0, SUMPRODUCT(--(ISNUMBER(SEARCH($A183,'Diags Raw Data'!$A$6:$A$3992))),'Diags Raw Data'!$L$6:$L$3992,'Diags Raw Data'!$N$6:$N$3995)/J183)</f>
        <v>#VALUE!</v>
      </c>
      <c r="L183" s="495" cm="1">
        <f t="array" ref="L183">IF(D183="",0, SUMPRODUCT(--(ISNUMBER(SEARCH($A183,'Diags Raw Data'!$A$6:$A$3992))),'Diags Raw Data'!$L$6:$L$3992,'Diags Raw Data'!$P$6:$P$3992)/J183)</f>
        <v>1</v>
      </c>
      <c r="M183" s="496" cm="1">
        <f t="array" ref="M183">SUMPRODUCT(--(ISNUMBER(SEARCH($A183,'Diags Raw Data'!$A$6:$A$3992))),--('Diags Raw Data'!$Q$6:$Q$3992&lt;&gt;"N/A"),'Diags Raw Data'!$R$6:$R$3992)</f>
        <v>8</v>
      </c>
      <c r="N183" s="497" cm="1">
        <f t="array" ref="N183">SUMPRODUCT(--(ISNUMBER(SEARCH($A183,'Diags Raw Data'!$A$6:$A$3992))),--('Diags Raw Data'!$Q$6:$Q$3992&lt;&gt;"N/A"),'Diags Raw Data'!$T$6:$T$3992)+SUMPRODUCT(--(ISNUMBER(SEARCH($A183,'Diags Raw Data'!$A$6:$A$3992))),--('Diags Raw Data'!$Q$6:$Q$3992&lt;&gt;"N/A"),'Diags Raw Data'!$U$6:$U$3992)</f>
        <v>8</v>
      </c>
      <c r="O183" s="498">
        <f t="shared" si="85"/>
        <v>1</v>
      </c>
      <c r="P183" s="499">
        <f>SUMIF('Diags Raw Data'!$A$6:$A$3992,"*"&amp;$A183&amp;"*",'Diags Raw Data'!$Z$6:$Z$3992)</f>
        <v>8</v>
      </c>
      <c r="Q183" s="500">
        <f>SUM(SUMIF('Diags Raw Data'!$A$6:$A$3992,"*"&amp;$A183&amp;"*",'Diags Raw Data'!$AA$6:$AA$3992),SUMIF('Diags Raw Data'!$A$6:$A$3992,"*"&amp;$A183&amp;"*",'Diags Raw Data'!$AB$6:$AB$3992))</f>
        <v>8</v>
      </c>
      <c r="R183" s="501">
        <f t="shared" si="86"/>
        <v>1</v>
      </c>
      <c r="S183" s="501">
        <f t="shared" si="87"/>
        <v>1</v>
      </c>
      <c r="T183" s="502">
        <f t="shared" si="88"/>
        <v>1</v>
      </c>
      <c r="U183" s="570" t="s">
        <v>1690</v>
      </c>
      <c r="V183" s="180"/>
    </row>
    <row r="184" spans="1:24" ht="36.75" hidden="1" customHeight="1" x14ac:dyDescent="0.25">
      <c r="A184" s="564" t="s">
        <v>1492</v>
      </c>
      <c r="B184" s="439" t="str">
        <f>VLOOKUP(A184,'Feature Raw Data'!$A$3:$B$4204,2,FALSE)</f>
        <v>MMHUB:DAGB - Safe TDR for GPU Driver Reset Mode 3 Support</v>
      </c>
      <c r="C184" s="440" t="str">
        <f>VLOOKUP(A184,'Feature Raw Data'!$A$3:$C$4204,3,FALSE)</f>
        <v>P1</v>
      </c>
      <c r="D184" s="441" t="str" cm="1">
        <f t="array" ref="D184">_xlfn.TEXTJOIN("",TRUE,IF(ISNUMBER(SEARCH($A184,'Diags Raw Data'!$A$6:$A$3992)),CONCATENATE('Diags Raw Data'!$H$6:$H$3992,", "),""))</f>
        <v/>
      </c>
      <c r="E184" s="325" t="e">
        <f>VLOOKUP(A184,'Diags Raw Data'!$A$6:$D$3992,4,FALSE)</f>
        <v>#N/A</v>
      </c>
      <c r="F184" s="325" t="str">
        <f>VLOOKUP(A184,'Feature Raw Data'!$A$3:$E$4204,5,FALSE)</f>
        <v>New</v>
      </c>
      <c r="G184" s="325" t="str">
        <f t="shared" si="83"/>
        <v>No</v>
      </c>
      <c r="H184" s="325" t="str">
        <f t="shared" si="84"/>
        <v>No</v>
      </c>
      <c r="I184" s="440">
        <f>SUMIF('Diags Raw Data'!$A$6:$A$3992,"*"&amp;$A184&amp;"*",'Diags Raw Data'!$K$6:$K$3992)</f>
        <v>0</v>
      </c>
      <c r="J184" s="442">
        <f>SUMIF('Diags Raw Data'!$A$6:$A$3992,"*"&amp;$A184&amp;"*",'Diags Raw Data'!$L$6:$L$3992)</f>
        <v>0</v>
      </c>
      <c r="K184" s="494" cm="1">
        <f t="array" ref="K184">IF(D184="",0, SUMPRODUCT(--(ISNUMBER(SEARCH($A184,'Diags Raw Data'!$A$6:$A$3992))),'Diags Raw Data'!$L$6:$L$3992,'Diags Raw Data'!$N$6:$N$3995)/J184)</f>
        <v>0</v>
      </c>
      <c r="L184" s="495" cm="1">
        <f t="array" ref="L184">IF(D184="",0, SUMPRODUCT(--(ISNUMBER(SEARCH($A184,'Diags Raw Data'!$A$6:$A$3992))),'Diags Raw Data'!$L$6:$L$3992,'Diags Raw Data'!$P$6:$P$3992)/J184)</f>
        <v>0</v>
      </c>
      <c r="M184" s="496" cm="1">
        <f t="array" ref="M184">SUMPRODUCT(--(ISNUMBER(SEARCH($A184,'Diags Raw Data'!$A$6:$A$3992))),--('Diags Raw Data'!$Q$6:$Q$3992&lt;&gt;"N/A"),'Diags Raw Data'!$R$6:$R$3992)</f>
        <v>0</v>
      </c>
      <c r="N184" s="497" cm="1">
        <f t="array" ref="N184">SUMPRODUCT(--(ISNUMBER(SEARCH($A184,'Diags Raw Data'!$A$6:$A$3992))),--('Diags Raw Data'!$Q$6:$Q$3992&lt;&gt;"N/A"),'Diags Raw Data'!$T$6:$T$3992)+SUMPRODUCT(--(ISNUMBER(SEARCH($A184,'Diags Raw Data'!$A$6:$A$3992))),--('Diags Raw Data'!$Q$6:$Q$3992&lt;&gt;"N/A"),'Diags Raw Data'!$U$6:$U$3992)</f>
        <v>0</v>
      </c>
      <c r="O184" s="498">
        <f t="shared" si="85"/>
        <v>0</v>
      </c>
      <c r="P184" s="499">
        <f>SUMIF('Diags Raw Data'!$A$6:$A$3992,"*"&amp;$A184&amp;"*",'Diags Raw Data'!$Z$6:$Z$3992)</f>
        <v>0</v>
      </c>
      <c r="Q184" s="500">
        <f>SUM(SUMIF('Diags Raw Data'!$A$6:$A$3992,"*"&amp;$A184&amp;"*",'Diags Raw Data'!$AA$6:$AA$3992),SUMIF('Diags Raw Data'!$A$6:$A$3992,"*"&amp;$A184&amp;"*",'Diags Raw Data'!$AB$6:$AB$3992))</f>
        <v>0</v>
      </c>
      <c r="R184" s="501">
        <f t="shared" si="86"/>
        <v>0</v>
      </c>
      <c r="S184" s="501">
        <f t="shared" si="87"/>
        <v>0</v>
      </c>
      <c r="T184" s="502">
        <f t="shared" si="88"/>
        <v>0</v>
      </c>
      <c r="U184" s="570" t="s">
        <v>44</v>
      </c>
      <c r="V184" s="180" t="s">
        <v>1719</v>
      </c>
    </row>
    <row r="185" spans="1:24" x14ac:dyDescent="0.25">
      <c r="A185" s="564" t="s">
        <v>1326</v>
      </c>
      <c r="B185" s="439" t="str">
        <f>VLOOKUP(A185,'Feature Raw Data'!$A$3:$B$4204,2,FALSE)</f>
        <v>ATHUB:Native large write for IO</v>
      </c>
      <c r="C185" s="440" t="str">
        <f>VLOOKUP(A185,'Feature Raw Data'!$A$3:$C$4204,3,FALSE)</f>
        <v>P1</v>
      </c>
      <c r="D185" s="441" t="str" cm="1">
        <f t="array" ref="D185">_xlfn.TEXTJOIN("",TRUE,IF(ISNUMBER(SEARCH($A185,'Diags Raw Data'!$A$6:$A$3992)),CONCATENATE('Diags Raw Data'!$H$6:$H$3992,", "),""))</f>
        <v xml:space="preserve">mhub468.1, </v>
      </c>
      <c r="E185" s="325" t="str">
        <f>VLOOKUP(A185,'Diags Raw Data'!$A$6:$D$3992,4,FALSE)</f>
        <v>ATHUB</v>
      </c>
      <c r="F185" s="325" t="str">
        <f>VLOOKUP(A185,'Feature Raw Data'!$A$3:$E$4204,5,FALSE)</f>
        <v>New</v>
      </c>
      <c r="G185" s="325" t="str">
        <f t="shared" si="83"/>
        <v>Yes</v>
      </c>
      <c r="H185" s="325" t="str">
        <f t="shared" si="84"/>
        <v>Yes</v>
      </c>
      <c r="I185" s="440">
        <f>SUMIF('Diags Raw Data'!$A$6:$A$3992,"*"&amp;$A185&amp;"*",'Diags Raw Data'!$K$6:$K$3992)</f>
        <v>1</v>
      </c>
      <c r="J185" s="442">
        <f>SUMIF('Diags Raw Data'!$A$6:$A$3992,"*"&amp;$A185&amp;"*",'Diags Raw Data'!$L$6:$L$3992)</f>
        <v>1</v>
      </c>
      <c r="K185" s="494" t="e" cm="1">
        <f t="array" ref="K185">IF(D185="",0, SUMPRODUCT(--(ISNUMBER(SEARCH($A185,'Diags Raw Data'!$A$6:$A$3992))),'Diags Raw Data'!$L$6:$L$3992,'Diags Raw Data'!$N$6:$N$3995)/J185)</f>
        <v>#VALUE!</v>
      </c>
      <c r="L185" s="495" cm="1">
        <f t="array" ref="L185">IF(D185="",0, SUMPRODUCT(--(ISNUMBER(SEARCH($A185,'Diags Raw Data'!$A$6:$A$3992))),'Diags Raw Data'!$L$6:$L$3992,'Diags Raw Data'!$P$6:$P$3992)/J185)</f>
        <v>1</v>
      </c>
      <c r="M185" s="496" cm="1">
        <f t="array" ref="M185">SUMPRODUCT(--(ISNUMBER(SEARCH($A185,'Diags Raw Data'!$A$6:$A$3992))),--('Diags Raw Data'!$Q$6:$Q$3992&lt;&gt;"N/A"),'Diags Raw Data'!$R$6:$R$3992)</f>
        <v>1</v>
      </c>
      <c r="N185" s="497" cm="1">
        <f t="array" ref="N185">SUMPRODUCT(--(ISNUMBER(SEARCH($A185,'Diags Raw Data'!$A$6:$A$3992))),--('Diags Raw Data'!$Q$6:$Q$3992&lt;&gt;"N/A"),'Diags Raw Data'!$T$6:$T$3992)+SUMPRODUCT(--(ISNUMBER(SEARCH($A185,'Diags Raw Data'!$A$6:$A$3992))),--('Diags Raw Data'!$Q$6:$Q$3992&lt;&gt;"N/A"),'Diags Raw Data'!$U$6:$U$3992)</f>
        <v>1</v>
      </c>
      <c r="O185" s="498">
        <f t="shared" si="85"/>
        <v>1</v>
      </c>
      <c r="P185" s="499">
        <f>SUMIF('Diags Raw Data'!$A$6:$A$3992,"*"&amp;$A185&amp;"*",'Diags Raw Data'!$Z$6:$Z$3992)</f>
        <v>1</v>
      </c>
      <c r="Q185" s="500">
        <f>SUM(SUMIF('Diags Raw Data'!$A$6:$A$3992,"*"&amp;$A185&amp;"*",'Diags Raw Data'!$AA$6:$AA$3992),SUMIF('Diags Raw Data'!$A$6:$A$3992,"*"&amp;$A185&amp;"*",'Diags Raw Data'!$AB$6:$AB$3992))</f>
        <v>1</v>
      </c>
      <c r="R185" s="501">
        <f t="shared" si="86"/>
        <v>1</v>
      </c>
      <c r="S185" s="501">
        <f t="shared" si="87"/>
        <v>1</v>
      </c>
      <c r="T185" s="502">
        <f t="shared" si="88"/>
        <v>1</v>
      </c>
      <c r="U185" s="570" t="s">
        <v>1690</v>
      </c>
      <c r="V185" s="180"/>
    </row>
    <row r="186" spans="1:24" x14ac:dyDescent="0.25">
      <c r="A186" s="564" t="s">
        <v>1330</v>
      </c>
      <c r="B186" s="439" t="str">
        <f>VLOOKUP(A186,'Feature Raw Data'!$A$3:$B$4204,2,FALSE)</f>
        <v>ATHUB:RAW Check</v>
      </c>
      <c r="C186" s="440" t="str">
        <f>VLOOKUP(A186,'Feature Raw Data'!$A$3:$C$4204,3,FALSE)</f>
        <v>P1</v>
      </c>
      <c r="D186" s="441" t="str" cm="1">
        <f t="array" ref="D186">_xlfn.TEXTJOIN("",TRUE,IF(ISNUMBER(SEARCH($A186,'Diags Raw Data'!$A$6:$A$3992)),CONCATENATE('Diags Raw Data'!$H$6:$H$3992,", "),""))</f>
        <v xml:space="preserve">mhub469.1, </v>
      </c>
      <c r="E186" s="325" t="str">
        <f>VLOOKUP(A186,'Diags Raw Data'!$A$6:$D$3992,4,FALSE)</f>
        <v>ATHUB</v>
      </c>
      <c r="F186" s="325" t="str">
        <f>VLOOKUP(A186,'Feature Raw Data'!$A$3:$E$4204,5,FALSE)</f>
        <v>New</v>
      </c>
      <c r="G186" s="325" t="str">
        <f t="shared" si="83"/>
        <v>Yes</v>
      </c>
      <c r="H186" s="325" t="str">
        <f t="shared" si="84"/>
        <v>Yes</v>
      </c>
      <c r="I186" s="440">
        <f>SUMIF('Diags Raw Data'!$A$6:$A$3992,"*"&amp;$A186&amp;"*",'Diags Raw Data'!$K$6:$K$3992)</f>
        <v>1</v>
      </c>
      <c r="J186" s="442">
        <f>SUMIF('Diags Raw Data'!$A$6:$A$3992,"*"&amp;$A186&amp;"*",'Diags Raw Data'!$L$6:$L$3992)</f>
        <v>1</v>
      </c>
      <c r="K186" s="494" t="e" cm="1">
        <f t="array" ref="K186">IF(D186="",0, SUMPRODUCT(--(ISNUMBER(SEARCH($A186,'Diags Raw Data'!$A$6:$A$3992))),'Diags Raw Data'!$L$6:$L$3992,'Diags Raw Data'!$N$6:$N$3995)/J186)</f>
        <v>#VALUE!</v>
      </c>
      <c r="L186" s="495" cm="1">
        <f t="array" ref="L186">IF(D186="",0, SUMPRODUCT(--(ISNUMBER(SEARCH($A186,'Diags Raw Data'!$A$6:$A$3992))),'Diags Raw Data'!$L$6:$L$3992,'Diags Raw Data'!$P$6:$P$3992)/J186)</f>
        <v>1</v>
      </c>
      <c r="M186" s="496" cm="1">
        <f t="array" ref="M186">SUMPRODUCT(--(ISNUMBER(SEARCH($A186,'Diags Raw Data'!$A$6:$A$3992))),--('Diags Raw Data'!$Q$6:$Q$3992&lt;&gt;"N/A"),'Diags Raw Data'!$R$6:$R$3992)</f>
        <v>1</v>
      </c>
      <c r="N186" s="497" cm="1">
        <f t="array" ref="N186">SUMPRODUCT(--(ISNUMBER(SEARCH($A186,'Diags Raw Data'!$A$6:$A$3992))),--('Diags Raw Data'!$Q$6:$Q$3992&lt;&gt;"N/A"),'Diags Raw Data'!$T$6:$T$3992)+SUMPRODUCT(--(ISNUMBER(SEARCH($A186,'Diags Raw Data'!$A$6:$A$3992))),--('Diags Raw Data'!$Q$6:$Q$3992&lt;&gt;"N/A"),'Diags Raw Data'!$U$6:$U$3992)</f>
        <v>1</v>
      </c>
      <c r="O186" s="498">
        <f t="shared" si="85"/>
        <v>1</v>
      </c>
      <c r="P186" s="499">
        <f>SUMIF('Diags Raw Data'!$A$6:$A$3992,"*"&amp;$A186&amp;"*",'Diags Raw Data'!$Z$6:$Z$3992)</f>
        <v>1</v>
      </c>
      <c r="Q186" s="500">
        <f>SUM(SUMIF('Diags Raw Data'!$A$6:$A$3992,"*"&amp;$A186&amp;"*",'Diags Raw Data'!$AA$6:$AA$3992),SUMIF('Diags Raw Data'!$A$6:$A$3992,"*"&amp;$A186&amp;"*",'Diags Raw Data'!$AB$6:$AB$3992))</f>
        <v>1</v>
      </c>
      <c r="R186" s="501">
        <f t="shared" si="86"/>
        <v>1</v>
      </c>
      <c r="S186" s="501">
        <f t="shared" si="87"/>
        <v>1</v>
      </c>
      <c r="T186" s="502">
        <f t="shared" si="88"/>
        <v>1</v>
      </c>
      <c r="U186" s="570" t="s">
        <v>1690</v>
      </c>
      <c r="V186" s="180"/>
    </row>
    <row r="187" spans="1:24" x14ac:dyDescent="0.25">
      <c r="A187" s="564" t="s">
        <v>1336</v>
      </c>
      <c r="B187" s="439" t="str">
        <f>VLOOKUP(A187,'Feature Raw Data'!$A$3:$B$4204,2,FALSE)</f>
        <v>ATHUB:Single VC (Virtual Channel) for GFX IO</v>
      </c>
      <c r="C187" s="440" t="str">
        <f>VLOOKUP(A187,'Feature Raw Data'!$A$3:$C$4204,3,FALSE)</f>
        <v>P1</v>
      </c>
      <c r="D187" s="441" t="str" cm="1">
        <f t="array" ref="D187">_xlfn.TEXTJOIN("",TRUE,IF(ISNUMBER(SEARCH($A187,'Diags Raw Data'!$A$6:$A$3992)),CONCATENATE('Diags Raw Data'!$H$6:$H$3992,", "),""))</f>
        <v xml:space="preserve">mhub470.1, </v>
      </c>
      <c r="E187" s="325" t="str">
        <f>VLOOKUP(A187,'Diags Raw Data'!$A$6:$D$3992,4,FALSE)</f>
        <v>ATHUB</v>
      </c>
      <c r="F187" s="325" t="str">
        <f>VLOOKUP(A187,'Feature Raw Data'!$A$3:$E$4204,5,FALSE)</f>
        <v>New</v>
      </c>
      <c r="G187" s="325" t="str">
        <f t="shared" si="83"/>
        <v>Yes</v>
      </c>
      <c r="H187" s="325" t="str">
        <f t="shared" si="84"/>
        <v>Yes</v>
      </c>
      <c r="I187" s="440">
        <f>SUMIF('Diags Raw Data'!$A$6:$A$3992,"*"&amp;$A187&amp;"*",'Diags Raw Data'!$K$6:$K$3992)</f>
        <v>1</v>
      </c>
      <c r="J187" s="442">
        <f>SUMIF('Diags Raw Data'!$A$6:$A$3992,"*"&amp;$A187&amp;"*",'Diags Raw Data'!$L$6:$L$3992)</f>
        <v>1</v>
      </c>
      <c r="K187" s="494" t="e" cm="1">
        <f t="array" ref="K187">IF(D187="",0, SUMPRODUCT(--(ISNUMBER(SEARCH($A187,'Diags Raw Data'!$A$6:$A$3992))),'Diags Raw Data'!$L$6:$L$3992,'Diags Raw Data'!$N$6:$N$3995)/J187)</f>
        <v>#VALUE!</v>
      </c>
      <c r="L187" s="495" cm="1">
        <f t="array" ref="L187">IF(D187="",0, SUMPRODUCT(--(ISNUMBER(SEARCH($A187,'Diags Raw Data'!$A$6:$A$3992))),'Diags Raw Data'!$L$6:$L$3992,'Diags Raw Data'!$P$6:$P$3992)/J187)</f>
        <v>1</v>
      </c>
      <c r="M187" s="496" cm="1">
        <f t="array" ref="M187">SUMPRODUCT(--(ISNUMBER(SEARCH($A187,'Diags Raw Data'!$A$6:$A$3992))),--('Diags Raw Data'!$Q$6:$Q$3992&lt;&gt;"N/A"),'Diags Raw Data'!$R$6:$R$3992)</f>
        <v>1</v>
      </c>
      <c r="N187" s="497" cm="1">
        <f t="array" ref="N187">SUMPRODUCT(--(ISNUMBER(SEARCH($A187,'Diags Raw Data'!$A$6:$A$3992))),--('Diags Raw Data'!$Q$6:$Q$3992&lt;&gt;"N/A"),'Diags Raw Data'!$T$6:$T$3992)+SUMPRODUCT(--(ISNUMBER(SEARCH($A187,'Diags Raw Data'!$A$6:$A$3992))),--('Diags Raw Data'!$Q$6:$Q$3992&lt;&gt;"N/A"),'Diags Raw Data'!$U$6:$U$3992)</f>
        <v>1</v>
      </c>
      <c r="O187" s="498">
        <f t="shared" si="85"/>
        <v>1</v>
      </c>
      <c r="P187" s="499">
        <f>SUMIF('Diags Raw Data'!$A$6:$A$3992,"*"&amp;$A187&amp;"*",'Diags Raw Data'!$Z$6:$Z$3992)</f>
        <v>0</v>
      </c>
      <c r="Q187" s="500">
        <f>SUM(SUMIF('Diags Raw Data'!$A$6:$A$3992,"*"&amp;$A187&amp;"*",'Diags Raw Data'!$AA$6:$AA$3992),SUMIF('Diags Raw Data'!$A$6:$A$3992,"*"&amp;$A187&amp;"*",'Diags Raw Data'!$AB$6:$AB$3992))</f>
        <v>0</v>
      </c>
      <c r="R187" s="501">
        <f t="shared" si="86"/>
        <v>0</v>
      </c>
      <c r="S187" s="501">
        <f t="shared" si="87"/>
        <v>0</v>
      </c>
      <c r="T187" s="502">
        <f t="shared" si="88"/>
        <v>0</v>
      </c>
      <c r="U187" s="570" t="s">
        <v>1690</v>
      </c>
      <c r="V187" s="180"/>
    </row>
    <row r="188" spans="1:24" hidden="1" x14ac:dyDescent="0.25">
      <c r="A188" s="564" t="s">
        <v>1308</v>
      </c>
      <c r="B188" s="439" t="str">
        <f>VLOOKUP(A188,'Feature Raw Data'!$A$3:$B$4204,2,FALSE)</f>
        <v>ATHUB:Fatal Error Propgation</v>
      </c>
      <c r="C188" s="440" t="str">
        <f>VLOOKUP(A188,'Feature Raw Data'!$A$3:$C$4204,3,FALSE)</f>
        <v>P1</v>
      </c>
      <c r="D188" s="441" t="str" cm="1">
        <f t="array" ref="D188">_xlfn.TEXTJOIN("",TRUE,IF(ISNUMBER(SEARCH($A188,'Diags Raw Data'!$A$6:$A$3992)),CONCATENATE('Diags Raw Data'!$H$6:$H$3992,", "),""))</f>
        <v xml:space="preserve">mhub6xx.x, </v>
      </c>
      <c r="E188" s="325" t="str">
        <f>VLOOKUP(A188,'Diags Raw Data'!$A$6:$D$3992,4,FALSE)</f>
        <v>RAS</v>
      </c>
      <c r="F188" s="325" t="str">
        <f>VLOOKUP(A188,'Feature Raw Data'!$A$3:$E$4204,5,FALSE)</f>
        <v>Delta</v>
      </c>
      <c r="G188" s="325" t="str">
        <f t="shared" si="83"/>
        <v>Yes</v>
      </c>
      <c r="H188" s="325" t="str">
        <f t="shared" si="84"/>
        <v>Yes</v>
      </c>
      <c r="I188" s="440">
        <f>SUMIF('Diags Raw Data'!$A$6:$A$3992,"*"&amp;$A188&amp;"*",'Diags Raw Data'!$K$6:$K$3992)</f>
        <v>0</v>
      </c>
      <c r="J188" s="442">
        <f>SUMIF('Diags Raw Data'!$A$6:$A$3992,"*"&amp;$A188&amp;"*",'Diags Raw Data'!$L$6:$L$3992)</f>
        <v>0</v>
      </c>
      <c r="K188" s="494" t="e" cm="1">
        <f t="array" ref="K188">IF(D188="",0, SUMPRODUCT(--(ISNUMBER(SEARCH($A188,'Diags Raw Data'!$A$6:$A$3992))),'Diags Raw Data'!$L$6:$L$3992,'Diags Raw Data'!$N$6:$N$3995)/J188)</f>
        <v>#VALUE!</v>
      </c>
      <c r="L188" s="495" t="e" cm="1">
        <f t="array" ref="L188">IF(D188="",0, SUMPRODUCT(--(ISNUMBER(SEARCH($A188,'Diags Raw Data'!$A$6:$A$3992))),'Diags Raw Data'!$L$6:$L$3992,'Diags Raw Data'!$P$6:$P$3992)/J188)</f>
        <v>#DIV/0!</v>
      </c>
      <c r="M188" s="496" cm="1">
        <f t="array" ref="M188">SUMPRODUCT(--(ISNUMBER(SEARCH($A188,'Diags Raw Data'!$A$6:$A$3992))),--('Diags Raw Data'!$Q$6:$Q$3992&lt;&gt;"N/A"),'Diags Raw Data'!$R$6:$R$3992)</f>
        <v>0</v>
      </c>
      <c r="N188" s="497" cm="1">
        <f t="array" ref="N188">SUMPRODUCT(--(ISNUMBER(SEARCH($A188,'Diags Raw Data'!$A$6:$A$3992))),--('Diags Raw Data'!$Q$6:$Q$3992&lt;&gt;"N/A"),'Diags Raw Data'!$T$6:$T$3992)+SUMPRODUCT(--(ISNUMBER(SEARCH($A188,'Diags Raw Data'!$A$6:$A$3992))),--('Diags Raw Data'!$Q$6:$Q$3992&lt;&gt;"N/A"),'Diags Raw Data'!$U$6:$U$3992)</f>
        <v>0</v>
      </c>
      <c r="O188" s="498">
        <f t="shared" si="85"/>
        <v>0</v>
      </c>
      <c r="P188" s="499">
        <f>SUMIF('Diags Raw Data'!$A$6:$A$3992,"*"&amp;$A188&amp;"*",'Diags Raw Data'!$Z$6:$Z$3992)</f>
        <v>0</v>
      </c>
      <c r="Q188" s="500">
        <f>SUM(SUMIF('Diags Raw Data'!$A$6:$A$3992,"*"&amp;$A188&amp;"*",'Diags Raw Data'!$AA$6:$AA$3992),SUMIF('Diags Raw Data'!$A$6:$A$3992,"*"&amp;$A188&amp;"*",'Diags Raw Data'!$AB$6:$AB$3992))</f>
        <v>0</v>
      </c>
      <c r="R188" s="501">
        <f t="shared" si="86"/>
        <v>0</v>
      </c>
      <c r="S188" s="501">
        <f t="shared" si="87"/>
        <v>0</v>
      </c>
      <c r="T188" s="502">
        <f t="shared" si="88"/>
        <v>0</v>
      </c>
      <c r="U188" s="570" t="s">
        <v>1692</v>
      </c>
      <c r="V188" s="180"/>
    </row>
    <row r="189" spans="1:24" hidden="1" x14ac:dyDescent="0.25">
      <c r="A189" s="564" t="s">
        <v>1614</v>
      </c>
      <c r="B189" s="439" t="str">
        <f>VLOOKUP(A189,'Feature Raw Data'!$A$3:$B$4204,2,FALSE)</f>
        <v>ATHUB:VDCI on GFX SDP interfaces</v>
      </c>
      <c r="C189" s="440" t="str">
        <f>VLOOKUP(A189,'Feature Raw Data'!$A$3:$C$4204,3,FALSE)</f>
        <v>P2</v>
      </c>
      <c r="D189" s="441" t="str" cm="1">
        <f t="array" ref="D189">_xlfn.TEXTJOIN("",TRUE,IF(ISNUMBER(SEARCH($A189,'Diags Raw Data'!$A$6:$A$3992)),CONCATENATE('Diags Raw Data'!$H$6:$H$3992,", "),""))</f>
        <v/>
      </c>
      <c r="E189" s="325" t="e">
        <f>VLOOKUP(A189,'Diags Raw Data'!$A$6:$D$3992,4,FALSE)</f>
        <v>#N/A</v>
      </c>
      <c r="F189" s="325" t="str">
        <f>VLOOKUP(A189,'Feature Raw Data'!$A$3:$E$4204,5,FALSE)</f>
        <v>Legacy</v>
      </c>
      <c r="G189" s="325" t="str">
        <f t="shared" si="83"/>
        <v>No</v>
      </c>
      <c r="H189" s="325" t="str">
        <f t="shared" si="84"/>
        <v>No</v>
      </c>
      <c r="I189" s="440">
        <f>SUMIF('Diags Raw Data'!$A$6:$A$3992,"*"&amp;$A189&amp;"*",'Diags Raw Data'!$K$6:$K$3992)</f>
        <v>0</v>
      </c>
      <c r="J189" s="442">
        <f>SUMIF('Diags Raw Data'!$A$6:$A$3992,"*"&amp;$A189&amp;"*",'Diags Raw Data'!$L$6:$L$3992)</f>
        <v>0</v>
      </c>
      <c r="K189" s="494" cm="1">
        <f t="array" ref="K189">IF(D189="",0, SUMPRODUCT(--(ISNUMBER(SEARCH($A189,'Diags Raw Data'!$A$6:$A$3992))),'Diags Raw Data'!$L$6:$L$3992,'Diags Raw Data'!$N$6:$N$3995)/J189)</f>
        <v>0</v>
      </c>
      <c r="L189" s="495" cm="1">
        <f t="array" ref="L189">IF(D189="",0, SUMPRODUCT(--(ISNUMBER(SEARCH($A189,'Diags Raw Data'!$A$6:$A$3992))),'Diags Raw Data'!$L$6:$L$3992,'Diags Raw Data'!$P$6:$P$3992)/J189)</f>
        <v>0</v>
      </c>
      <c r="M189" s="496" cm="1">
        <f t="array" ref="M189">SUMPRODUCT(--(ISNUMBER(SEARCH($A189,'Diags Raw Data'!$A$6:$A$3992))),--('Diags Raw Data'!$Q$6:$Q$3992&lt;&gt;"N/A"),'Diags Raw Data'!$R$6:$R$3992)</f>
        <v>0</v>
      </c>
      <c r="N189" s="497" cm="1">
        <f t="array" ref="N189">SUMPRODUCT(--(ISNUMBER(SEARCH($A189,'Diags Raw Data'!$A$6:$A$3992))),--('Diags Raw Data'!$Q$6:$Q$3992&lt;&gt;"N/A"),'Diags Raw Data'!$T$6:$T$3992)+SUMPRODUCT(--(ISNUMBER(SEARCH($A189,'Diags Raw Data'!$A$6:$A$3992))),--('Diags Raw Data'!$Q$6:$Q$3992&lt;&gt;"N/A"),'Diags Raw Data'!$U$6:$U$3992)</f>
        <v>0</v>
      </c>
      <c r="O189" s="498">
        <f t="shared" si="85"/>
        <v>0</v>
      </c>
      <c r="P189" s="499">
        <f>SUMIF('Diags Raw Data'!$A$6:$A$3992,"*"&amp;$A189&amp;"*",'Diags Raw Data'!$Z$6:$Z$3992)</f>
        <v>0</v>
      </c>
      <c r="Q189" s="500">
        <f>SUM(SUMIF('Diags Raw Data'!$A$6:$A$3992,"*"&amp;$A189&amp;"*",'Diags Raw Data'!$AA$6:$AA$3992),SUMIF('Diags Raw Data'!$A$6:$A$3992,"*"&amp;$A189&amp;"*",'Diags Raw Data'!$AB$6:$AB$3992))</f>
        <v>0</v>
      </c>
      <c r="R189" s="501">
        <f t="shared" si="86"/>
        <v>0</v>
      </c>
      <c r="S189" s="501">
        <f t="shared" si="87"/>
        <v>0</v>
      </c>
      <c r="T189" s="502">
        <f t="shared" si="88"/>
        <v>0</v>
      </c>
      <c r="U189" s="570" t="s">
        <v>44</v>
      </c>
      <c r="V189" s="180" t="s">
        <v>1719</v>
      </c>
    </row>
    <row r="190" spans="1:24" ht="30" hidden="1" x14ac:dyDescent="0.25">
      <c r="A190" s="564" t="s">
        <v>1616</v>
      </c>
      <c r="B190" s="439" t="str">
        <f>VLOOKUP(A190,'Feature Raw Data'!$A$3:$B$4204,2,FALSE)</f>
        <v>ATHUB:Safe TDR for GPU Driver Reset(enhanced SDP port control)</v>
      </c>
      <c r="C190" s="440" t="str">
        <f>VLOOKUP(A190,'Feature Raw Data'!$A$3:$C$4204,3,FALSE)</f>
        <v>P2</v>
      </c>
      <c r="D190" s="441" t="str" cm="1">
        <f t="array" ref="D190">_xlfn.TEXTJOIN("",TRUE,IF(ISNUMBER(SEARCH($A190,'Diags Raw Data'!$A$6:$A$3992)),CONCATENATE('Diags Raw Data'!$H$6:$H$3992,", "),""))</f>
        <v/>
      </c>
      <c r="E190" s="325" t="e">
        <f>VLOOKUP(A190,'Diags Raw Data'!$A$6:$D$3992,4,FALSE)</f>
        <v>#N/A</v>
      </c>
      <c r="F190" s="325" t="str">
        <f>VLOOKUP(A190,'Feature Raw Data'!$A$3:$E$4204,5,FALSE)</f>
        <v>Legacy</v>
      </c>
      <c r="G190" s="325" t="str">
        <f t="shared" si="83"/>
        <v>No</v>
      </c>
      <c r="H190" s="325" t="str">
        <f t="shared" si="84"/>
        <v>No</v>
      </c>
      <c r="I190" s="440">
        <f>SUMIF('Diags Raw Data'!$A$6:$A$3992,"*"&amp;$A190&amp;"*",'Diags Raw Data'!$K$6:$K$3992)</f>
        <v>0</v>
      </c>
      <c r="J190" s="442">
        <f>SUMIF('Diags Raw Data'!$A$6:$A$3992,"*"&amp;$A190&amp;"*",'Diags Raw Data'!$L$6:$L$3992)</f>
        <v>0</v>
      </c>
      <c r="K190" s="494" cm="1">
        <f t="array" ref="K190">IF(D190="",0, SUMPRODUCT(--(ISNUMBER(SEARCH($A190,'Diags Raw Data'!$A$6:$A$3992))),'Diags Raw Data'!$L$6:$L$3992,'Diags Raw Data'!$N$6:$N$3995)/J190)</f>
        <v>0</v>
      </c>
      <c r="L190" s="495" cm="1">
        <f t="array" ref="L190">IF(D190="",0, SUMPRODUCT(--(ISNUMBER(SEARCH($A190,'Diags Raw Data'!$A$6:$A$3992))),'Diags Raw Data'!$L$6:$L$3992,'Diags Raw Data'!$P$6:$P$3992)/J190)</f>
        <v>0</v>
      </c>
      <c r="M190" s="496" cm="1">
        <f t="array" ref="M190">SUMPRODUCT(--(ISNUMBER(SEARCH($A190,'Diags Raw Data'!$A$6:$A$3992))),--('Diags Raw Data'!$Q$6:$Q$3992&lt;&gt;"N/A"),'Diags Raw Data'!$R$6:$R$3992)</f>
        <v>0</v>
      </c>
      <c r="N190" s="497" cm="1">
        <f t="array" ref="N190">SUMPRODUCT(--(ISNUMBER(SEARCH($A190,'Diags Raw Data'!$A$6:$A$3992))),--('Diags Raw Data'!$Q$6:$Q$3992&lt;&gt;"N/A"),'Diags Raw Data'!$T$6:$T$3992)+SUMPRODUCT(--(ISNUMBER(SEARCH($A190,'Diags Raw Data'!$A$6:$A$3992))),--('Diags Raw Data'!$Q$6:$Q$3992&lt;&gt;"N/A"),'Diags Raw Data'!$U$6:$U$3992)</f>
        <v>0</v>
      </c>
      <c r="O190" s="498">
        <f t="shared" si="85"/>
        <v>0</v>
      </c>
      <c r="P190" s="499">
        <f>SUMIF('Diags Raw Data'!$A$6:$A$3992,"*"&amp;$A190&amp;"*",'Diags Raw Data'!$Z$6:$Z$3992)</f>
        <v>0</v>
      </c>
      <c r="Q190" s="500">
        <f>SUM(SUMIF('Diags Raw Data'!$A$6:$A$3992,"*"&amp;$A190&amp;"*",'Diags Raw Data'!$AA$6:$AA$3992),SUMIF('Diags Raw Data'!$A$6:$A$3992,"*"&amp;$A190&amp;"*",'Diags Raw Data'!$AB$6:$AB$3992))</f>
        <v>0</v>
      </c>
      <c r="R190" s="501">
        <f t="shared" si="86"/>
        <v>0</v>
      </c>
      <c r="S190" s="501">
        <f t="shared" si="87"/>
        <v>0</v>
      </c>
      <c r="T190" s="502">
        <f t="shared" si="88"/>
        <v>0</v>
      </c>
      <c r="U190" s="570" t="s">
        <v>44</v>
      </c>
      <c r="V190" s="180" t="s">
        <v>1719</v>
      </c>
    </row>
    <row r="191" spans="1:24" hidden="1" x14ac:dyDescent="0.25">
      <c r="A191" s="564" t="s">
        <v>1618</v>
      </c>
      <c r="B191" s="439" t="str">
        <f>VLOOKUP(A191,'Feature Raw Data'!$A$3:$B$4204,2,FALSE)</f>
        <v>ATHUB:Register Access Resilience</v>
      </c>
      <c r="C191" s="440" t="str">
        <f>VLOOKUP(A191,'Feature Raw Data'!$A$3:$C$4204,3,FALSE)</f>
        <v>P2</v>
      </c>
      <c r="D191" s="441" t="str" cm="1">
        <f t="array" ref="D191">_xlfn.TEXTJOIN("",TRUE,IF(ISNUMBER(SEARCH($A191,'Diags Raw Data'!$A$6:$A$3992)),CONCATENATE('Diags Raw Data'!$H$6:$H$3992,", "),""))</f>
        <v/>
      </c>
      <c r="E191" s="325" t="e">
        <f>VLOOKUP(A191,'Diags Raw Data'!$A$6:$D$3992,4,FALSE)</f>
        <v>#N/A</v>
      </c>
      <c r="F191" s="325" t="str">
        <f>VLOOKUP(A191,'Feature Raw Data'!$A$3:$E$4204,5,FALSE)</f>
        <v>Legacy</v>
      </c>
      <c r="G191" s="325" t="str">
        <f t="shared" si="83"/>
        <v>No</v>
      </c>
      <c r="H191" s="325" t="str">
        <f t="shared" si="84"/>
        <v>No</v>
      </c>
      <c r="I191" s="440">
        <f>SUMIF('Diags Raw Data'!$A$6:$A$3992,"*"&amp;$A191&amp;"*",'Diags Raw Data'!$K$6:$K$3992)</f>
        <v>0</v>
      </c>
      <c r="J191" s="442">
        <f>SUMIF('Diags Raw Data'!$A$6:$A$3992,"*"&amp;$A191&amp;"*",'Diags Raw Data'!$L$6:$L$3992)</f>
        <v>0</v>
      </c>
      <c r="K191" s="494" cm="1">
        <f t="array" ref="K191">IF(D191="",0, SUMPRODUCT(--(ISNUMBER(SEARCH($A191,'Diags Raw Data'!$A$6:$A$3992))),'Diags Raw Data'!$L$6:$L$3992,'Diags Raw Data'!$N$6:$N$3995)/J191)</f>
        <v>0</v>
      </c>
      <c r="L191" s="495" cm="1">
        <f t="array" ref="L191">IF(D191="",0, SUMPRODUCT(--(ISNUMBER(SEARCH($A191,'Diags Raw Data'!$A$6:$A$3992))),'Diags Raw Data'!$L$6:$L$3992,'Diags Raw Data'!$P$6:$P$3992)/J191)</f>
        <v>0</v>
      </c>
      <c r="M191" s="496" cm="1">
        <f t="array" ref="M191">SUMPRODUCT(--(ISNUMBER(SEARCH($A191,'Diags Raw Data'!$A$6:$A$3992))),--('Diags Raw Data'!$Q$6:$Q$3992&lt;&gt;"N/A"),'Diags Raw Data'!$R$6:$R$3992)</f>
        <v>0</v>
      </c>
      <c r="N191" s="497" cm="1">
        <f t="array" ref="N191">SUMPRODUCT(--(ISNUMBER(SEARCH($A191,'Diags Raw Data'!$A$6:$A$3992))),--('Diags Raw Data'!$Q$6:$Q$3992&lt;&gt;"N/A"),'Diags Raw Data'!$T$6:$T$3992)+SUMPRODUCT(--(ISNUMBER(SEARCH($A191,'Diags Raw Data'!$A$6:$A$3992))),--('Diags Raw Data'!$Q$6:$Q$3992&lt;&gt;"N/A"),'Diags Raw Data'!$U$6:$U$3992)</f>
        <v>0</v>
      </c>
      <c r="O191" s="498">
        <f t="shared" si="85"/>
        <v>0</v>
      </c>
      <c r="P191" s="499">
        <f>SUMIF('Diags Raw Data'!$A$6:$A$3992,"*"&amp;$A191&amp;"*",'Diags Raw Data'!$Z$6:$Z$3992)</f>
        <v>0</v>
      </c>
      <c r="Q191" s="500">
        <f>SUM(SUMIF('Diags Raw Data'!$A$6:$A$3992,"*"&amp;$A191&amp;"*",'Diags Raw Data'!$AA$6:$AA$3992),SUMIF('Diags Raw Data'!$A$6:$A$3992,"*"&amp;$A191&amp;"*",'Diags Raw Data'!$AB$6:$AB$3992))</f>
        <v>0</v>
      </c>
      <c r="R191" s="501">
        <f t="shared" si="86"/>
        <v>0</v>
      </c>
      <c r="S191" s="501">
        <f t="shared" si="87"/>
        <v>0</v>
      </c>
      <c r="T191" s="502">
        <f t="shared" si="88"/>
        <v>0</v>
      </c>
      <c r="U191" s="570" t="s">
        <v>44</v>
      </c>
      <c r="V191" s="180" t="s">
        <v>1719</v>
      </c>
    </row>
    <row r="192" spans="1:24" hidden="1" x14ac:dyDescent="0.25">
      <c r="A192" s="564" t="s">
        <v>1622</v>
      </c>
      <c r="B192" s="439" t="str">
        <f>VLOOKUP(A192,'Feature Raw Data'!$A$3:$B$4204,2,FALSE)</f>
        <v>ATHUB:Power - SOCCLK Deep Sleep</v>
      </c>
      <c r="C192" s="440" t="str">
        <f>VLOOKUP(A192,'Feature Raw Data'!$A$3:$C$4204,3,FALSE)</f>
        <v>P2</v>
      </c>
      <c r="D192" s="441" t="str" cm="1">
        <f t="array" ref="D192">_xlfn.TEXTJOIN("",TRUE,IF(ISNUMBER(SEARCH($A192,'Diags Raw Data'!$A$6:$A$3992)),CONCATENATE('Diags Raw Data'!$H$6:$H$3992,", "),""))</f>
        <v/>
      </c>
      <c r="E192" s="325" t="e">
        <f>VLOOKUP(A192,'Diags Raw Data'!$A$6:$D$3992,4,FALSE)</f>
        <v>#N/A</v>
      </c>
      <c r="F192" s="325" t="str">
        <f>VLOOKUP(A192,'Feature Raw Data'!$A$3:$E$4204,5,FALSE)</f>
        <v>Legacy</v>
      </c>
      <c r="G192" s="325" t="str">
        <f t="shared" si="83"/>
        <v>No</v>
      </c>
      <c r="H192" s="325" t="str">
        <f t="shared" si="84"/>
        <v>No</v>
      </c>
      <c r="I192" s="440">
        <f>SUMIF('Diags Raw Data'!$A$6:$A$3992,"*"&amp;$A192&amp;"*",'Diags Raw Data'!$K$6:$K$3992)</f>
        <v>0</v>
      </c>
      <c r="J192" s="442">
        <f>SUMIF('Diags Raw Data'!$A$6:$A$3992,"*"&amp;$A192&amp;"*",'Diags Raw Data'!$L$6:$L$3992)</f>
        <v>0</v>
      </c>
      <c r="K192" s="494" cm="1">
        <f t="array" ref="K192">IF(D192="",0, SUMPRODUCT(--(ISNUMBER(SEARCH($A192,'Diags Raw Data'!$A$6:$A$3992))),'Diags Raw Data'!$L$6:$L$3992,'Diags Raw Data'!$N$6:$N$3995)/J192)</f>
        <v>0</v>
      </c>
      <c r="L192" s="495" cm="1">
        <f t="array" ref="L192">IF(D192="",0, SUMPRODUCT(--(ISNUMBER(SEARCH($A192,'Diags Raw Data'!$A$6:$A$3992))),'Diags Raw Data'!$L$6:$L$3992,'Diags Raw Data'!$P$6:$P$3992)/J192)</f>
        <v>0</v>
      </c>
      <c r="M192" s="496" cm="1">
        <f t="array" ref="M192">SUMPRODUCT(--(ISNUMBER(SEARCH($A192,'Diags Raw Data'!$A$6:$A$3992))),--('Diags Raw Data'!$Q$6:$Q$3992&lt;&gt;"N/A"),'Diags Raw Data'!$R$6:$R$3992)</f>
        <v>0</v>
      </c>
      <c r="N192" s="497" cm="1">
        <f t="array" ref="N192">SUMPRODUCT(--(ISNUMBER(SEARCH($A192,'Diags Raw Data'!$A$6:$A$3992))),--('Diags Raw Data'!$Q$6:$Q$3992&lt;&gt;"N/A"),'Diags Raw Data'!$T$6:$T$3992)+SUMPRODUCT(--(ISNUMBER(SEARCH($A192,'Diags Raw Data'!$A$6:$A$3992))),--('Diags Raw Data'!$Q$6:$Q$3992&lt;&gt;"N/A"),'Diags Raw Data'!$U$6:$U$3992)</f>
        <v>0</v>
      </c>
      <c r="O192" s="498">
        <f t="shared" si="85"/>
        <v>0</v>
      </c>
      <c r="P192" s="499">
        <f>SUMIF('Diags Raw Data'!$A$6:$A$3992,"*"&amp;$A192&amp;"*",'Diags Raw Data'!$Z$6:$Z$3992)</f>
        <v>0</v>
      </c>
      <c r="Q192" s="500">
        <f>SUM(SUMIF('Diags Raw Data'!$A$6:$A$3992,"*"&amp;$A192&amp;"*",'Diags Raw Data'!$AA$6:$AA$3992),SUMIF('Diags Raw Data'!$A$6:$A$3992,"*"&amp;$A192&amp;"*",'Diags Raw Data'!$AB$6:$AB$3992))</f>
        <v>0</v>
      </c>
      <c r="R192" s="501">
        <f t="shared" si="86"/>
        <v>0</v>
      </c>
      <c r="S192" s="501">
        <f t="shared" si="87"/>
        <v>0</v>
      </c>
      <c r="T192" s="502">
        <f t="shared" si="88"/>
        <v>0</v>
      </c>
      <c r="U192" s="570" t="s">
        <v>44</v>
      </c>
      <c r="V192" s="180" t="s">
        <v>1719</v>
      </c>
    </row>
    <row r="193" spans="1:24" x14ac:dyDescent="0.25">
      <c r="A193" s="564" t="s">
        <v>1624</v>
      </c>
      <c r="B193" s="439" t="str">
        <f>VLOOKUP(A193,'Feature Raw Data'!$A$3:$B$4204,2,FALSE)</f>
        <v>ATHUB:SOC-15 Address Width</v>
      </c>
      <c r="C193" s="440" t="str">
        <f>VLOOKUP(A193,'Feature Raw Data'!$A$3:$C$4204,3,FALSE)</f>
        <v>P2</v>
      </c>
      <c r="D193" s="441" t="str" cm="1">
        <f t="array" ref="D193">_xlfn.TEXTJOIN("",TRUE,IF(ISNUMBER(SEARCH($A193,'Diags Raw Data'!$A$6:$A$3992)),CONCATENATE('Diags Raw Data'!$H$6:$H$3992,", "),""))</f>
        <v xml:space="preserve">mhub001.1, mhub001.2, mhub001.9, </v>
      </c>
      <c r="E193" s="325" t="e">
        <f>VLOOKUP(A193,'Diags Raw Data'!$A$6:$D$3992,4,FALSE)</f>
        <v>#N/A</v>
      </c>
      <c r="F193" s="325" t="str">
        <f>VLOOKUP(A193,'Feature Raw Data'!$A$3:$E$4204,5,FALSE)</f>
        <v>Legacy</v>
      </c>
      <c r="G193" s="325" t="str">
        <f t="shared" si="83"/>
        <v>Yes</v>
      </c>
      <c r="H193" s="325" t="str">
        <f t="shared" si="84"/>
        <v>Yes</v>
      </c>
      <c r="I193" s="440">
        <f>SUMIF('Diags Raw Data'!$A$6:$A$3992,"*"&amp;$A193&amp;"*",'Diags Raw Data'!$K$6:$K$3992)</f>
        <v>3</v>
      </c>
      <c r="J193" s="442">
        <f>SUMIF('Diags Raw Data'!$A$6:$A$3992,"*"&amp;$A193&amp;"*",'Diags Raw Data'!$L$6:$L$3992)</f>
        <v>3</v>
      </c>
      <c r="K193" s="494" t="e" cm="1">
        <f t="array" ref="K193">IF(D193="",0, SUMPRODUCT(--(ISNUMBER(SEARCH($A193,'Diags Raw Data'!$A$6:$A$3992))),'Diags Raw Data'!$L$6:$L$3992,'Diags Raw Data'!$N$6:$N$3995)/J193)</f>
        <v>#VALUE!</v>
      </c>
      <c r="L193" s="495" cm="1">
        <f t="array" ref="L193">IF(D193="",0, SUMPRODUCT(--(ISNUMBER(SEARCH($A193,'Diags Raw Data'!$A$6:$A$3992))),'Diags Raw Data'!$L$6:$L$3992,'Diags Raw Data'!$P$6:$P$3992)/J193)</f>
        <v>1</v>
      </c>
      <c r="M193" s="496" cm="1">
        <f t="array" ref="M193">SUMPRODUCT(--(ISNUMBER(SEARCH($A193,'Diags Raw Data'!$A$6:$A$3992))),--('Diags Raw Data'!$Q$6:$Q$3992&lt;&gt;"N/A"),'Diags Raw Data'!$R$6:$R$3992)</f>
        <v>3</v>
      </c>
      <c r="N193" s="497" cm="1">
        <f t="array" ref="N193">SUMPRODUCT(--(ISNUMBER(SEARCH($A193,'Diags Raw Data'!$A$6:$A$3992))),--('Diags Raw Data'!$Q$6:$Q$3992&lt;&gt;"N/A"),'Diags Raw Data'!$T$6:$T$3992)+SUMPRODUCT(--(ISNUMBER(SEARCH($A193,'Diags Raw Data'!$A$6:$A$3992))),--('Diags Raw Data'!$Q$6:$Q$3992&lt;&gt;"N/A"),'Diags Raw Data'!$U$6:$U$3992)</f>
        <v>3</v>
      </c>
      <c r="O193" s="498">
        <f t="shared" si="85"/>
        <v>1</v>
      </c>
      <c r="P193" s="499">
        <f>SUMIF('Diags Raw Data'!$A$6:$A$3992,"*"&amp;$A193&amp;"*",'Diags Raw Data'!$Z$6:$Z$3992)</f>
        <v>3</v>
      </c>
      <c r="Q193" s="500">
        <f>SUM(SUMIF('Diags Raw Data'!$A$6:$A$3992,"*"&amp;$A193&amp;"*",'Diags Raw Data'!$AA$6:$AA$3992),SUMIF('Diags Raw Data'!$A$6:$A$3992,"*"&amp;$A193&amp;"*",'Diags Raw Data'!$AB$6:$AB$3992))</f>
        <v>3</v>
      </c>
      <c r="R193" s="501">
        <f t="shared" si="86"/>
        <v>1</v>
      </c>
      <c r="S193" s="501">
        <f t="shared" si="87"/>
        <v>1</v>
      </c>
      <c r="T193" s="502">
        <f t="shared" si="88"/>
        <v>1</v>
      </c>
      <c r="U193" s="570" t="s">
        <v>1692</v>
      </c>
      <c r="V193" s="180" t="s">
        <v>1719</v>
      </c>
    </row>
    <row r="194" spans="1:24" ht="30" x14ac:dyDescent="0.25">
      <c r="A194" s="564" t="s">
        <v>1352</v>
      </c>
      <c r="B194" s="439" t="str">
        <f>VLOOKUP(A194,'Feature Raw Data'!$A$3:$B$4204,2,FALSE)</f>
        <v>ATHUB:RAS - Datapath Parity Injection</v>
      </c>
      <c r="C194" s="440" t="str">
        <f>VLOOKUP(A194,'Feature Raw Data'!$A$3:$C$4204,3,FALSE)</f>
        <v>P2</v>
      </c>
      <c r="D194" s="441" t="str" cm="1">
        <f t="array" ref="D194">_xlfn.TEXTJOIN("",TRUE,IF(ISNUMBER(SEARCH($A194,'Diags Raw Data'!$A$6:$A$3992)),CONCATENATE('Diags Raw Data'!$H$6:$H$3992,", "),""))</f>
        <v xml:space="preserve">mhub611.2, mhub611.4, mhub611.6, mhub611.1-7, </v>
      </c>
      <c r="E194" s="325" t="str">
        <f>VLOOKUP(A194,'Diags Raw Data'!$A$6:$D$3992,4,FALSE)</f>
        <v>RAS</v>
      </c>
      <c r="F194" s="325" t="str">
        <f>VLOOKUP(A194,'Feature Raw Data'!$A$3:$E$4204,5,FALSE)</f>
        <v>Legacy</v>
      </c>
      <c r="G194" s="325" t="str">
        <f t="shared" si="83"/>
        <v>Yes</v>
      </c>
      <c r="H194" s="325" t="str">
        <f t="shared" si="84"/>
        <v>Yes</v>
      </c>
      <c r="I194" s="440">
        <f>SUMIF('Diags Raw Data'!$A$6:$A$3992,"*"&amp;$A194&amp;"*",'Diags Raw Data'!$K$6:$K$3992)</f>
        <v>10</v>
      </c>
      <c r="J194" s="442">
        <f>SUMIF('Diags Raw Data'!$A$6:$A$3992,"*"&amp;$A194&amp;"*",'Diags Raw Data'!$L$6:$L$3992)</f>
        <v>10</v>
      </c>
      <c r="K194" s="494" t="e" cm="1">
        <f t="array" ref="K194">IF(D194="",0, SUMPRODUCT(--(ISNUMBER(SEARCH($A194,'Diags Raw Data'!$A$6:$A$3992))),'Diags Raw Data'!$L$6:$L$3992,'Diags Raw Data'!$N$6:$N$3995)/J194)</f>
        <v>#VALUE!</v>
      </c>
      <c r="L194" s="495" cm="1">
        <f t="array" ref="L194">IF(D194="",0, SUMPRODUCT(--(ISNUMBER(SEARCH($A194,'Diags Raw Data'!$A$6:$A$3992))),'Diags Raw Data'!$L$6:$L$3992,'Diags Raw Data'!$P$6:$P$3992)/J194)</f>
        <v>1</v>
      </c>
      <c r="M194" s="496" cm="1">
        <f t="array" ref="M194">SUMPRODUCT(--(ISNUMBER(SEARCH($A194,'Diags Raw Data'!$A$6:$A$3992))),--('Diags Raw Data'!$Q$6:$Q$3992&lt;&gt;"N/A"),'Diags Raw Data'!$R$6:$R$3992)</f>
        <v>10</v>
      </c>
      <c r="N194" s="497" cm="1">
        <f t="array" ref="N194">SUMPRODUCT(--(ISNUMBER(SEARCH($A194,'Diags Raw Data'!$A$6:$A$3992))),--('Diags Raw Data'!$Q$6:$Q$3992&lt;&gt;"N/A"),'Diags Raw Data'!$T$6:$T$3992)+SUMPRODUCT(--(ISNUMBER(SEARCH($A194,'Diags Raw Data'!$A$6:$A$3992))),--('Diags Raw Data'!$Q$6:$Q$3992&lt;&gt;"N/A"),'Diags Raw Data'!$U$6:$U$3992)</f>
        <v>7</v>
      </c>
      <c r="O194" s="498">
        <f t="shared" si="85"/>
        <v>0.7</v>
      </c>
      <c r="P194" s="499">
        <f>SUMIF('Diags Raw Data'!$A$6:$A$3992,"*"&amp;$A194&amp;"*",'Diags Raw Data'!$Z$6:$Z$3992)</f>
        <v>0</v>
      </c>
      <c r="Q194" s="500">
        <f>SUM(SUMIF('Diags Raw Data'!$A$6:$A$3992,"*"&amp;$A194&amp;"*",'Diags Raw Data'!$AA$6:$AA$3992),SUMIF('Diags Raw Data'!$A$6:$A$3992,"*"&amp;$A194&amp;"*",'Diags Raw Data'!$AB$6:$AB$3992))</f>
        <v>0</v>
      </c>
      <c r="R194" s="501">
        <f t="shared" si="86"/>
        <v>0</v>
      </c>
      <c r="S194" s="501">
        <f t="shared" si="87"/>
        <v>0</v>
      </c>
      <c r="T194" s="502">
        <f t="shared" si="88"/>
        <v>0</v>
      </c>
      <c r="U194" s="570" t="s">
        <v>1692</v>
      </c>
      <c r="V194" s="180"/>
    </row>
    <row r="195" spans="1:24" hidden="1" x14ac:dyDescent="0.25">
      <c r="A195" s="564"/>
      <c r="B195" s="439"/>
      <c r="C195" s="440"/>
      <c r="D195" s="441"/>
      <c r="E195" s="325"/>
      <c r="F195" s="325"/>
      <c r="G195" s="325"/>
      <c r="H195" s="325"/>
      <c r="I195" s="440"/>
      <c r="J195" s="442"/>
      <c r="K195" s="494"/>
      <c r="L195" s="495"/>
      <c r="M195" s="496"/>
      <c r="N195" s="497"/>
      <c r="O195" s="498"/>
      <c r="P195" s="499"/>
      <c r="Q195" s="500"/>
      <c r="R195" s="501"/>
      <c r="S195" s="501"/>
      <c r="T195" s="502"/>
      <c r="U195" s="570"/>
      <c r="V195" s="180"/>
    </row>
    <row r="196" spans="1:24" x14ac:dyDescent="0.25">
      <c r="A196" s="564" t="s">
        <v>1340</v>
      </c>
      <c r="B196" s="439" t="str">
        <f>VLOOKUP(A196,'Feature Raw Data'!$A$3:$B$4204,2,FALSE)</f>
        <v>MMHUB:UTCL1 - TMZ</v>
      </c>
      <c r="C196" s="440" t="str">
        <f>VLOOKUP(A196,'Feature Raw Data'!$A$3:$C$4204,3,FALSE)</f>
        <v>P1</v>
      </c>
      <c r="D196" s="441" t="str" cm="1">
        <f t="array" ref="D196">_xlfn.TEXTJOIN("",TRUE,IF(ISNUMBER(SEARCH($A196,'Diags Raw Data'!$A$6:$A$3992)),CONCATENATE('Diags Raw Data'!$H$6:$H$3992,", "),""))</f>
        <v xml:space="preserve">mhub150.42, </v>
      </c>
      <c r="E196" s="325" t="str">
        <f>VLOOKUP(A196,'Diags Raw Data'!$A$6:$D$3992,4,FALSE)</f>
        <v>MMHUB</v>
      </c>
      <c r="F196" s="325" t="str">
        <f>VLOOKUP(A196,'Feature Raw Data'!$A$3:$E$4204,5,FALSE)</f>
        <v>New</v>
      </c>
      <c r="G196" s="325" t="str">
        <f t="shared" si="83"/>
        <v>Yes</v>
      </c>
      <c r="H196" s="325" t="str">
        <f t="shared" si="84"/>
        <v>Yes</v>
      </c>
      <c r="I196" s="440">
        <f>SUMIF('Diags Raw Data'!$A$6:$A$3992,"*"&amp;$A196&amp;"*",'Diags Raw Data'!$K$6:$K$3992)</f>
        <v>1</v>
      </c>
      <c r="J196" s="442">
        <f>SUMIF('Diags Raw Data'!$A$6:$A$3992,"*"&amp;$A196&amp;"*",'Diags Raw Data'!$L$6:$L$3992)</f>
        <v>1</v>
      </c>
      <c r="K196" s="494" t="e" cm="1">
        <f t="array" ref="K196">IF(D196="",0, SUMPRODUCT(--(ISNUMBER(SEARCH($A196,'Diags Raw Data'!$A$6:$A$3992))),'Diags Raw Data'!$L$6:$L$3992,'Diags Raw Data'!$N$6:$N$3995)/J196)</f>
        <v>#VALUE!</v>
      </c>
      <c r="L196" s="495" cm="1">
        <f t="array" ref="L196">IF(D196="",0, SUMPRODUCT(--(ISNUMBER(SEARCH($A196,'Diags Raw Data'!$A$6:$A$3992))),'Diags Raw Data'!$L$6:$L$3992,'Diags Raw Data'!$P$6:$P$3992)/J196)</f>
        <v>1</v>
      </c>
      <c r="M196" s="496" cm="1">
        <f t="array" ref="M196">SUMPRODUCT(--(ISNUMBER(SEARCH($A196,'Diags Raw Data'!$A$6:$A$3992))),--('Diags Raw Data'!$Q$6:$Q$3992&lt;&gt;"N/A"),'Diags Raw Data'!$R$6:$R$3992)</f>
        <v>1</v>
      </c>
      <c r="N196" s="497" cm="1">
        <f t="array" ref="N196">SUMPRODUCT(--(ISNUMBER(SEARCH($A196,'Diags Raw Data'!$A$6:$A$3992))),--('Diags Raw Data'!$Q$6:$Q$3992&lt;&gt;"N/A"),'Diags Raw Data'!$T$6:$T$3992)+SUMPRODUCT(--(ISNUMBER(SEARCH($A196,'Diags Raw Data'!$A$6:$A$3992))),--('Diags Raw Data'!$Q$6:$Q$3992&lt;&gt;"N/A"),'Diags Raw Data'!$U$6:$U$3992)</f>
        <v>1</v>
      </c>
      <c r="O196" s="498">
        <f t="shared" si="85"/>
        <v>1</v>
      </c>
      <c r="P196" s="499">
        <f>SUMIF('Diags Raw Data'!$A$6:$A$3992,"*"&amp;$A196&amp;"*",'Diags Raw Data'!$Z$6:$Z$3992)</f>
        <v>0</v>
      </c>
      <c r="Q196" s="500">
        <f>SUM(SUMIF('Diags Raw Data'!$A$6:$A$3992,"*"&amp;$A196&amp;"*",'Diags Raw Data'!$AA$6:$AA$3992),SUMIF('Diags Raw Data'!$A$6:$A$3992,"*"&amp;$A196&amp;"*",'Diags Raw Data'!$AB$6:$AB$3992))</f>
        <v>0</v>
      </c>
      <c r="R196" s="501">
        <f t="shared" si="86"/>
        <v>0</v>
      </c>
      <c r="S196" s="501">
        <f t="shared" si="87"/>
        <v>0</v>
      </c>
      <c r="T196" s="502">
        <f t="shared" si="88"/>
        <v>0</v>
      </c>
      <c r="U196" s="570" t="s">
        <v>1692</v>
      </c>
      <c r="V196" s="180"/>
    </row>
    <row r="197" spans="1:24" ht="45" x14ac:dyDescent="0.25">
      <c r="A197" s="564" t="s">
        <v>1344</v>
      </c>
      <c r="B197" s="439" t="str">
        <f>VLOOKUP(A197,'Feature Raw Data'!$A$3:$B$4204,2,FALSE)</f>
        <v>MMHUB:UTCL1 - Compression Enable (PTE.D)</v>
      </c>
      <c r="C197" s="440" t="str">
        <f>VLOOKUP(A197,'Feature Raw Data'!$A$3:$C$4204,3,FALSE)</f>
        <v>P1</v>
      </c>
      <c r="D197" s="441" t="str" cm="1">
        <f t="array" ref="D197">_xlfn.TEXTJOIN("",TRUE,IF(ISNUMBER(SEARCH($A197,'Diags Raw Data'!$A$6:$A$3992)),CONCATENATE('Diags Raw Data'!$H$6:$H$3992,", "),""))</f>
        <v xml:space="preserve">mhub167.2, </v>
      </c>
      <c r="E197" s="325" t="str">
        <f>VLOOKUP(A197,'Diags Raw Data'!$A$6:$D$3992,4,FALSE)</f>
        <v>MMHUB</v>
      </c>
      <c r="F197" s="325" t="str">
        <f>VLOOKUP(A197,'Feature Raw Data'!$A$3:$E$4204,5,FALSE)</f>
        <v>New</v>
      </c>
      <c r="G197" s="325" t="str">
        <f t="shared" si="83"/>
        <v>Yes</v>
      </c>
      <c r="H197" s="325" t="str">
        <f t="shared" si="84"/>
        <v>Yes</v>
      </c>
      <c r="I197" s="440">
        <f>SUMIF('Diags Raw Data'!$A$6:$A$3992,"*"&amp;$A197&amp;"*",'Diags Raw Data'!$K$6:$K$3992)</f>
        <v>1</v>
      </c>
      <c r="J197" s="442">
        <f>SUMIF('Diags Raw Data'!$A$6:$A$3992,"*"&amp;$A197&amp;"*",'Diags Raw Data'!$L$6:$L$3992)</f>
        <v>1</v>
      </c>
      <c r="K197" s="494" t="e" cm="1">
        <f t="array" ref="K197">IF(D197="",0, SUMPRODUCT(--(ISNUMBER(SEARCH($A197,'Diags Raw Data'!$A$6:$A$3992))),'Diags Raw Data'!$L$6:$L$3992,'Diags Raw Data'!$N$6:$N$3995)/J197)</f>
        <v>#VALUE!</v>
      </c>
      <c r="L197" s="495" cm="1">
        <f t="array" ref="L197">IF(D197="",0, SUMPRODUCT(--(ISNUMBER(SEARCH($A197,'Diags Raw Data'!$A$6:$A$3992))),'Diags Raw Data'!$L$6:$L$3992,'Diags Raw Data'!$P$6:$P$3992)/J197)</f>
        <v>1</v>
      </c>
      <c r="M197" s="496" cm="1">
        <f t="array" ref="M197">SUMPRODUCT(--(ISNUMBER(SEARCH($A197,'Diags Raw Data'!$A$6:$A$3992))),--('Diags Raw Data'!$Q$6:$Q$3992&lt;&gt;"N/A"),'Diags Raw Data'!$R$6:$R$3992)</f>
        <v>1</v>
      </c>
      <c r="N197" s="497" cm="1">
        <f t="array" ref="N197">SUMPRODUCT(--(ISNUMBER(SEARCH($A197,'Diags Raw Data'!$A$6:$A$3992))),--('Diags Raw Data'!$Q$6:$Q$3992&lt;&gt;"N/A"),'Diags Raw Data'!$T$6:$T$3992)+SUMPRODUCT(--(ISNUMBER(SEARCH($A197,'Diags Raw Data'!$A$6:$A$3992))),--('Diags Raw Data'!$Q$6:$Q$3992&lt;&gt;"N/A"),'Diags Raw Data'!$U$6:$U$3992)</f>
        <v>1</v>
      </c>
      <c r="O197" s="498">
        <f t="shared" si="85"/>
        <v>1</v>
      </c>
      <c r="P197" s="499">
        <f>SUMIF('Diags Raw Data'!$A$6:$A$3992,"*"&amp;$A197&amp;"*",'Diags Raw Data'!$Z$6:$Z$3992)</f>
        <v>0</v>
      </c>
      <c r="Q197" s="500">
        <f>SUM(SUMIF('Diags Raw Data'!$A$6:$A$3992,"*"&amp;$A197&amp;"*",'Diags Raw Data'!$AA$6:$AA$3992),SUMIF('Diags Raw Data'!$A$6:$A$3992,"*"&amp;$A197&amp;"*",'Diags Raw Data'!$AB$6:$AB$3992))</f>
        <v>0</v>
      </c>
      <c r="R197" s="501">
        <f t="shared" si="86"/>
        <v>0</v>
      </c>
      <c r="S197" s="501">
        <f>IF((P197=0),0,Q197/P197)</f>
        <v>0</v>
      </c>
      <c r="T197" s="502">
        <f t="shared" si="88"/>
        <v>0</v>
      </c>
      <c r="U197" s="570" t="s">
        <v>1716</v>
      </c>
      <c r="V197" s="180"/>
      <c r="X197" s="181" t="s">
        <v>1717</v>
      </c>
    </row>
    <row r="198" spans="1:24" hidden="1" x14ac:dyDescent="0.25">
      <c r="A198" s="564" t="s">
        <v>1494</v>
      </c>
      <c r="B198" s="439" t="str">
        <f>VLOOKUP(A198,'Feature Raw Data'!$A$3:$B$4204,2,FALSE)</f>
        <v>MMHUB:PCTL - MMHUB Interlock Support</v>
      </c>
      <c r="C198" s="440" t="str">
        <f>VLOOKUP(A198,'Feature Raw Data'!$A$3:$C$4204,3,FALSE)</f>
        <v>P1</v>
      </c>
      <c r="D198" s="441" t="str" cm="1">
        <f t="array" ref="D198">_xlfn.TEXTJOIN("",TRUE,IF(ISNUMBER(SEARCH($A198,'Diags Raw Data'!$A$6:$A$3992)),CONCATENATE('Diags Raw Data'!$H$6:$H$3992,", "),""))</f>
        <v/>
      </c>
      <c r="E198" s="325" t="e">
        <f>VLOOKUP(A198,'Diags Raw Data'!$A$6:$D$3992,4,FALSE)</f>
        <v>#N/A</v>
      </c>
      <c r="F198" s="325" t="str">
        <f>VLOOKUP(A198,'Feature Raw Data'!$A$3:$E$4204,5,FALSE)</f>
        <v>New</v>
      </c>
      <c r="G198" s="325" t="str">
        <f t="shared" si="83"/>
        <v>No</v>
      </c>
      <c r="H198" s="325" t="str">
        <f t="shared" si="84"/>
        <v>No</v>
      </c>
      <c r="I198" s="440">
        <f>SUMIF('Diags Raw Data'!$A$6:$A$3992,"*"&amp;$A198&amp;"*",'Diags Raw Data'!$K$6:$K$3992)</f>
        <v>0</v>
      </c>
      <c r="J198" s="442">
        <f>SUMIF('Diags Raw Data'!$A$6:$A$3992,"*"&amp;$A198&amp;"*",'Diags Raw Data'!$L$6:$L$3992)</f>
        <v>0</v>
      </c>
      <c r="K198" s="494" cm="1">
        <f t="array" ref="K198">IF(D198="",0, SUMPRODUCT(--(ISNUMBER(SEARCH($A198,'Diags Raw Data'!$A$6:$A$3992))),'Diags Raw Data'!$L$6:$L$3992,'Diags Raw Data'!$N$6:$N$3995)/J198)</f>
        <v>0</v>
      </c>
      <c r="L198" s="495" cm="1">
        <f t="array" ref="L198">IF(D198="",0, SUMPRODUCT(--(ISNUMBER(SEARCH($A198,'Diags Raw Data'!$A$6:$A$3992))),'Diags Raw Data'!$L$6:$L$3992,'Diags Raw Data'!$P$6:$P$3992)/J198)</f>
        <v>0</v>
      </c>
      <c r="M198" s="496" cm="1">
        <f t="array" ref="M198">SUMPRODUCT(--(ISNUMBER(SEARCH($A198,'Diags Raw Data'!$A$6:$A$3992))),--('Diags Raw Data'!$Q$6:$Q$3992&lt;&gt;"N/A"),'Diags Raw Data'!$R$6:$R$3992)</f>
        <v>0</v>
      </c>
      <c r="N198" s="497" cm="1">
        <f t="array" ref="N198">SUMPRODUCT(--(ISNUMBER(SEARCH($A198,'Diags Raw Data'!$A$6:$A$3992))),--('Diags Raw Data'!$Q$6:$Q$3992&lt;&gt;"N/A"),'Diags Raw Data'!$T$6:$T$3992)+SUMPRODUCT(--(ISNUMBER(SEARCH($A198,'Diags Raw Data'!$A$6:$A$3992))),--('Diags Raw Data'!$Q$6:$Q$3992&lt;&gt;"N/A"),'Diags Raw Data'!$U$6:$U$3992)</f>
        <v>0</v>
      </c>
      <c r="O198" s="498">
        <f t="shared" si="85"/>
        <v>0</v>
      </c>
      <c r="P198" s="499">
        <f>SUMIF('Diags Raw Data'!$A$6:$A$3992,"*"&amp;$A198&amp;"*",'Diags Raw Data'!$Z$6:$Z$3992)</f>
        <v>0</v>
      </c>
      <c r="Q198" s="500">
        <f>SUM(SUMIF('Diags Raw Data'!$A$6:$A$3992,"*"&amp;$A198&amp;"*",'Diags Raw Data'!$AA$6:$AA$3992),SUMIF('Diags Raw Data'!$A$6:$A$3992,"*"&amp;$A198&amp;"*",'Diags Raw Data'!$AB$6:$AB$3992))</f>
        <v>0</v>
      </c>
      <c r="R198" s="501">
        <f t="shared" si="86"/>
        <v>0</v>
      </c>
      <c r="S198" s="501">
        <f>IF((P198=0),0,Q198/P198)</f>
        <v>0</v>
      </c>
      <c r="T198" s="502">
        <f t="shared" si="88"/>
        <v>0</v>
      </c>
      <c r="U198" s="570" t="s">
        <v>44</v>
      </c>
      <c r="V198" s="180" t="s">
        <v>1719</v>
      </c>
    </row>
    <row r="199" spans="1:24" ht="30" x14ac:dyDescent="0.25">
      <c r="A199" s="564" t="s">
        <v>1572</v>
      </c>
      <c r="B199" s="439" t="str">
        <f>VLOOKUP(A199,'Feature Raw Data'!$A$3:$B$4204,2,FALSE)</f>
        <v>GFXHUB:GCUTCL2:VMl2 - Remove dummy invalidation interfaces</v>
      </c>
      <c r="C199" s="440" t="str">
        <f>VLOOKUP(A199,'Feature Raw Data'!$A$3:$C$4204,3,FALSE)</f>
        <v>P1</v>
      </c>
      <c r="D199" s="441" t="str" cm="1">
        <f t="array" ref="D199">_xlfn.TEXTJOIN("",TRUE,IF(ISNUMBER(SEARCH($A199,'Diags Raw Data'!$A$6:$A$3992)),CONCATENATE('Diags Raw Data'!$H$6:$H$3992,", "),""))</f>
        <v xml:space="preserve">mhub252.1, mhub253.1, mhub257.6, </v>
      </c>
      <c r="E199" s="325" t="e">
        <f>VLOOKUP(A199,'Diags Raw Data'!$A$6:$D$3992,4,FALSE)</f>
        <v>#N/A</v>
      </c>
      <c r="F199" s="325" t="str">
        <f>VLOOKUP(A199,'Feature Raw Data'!$A$3:$E$4204,5,FALSE)</f>
        <v>New</v>
      </c>
      <c r="G199" s="325" t="str">
        <f t="shared" si="83"/>
        <v>Yes</v>
      </c>
      <c r="H199" s="325" t="str">
        <f t="shared" si="84"/>
        <v>Yes</v>
      </c>
      <c r="I199" s="440">
        <f>SUMIF('Diags Raw Data'!$A$6:$A$3992,"*"&amp;$A199&amp;"*",'Diags Raw Data'!$K$6:$K$3992)</f>
        <v>3</v>
      </c>
      <c r="J199" s="442">
        <f>SUMIF('Diags Raw Data'!$A$6:$A$3992,"*"&amp;$A199&amp;"*",'Diags Raw Data'!$L$6:$L$3992)</f>
        <v>3</v>
      </c>
      <c r="K199" s="494" t="e" cm="1">
        <f t="array" ref="K199">IF(D199="",0, SUMPRODUCT(--(ISNUMBER(SEARCH($A199,'Diags Raw Data'!$A$6:$A$3992))),'Diags Raw Data'!$L$6:$L$3992,'Diags Raw Data'!$N$6:$N$3995)/J199)</f>
        <v>#VALUE!</v>
      </c>
      <c r="L199" s="495" cm="1">
        <f t="array" ref="L199">IF(D199="",0, SUMPRODUCT(--(ISNUMBER(SEARCH($A199,'Diags Raw Data'!$A$6:$A$3992))),'Diags Raw Data'!$L$6:$L$3992,'Diags Raw Data'!$P$6:$P$3992)/J199)</f>
        <v>1</v>
      </c>
      <c r="M199" s="496" cm="1">
        <f t="array" ref="M199">SUMPRODUCT(--(ISNUMBER(SEARCH($A199,'Diags Raw Data'!$A$6:$A$3992))),--('Diags Raw Data'!$Q$6:$Q$3992&lt;&gt;"N/A"),'Diags Raw Data'!$R$6:$R$3992)</f>
        <v>3</v>
      </c>
      <c r="N199" s="497" cm="1">
        <f t="array" ref="N199">SUMPRODUCT(--(ISNUMBER(SEARCH($A199,'Diags Raw Data'!$A$6:$A$3992))),--('Diags Raw Data'!$Q$6:$Q$3992&lt;&gt;"N/A"),'Diags Raw Data'!$T$6:$T$3992)+SUMPRODUCT(--(ISNUMBER(SEARCH($A199,'Diags Raw Data'!$A$6:$A$3992))),--('Diags Raw Data'!$Q$6:$Q$3992&lt;&gt;"N/A"),'Diags Raw Data'!$U$6:$U$3992)</f>
        <v>3</v>
      </c>
      <c r="O199" s="498">
        <f t="shared" si="85"/>
        <v>1</v>
      </c>
      <c r="P199" s="499">
        <f>SUMIF('Diags Raw Data'!$A$6:$A$3992,"*"&amp;$A199&amp;"*",'Diags Raw Data'!$Z$6:$Z$3992)</f>
        <v>3</v>
      </c>
      <c r="Q199" s="500">
        <f>SUM(SUMIF('Diags Raw Data'!$A$6:$A$3992,"*"&amp;$A199&amp;"*",'Diags Raw Data'!$AA$6:$AA$3992),SUMIF('Diags Raw Data'!$A$6:$A$3992,"*"&amp;$A199&amp;"*",'Diags Raw Data'!$AB$6:$AB$3992))</f>
        <v>3</v>
      </c>
      <c r="R199" s="501">
        <f t="shared" si="86"/>
        <v>1</v>
      </c>
      <c r="S199" s="501">
        <f t="shared" si="87"/>
        <v>1</v>
      </c>
      <c r="T199" s="502">
        <f t="shared" si="88"/>
        <v>1</v>
      </c>
      <c r="U199" s="570" t="s">
        <v>1689</v>
      </c>
      <c r="V199" s="180"/>
    </row>
    <row r="200" spans="1:24" ht="30.75" thickBot="1" x14ac:dyDescent="0.3">
      <c r="A200" s="564" t="s">
        <v>1574</v>
      </c>
      <c r="B200" s="439" t="str">
        <f>VLOOKUP(A200,'Feature Raw Data'!$A$3:$B$4204,2,FALSE)</f>
        <v>GFXHUB:GCUTCL2:VMl2 - RLC busy handshake protocol for GPUVM invalidations</v>
      </c>
      <c r="C200" s="440" t="str">
        <f>VLOOKUP(A200,'Feature Raw Data'!$A$3:$C$4204,3,FALSE)</f>
        <v>P1</v>
      </c>
      <c r="D200" s="441" t="str" cm="1">
        <f t="array" ref="D200">_xlfn.TEXTJOIN("",TRUE,IF(ISNUMBER(SEARCH($A200,'Diags Raw Data'!$A$6:$A$3992)),CONCATENATE('Diags Raw Data'!$H$6:$H$3992,", "),""))</f>
        <v xml:space="preserve">mhub252.1, mhub253.1, mhub257.6, </v>
      </c>
      <c r="E200" s="325" t="e">
        <f>VLOOKUP(A200,'Diags Raw Data'!$A$6:$D$3992,4,FALSE)</f>
        <v>#N/A</v>
      </c>
      <c r="F200" s="325" t="str">
        <f>VLOOKUP(A200,'Feature Raw Data'!$A$3:$E$4204,5,FALSE)</f>
        <v>New</v>
      </c>
      <c r="G200" s="325" t="str">
        <f t="shared" si="83"/>
        <v>Yes</v>
      </c>
      <c r="H200" s="325" t="str">
        <f t="shared" si="84"/>
        <v>Yes</v>
      </c>
      <c r="I200" s="440">
        <f>SUMIF('Diags Raw Data'!$A$6:$A$3992,"*"&amp;$A200&amp;"*",'Diags Raw Data'!$K$6:$K$3992)</f>
        <v>3</v>
      </c>
      <c r="J200" s="442">
        <f>SUMIF('Diags Raw Data'!$A$6:$A$3992,"*"&amp;$A200&amp;"*",'Diags Raw Data'!$L$6:$L$3992)</f>
        <v>3</v>
      </c>
      <c r="K200" s="494" t="e" cm="1">
        <f t="array" ref="K200">IF(D200="",0, SUMPRODUCT(--(ISNUMBER(SEARCH($A200,'Diags Raw Data'!$A$6:$A$3992))),'Diags Raw Data'!$L$6:$L$3992,'Diags Raw Data'!$N$6:$N$3995)/J200)</f>
        <v>#VALUE!</v>
      </c>
      <c r="L200" s="495" cm="1">
        <f t="array" ref="L200">IF(D200="",0, SUMPRODUCT(--(ISNUMBER(SEARCH($A200,'Diags Raw Data'!$A$6:$A$3992))),'Diags Raw Data'!$L$6:$L$3992,'Diags Raw Data'!$P$6:$P$3992)/J200)</f>
        <v>1</v>
      </c>
      <c r="M200" s="496" cm="1">
        <f t="array" ref="M200">SUMPRODUCT(--(ISNUMBER(SEARCH($A200,'Diags Raw Data'!$A$6:$A$3992))),--('Diags Raw Data'!$Q$6:$Q$3992&lt;&gt;"N/A"),'Diags Raw Data'!$R$6:$R$3992)</f>
        <v>3</v>
      </c>
      <c r="N200" s="497" cm="1">
        <f t="array" ref="N200">SUMPRODUCT(--(ISNUMBER(SEARCH($A200,'Diags Raw Data'!$A$6:$A$3992))),--('Diags Raw Data'!$Q$6:$Q$3992&lt;&gt;"N/A"),'Diags Raw Data'!$T$6:$T$3992)+SUMPRODUCT(--(ISNUMBER(SEARCH($A200,'Diags Raw Data'!$A$6:$A$3992))),--('Diags Raw Data'!$Q$6:$Q$3992&lt;&gt;"N/A"),'Diags Raw Data'!$U$6:$U$3992)</f>
        <v>3</v>
      </c>
      <c r="O200" s="498">
        <f t="shared" si="85"/>
        <v>1</v>
      </c>
      <c r="P200" s="499">
        <f>SUMIF('Diags Raw Data'!$A$6:$A$3992,"*"&amp;$A200&amp;"*",'Diags Raw Data'!$Z$6:$Z$3992)</f>
        <v>3</v>
      </c>
      <c r="Q200" s="500">
        <f>SUM(SUMIF('Diags Raw Data'!$A$6:$A$3992,"*"&amp;$A200&amp;"*",'Diags Raw Data'!$AA$6:$AA$3992),SUMIF('Diags Raw Data'!$A$6:$A$3992,"*"&amp;$A200&amp;"*",'Diags Raw Data'!$AB$6:$AB$3992))</f>
        <v>3</v>
      </c>
      <c r="R200" s="501">
        <f t="shared" si="86"/>
        <v>1</v>
      </c>
      <c r="S200" s="501">
        <f t="shared" si="87"/>
        <v>1</v>
      </c>
      <c r="T200" s="502">
        <f t="shared" si="88"/>
        <v>1</v>
      </c>
      <c r="U200" s="570" t="s">
        <v>1689</v>
      </c>
      <c r="V200" s="180"/>
    </row>
    <row r="201" spans="1:24" ht="30.75" hidden="1" thickBot="1" x14ac:dyDescent="0.3">
      <c r="A201" s="564" t="s">
        <v>1576</v>
      </c>
      <c r="B201" s="439" t="str">
        <f>VLOOKUP(A201,'Feature Raw Data'!$A$3:$B$4204,2,FALSE)</f>
        <v>GFXHUB:GCUTCL2:VMl2 - UTCL2 Idle Signals for IMU</v>
      </c>
      <c r="C201" s="440" t="str">
        <f>VLOOKUP(A201,'Feature Raw Data'!$A$3:$C$4204,3,FALSE)</f>
        <v>P1</v>
      </c>
      <c r="D201" s="441" t="str" cm="1">
        <f t="array" ref="D201">_xlfn.TEXTJOIN("",TRUE,IF(ISNUMBER(SEARCH($A201,'Diags Raw Data'!$A$6:$A$3992)),CONCATENATE('Diags Raw Data'!$H$6:$H$3992,", "),""))</f>
        <v/>
      </c>
      <c r="E201" s="325" t="e">
        <f>VLOOKUP(A201,'Diags Raw Data'!$A$6:$D$3992,4,FALSE)</f>
        <v>#N/A</v>
      </c>
      <c r="F201" s="325" t="str">
        <f>VLOOKUP(A201,'Feature Raw Data'!$A$3:$E$4204,5,FALSE)</f>
        <v>New</v>
      </c>
      <c r="G201" s="325" t="str">
        <f t="shared" si="83"/>
        <v>No</v>
      </c>
      <c r="H201" s="325" t="str">
        <f t="shared" si="84"/>
        <v>No</v>
      </c>
      <c r="I201" s="440">
        <f>SUMIF('Diags Raw Data'!$A$6:$A$3992,"*"&amp;$A201&amp;"*",'Diags Raw Data'!$K$6:$K$3992)</f>
        <v>0</v>
      </c>
      <c r="J201" s="442">
        <f>SUMIF('Diags Raw Data'!$A$6:$A$3992,"*"&amp;$A201&amp;"*",'Diags Raw Data'!$L$6:$L$3992)</f>
        <v>0</v>
      </c>
      <c r="K201" s="494" cm="1">
        <f t="array" ref="K201">IF(D201="",0, SUMPRODUCT(--(ISNUMBER(SEARCH($A201,'Diags Raw Data'!$A$6:$A$3992))),'Diags Raw Data'!$L$6:$L$3992,'Diags Raw Data'!$N$6:$N$3995)/J201)</f>
        <v>0</v>
      </c>
      <c r="L201" s="495" cm="1">
        <f t="array" ref="L201">IF(D201="",0, SUMPRODUCT(--(ISNUMBER(SEARCH($A201,'Diags Raw Data'!$A$6:$A$3992))),'Diags Raw Data'!$L$6:$L$3992,'Diags Raw Data'!$P$6:$P$3992)/J201)</f>
        <v>0</v>
      </c>
      <c r="M201" s="496" cm="1">
        <f t="array" ref="M201">SUMPRODUCT(--(ISNUMBER(SEARCH($A201,'Diags Raw Data'!$A$6:$A$3992))),--('Diags Raw Data'!$Q$6:$Q$3992&lt;&gt;"N/A"),'Diags Raw Data'!$R$6:$R$3992)</f>
        <v>0</v>
      </c>
      <c r="N201" s="497" cm="1">
        <f t="array" ref="N201">SUMPRODUCT(--(ISNUMBER(SEARCH($A201,'Diags Raw Data'!$A$6:$A$3992))),--('Diags Raw Data'!$Q$6:$Q$3992&lt;&gt;"N/A"),'Diags Raw Data'!$T$6:$T$3992)+SUMPRODUCT(--(ISNUMBER(SEARCH($A201,'Diags Raw Data'!$A$6:$A$3992))),--('Diags Raw Data'!$Q$6:$Q$3992&lt;&gt;"N/A"),'Diags Raw Data'!$U$6:$U$3992)</f>
        <v>0</v>
      </c>
      <c r="O201" s="498">
        <f t="shared" si="85"/>
        <v>0</v>
      </c>
      <c r="P201" s="499">
        <f>SUMIF('Diags Raw Data'!$A$6:$A$3992,"*"&amp;$A201&amp;"*",'Diags Raw Data'!$Z$6:$Z$3992)</f>
        <v>0</v>
      </c>
      <c r="Q201" s="500">
        <f>SUM(SUMIF('Diags Raw Data'!$A$6:$A$3992,"*"&amp;$A201&amp;"*",'Diags Raw Data'!$AA$6:$AA$3992),SUMIF('Diags Raw Data'!$A$6:$A$3992,"*"&amp;$A201&amp;"*",'Diags Raw Data'!$AB$6:$AB$3992))</f>
        <v>0</v>
      </c>
      <c r="R201" s="501">
        <f t="shared" si="86"/>
        <v>0</v>
      </c>
      <c r="S201" s="501">
        <f t="shared" si="87"/>
        <v>0</v>
      </c>
      <c r="T201" s="502">
        <f t="shared" si="88"/>
        <v>0</v>
      </c>
      <c r="U201" s="570" t="s">
        <v>44</v>
      </c>
      <c r="V201" s="180" t="s">
        <v>1719</v>
      </c>
    </row>
    <row r="202" spans="1:24" ht="15.75" hidden="1" thickBot="1" x14ac:dyDescent="0.3">
      <c r="A202" s="564"/>
      <c r="B202" s="439"/>
      <c r="C202" s="440"/>
      <c r="D202" s="441"/>
      <c r="E202" s="325"/>
      <c r="F202" s="325"/>
      <c r="G202" s="325"/>
      <c r="H202" s="325"/>
      <c r="I202" s="440"/>
      <c r="J202" s="442"/>
      <c r="K202" s="494"/>
      <c r="L202" s="495"/>
      <c r="M202" s="496"/>
      <c r="N202" s="497"/>
      <c r="O202" s="498"/>
      <c r="P202" s="499"/>
      <c r="Q202" s="500"/>
      <c r="R202" s="501"/>
      <c r="S202" s="501"/>
      <c r="T202" s="502"/>
      <c r="U202" s="570"/>
      <c r="V202" s="180"/>
    </row>
    <row r="203" spans="1:24" ht="15.75" hidden="1" thickBot="1" x14ac:dyDescent="0.3">
      <c r="A203" s="564"/>
      <c r="B203" s="439"/>
      <c r="C203" s="440"/>
      <c r="D203" s="441"/>
      <c r="E203" s="325"/>
      <c r="F203" s="325"/>
      <c r="G203" s="325"/>
      <c r="H203" s="325"/>
      <c r="I203" s="440"/>
      <c r="J203" s="442"/>
      <c r="K203" s="494"/>
      <c r="L203" s="495"/>
      <c r="M203" s="496"/>
      <c r="N203" s="497"/>
      <c r="O203" s="498"/>
      <c r="P203" s="499"/>
      <c r="Q203" s="500"/>
      <c r="R203" s="501"/>
      <c r="S203" s="501"/>
      <c r="T203" s="502"/>
      <c r="U203" s="570"/>
      <c r="V203" s="180"/>
    </row>
    <row r="204" spans="1:24" ht="15.75" hidden="1" thickBot="1" x14ac:dyDescent="0.3">
      <c r="A204" s="564"/>
      <c r="B204" s="439"/>
      <c r="C204" s="440"/>
      <c r="D204" s="441"/>
      <c r="E204" s="325"/>
      <c r="F204" s="325"/>
      <c r="G204" s="325"/>
      <c r="H204" s="325"/>
      <c r="I204" s="440"/>
      <c r="J204" s="442"/>
      <c r="K204" s="494"/>
      <c r="L204" s="495"/>
      <c r="M204" s="496"/>
      <c r="N204" s="497"/>
      <c r="O204" s="498"/>
      <c r="P204" s="499"/>
      <c r="Q204" s="500"/>
      <c r="R204" s="501"/>
      <c r="S204" s="501"/>
      <c r="T204" s="502"/>
      <c r="U204" s="570"/>
      <c r="V204" s="180"/>
    </row>
    <row r="205" spans="1:24" ht="15.75" hidden="1" thickBot="1" x14ac:dyDescent="0.3">
      <c r="A205" s="564"/>
      <c r="B205" s="439"/>
      <c r="C205" s="440"/>
      <c r="D205" s="441"/>
      <c r="E205" s="325"/>
      <c r="F205" s="325"/>
      <c r="G205" s="325"/>
      <c r="H205" s="325"/>
      <c r="I205" s="440"/>
      <c r="J205" s="442"/>
      <c r="K205" s="494"/>
      <c r="L205" s="495"/>
      <c r="M205" s="496"/>
      <c r="N205" s="497"/>
      <c r="O205" s="498"/>
      <c r="P205" s="499"/>
      <c r="Q205" s="500"/>
      <c r="R205" s="501"/>
      <c r="S205" s="501"/>
      <c r="T205" s="502"/>
      <c r="U205" s="570"/>
      <c r="V205" s="180"/>
    </row>
    <row r="206" spans="1:24" ht="15.75" hidden="1" thickBot="1" x14ac:dyDescent="0.3">
      <c r="A206" s="359"/>
      <c r="B206" s="405"/>
      <c r="C206" s="324"/>
      <c r="D206" s="82"/>
      <c r="E206" s="179"/>
      <c r="F206" s="179"/>
      <c r="G206" s="179"/>
      <c r="H206" s="179"/>
      <c r="I206" s="324"/>
      <c r="J206" s="193"/>
      <c r="K206" s="503"/>
      <c r="L206" s="504"/>
      <c r="M206" s="505"/>
      <c r="N206" s="506"/>
      <c r="O206" s="507"/>
      <c r="P206" s="508"/>
      <c r="Q206" s="509"/>
      <c r="R206" s="510"/>
      <c r="S206" s="510"/>
      <c r="T206" s="511"/>
      <c r="U206" s="360"/>
      <c r="V206" s="180"/>
    </row>
    <row r="207" spans="1:24" ht="15.75" hidden="1" thickBot="1" x14ac:dyDescent="0.3">
      <c r="A207" s="359"/>
      <c r="B207" s="405"/>
      <c r="C207" s="324"/>
      <c r="D207" s="82"/>
      <c r="E207" s="179"/>
      <c r="F207" s="179"/>
      <c r="G207" s="179"/>
      <c r="H207" s="179"/>
      <c r="I207" s="324"/>
      <c r="J207" s="193"/>
      <c r="K207" s="503"/>
      <c r="L207" s="504"/>
      <c r="M207" s="505"/>
      <c r="N207" s="506"/>
      <c r="O207" s="507"/>
      <c r="P207" s="508"/>
      <c r="Q207" s="509"/>
      <c r="R207" s="510"/>
      <c r="S207" s="510"/>
      <c r="T207" s="511"/>
      <c r="U207" s="360"/>
      <c r="V207" s="180"/>
    </row>
    <row r="208" spans="1:24" ht="15.75" hidden="1" thickBot="1" x14ac:dyDescent="0.3">
      <c r="A208" s="366"/>
      <c r="B208" s="406"/>
      <c r="C208" s="367"/>
      <c r="D208" s="368"/>
      <c r="E208" s="369"/>
      <c r="F208" s="369"/>
      <c r="G208" s="369"/>
      <c r="H208" s="369"/>
      <c r="I208" s="367"/>
      <c r="J208" s="370"/>
      <c r="K208" s="512"/>
      <c r="L208" s="513"/>
      <c r="M208" s="514"/>
      <c r="N208" s="515"/>
      <c r="O208" s="516"/>
      <c r="P208" s="517"/>
      <c r="Q208" s="518"/>
      <c r="R208" s="519"/>
      <c r="S208" s="519"/>
      <c r="T208" s="520"/>
      <c r="U208" s="371"/>
      <c r="V208" s="180"/>
    </row>
    <row r="209" spans="1:22" ht="15.75" hidden="1" thickBot="1" x14ac:dyDescent="0.3">
      <c r="A209" s="758" t="s">
        <v>1721</v>
      </c>
      <c r="B209" s="759"/>
      <c r="C209" s="759"/>
      <c r="D209" s="759"/>
      <c r="E209" s="759"/>
      <c r="F209" s="759"/>
      <c r="G209" s="759"/>
      <c r="H209" s="759"/>
      <c r="I209" s="759"/>
      <c r="J209" s="759"/>
      <c r="K209" s="759"/>
      <c r="L209" s="759"/>
      <c r="M209" s="759"/>
      <c r="N209" s="759"/>
      <c r="O209" s="759"/>
      <c r="P209" s="759"/>
      <c r="Q209" s="759"/>
      <c r="R209" s="759"/>
      <c r="S209" s="759"/>
      <c r="T209" s="759"/>
      <c r="U209" s="760"/>
      <c r="V209" s="180"/>
    </row>
    <row r="210" spans="1:22" ht="15.75" hidden="1" thickBot="1" x14ac:dyDescent="0.3">
      <c r="A210" s="761"/>
      <c r="B210" s="762"/>
      <c r="C210" s="762"/>
      <c r="D210" s="762"/>
      <c r="E210" s="762"/>
      <c r="F210" s="762"/>
      <c r="G210" s="762"/>
      <c r="H210" s="762"/>
      <c r="I210" s="762"/>
      <c r="J210" s="762"/>
      <c r="K210" s="762"/>
      <c r="L210" s="762"/>
      <c r="M210" s="762"/>
      <c r="N210" s="762"/>
      <c r="O210" s="762"/>
      <c r="P210" s="762"/>
      <c r="Q210" s="762"/>
      <c r="R210" s="762"/>
      <c r="S210" s="762"/>
      <c r="T210" s="762"/>
      <c r="U210" s="763"/>
      <c r="V210" s="180"/>
    </row>
    <row r="211" spans="1:22" s="187" customFormat="1" ht="18.75" x14ac:dyDescent="0.25">
      <c r="A211" s="752" t="s">
        <v>297</v>
      </c>
      <c r="B211" s="753"/>
      <c r="C211" s="753"/>
      <c r="D211" s="753"/>
      <c r="E211" s="753"/>
      <c r="F211" s="754"/>
      <c r="G211" s="380">
        <f>COUNTIF(G7:G208,"Yes")</f>
        <v>110</v>
      </c>
      <c r="H211" s="380">
        <f>COUNTIF(H7:H208,"Yes")</f>
        <v>102</v>
      </c>
      <c r="I211" s="772">
        <f>'Diags Raw Data'!K384</f>
        <v>472</v>
      </c>
      <c r="J211" s="774">
        <f>'Diags Raw Data'!L384</f>
        <v>779</v>
      </c>
      <c r="K211" s="795">
        <f>'Diags Raw Data'!N387</f>
        <v>1</v>
      </c>
      <c r="L211" s="797">
        <f>'Diags Raw Data'!P384</f>
        <v>0.99614890885750962</v>
      </c>
      <c r="M211" s="799">
        <f>'Diags Raw Data'!R384</f>
        <v>651</v>
      </c>
      <c r="N211" s="790">
        <f>SUM('Diags Raw Data'!T384+'Diags Raw Data'!U384)</f>
        <v>640</v>
      </c>
      <c r="O211" s="764">
        <f>IF((M211=0),0,N211/M211)</f>
        <v>0.98310291858678955</v>
      </c>
      <c r="P211" s="766">
        <f>'Diags Raw Data'!Z384</f>
        <v>665</v>
      </c>
      <c r="Q211" s="768">
        <f>SUM('Diags Raw Data'!AA384+'Diags Raw Data'!AB384)</f>
        <v>473</v>
      </c>
      <c r="R211" s="770">
        <f>IF((J211=0),0,P211/J211)</f>
        <v>0.85365853658536583</v>
      </c>
      <c r="S211" s="770">
        <f>IF((P211=0),0,Q211/P211)</f>
        <v>0.71127819548872184</v>
      </c>
      <c r="T211" s="770">
        <f>R211*S211</f>
        <v>0.60718870346598208</v>
      </c>
      <c r="U211" s="801"/>
      <c r="V211" s="186"/>
    </row>
    <row r="212" spans="1:22" ht="19.5" hidden="1" thickBot="1" x14ac:dyDescent="0.3">
      <c r="A212" s="755"/>
      <c r="B212" s="756"/>
      <c r="C212" s="756"/>
      <c r="D212" s="756"/>
      <c r="E212" s="756"/>
      <c r="F212" s="757"/>
      <c r="G212" s="381">
        <f>COUNTIF(G7:G208,"Yes")/COUNTA(A7:A208)</f>
        <v>0.8029197080291971</v>
      </c>
      <c r="H212" s="381">
        <f>(COUNTIF(H7:H208,"Yes")/G211)</f>
        <v>0.92727272727272725</v>
      </c>
      <c r="I212" s="773"/>
      <c r="J212" s="775"/>
      <c r="K212" s="796"/>
      <c r="L212" s="798"/>
      <c r="M212" s="800"/>
      <c r="N212" s="791"/>
      <c r="O212" s="765"/>
      <c r="P212" s="767"/>
      <c r="Q212" s="769"/>
      <c r="R212" s="771"/>
      <c r="S212" s="771"/>
      <c r="T212" s="771"/>
      <c r="U212" s="802"/>
      <c r="V212" s="180"/>
    </row>
    <row r="213" spans="1:22" hidden="1" x14ac:dyDescent="0.25">
      <c r="A213" s="188"/>
      <c r="B213" s="189"/>
      <c r="C213" s="189"/>
      <c r="D213" s="188"/>
      <c r="E213" s="189"/>
      <c r="F213" s="189"/>
      <c r="G213" s="189"/>
      <c r="H213" s="189"/>
      <c r="I213" s="372"/>
      <c r="J213" s="372"/>
      <c r="K213" s="194"/>
      <c r="L213" s="194"/>
      <c r="M213" s="195"/>
      <c r="N213" s="195"/>
      <c r="O213" s="194"/>
      <c r="P213" s="191"/>
      <c r="Q213" s="191"/>
      <c r="R213" s="198"/>
      <c r="S213" s="198"/>
      <c r="T213" s="199"/>
      <c r="U213" s="188"/>
    </row>
  </sheetData>
  <sheetProtection insertColumns="0" insertRows="0" deleteRows="0" sort="0"/>
  <autoFilter ref="A6:U213" xr:uid="{00000000-0009-0000-0000-000004000000}">
    <filterColumn colId="9">
      <filters>
        <filter val="1"/>
        <filter val="10"/>
        <filter val="11"/>
        <filter val="12"/>
        <filter val="136"/>
        <filter val="14"/>
        <filter val="16"/>
        <filter val="18"/>
        <filter val="19"/>
        <filter val="2"/>
        <filter val="23"/>
        <filter val="24"/>
        <filter val="25"/>
        <filter val="3"/>
        <filter val="32"/>
        <filter val="33"/>
        <filter val="37"/>
        <filter val="4"/>
        <filter val="42"/>
        <filter val="43"/>
        <filter val="45"/>
        <filter val="48"/>
        <filter val="5"/>
        <filter val="6"/>
        <filter val="7"/>
        <filter val="779"/>
        <filter val="8"/>
        <filter val="9"/>
      </filters>
    </filterColumn>
  </autoFilter>
  <mergeCells count="35">
    <mergeCell ref="A4:U4"/>
    <mergeCell ref="K211:K212"/>
    <mergeCell ref="L211:L212"/>
    <mergeCell ref="M211:M212"/>
    <mergeCell ref="T2:T3"/>
    <mergeCell ref="U2:U3"/>
    <mergeCell ref="R2:R3"/>
    <mergeCell ref="S2:S3"/>
    <mergeCell ref="S211:S212"/>
    <mergeCell ref="T211:T212"/>
    <mergeCell ref="U211:U212"/>
    <mergeCell ref="K5:L5"/>
    <mergeCell ref="A5:J5"/>
    <mergeCell ref="M5:O5"/>
    <mergeCell ref="P5:U5"/>
    <mergeCell ref="N211:N212"/>
    <mergeCell ref="A1:U1"/>
    <mergeCell ref="I2:I3"/>
    <mergeCell ref="A2:F3"/>
    <mergeCell ref="O2:O3"/>
    <mergeCell ref="P2:P3"/>
    <mergeCell ref="Q2:Q3"/>
    <mergeCell ref="J2:J3"/>
    <mergeCell ref="K2:K3"/>
    <mergeCell ref="L2:L3"/>
    <mergeCell ref="M2:M3"/>
    <mergeCell ref="N2:N3"/>
    <mergeCell ref="A211:F212"/>
    <mergeCell ref="A209:U210"/>
    <mergeCell ref="O211:O212"/>
    <mergeCell ref="P211:P212"/>
    <mergeCell ref="Q211:Q212"/>
    <mergeCell ref="R211:R212"/>
    <mergeCell ref="I211:I212"/>
    <mergeCell ref="J211:J212"/>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A40" workbookViewId="0">
      <selection activeCell="Q58" sqref="Q58"/>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1722</v>
      </c>
      <c r="B1" s="157" t="s">
        <v>1723</v>
      </c>
      <c r="C1" s="158" t="s">
        <v>1724</v>
      </c>
      <c r="D1" s="158" t="s">
        <v>1725</v>
      </c>
      <c r="E1" s="158" t="s">
        <v>1726</v>
      </c>
      <c r="F1" s="158" t="s">
        <v>1727</v>
      </c>
      <c r="G1" s="158" t="s">
        <v>1728</v>
      </c>
      <c r="H1" s="158" t="s">
        <v>1729</v>
      </c>
      <c r="I1" s="158" t="s">
        <v>1730</v>
      </c>
      <c r="J1" s="158" t="s">
        <v>1731</v>
      </c>
      <c r="K1" s="158" t="s">
        <v>1732</v>
      </c>
      <c r="L1" s="158" t="s">
        <v>1733</v>
      </c>
      <c r="M1" s="158" t="s">
        <v>1734</v>
      </c>
      <c r="N1" s="158" t="s">
        <v>1735</v>
      </c>
      <c r="O1" s="158" t="s">
        <v>1736</v>
      </c>
      <c r="P1" s="158" t="s">
        <v>1737</v>
      </c>
      <c r="Q1" s="158" t="s">
        <v>1738</v>
      </c>
      <c r="R1" s="158" t="s">
        <v>1739</v>
      </c>
      <c r="S1" s="158" t="s">
        <v>1740</v>
      </c>
      <c r="T1" s="158" t="s">
        <v>1741</v>
      </c>
      <c r="U1" s="158" t="s">
        <v>1742</v>
      </c>
      <c r="V1" s="158" t="s">
        <v>1743</v>
      </c>
      <c r="W1" s="158" t="s">
        <v>1744</v>
      </c>
      <c r="X1" s="158" t="s">
        <v>1745</v>
      </c>
      <c r="Y1" s="158" t="s">
        <v>1746</v>
      </c>
      <c r="Z1" s="158" t="s">
        <v>1747</v>
      </c>
      <c r="AA1" s="158" t="s">
        <v>1748</v>
      </c>
      <c r="AB1" s="158" t="s">
        <v>1749</v>
      </c>
      <c r="AC1" s="158" t="s">
        <v>1750</v>
      </c>
      <c r="AD1" s="158" t="s">
        <v>1751</v>
      </c>
      <c r="AE1" s="158" t="s">
        <v>1752</v>
      </c>
      <c r="AF1" s="158" t="s">
        <v>1753</v>
      </c>
      <c r="AG1" s="158" t="s">
        <v>1754</v>
      </c>
      <c r="AH1" s="158" t="s">
        <v>1755</v>
      </c>
      <c r="AI1" s="158" t="s">
        <v>1756</v>
      </c>
      <c r="AJ1" s="158" t="s">
        <v>1757</v>
      </c>
      <c r="AK1" s="158" t="s">
        <v>1758</v>
      </c>
      <c r="AL1" s="158" t="s">
        <v>1759</v>
      </c>
      <c r="AM1" s="158" t="s">
        <v>1760</v>
      </c>
      <c r="AN1" s="158" t="s">
        <v>1761</v>
      </c>
      <c r="AO1" s="158" t="s">
        <v>1762</v>
      </c>
      <c r="AP1" s="158" t="s">
        <v>1763</v>
      </c>
      <c r="AQ1" s="158" t="s">
        <v>1764</v>
      </c>
      <c r="AR1" s="158" t="s">
        <v>1765</v>
      </c>
      <c r="AS1" s="158" t="s">
        <v>1766</v>
      </c>
      <c r="AT1" s="158" t="s">
        <v>1767</v>
      </c>
      <c r="AU1" s="158" t="s">
        <v>1768</v>
      </c>
      <c r="AV1" s="158" t="s">
        <v>1769</v>
      </c>
      <c r="AW1" s="158" t="s">
        <v>1770</v>
      </c>
      <c r="AX1" s="158" t="s">
        <v>1771</v>
      </c>
      <c r="AY1" s="158" t="s">
        <v>1772</v>
      </c>
      <c r="AZ1" s="158" t="s">
        <v>1773</v>
      </c>
      <c r="BA1" s="158" t="s">
        <v>1774</v>
      </c>
      <c r="BB1" s="159" t="s">
        <v>1775</v>
      </c>
    </row>
    <row r="2" spans="1:54" s="135" customFormat="1" x14ac:dyDescent="0.2">
      <c r="A2" s="151" t="s">
        <v>1681</v>
      </c>
      <c r="B2" s="152">
        <v>0.1</v>
      </c>
      <c r="C2" s="153"/>
      <c r="D2" s="153"/>
      <c r="E2" s="153"/>
      <c r="F2" s="153"/>
      <c r="G2" s="153"/>
      <c r="H2" s="153"/>
      <c r="I2" s="153"/>
      <c r="J2" s="153"/>
      <c r="K2" s="153"/>
      <c r="L2" s="153"/>
      <c r="M2" s="153"/>
      <c r="N2" s="153"/>
      <c r="O2" s="153"/>
      <c r="P2" s="153"/>
      <c r="Q2" s="153"/>
      <c r="R2" s="153"/>
      <c r="S2" s="153"/>
      <c r="T2" s="153"/>
      <c r="U2" s="153"/>
      <c r="V2" s="153"/>
      <c r="W2" s="153"/>
      <c r="X2" s="153"/>
      <c r="Y2" s="153"/>
      <c r="Z2" s="153">
        <v>0.94</v>
      </c>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1684</v>
      </c>
      <c r="B3" s="146"/>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182</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0.02</v>
      </c>
      <c r="AC4" s="139">
        <v>0.06</v>
      </c>
      <c r="AD4" s="139"/>
      <c r="AE4" s="139"/>
      <c r="AF4" s="139"/>
      <c r="AG4" s="139"/>
      <c r="AH4" s="139"/>
      <c r="AI4" s="139"/>
      <c r="AJ4" s="139"/>
      <c r="AK4" s="139"/>
      <c r="AL4" s="139"/>
      <c r="AM4" s="140"/>
      <c r="AN4" s="140"/>
      <c r="AO4" s="140"/>
      <c r="AP4" s="140"/>
      <c r="AQ4" s="140"/>
      <c r="AR4" s="140"/>
      <c r="AS4" s="140"/>
      <c r="AT4" s="140"/>
      <c r="AU4" s="140"/>
      <c r="AV4" s="140"/>
      <c r="AW4" s="140"/>
      <c r="AX4" s="140"/>
      <c r="AY4" s="140"/>
      <c r="AZ4" s="140"/>
      <c r="BA4" s="140"/>
      <c r="BB4" s="141"/>
    </row>
    <row r="5" spans="1:54" x14ac:dyDescent="0.2">
      <c r="A5" s="160" t="s">
        <v>1682</v>
      </c>
      <c r="B5" s="161"/>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1681</v>
      </c>
      <c r="B6" s="146">
        <v>0.13</v>
      </c>
      <c r="C6" s="132"/>
      <c r="D6" s="132"/>
      <c r="E6" s="132"/>
      <c r="F6" s="132"/>
      <c r="G6" s="132"/>
      <c r="H6" s="132"/>
      <c r="I6" s="132"/>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1683</v>
      </c>
      <c r="B7" s="146"/>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132"/>
      <c r="AC7" s="132"/>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182</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c r="AC8" s="139"/>
      <c r="AD8" s="139"/>
      <c r="AE8" s="139"/>
      <c r="AF8" s="139"/>
      <c r="AG8" s="139"/>
      <c r="AH8" s="139"/>
      <c r="AI8" s="140"/>
      <c r="AJ8" s="140"/>
      <c r="AK8" s="140"/>
      <c r="AL8" s="140"/>
      <c r="AM8" s="140"/>
      <c r="AN8" s="140"/>
      <c r="AO8" s="140"/>
      <c r="AP8" s="140"/>
      <c r="AQ8" s="140"/>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85546875" defaultRowHeight="15" x14ac:dyDescent="0.25"/>
  <cols>
    <col min="1" max="1" width="13.140625" bestFit="1" customWidth="1"/>
    <col min="2" max="2" width="13.28515625" bestFit="1" customWidth="1"/>
    <col min="4" max="4" width="9.140625" style="130"/>
  </cols>
  <sheetData>
    <row r="3" spans="1:5" x14ac:dyDescent="0.25">
      <c r="A3" s="129" t="s">
        <v>1776</v>
      </c>
      <c r="B3" s="129" t="s">
        <v>1777</v>
      </c>
      <c r="C3" s="129"/>
      <c r="D3" s="214"/>
      <c r="E3" s="129"/>
    </row>
    <row r="4" spans="1:5" x14ac:dyDescent="0.25">
      <c r="A4" s="79" t="s">
        <v>44</v>
      </c>
      <c r="B4">
        <v>0</v>
      </c>
    </row>
    <row r="5" spans="1:5" x14ac:dyDescent="0.25">
      <c r="A5" s="79" t="s">
        <v>1778</v>
      </c>
      <c r="B5">
        <v>85</v>
      </c>
      <c r="D5" s="130">
        <f>GETPIVOTDATA("#Tests",$A$3,"ETA","wk-1")/GETPIVOTDATA("#Tests",$A$3)</f>
        <v>0.17</v>
      </c>
      <c r="E5" s="131">
        <f>D5</f>
        <v>0.17</v>
      </c>
    </row>
    <row r="6" spans="1:5" x14ac:dyDescent="0.25">
      <c r="A6" s="79" t="s">
        <v>1779</v>
      </c>
      <c r="B6">
        <v>48</v>
      </c>
      <c r="D6" s="130">
        <f>GETPIVOTDATA("#Tests",$A$3,"ETA","wk-2")/GETPIVOTDATA("#Tests",$A$3)</f>
        <v>9.6000000000000002E-2</v>
      </c>
      <c r="E6" s="131">
        <f t="shared" ref="E6:E12" si="0">E5+D6</f>
        <v>0.26600000000000001</v>
      </c>
    </row>
    <row r="7" spans="1:5" x14ac:dyDescent="0.25">
      <c r="A7" s="79" t="s">
        <v>1780</v>
      </c>
      <c r="B7">
        <v>96</v>
      </c>
      <c r="D7" s="130">
        <f>GETPIVOTDATA("#Tests",$A$3,"ETA","wk-3")/GETPIVOTDATA("#Tests",$A$3)</f>
        <v>0.192</v>
      </c>
      <c r="E7" s="131">
        <f t="shared" si="0"/>
        <v>0.45800000000000002</v>
      </c>
    </row>
    <row r="8" spans="1:5" x14ac:dyDescent="0.25">
      <c r="A8" s="79" t="s">
        <v>1781</v>
      </c>
      <c r="B8">
        <v>79</v>
      </c>
      <c r="D8" s="130">
        <f>GETPIVOTDATA("#Tests",$A$3,"ETA","wk-4")/GETPIVOTDATA("#Tests",$A$3)</f>
        <v>0.158</v>
      </c>
      <c r="E8" s="131">
        <f t="shared" si="0"/>
        <v>0.61599999999999999</v>
      </c>
    </row>
    <row r="9" spans="1:5" x14ac:dyDescent="0.25">
      <c r="A9" s="79" t="s">
        <v>1782</v>
      </c>
      <c r="B9">
        <v>82</v>
      </c>
      <c r="D9" s="130">
        <f>GETPIVOTDATA("#Tests",$A$3,"ETA","wk-5")/GETPIVOTDATA("#Tests",$A$3)</f>
        <v>0.16400000000000001</v>
      </c>
      <c r="E9" s="131">
        <f t="shared" si="0"/>
        <v>0.78</v>
      </c>
    </row>
    <row r="10" spans="1:5" x14ac:dyDescent="0.25">
      <c r="A10" s="79" t="s">
        <v>1783</v>
      </c>
      <c r="B10">
        <v>60</v>
      </c>
      <c r="D10" s="130">
        <f>GETPIVOTDATA("#Tests",$A$3,"ETA","wk-6")/GETPIVOTDATA("#Tests",$A$3)</f>
        <v>0.12</v>
      </c>
      <c r="E10" s="131">
        <f t="shared" si="0"/>
        <v>0.9</v>
      </c>
    </row>
    <row r="11" spans="1:5" x14ac:dyDescent="0.25">
      <c r="A11" s="79" t="s">
        <v>1784</v>
      </c>
      <c r="B11">
        <v>30</v>
      </c>
      <c r="D11" s="130">
        <f>GETPIVOTDATA("#Tests",$A$3,"ETA","wk-7")/GETPIVOTDATA("#Tests",$A$3)</f>
        <v>0.06</v>
      </c>
      <c r="E11" s="131">
        <f t="shared" si="0"/>
        <v>0.96</v>
      </c>
    </row>
    <row r="12" spans="1:5" x14ac:dyDescent="0.25">
      <c r="A12" s="79" t="s">
        <v>1785</v>
      </c>
      <c r="B12">
        <v>20</v>
      </c>
      <c r="D12" s="130">
        <f>GETPIVOTDATA("#Tests",$A$3,"ETA","wk-8")/GETPIVOTDATA("#Tests",$A$3)</f>
        <v>0.04</v>
      </c>
      <c r="E12" s="131">
        <f t="shared" si="0"/>
        <v>1</v>
      </c>
    </row>
    <row r="13" spans="1:5" x14ac:dyDescent="0.25">
      <c r="A13" s="79" t="s">
        <v>1628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IP_x002f_BLOCK xmlns="6d5e1dd9-3d6d-4d57-aaa4-c6398f910d60">MHUB</IP_x002f_BLOCK>
    <SharedWithUsers xmlns="ec5a97c5-2653-49c6-b3a5-07f7dd96f613">
      <UserInfo>
        <DisplayName>Chow, Man Chun (Chriz)</DisplayName>
        <AccountId>4082</AccountId>
        <AccountType/>
      </UserInfo>
    </SharedWithUsers>
  </documentManagement>
</p:properties>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22A514-3872-4BC6-85FB-7D9D07F457A6}">
  <ds:schemaRefs>
    <ds:schemaRef ds:uri="6d5e1dd9-3d6d-4d57-aaa4-c6398f910d60"/>
    <ds:schemaRef ds:uri="http://purl.org/dc/elements/1.1/"/>
    <ds:schemaRef ds:uri="http://purl.org/dc/dcmitype/"/>
    <ds:schemaRef ds:uri="http://schemas.microsoft.com/office/infopath/2007/PartnerControls"/>
    <ds:schemaRef ds:uri="http://schemas.microsoft.com/office/2006/metadata/properties"/>
    <ds:schemaRef ds:uri="http://schemas.microsoft.com/office/2006/documentManagement/types"/>
    <ds:schemaRef ds:uri="http://purl.org/dc/terms/"/>
    <ds:schemaRef ds:uri="http://schemas.openxmlformats.org/package/2006/metadata/core-properties"/>
    <ds:schemaRef ds:uri="ec5a97c5-2653-49c6-b3a5-07f7dd96f613"/>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Log</vt:lpstr>
      <vt:lpstr>List Options</vt:lpstr>
      <vt:lpstr>Usage</vt:lpstr>
      <vt:lpstr>Cross-IP trackingHowTo</vt:lpstr>
      <vt:lpstr>Revision History</vt:lpstr>
      <vt:lpstr>Diags Raw Data</vt:lpstr>
      <vt:lpstr>Feature Raw Data</vt:lpstr>
      <vt:lpstr>Sub-IP Block Summary</vt:lpstr>
      <vt:lpstr>Progress (WIP)</vt:lpstr>
      <vt:lpstr>Feature Summary</vt:lpstr>
      <vt:lpstr>Progress</vt:lpstr>
      <vt:lpstr>Coverage Plan</vt:lpstr>
      <vt:lpstr>'Diags Raw Data'!_Toc71666059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NV48_MHUB_Diagnostics_Status_Tracker</dc:title>
  <dc:subject/>
  <dc:creator>Li, Raymond (Yun Peng)</dc:creator>
  <cp:keywords/>
  <dc:description/>
  <cp:lastModifiedBy>Huang, Nigel</cp:lastModifiedBy>
  <cp:revision/>
  <dcterms:created xsi:type="dcterms:W3CDTF">2013-03-11T21:33:52Z</dcterms:created>
  <dcterms:modified xsi:type="dcterms:W3CDTF">2024-03-14T20:54:04Z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2022-03-25T04:51:03Z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d7949729-ed8b-4fdd-8ec7-47b69f66a765</vt:lpwstr>
  </property>
  <property fmtid="{D5CDD505-2E9C-101B-9397-08002B2CF9AE}" pid="9" name="MSIP_Label_88914ebd-7e6c-4e12-a031-a9906be2db14_ContentBits">
    <vt:lpwstr>1</vt:lpwstr>
  </property>
</Properties>
</file>