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7138A168-6F3F-4812-BB18-07E1F6BC4260}" xr6:coauthVersionLast="47" xr6:coauthVersionMax="47" xr10:uidLastSave="{00000000-0000-0000-0000-000000000000}"/>
  <bookViews>
    <workbookView xWindow="-27150" yWindow="525" windowWidth="26415" windowHeight="14010" firstSheet="2"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61"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Data'!$5:$148</definedName>
    <definedName name="_xlnm._FilterDatabase" localSheetId="8" hidden="1">'Feature Summary'!$A$6:$U$156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[1]Lookup!$A$2:$A$41</definedName>
  </definedNames>
  <calcPr calcId="191029"/>
  <pivotCaches>
    <pivotCache cacheId="43"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22" i="55" l="1"/>
  <c r="C122" i="55"/>
  <c r="D122" i="55" a="1"/>
  <c r="D122" i="55" s="1"/>
  <c r="G122" i="55" s="1"/>
  <c r="E122" i="55"/>
  <c r="F122" i="55"/>
  <c r="I122" i="55"/>
  <c r="J122" i="55"/>
  <c r="Q122" i="55"/>
  <c r="B123" i="55"/>
  <c r="C123" i="55"/>
  <c r="D123" i="55" a="1"/>
  <c r="D123" i="55" s="1"/>
  <c r="E123" i="55"/>
  <c r="F123" i="55"/>
  <c r="I123" i="55"/>
  <c r="J123" i="55"/>
  <c r="P123" i="55"/>
  <c r="Q123" i="55"/>
  <c r="B124" i="55"/>
  <c r="C124" i="55"/>
  <c r="D124" i="55" a="1"/>
  <c r="D124" i="55" s="1"/>
  <c r="H124" i="55" s="1"/>
  <c r="E124" i="55"/>
  <c r="F124" i="55"/>
  <c r="I124" i="55"/>
  <c r="J124" i="55"/>
  <c r="Q124" i="55"/>
  <c r="D149" i="55" a="1"/>
  <c r="D149" i="55" s="1"/>
  <c r="G149" i="55" s="1"/>
  <c r="B142" i="55"/>
  <c r="C142" i="55"/>
  <c r="D142" i="55" a="1"/>
  <c r="D142" i="55" s="1"/>
  <c r="H142" i="55" s="1"/>
  <c r="E142" i="55"/>
  <c r="F142" i="55"/>
  <c r="I142" i="55"/>
  <c r="J142" i="55"/>
  <c r="B143" i="55"/>
  <c r="C143" i="55"/>
  <c r="D143" i="55" a="1"/>
  <c r="D143" i="55" s="1"/>
  <c r="H143" i="55" s="1"/>
  <c r="E143" i="55"/>
  <c r="F143" i="55"/>
  <c r="I143" i="55"/>
  <c r="J143" i="55"/>
  <c r="B144" i="55"/>
  <c r="C144" i="55"/>
  <c r="D144" i="55" a="1"/>
  <c r="D144" i="55" s="1"/>
  <c r="L144" i="55" s="1" a="1"/>
  <c r="L144" i="55" s="1"/>
  <c r="E144" i="55"/>
  <c r="F144" i="55"/>
  <c r="I144" i="55"/>
  <c r="J144" i="55"/>
  <c r="B145" i="55"/>
  <c r="C145" i="55"/>
  <c r="D145" i="55" a="1"/>
  <c r="D145" i="55" s="1"/>
  <c r="G145" i="55" s="1"/>
  <c r="E145" i="55"/>
  <c r="F145" i="55"/>
  <c r="I145" i="55"/>
  <c r="J145" i="55"/>
  <c r="B146" i="55"/>
  <c r="C146" i="55"/>
  <c r="D146" i="55" a="1"/>
  <c r="D146" i="55" s="1"/>
  <c r="E146" i="55"/>
  <c r="F146" i="55"/>
  <c r="I146" i="55"/>
  <c r="J146" i="55"/>
  <c r="B147" i="55"/>
  <c r="C147" i="55"/>
  <c r="D147" i="55" a="1"/>
  <c r="D147" i="55" s="1"/>
  <c r="E147" i="55"/>
  <c r="F147" i="55"/>
  <c r="I147" i="55"/>
  <c r="J147" i="55"/>
  <c r="B148" i="55"/>
  <c r="C148" i="55"/>
  <c r="D148" i="55" a="1"/>
  <c r="D148" i="55" s="1"/>
  <c r="E148" i="55"/>
  <c r="F148" i="55"/>
  <c r="I148" i="55"/>
  <c r="J148" i="55"/>
  <c r="B149" i="55"/>
  <c r="C149" i="55"/>
  <c r="E149" i="55"/>
  <c r="F149" i="55"/>
  <c r="I149" i="55"/>
  <c r="J149" i="55"/>
  <c r="B101" i="55"/>
  <c r="C101" i="55"/>
  <c r="D101" i="55" a="1"/>
  <c r="D101" i="55" s="1"/>
  <c r="E101" i="55"/>
  <c r="F101" i="55"/>
  <c r="I101" i="55"/>
  <c r="J101" i="55"/>
  <c r="B102" i="55"/>
  <c r="C102" i="55"/>
  <c r="D102" i="55" a="1"/>
  <c r="D102" i="55" s="1"/>
  <c r="G102" i="55" s="1"/>
  <c r="E102" i="55"/>
  <c r="F102" i="55"/>
  <c r="I102" i="55"/>
  <c r="J102" i="55"/>
  <c r="B103" i="55"/>
  <c r="C103" i="55"/>
  <c r="D103" i="55" a="1"/>
  <c r="D103" i="55" s="1"/>
  <c r="E103" i="55"/>
  <c r="F103" i="55"/>
  <c r="I103" i="55"/>
  <c r="J103" i="55"/>
  <c r="B104" i="55"/>
  <c r="C104" i="55"/>
  <c r="D104" i="55" a="1"/>
  <c r="D104" i="55" s="1"/>
  <c r="G104" i="55" s="1"/>
  <c r="E104" i="55"/>
  <c r="F104" i="55"/>
  <c r="I104" i="55"/>
  <c r="J104" i="55"/>
  <c r="B105" i="55"/>
  <c r="C105" i="55"/>
  <c r="D105" i="55" a="1"/>
  <c r="D105" i="55" s="1"/>
  <c r="L105" i="55" s="1" a="1"/>
  <c r="L105" i="55" s="1"/>
  <c r="E105" i="55"/>
  <c r="F105" i="55"/>
  <c r="I105" i="55"/>
  <c r="J105" i="55"/>
  <c r="B106" i="55"/>
  <c r="C106" i="55"/>
  <c r="D106" i="55" a="1"/>
  <c r="D106" i="55" s="1"/>
  <c r="E106" i="55"/>
  <c r="F106" i="55"/>
  <c r="I106" i="55"/>
  <c r="J106" i="55"/>
  <c r="B107" i="55"/>
  <c r="C107" i="55"/>
  <c r="D107" i="55" a="1"/>
  <c r="D107" i="55" s="1"/>
  <c r="E107" i="55"/>
  <c r="F107" i="55"/>
  <c r="I107" i="55"/>
  <c r="J107" i="55"/>
  <c r="B108" i="55"/>
  <c r="C108" i="55"/>
  <c r="D108" i="55" a="1"/>
  <c r="D108" i="55" s="1"/>
  <c r="G108" i="55" s="1"/>
  <c r="E108" i="55"/>
  <c r="F108" i="55"/>
  <c r="I108" i="55"/>
  <c r="J108" i="55"/>
  <c r="B109" i="55"/>
  <c r="C109" i="55"/>
  <c r="D109" i="55" a="1"/>
  <c r="D109" i="55" s="1"/>
  <c r="H109" i="55" s="1"/>
  <c r="E109" i="55"/>
  <c r="F109" i="55"/>
  <c r="I109" i="55"/>
  <c r="J109" i="55"/>
  <c r="B110" i="55"/>
  <c r="C110" i="55"/>
  <c r="D110" i="55" a="1"/>
  <c r="D110" i="55" s="1"/>
  <c r="G110" i="55" s="1"/>
  <c r="E110" i="55"/>
  <c r="F110" i="55"/>
  <c r="I110" i="55"/>
  <c r="J110" i="55"/>
  <c r="B111" i="55"/>
  <c r="C111" i="55"/>
  <c r="D111" i="55" a="1"/>
  <c r="D111" i="55" s="1"/>
  <c r="H111" i="55" s="1"/>
  <c r="E111" i="55"/>
  <c r="F111" i="55"/>
  <c r="I111" i="55"/>
  <c r="J111" i="55"/>
  <c r="B112" i="55"/>
  <c r="C112" i="55"/>
  <c r="D112" i="55" a="1"/>
  <c r="D112" i="55" s="1"/>
  <c r="E112" i="55"/>
  <c r="F112" i="55"/>
  <c r="I112" i="55"/>
  <c r="J112" i="55"/>
  <c r="B113" i="55"/>
  <c r="C113" i="55"/>
  <c r="D113" i="55" a="1"/>
  <c r="D113" i="55" s="1"/>
  <c r="E113" i="55"/>
  <c r="F113" i="55"/>
  <c r="I113" i="55"/>
  <c r="J113" i="55"/>
  <c r="B114" i="55"/>
  <c r="C114" i="55"/>
  <c r="D114" i="55" a="1"/>
  <c r="D114" i="55" s="1"/>
  <c r="L114" i="55" s="1" a="1"/>
  <c r="L114" i="55" s="1"/>
  <c r="E114" i="55"/>
  <c r="F114" i="55"/>
  <c r="I114" i="55"/>
  <c r="J114" i="55"/>
  <c r="B115" i="55"/>
  <c r="C115" i="55"/>
  <c r="D115" i="55" a="1"/>
  <c r="D115" i="55" s="1"/>
  <c r="G115" i="55" s="1"/>
  <c r="E115" i="55"/>
  <c r="F115" i="55"/>
  <c r="I115" i="55"/>
  <c r="J115" i="55"/>
  <c r="B116" i="55"/>
  <c r="C116" i="55"/>
  <c r="D116" i="55" a="1"/>
  <c r="D116" i="55" s="1"/>
  <c r="G116" i="55" s="1"/>
  <c r="E116" i="55"/>
  <c r="F116" i="55"/>
  <c r="I116" i="55"/>
  <c r="J116" i="55"/>
  <c r="B117" i="55"/>
  <c r="C117" i="55"/>
  <c r="D117" i="55" a="1"/>
  <c r="D117" i="55" s="1"/>
  <c r="E117" i="55"/>
  <c r="F117" i="55"/>
  <c r="I117" i="55"/>
  <c r="J117" i="55"/>
  <c r="B118" i="55"/>
  <c r="C118" i="55"/>
  <c r="D118" i="55" a="1"/>
  <c r="D118" i="55" s="1"/>
  <c r="E118" i="55"/>
  <c r="F118" i="55"/>
  <c r="I118" i="55"/>
  <c r="J118" i="55"/>
  <c r="B119" i="55"/>
  <c r="C119" i="55"/>
  <c r="D119" i="55" a="1"/>
  <c r="D119" i="55" s="1"/>
  <c r="G119" i="55" s="1"/>
  <c r="E119" i="55"/>
  <c r="F119" i="55"/>
  <c r="I119" i="55"/>
  <c r="J119" i="55"/>
  <c r="B120" i="55"/>
  <c r="C120" i="55"/>
  <c r="D120" i="55" a="1"/>
  <c r="D120" i="55" s="1"/>
  <c r="H120" i="55" s="1"/>
  <c r="E120" i="55"/>
  <c r="F120" i="55"/>
  <c r="I120" i="55"/>
  <c r="J120" i="55"/>
  <c r="B121" i="55"/>
  <c r="C121" i="55"/>
  <c r="D121" i="55" a="1"/>
  <c r="D121" i="55" s="1"/>
  <c r="E121" i="55"/>
  <c r="F121" i="55"/>
  <c r="I121" i="55"/>
  <c r="J121" i="55"/>
  <c r="B125" i="55"/>
  <c r="C125" i="55"/>
  <c r="D125" i="55" a="1"/>
  <c r="D125" i="55" s="1"/>
  <c r="H125" i="55" s="1"/>
  <c r="E125" i="55"/>
  <c r="F125" i="55"/>
  <c r="I125" i="55"/>
  <c r="J125" i="55"/>
  <c r="B126" i="55"/>
  <c r="C126" i="55"/>
  <c r="D126" i="55" a="1"/>
  <c r="D126" i="55" s="1"/>
  <c r="E126" i="55"/>
  <c r="F126" i="55"/>
  <c r="I126" i="55"/>
  <c r="J126" i="55"/>
  <c r="B127" i="55"/>
  <c r="C127" i="55"/>
  <c r="D127" i="55" a="1"/>
  <c r="D127" i="55" s="1"/>
  <c r="E127" i="55"/>
  <c r="F127" i="55"/>
  <c r="I127" i="55"/>
  <c r="J127" i="55"/>
  <c r="B128" i="55"/>
  <c r="C128" i="55"/>
  <c r="D128" i="55" a="1"/>
  <c r="D128" i="55" s="1"/>
  <c r="G128" i="55" s="1"/>
  <c r="E128" i="55"/>
  <c r="F128" i="55"/>
  <c r="I128" i="55"/>
  <c r="J128" i="55"/>
  <c r="B129" i="55"/>
  <c r="C129" i="55"/>
  <c r="D129" i="55" a="1"/>
  <c r="D129" i="55" s="1"/>
  <c r="E129" i="55"/>
  <c r="F129" i="55"/>
  <c r="I129" i="55"/>
  <c r="J129" i="55"/>
  <c r="B130" i="55"/>
  <c r="C130" i="55"/>
  <c r="D130" i="55" a="1"/>
  <c r="D130" i="55" s="1"/>
  <c r="H130" i="55" s="1"/>
  <c r="E130" i="55"/>
  <c r="F130" i="55"/>
  <c r="I130" i="55"/>
  <c r="J130" i="55"/>
  <c r="B131" i="55"/>
  <c r="C131" i="55"/>
  <c r="D131" i="55" a="1"/>
  <c r="D131" i="55" s="1"/>
  <c r="E131" i="55"/>
  <c r="F131" i="55"/>
  <c r="I131" i="55"/>
  <c r="J131" i="55"/>
  <c r="B132" i="55"/>
  <c r="C132" i="55"/>
  <c r="D132" i="55" a="1"/>
  <c r="D132" i="55" s="1"/>
  <c r="E132" i="55"/>
  <c r="F132" i="55"/>
  <c r="I132" i="55"/>
  <c r="J132" i="55"/>
  <c r="B133" i="55"/>
  <c r="C133" i="55"/>
  <c r="D133" i="55" a="1"/>
  <c r="D133" i="55" s="1"/>
  <c r="G133" i="55" s="1"/>
  <c r="E133" i="55"/>
  <c r="F133" i="55"/>
  <c r="I133" i="55"/>
  <c r="J133" i="55"/>
  <c r="B134" i="55"/>
  <c r="C134" i="55"/>
  <c r="D134" i="55" a="1"/>
  <c r="D134" i="55" s="1"/>
  <c r="E134" i="55"/>
  <c r="F134" i="55"/>
  <c r="I134" i="55"/>
  <c r="J134" i="55"/>
  <c r="B135" i="55"/>
  <c r="C135" i="55"/>
  <c r="D135" i="55" a="1"/>
  <c r="D135" i="55" s="1"/>
  <c r="G135" i="55" s="1"/>
  <c r="E135" i="55"/>
  <c r="F135" i="55"/>
  <c r="I135" i="55"/>
  <c r="J135" i="55"/>
  <c r="B136" i="55"/>
  <c r="C136" i="55"/>
  <c r="D136" i="55" a="1"/>
  <c r="D136" i="55" s="1"/>
  <c r="G136" i="55" s="1"/>
  <c r="E136" i="55"/>
  <c r="F136" i="55"/>
  <c r="I136" i="55"/>
  <c r="J136" i="55"/>
  <c r="B137" i="55"/>
  <c r="C137" i="55"/>
  <c r="D137" i="55" a="1"/>
  <c r="D137" i="55" s="1"/>
  <c r="K137" i="55" s="1" a="1"/>
  <c r="K137" i="55" s="1"/>
  <c r="E137" i="55"/>
  <c r="F137" i="55"/>
  <c r="I137" i="55"/>
  <c r="J137" i="55"/>
  <c r="B138" i="55"/>
  <c r="C138" i="55"/>
  <c r="D138" i="55" a="1"/>
  <c r="D138" i="55" s="1"/>
  <c r="K138" i="55" s="1" a="1"/>
  <c r="K138" i="55" s="1"/>
  <c r="E138" i="55"/>
  <c r="F138" i="55"/>
  <c r="I138" i="55"/>
  <c r="J138" i="55"/>
  <c r="B139" i="55"/>
  <c r="C139" i="55"/>
  <c r="D139" i="55" a="1"/>
  <c r="D139" i="55" s="1"/>
  <c r="K139" i="55" s="1" a="1"/>
  <c r="K139" i="55" s="1"/>
  <c r="E139" i="55"/>
  <c r="F139" i="55"/>
  <c r="I139" i="55"/>
  <c r="J139" i="55"/>
  <c r="B140" i="55"/>
  <c r="C140" i="55"/>
  <c r="D140" i="55" a="1"/>
  <c r="D140" i="55" s="1"/>
  <c r="H140" i="55" s="1"/>
  <c r="E140" i="55"/>
  <c r="F140" i="55"/>
  <c r="I140" i="55"/>
  <c r="J140" i="55"/>
  <c r="B141" i="55"/>
  <c r="C141" i="55"/>
  <c r="D141" i="55" a="1"/>
  <c r="D141" i="55" s="1"/>
  <c r="E141" i="55"/>
  <c r="F141" i="55"/>
  <c r="I141" i="55"/>
  <c r="J141" i="55"/>
  <c r="B10" i="55"/>
  <c r="C10" i="55"/>
  <c r="D10" i="55" a="1"/>
  <c r="D10" i="55" s="1"/>
  <c r="E10" i="55"/>
  <c r="F10" i="55"/>
  <c r="I10" i="55"/>
  <c r="J10" i="55"/>
  <c r="B11" i="55"/>
  <c r="C11" i="55"/>
  <c r="D11" i="55" a="1"/>
  <c r="D11" i="55" s="1"/>
  <c r="E11" i="55"/>
  <c r="F11" i="55"/>
  <c r="I11" i="55"/>
  <c r="J11" i="55"/>
  <c r="B12" i="55"/>
  <c r="C12" i="55"/>
  <c r="D12" i="55" a="1"/>
  <c r="D12" i="55" s="1"/>
  <c r="H12" i="55" s="1"/>
  <c r="E12" i="55"/>
  <c r="F12" i="55"/>
  <c r="I12" i="55"/>
  <c r="J12" i="55"/>
  <c r="B13" i="55"/>
  <c r="C13" i="55"/>
  <c r="D13" i="55" a="1"/>
  <c r="D13" i="55" s="1"/>
  <c r="E13" i="55"/>
  <c r="F13" i="55"/>
  <c r="I13" i="55"/>
  <c r="J13" i="55"/>
  <c r="B14" i="55"/>
  <c r="C14" i="55"/>
  <c r="D14" i="55" a="1"/>
  <c r="D14" i="55" s="1"/>
  <c r="E14" i="55"/>
  <c r="F14" i="55"/>
  <c r="I14" i="55"/>
  <c r="J14" i="55"/>
  <c r="B15" i="55"/>
  <c r="C15" i="55"/>
  <c r="D15" i="55" a="1"/>
  <c r="D15" i="55" s="1"/>
  <c r="E15" i="55"/>
  <c r="F15" i="55"/>
  <c r="I15" i="55"/>
  <c r="J15" i="55"/>
  <c r="B16" i="55"/>
  <c r="C16" i="55"/>
  <c r="D16" i="55" a="1"/>
  <c r="D16" i="55" s="1"/>
  <c r="H16" i="55" s="1"/>
  <c r="E16" i="55"/>
  <c r="F16" i="55"/>
  <c r="I16" i="55"/>
  <c r="J16" i="55"/>
  <c r="B17" i="55"/>
  <c r="C17" i="55"/>
  <c r="D17" i="55" a="1"/>
  <c r="D17" i="55" s="1"/>
  <c r="E17" i="55"/>
  <c r="F17" i="55"/>
  <c r="I17" i="55"/>
  <c r="J17" i="55"/>
  <c r="B18" i="55"/>
  <c r="C18" i="55"/>
  <c r="D18" i="55" a="1"/>
  <c r="D18" i="55" s="1"/>
  <c r="L18" i="55" s="1" a="1"/>
  <c r="L18" i="55" s="1"/>
  <c r="E18" i="55"/>
  <c r="F18" i="55"/>
  <c r="I18" i="55"/>
  <c r="J18" i="55"/>
  <c r="B19" i="55"/>
  <c r="C19" i="55"/>
  <c r="D19" i="55" a="1"/>
  <c r="D19" i="55" s="1"/>
  <c r="H19" i="55" s="1"/>
  <c r="E19" i="55"/>
  <c r="F19" i="55"/>
  <c r="I19" i="55"/>
  <c r="J19" i="55"/>
  <c r="B20" i="55"/>
  <c r="C20" i="55"/>
  <c r="D20" i="55" a="1"/>
  <c r="D20" i="55" s="1"/>
  <c r="E20" i="55"/>
  <c r="F20" i="55"/>
  <c r="I20" i="55"/>
  <c r="J20" i="55"/>
  <c r="B21" i="55"/>
  <c r="C21" i="55"/>
  <c r="G21" i="55"/>
  <c r="E21" i="55"/>
  <c r="F21" i="55"/>
  <c r="I21" i="55"/>
  <c r="J21" i="55"/>
  <c r="B22" i="55"/>
  <c r="C22" i="55"/>
  <c r="D22" i="55" a="1"/>
  <c r="D22" i="55" s="1"/>
  <c r="E22" i="55"/>
  <c r="F22" i="55"/>
  <c r="I22" i="55"/>
  <c r="J22" i="55"/>
  <c r="B23" i="55"/>
  <c r="C23" i="55"/>
  <c r="D23" i="55" a="1"/>
  <c r="D23" i="55" s="1"/>
  <c r="H23" i="55" s="1"/>
  <c r="E23" i="55"/>
  <c r="F23" i="55"/>
  <c r="I23" i="55"/>
  <c r="J23" i="55"/>
  <c r="B24" i="55"/>
  <c r="C24" i="55"/>
  <c r="D24" i="55" a="1"/>
  <c r="D24" i="55" s="1"/>
  <c r="G24" i="55" s="1"/>
  <c r="E24" i="55"/>
  <c r="F24" i="55"/>
  <c r="I24" i="55"/>
  <c r="J24" i="55"/>
  <c r="B25" i="55"/>
  <c r="C25" i="55"/>
  <c r="D25" i="55" a="1"/>
  <c r="D25" i="55" s="1"/>
  <c r="H25" i="55" s="1"/>
  <c r="E25" i="55"/>
  <c r="F25" i="55"/>
  <c r="I25" i="55"/>
  <c r="J25" i="55"/>
  <c r="R25" i="55" s="1"/>
  <c r="B26" i="55"/>
  <c r="C26" i="55"/>
  <c r="D26" i="55" a="1"/>
  <c r="D26" i="55" s="1"/>
  <c r="L26" i="55" s="1" a="1"/>
  <c r="L26" i="55" s="1"/>
  <c r="E26" i="55"/>
  <c r="F26" i="55"/>
  <c r="I26" i="55"/>
  <c r="J26" i="55"/>
  <c r="B27" i="55"/>
  <c r="C27" i="55"/>
  <c r="D27" i="55" a="1"/>
  <c r="D27" i="55" s="1"/>
  <c r="E27" i="55"/>
  <c r="F27" i="55"/>
  <c r="I27" i="55"/>
  <c r="J27" i="55"/>
  <c r="B28" i="55"/>
  <c r="C28" i="55"/>
  <c r="D28" i="55" a="1"/>
  <c r="D28" i="55" s="1"/>
  <c r="K28" i="55" s="1" a="1"/>
  <c r="K28" i="55" s="1"/>
  <c r="E28" i="55"/>
  <c r="F28" i="55"/>
  <c r="I28" i="55"/>
  <c r="J28" i="55"/>
  <c r="B29" i="55"/>
  <c r="C29" i="55"/>
  <c r="D29" i="55" a="1"/>
  <c r="D29" i="55" s="1"/>
  <c r="K29" i="55" s="1" a="1"/>
  <c r="K29" i="55" s="1"/>
  <c r="E29" i="55"/>
  <c r="F29" i="55"/>
  <c r="I29" i="55"/>
  <c r="J29" i="55"/>
  <c r="B30" i="55"/>
  <c r="C30" i="55"/>
  <c r="E30" i="55"/>
  <c r="F30" i="55"/>
  <c r="I30" i="55"/>
  <c r="J30" i="55"/>
  <c r="B31" i="55"/>
  <c r="C31" i="55"/>
  <c r="D31" i="55" a="1"/>
  <c r="D31" i="55" s="1"/>
  <c r="H31" i="55" s="1"/>
  <c r="E31" i="55"/>
  <c r="F31" i="55"/>
  <c r="I31" i="55"/>
  <c r="J31" i="55"/>
  <c r="B32" i="55"/>
  <c r="C32" i="55"/>
  <c r="D32" i="55" a="1"/>
  <c r="D32" i="55" s="1"/>
  <c r="G32" i="55" s="1"/>
  <c r="E32" i="55"/>
  <c r="F32" i="55"/>
  <c r="I32" i="55"/>
  <c r="J32" i="55"/>
  <c r="B33" i="55"/>
  <c r="C33" i="55"/>
  <c r="D33" i="55" a="1"/>
  <c r="D33" i="55" s="1"/>
  <c r="H33" i="55" s="1"/>
  <c r="E33" i="55"/>
  <c r="F33" i="55"/>
  <c r="I33" i="55"/>
  <c r="J33" i="55"/>
  <c r="B34" i="55"/>
  <c r="C34" i="55"/>
  <c r="D34" i="55" a="1"/>
  <c r="D34" i="55" s="1"/>
  <c r="H34" i="55" s="1"/>
  <c r="E34" i="55"/>
  <c r="F34" i="55"/>
  <c r="I34" i="55"/>
  <c r="J34" i="55"/>
  <c r="B35" i="55"/>
  <c r="C35" i="55"/>
  <c r="D35" i="55" a="1"/>
  <c r="D35" i="55" s="1"/>
  <c r="H35" i="55" s="1"/>
  <c r="E35" i="55"/>
  <c r="F35" i="55"/>
  <c r="I35" i="55"/>
  <c r="J35" i="55"/>
  <c r="B36" i="55"/>
  <c r="C36" i="55"/>
  <c r="D36" i="55" a="1"/>
  <c r="D36" i="55" s="1"/>
  <c r="H36" i="55" s="1"/>
  <c r="E36" i="55"/>
  <c r="F36" i="55"/>
  <c r="I36" i="55"/>
  <c r="J36" i="55"/>
  <c r="B37" i="55"/>
  <c r="C37" i="55"/>
  <c r="D37" i="55" a="1"/>
  <c r="D37" i="55" s="1"/>
  <c r="G37" i="55" s="1"/>
  <c r="E37" i="55"/>
  <c r="F37" i="55"/>
  <c r="I37" i="55"/>
  <c r="J37" i="55"/>
  <c r="B38" i="55"/>
  <c r="C38" i="55"/>
  <c r="D38" i="55" a="1"/>
  <c r="D38" i="55" s="1"/>
  <c r="E38" i="55"/>
  <c r="F38" i="55"/>
  <c r="I38" i="55"/>
  <c r="J38" i="55"/>
  <c r="B39" i="55"/>
  <c r="C39" i="55"/>
  <c r="D39" i="55" a="1"/>
  <c r="D39" i="55" s="1"/>
  <c r="E39" i="55"/>
  <c r="F39" i="55"/>
  <c r="I39" i="55"/>
  <c r="J39" i="55"/>
  <c r="B40" i="55"/>
  <c r="C40" i="55"/>
  <c r="D40" i="55" a="1"/>
  <c r="D40" i="55" s="1"/>
  <c r="H40" i="55" s="1"/>
  <c r="E40" i="55"/>
  <c r="F40" i="55"/>
  <c r="I40" i="55"/>
  <c r="J40" i="55"/>
  <c r="B41" i="55"/>
  <c r="C41" i="55"/>
  <c r="D41" i="55" a="1"/>
  <c r="D41" i="55" s="1"/>
  <c r="E41" i="55"/>
  <c r="F41" i="55"/>
  <c r="I41" i="55"/>
  <c r="J41" i="55"/>
  <c r="B42" i="55"/>
  <c r="C42" i="55"/>
  <c r="D42" i="55" a="1"/>
  <c r="D42" i="55" s="1"/>
  <c r="G42" i="55" s="1"/>
  <c r="E42" i="55"/>
  <c r="F42" i="55"/>
  <c r="I42" i="55"/>
  <c r="J42" i="55"/>
  <c r="B43" i="55"/>
  <c r="C43" i="55"/>
  <c r="D43" i="55" a="1"/>
  <c r="D43" i="55" s="1"/>
  <c r="E43" i="55"/>
  <c r="F43" i="55"/>
  <c r="I43" i="55"/>
  <c r="J43" i="55"/>
  <c r="B44" i="55"/>
  <c r="C44" i="55"/>
  <c r="D44" i="55" a="1"/>
  <c r="D44" i="55" s="1"/>
  <c r="G44" i="55" s="1"/>
  <c r="E44" i="55"/>
  <c r="F44" i="55"/>
  <c r="I44" i="55"/>
  <c r="J44" i="55"/>
  <c r="B45" i="55"/>
  <c r="C45" i="55"/>
  <c r="D45" i="55" a="1"/>
  <c r="D45" i="55" s="1"/>
  <c r="K45" i="55" s="1" a="1"/>
  <c r="K45" i="55" s="1"/>
  <c r="E45" i="55"/>
  <c r="F45" i="55"/>
  <c r="I45" i="55"/>
  <c r="J45" i="55"/>
  <c r="B46" i="55"/>
  <c r="C46" i="55"/>
  <c r="D46" i="55" a="1"/>
  <c r="D46" i="55" s="1"/>
  <c r="K46" i="55" s="1" a="1"/>
  <c r="K46" i="55" s="1"/>
  <c r="E46" i="55"/>
  <c r="F46" i="55"/>
  <c r="I46" i="55"/>
  <c r="J46" i="55"/>
  <c r="B47" i="55"/>
  <c r="C47" i="55"/>
  <c r="D47" i="55" a="1"/>
  <c r="D47" i="55" s="1"/>
  <c r="H47" i="55" s="1"/>
  <c r="E47" i="55"/>
  <c r="F47" i="55"/>
  <c r="I47" i="55"/>
  <c r="J47" i="55"/>
  <c r="B48" i="55"/>
  <c r="C48" i="55"/>
  <c r="D48" i="55" a="1"/>
  <c r="D48" i="55" s="1"/>
  <c r="G48" i="55" s="1"/>
  <c r="E48" i="55"/>
  <c r="F48" i="55"/>
  <c r="I48" i="55"/>
  <c r="J48" i="55"/>
  <c r="B49" i="55"/>
  <c r="C49" i="55"/>
  <c r="D49" i="55" a="1"/>
  <c r="D49" i="55" s="1"/>
  <c r="G49" i="55" s="1"/>
  <c r="E49" i="55"/>
  <c r="F49" i="55"/>
  <c r="I49" i="55"/>
  <c r="J49" i="55"/>
  <c r="B50" i="55"/>
  <c r="C50" i="55"/>
  <c r="D50" i="55" a="1"/>
  <c r="D50" i="55" s="1"/>
  <c r="H50" i="55" s="1"/>
  <c r="E50" i="55"/>
  <c r="F50" i="55"/>
  <c r="I50" i="55"/>
  <c r="J50" i="55"/>
  <c r="B51" i="55"/>
  <c r="C51" i="55"/>
  <c r="D51" i="55" a="1"/>
  <c r="D51" i="55" s="1"/>
  <c r="H51" i="55" s="1"/>
  <c r="E51" i="55"/>
  <c r="F51" i="55"/>
  <c r="I51" i="55"/>
  <c r="J51" i="55"/>
  <c r="B52" i="55"/>
  <c r="C52" i="55"/>
  <c r="D52" i="55" a="1"/>
  <c r="D52" i="55" s="1"/>
  <c r="K52" i="55" s="1" a="1"/>
  <c r="K52" i="55" s="1"/>
  <c r="E52" i="55"/>
  <c r="F52" i="55"/>
  <c r="I52" i="55"/>
  <c r="J52" i="55"/>
  <c r="B53" i="55"/>
  <c r="C53" i="55"/>
  <c r="D53" i="55" a="1"/>
  <c r="D53" i="55" s="1"/>
  <c r="G53" i="55" s="1"/>
  <c r="E53" i="55"/>
  <c r="F53" i="55"/>
  <c r="I53" i="55"/>
  <c r="J53" i="55"/>
  <c r="B54" i="55"/>
  <c r="C54" i="55"/>
  <c r="D54" i="55" a="1"/>
  <c r="D54" i="55" s="1"/>
  <c r="E54" i="55"/>
  <c r="F54" i="55"/>
  <c r="I54" i="55"/>
  <c r="J54" i="55"/>
  <c r="B55" i="55"/>
  <c r="C55" i="55"/>
  <c r="D55" i="55" a="1"/>
  <c r="D55" i="55" s="1"/>
  <c r="K55" i="55" s="1" a="1"/>
  <c r="K55" i="55" s="1"/>
  <c r="E55" i="55"/>
  <c r="F55" i="55"/>
  <c r="I55" i="55"/>
  <c r="J55" i="55"/>
  <c r="B56" i="55"/>
  <c r="C56" i="55"/>
  <c r="H56" i="55"/>
  <c r="E56" i="55"/>
  <c r="F56" i="55"/>
  <c r="I56" i="55"/>
  <c r="J56" i="55"/>
  <c r="B57" i="55"/>
  <c r="C57" i="55"/>
  <c r="D57" i="55" a="1"/>
  <c r="D57" i="55" s="1"/>
  <c r="E57" i="55"/>
  <c r="F57" i="55"/>
  <c r="I57" i="55"/>
  <c r="J57" i="55"/>
  <c r="B58" i="55"/>
  <c r="C58" i="55"/>
  <c r="D58" i="55" a="1"/>
  <c r="D58" i="55" s="1"/>
  <c r="E58" i="55"/>
  <c r="F58" i="55"/>
  <c r="I58" i="55"/>
  <c r="J58" i="55"/>
  <c r="B59" i="55"/>
  <c r="C59" i="55"/>
  <c r="D59" i="55" a="1"/>
  <c r="D59" i="55" s="1"/>
  <c r="E59" i="55"/>
  <c r="F59" i="55"/>
  <c r="I59" i="55"/>
  <c r="J59" i="55"/>
  <c r="B60" i="55"/>
  <c r="C60" i="55"/>
  <c r="D60" i="55" a="1"/>
  <c r="D60" i="55" s="1"/>
  <c r="K60" i="55" s="1" a="1"/>
  <c r="K60" i="55" s="1"/>
  <c r="E60" i="55"/>
  <c r="F60" i="55"/>
  <c r="I60" i="55"/>
  <c r="J60" i="55"/>
  <c r="B61" i="55"/>
  <c r="C61" i="55"/>
  <c r="D61" i="55" a="1"/>
  <c r="D61" i="55" s="1"/>
  <c r="K61" i="55" s="1" a="1"/>
  <c r="K61" i="55" s="1"/>
  <c r="E61" i="55"/>
  <c r="F61" i="55"/>
  <c r="I61" i="55"/>
  <c r="J61" i="55"/>
  <c r="B62" i="55"/>
  <c r="C62" i="55"/>
  <c r="E62" i="55"/>
  <c r="F62" i="55"/>
  <c r="I62" i="55"/>
  <c r="J62" i="55"/>
  <c r="B63" i="55"/>
  <c r="C63" i="55"/>
  <c r="D63" i="55" a="1"/>
  <c r="D63" i="55" s="1"/>
  <c r="E63" i="55"/>
  <c r="F63" i="55"/>
  <c r="I63" i="55"/>
  <c r="J63" i="55"/>
  <c r="B64" i="55"/>
  <c r="C64" i="55"/>
  <c r="D64" i="55" a="1"/>
  <c r="D64" i="55" s="1"/>
  <c r="G64" i="55" s="1"/>
  <c r="E64" i="55"/>
  <c r="F64" i="55"/>
  <c r="I64" i="55"/>
  <c r="J64" i="55"/>
  <c r="B65" i="55"/>
  <c r="C65" i="55"/>
  <c r="D65" i="55" a="1"/>
  <c r="D65" i="55" s="1"/>
  <c r="G65" i="55" s="1"/>
  <c r="E65" i="55"/>
  <c r="F65" i="55"/>
  <c r="I65" i="55"/>
  <c r="J65" i="55"/>
  <c r="B66" i="55"/>
  <c r="C66" i="55"/>
  <c r="D66" i="55" a="1"/>
  <c r="D66" i="55" s="1"/>
  <c r="H66" i="55" s="1"/>
  <c r="E66" i="55"/>
  <c r="F66" i="55"/>
  <c r="I66" i="55"/>
  <c r="J66" i="55"/>
  <c r="B67" i="55"/>
  <c r="C67" i="55"/>
  <c r="D67" i="55" a="1"/>
  <c r="D67" i="55" s="1"/>
  <c r="L67" i="55" s="1" a="1"/>
  <c r="L67" i="55" s="1"/>
  <c r="E67" i="55"/>
  <c r="F67" i="55"/>
  <c r="I67" i="55"/>
  <c r="J67" i="55"/>
  <c r="B68" i="55"/>
  <c r="C68" i="55"/>
  <c r="D68" i="55" a="1"/>
  <c r="D68" i="55" s="1"/>
  <c r="G68" i="55" s="1"/>
  <c r="E68" i="55"/>
  <c r="F68" i="55"/>
  <c r="I68" i="55"/>
  <c r="J68" i="55"/>
  <c r="B69" i="55"/>
  <c r="C69" i="55"/>
  <c r="D69" i="55" a="1"/>
  <c r="D69" i="55" s="1"/>
  <c r="G69" i="55" s="1"/>
  <c r="E69" i="55"/>
  <c r="F69" i="55"/>
  <c r="I69" i="55"/>
  <c r="J69" i="55"/>
  <c r="B70" i="55"/>
  <c r="C70" i="55"/>
  <c r="D70" i="55" a="1"/>
  <c r="D70" i="55" s="1"/>
  <c r="G70" i="55" s="1"/>
  <c r="E70" i="55"/>
  <c r="F70" i="55"/>
  <c r="I70" i="55"/>
  <c r="J70" i="55"/>
  <c r="B71" i="55"/>
  <c r="C71" i="55"/>
  <c r="D71" i="55" a="1"/>
  <c r="D71" i="55" s="1"/>
  <c r="H71" i="55" s="1"/>
  <c r="E71" i="55"/>
  <c r="F71" i="55"/>
  <c r="I71" i="55"/>
  <c r="J71" i="55"/>
  <c r="B72" i="55"/>
  <c r="C72" i="55"/>
  <c r="D72" i="55" a="1"/>
  <c r="D72" i="55" s="1"/>
  <c r="G72" i="55" s="1"/>
  <c r="E72" i="55"/>
  <c r="F72" i="55"/>
  <c r="I72" i="55"/>
  <c r="J72" i="55"/>
  <c r="B73" i="55"/>
  <c r="C73" i="55"/>
  <c r="D73" i="55" a="1"/>
  <c r="D73" i="55" s="1"/>
  <c r="L73" i="55" s="1" a="1"/>
  <c r="L73" i="55" s="1"/>
  <c r="E73" i="55"/>
  <c r="F73" i="55"/>
  <c r="I73" i="55"/>
  <c r="J73" i="55"/>
  <c r="R73" i="55" s="1"/>
  <c r="B74" i="55"/>
  <c r="C74" i="55"/>
  <c r="D74" i="55" a="1"/>
  <c r="D74" i="55" s="1"/>
  <c r="K74" i="55" s="1" a="1"/>
  <c r="K74" i="55" s="1"/>
  <c r="E74" i="55"/>
  <c r="F74" i="55"/>
  <c r="I74" i="55"/>
  <c r="J74" i="55"/>
  <c r="B75" i="55"/>
  <c r="C75" i="55"/>
  <c r="D75" i="55" a="1"/>
  <c r="D75" i="55" s="1"/>
  <c r="G75" i="55" s="1"/>
  <c r="E75" i="55"/>
  <c r="F75" i="55"/>
  <c r="I75" i="55"/>
  <c r="J75" i="55"/>
  <c r="B76" i="55"/>
  <c r="C76" i="55"/>
  <c r="D76" i="55" a="1"/>
  <c r="D76" i="55" s="1"/>
  <c r="G76" i="55" s="1"/>
  <c r="E76" i="55"/>
  <c r="F76" i="55"/>
  <c r="I76" i="55"/>
  <c r="J76" i="55"/>
  <c r="B77" i="55"/>
  <c r="C77" i="55"/>
  <c r="D77" i="55" a="1"/>
  <c r="D77" i="55" s="1"/>
  <c r="H77" i="55" s="1"/>
  <c r="E77" i="55"/>
  <c r="F77" i="55"/>
  <c r="I77" i="55"/>
  <c r="J77" i="55"/>
  <c r="B78" i="55"/>
  <c r="C78" i="55"/>
  <c r="D78" i="55" a="1"/>
  <c r="D78" i="55" s="1"/>
  <c r="H78" i="55" s="1"/>
  <c r="E78" i="55"/>
  <c r="F78" i="55"/>
  <c r="I78" i="55"/>
  <c r="J78" i="55"/>
  <c r="B79" i="55"/>
  <c r="C79" i="55"/>
  <c r="D79" i="55" a="1"/>
  <c r="D79" i="55" s="1"/>
  <c r="E79" i="55"/>
  <c r="F79" i="55"/>
  <c r="I79" i="55"/>
  <c r="J79" i="55"/>
  <c r="B80" i="55"/>
  <c r="C80" i="55"/>
  <c r="D80" i="55" a="1"/>
  <c r="D80" i="55" s="1"/>
  <c r="H80" i="55" s="1"/>
  <c r="E80" i="55"/>
  <c r="F80" i="55"/>
  <c r="I80" i="55"/>
  <c r="J80" i="55"/>
  <c r="B81" i="55"/>
  <c r="C81" i="55"/>
  <c r="D81" i="55" a="1"/>
  <c r="D81" i="55" s="1"/>
  <c r="E81" i="55"/>
  <c r="F81" i="55"/>
  <c r="I81" i="55"/>
  <c r="J81" i="55"/>
  <c r="B82" i="55"/>
  <c r="C82" i="55"/>
  <c r="D82" i="55" a="1"/>
  <c r="D82" i="55" s="1"/>
  <c r="E82" i="55"/>
  <c r="F82" i="55"/>
  <c r="I82" i="55"/>
  <c r="J82" i="55"/>
  <c r="R82" i="55" s="1"/>
  <c r="B83" i="55"/>
  <c r="C83" i="55"/>
  <c r="D83" i="55" a="1"/>
  <c r="D83" i="55" s="1"/>
  <c r="G83" i="55" s="1"/>
  <c r="E83" i="55"/>
  <c r="F83" i="55"/>
  <c r="I83" i="55"/>
  <c r="J83" i="55"/>
  <c r="B84" i="55"/>
  <c r="C84" i="55"/>
  <c r="D84" i="55" a="1"/>
  <c r="D84" i="55" s="1"/>
  <c r="E84" i="55"/>
  <c r="F84" i="55"/>
  <c r="I84" i="55"/>
  <c r="J84" i="55"/>
  <c r="R84" i="55" s="1"/>
  <c r="B85" i="55"/>
  <c r="C85" i="55"/>
  <c r="D85" i="55" a="1"/>
  <c r="D85" i="55" s="1"/>
  <c r="K85" i="55" s="1" a="1"/>
  <c r="K85" i="55" s="1"/>
  <c r="E85" i="55"/>
  <c r="F85" i="55"/>
  <c r="I85" i="55"/>
  <c r="J85" i="55"/>
  <c r="B86" i="55"/>
  <c r="C86" i="55"/>
  <c r="D86" i="55" a="1"/>
  <c r="D86" i="55" s="1"/>
  <c r="G86" i="55" s="1"/>
  <c r="E86" i="55"/>
  <c r="F86" i="55"/>
  <c r="I86" i="55"/>
  <c r="J86" i="55"/>
  <c r="B87" i="55"/>
  <c r="C87" i="55"/>
  <c r="D87" i="55" a="1"/>
  <c r="D87" i="55" s="1"/>
  <c r="E87" i="55"/>
  <c r="F87" i="55"/>
  <c r="I87" i="55"/>
  <c r="J87" i="55"/>
  <c r="B88" i="55"/>
  <c r="C88" i="55"/>
  <c r="D88" i="55" a="1"/>
  <c r="D88" i="55" s="1"/>
  <c r="H88" i="55" s="1"/>
  <c r="E88" i="55"/>
  <c r="F88" i="55"/>
  <c r="I88" i="55"/>
  <c r="J88" i="55"/>
  <c r="B89" i="55"/>
  <c r="C89" i="55"/>
  <c r="D89" i="55" a="1"/>
  <c r="D89" i="55" s="1"/>
  <c r="E89" i="55"/>
  <c r="F89" i="55"/>
  <c r="I89" i="55"/>
  <c r="J89" i="55"/>
  <c r="B90" i="55"/>
  <c r="C90" i="55"/>
  <c r="D90" i="55" a="1"/>
  <c r="D90" i="55" s="1"/>
  <c r="G90" i="55" s="1"/>
  <c r="E90" i="55"/>
  <c r="F90" i="55"/>
  <c r="I90" i="55"/>
  <c r="J90" i="55"/>
  <c r="B91" i="55"/>
  <c r="C91" i="55"/>
  <c r="D91" i="55" a="1"/>
  <c r="D91" i="55" s="1"/>
  <c r="H91" i="55" s="1"/>
  <c r="E91" i="55"/>
  <c r="F91" i="55"/>
  <c r="I91" i="55"/>
  <c r="J91" i="55"/>
  <c r="B92" i="55"/>
  <c r="C92" i="55"/>
  <c r="D92" i="55" a="1"/>
  <c r="D92" i="55" s="1"/>
  <c r="E92" i="55"/>
  <c r="F92" i="55"/>
  <c r="I92" i="55"/>
  <c r="J92" i="55"/>
  <c r="B93" i="55"/>
  <c r="C93" i="55"/>
  <c r="D93" i="55" a="1"/>
  <c r="D93" i="55" s="1"/>
  <c r="K93" i="55" s="1" a="1"/>
  <c r="K93" i="55" s="1"/>
  <c r="E93" i="55"/>
  <c r="F93" i="55"/>
  <c r="I93" i="55"/>
  <c r="J93" i="55"/>
  <c r="B94" i="55"/>
  <c r="C94" i="55"/>
  <c r="D94" i="55" a="1"/>
  <c r="D94" i="55" s="1"/>
  <c r="E94" i="55"/>
  <c r="F94" i="55"/>
  <c r="I94" i="55"/>
  <c r="J94" i="55"/>
  <c r="B95" i="55"/>
  <c r="C95" i="55"/>
  <c r="D95" i="55" a="1"/>
  <c r="D95" i="55" s="1"/>
  <c r="E95" i="55"/>
  <c r="F95" i="55"/>
  <c r="I95" i="55"/>
  <c r="J95" i="55"/>
  <c r="B96" i="55"/>
  <c r="C96" i="55"/>
  <c r="D96" i="55" a="1"/>
  <c r="D96" i="55" s="1"/>
  <c r="G96" i="55" s="1"/>
  <c r="E96" i="55"/>
  <c r="F96" i="55"/>
  <c r="I96" i="55"/>
  <c r="J96" i="55"/>
  <c r="B97" i="55"/>
  <c r="C97" i="55"/>
  <c r="D97" i="55" a="1"/>
  <c r="D97" i="55" s="1"/>
  <c r="H97" i="55" s="1"/>
  <c r="E97" i="55"/>
  <c r="F97" i="55"/>
  <c r="I97" i="55"/>
  <c r="J97" i="55"/>
  <c r="B98" i="55"/>
  <c r="C98" i="55"/>
  <c r="D98" i="55" a="1"/>
  <c r="D98" i="55" s="1"/>
  <c r="E98" i="55"/>
  <c r="F98" i="55"/>
  <c r="I98" i="55"/>
  <c r="J98" i="55"/>
  <c r="B99" i="55"/>
  <c r="C99" i="55"/>
  <c r="D99" i="55" a="1"/>
  <c r="D99" i="55" s="1"/>
  <c r="L99" i="55" s="1" a="1"/>
  <c r="L99" i="55" s="1"/>
  <c r="E99" i="55"/>
  <c r="F99" i="55"/>
  <c r="I99" i="55"/>
  <c r="J99" i="55"/>
  <c r="B100" i="55"/>
  <c r="C100" i="55"/>
  <c r="D100" i="55" a="1"/>
  <c r="D100" i="55" s="1"/>
  <c r="G100" i="55" s="1"/>
  <c r="E100" i="55"/>
  <c r="F100" i="55"/>
  <c r="I100" i="55"/>
  <c r="J100" i="55"/>
  <c r="J9" i="55"/>
  <c r="I9" i="55"/>
  <c r="F9" i="55"/>
  <c r="E9" i="55"/>
  <c r="D9" i="55" a="1"/>
  <c r="D9" i="55" s="1"/>
  <c r="H9" i="55" s="1"/>
  <c r="C9" i="55"/>
  <c r="B9" i="55"/>
  <c r="J8" i="55"/>
  <c r="I8" i="55"/>
  <c r="F8" i="55"/>
  <c r="E8" i="55"/>
  <c r="D8" i="55" a="1"/>
  <c r="D8" i="55" s="1"/>
  <c r="C8" i="55"/>
  <c r="B8" i="55"/>
  <c r="J7" i="55"/>
  <c r="I7" i="55"/>
  <c r="F7" i="55"/>
  <c r="E7" i="55"/>
  <c r="D7" i="55" a="1"/>
  <c r="D7" i="55" s="1"/>
  <c r="C7" i="55"/>
  <c r="B7" i="55"/>
  <c r="I14" i="61"/>
  <c r="I13" i="61"/>
  <c r="I12" i="61"/>
  <c r="I11" i="61"/>
  <c r="I10" i="61"/>
  <c r="I9" i="61"/>
  <c r="I8" i="61"/>
  <c r="I7" i="61"/>
  <c r="I6" i="61"/>
  <c r="I5" i="61"/>
  <c r="I4" i="61"/>
  <c r="I3" i="61"/>
  <c r="G62" i="55"/>
  <c r="H62" i="55"/>
  <c r="G30" i="55"/>
  <c r="H30" i="55"/>
  <c r="G56" i="55"/>
  <c r="AI2" i="53"/>
  <c r="B17" i="59"/>
  <c r="C17" i="59"/>
  <c r="N17" i="59" s="1"/>
  <c r="D17" i="59"/>
  <c r="E17" i="59"/>
  <c r="G17" i="59"/>
  <c r="M17" i="59" s="1"/>
  <c r="H17" i="59"/>
  <c r="I17" i="59"/>
  <c r="J17" i="59"/>
  <c r="K17" i="59"/>
  <c r="O17" i="59"/>
  <c r="U17" i="59" s="1"/>
  <c r="P17" i="59"/>
  <c r="Q17" i="59"/>
  <c r="R17" i="59"/>
  <c r="S17" i="59"/>
  <c r="P11" i="55"/>
  <c r="P12" i="55"/>
  <c r="P15" i="55"/>
  <c r="P16" i="55"/>
  <c r="P17" i="55"/>
  <c r="P20" i="55"/>
  <c r="R20" i="55" s="1"/>
  <c r="P22" i="55"/>
  <c r="S22" i="55" s="1"/>
  <c r="P24" i="55"/>
  <c r="P28" i="55"/>
  <c r="P31" i="55"/>
  <c r="P32" i="55"/>
  <c r="R32" i="55" s="1"/>
  <c r="P38" i="55"/>
  <c r="R38" i="55" s="1"/>
  <c r="P40" i="55"/>
  <c r="P41" i="55"/>
  <c r="P42" i="55"/>
  <c r="P43" i="55"/>
  <c r="R43" i="55" s="1"/>
  <c r="P45" i="55"/>
  <c r="P49" i="55"/>
  <c r="P50" i="55"/>
  <c r="P51" i="55"/>
  <c r="O6" i="59"/>
  <c r="P69" i="55"/>
  <c r="P70" i="55"/>
  <c r="R70" i="55" s="1"/>
  <c r="P73" i="55"/>
  <c r="P78" i="55"/>
  <c r="P84" i="55"/>
  <c r="S84" i="55" s="1"/>
  <c r="P85" i="55"/>
  <c r="S85" i="55"/>
  <c r="P90" i="55"/>
  <c r="S90" i="55" s="1"/>
  <c r="T90" i="55" s="1"/>
  <c r="P93" i="55"/>
  <c r="R93" i="55" s="1"/>
  <c r="P94" i="55"/>
  <c r="S94" i="55" s="1"/>
  <c r="P95" i="55"/>
  <c r="P98" i="55"/>
  <c r="P99" i="55"/>
  <c r="P100" i="55"/>
  <c r="S100" i="55" s="1"/>
  <c r="T100" i="55" s="1"/>
  <c r="P105" i="55"/>
  <c r="P107" i="55"/>
  <c r="R107" i="55" s="1"/>
  <c r="P108" i="55"/>
  <c r="P114" i="55"/>
  <c r="R114" i="55" s="1"/>
  <c r="P118" i="55"/>
  <c r="R118" i="55" s="1"/>
  <c r="P119" i="55"/>
  <c r="S119" i="55" s="1"/>
  <c r="P126" i="55"/>
  <c r="P130" i="55"/>
  <c r="P134" i="55"/>
  <c r="P135" i="55"/>
  <c r="P137" i="55"/>
  <c r="S137" i="55" s="1"/>
  <c r="P138" i="55"/>
  <c r="R138" i="55" s="1"/>
  <c r="P139" i="55"/>
  <c r="S139" i="55" s="1"/>
  <c r="P142" i="55"/>
  <c r="P144" i="55"/>
  <c r="P146" i="55"/>
  <c r="P147" i="55"/>
  <c r="G10" i="59"/>
  <c r="L10" i="59" s="1"/>
  <c r="P7" i="55"/>
  <c r="Q58" i="55"/>
  <c r="Q57" i="55"/>
  <c r="Q92" i="55"/>
  <c r="Q18" i="55"/>
  <c r="Q8" i="55"/>
  <c r="Q9" i="55"/>
  <c r="Q10" i="55"/>
  <c r="Q11" i="55"/>
  <c r="Q12" i="55"/>
  <c r="Q13" i="55"/>
  <c r="Q14" i="55"/>
  <c r="Q15" i="55"/>
  <c r="S15" i="55" s="1"/>
  <c r="Q16" i="55"/>
  <c r="Q17" i="55"/>
  <c r="Q19" i="55"/>
  <c r="Q20" i="55"/>
  <c r="Q21" i="55"/>
  <c r="Q22" i="55"/>
  <c r="Q23" i="55"/>
  <c r="Q24" i="55"/>
  <c r="Q25" i="55"/>
  <c r="Q26" i="55"/>
  <c r="Q27" i="55"/>
  <c r="Q28" i="55"/>
  <c r="S28" i="55" s="1"/>
  <c r="T28" i="55" s="1"/>
  <c r="P29" i="55"/>
  <c r="S29" i="55" s="1"/>
  <c r="T29" i="55" s="1"/>
  <c r="Q29" i="55"/>
  <c r="Q30" i="55"/>
  <c r="Q31" i="55"/>
  <c r="Q32" i="55"/>
  <c r="Q33" i="55"/>
  <c r="Q34" i="55"/>
  <c r="Q35" i="55"/>
  <c r="Q36" i="55"/>
  <c r="Q37" i="55"/>
  <c r="Q38" i="55"/>
  <c r="Q39" i="55"/>
  <c r="Q40" i="55"/>
  <c r="Q41" i="55"/>
  <c r="Q42" i="55"/>
  <c r="Q43" i="55"/>
  <c r="Q44" i="55"/>
  <c r="Q45" i="55"/>
  <c r="Q46" i="55"/>
  <c r="Q47" i="55"/>
  <c r="Q48" i="55"/>
  <c r="Q49" i="55"/>
  <c r="Q50" i="55"/>
  <c r="S50" i="55" s="1"/>
  <c r="T50" i="55" s="1"/>
  <c r="Q51" i="55"/>
  <c r="Q52" i="55"/>
  <c r="Q53" i="55"/>
  <c r="Q54" i="55"/>
  <c r="Q55" i="55"/>
  <c r="Q56" i="55"/>
  <c r="Q59" i="55"/>
  <c r="Q60" i="55"/>
  <c r="Q61" i="55"/>
  <c r="Q62" i="55"/>
  <c r="Q63" i="55"/>
  <c r="Q64" i="55"/>
  <c r="Q65" i="55"/>
  <c r="S65" i="55" s="1"/>
  <c r="Q66" i="55"/>
  <c r="Q67" i="55"/>
  <c r="Q68" i="55"/>
  <c r="Q69" i="55"/>
  <c r="Q70" i="55"/>
  <c r="Q71" i="55"/>
  <c r="Q72" i="55"/>
  <c r="Q73" i="55"/>
  <c r="S73" i="55" s="1"/>
  <c r="T73" i="55" s="1"/>
  <c r="Q74" i="55"/>
  <c r="Q75" i="55"/>
  <c r="Q76" i="55"/>
  <c r="Q77" i="55"/>
  <c r="Q78" i="55"/>
  <c r="Q79" i="55"/>
  <c r="Q80" i="55"/>
  <c r="Q81" i="55"/>
  <c r="Q82" i="55"/>
  <c r="Q83" i="55"/>
  <c r="Q84" i="55"/>
  <c r="Q85" i="55"/>
  <c r="Q86" i="55"/>
  <c r="Q87" i="55"/>
  <c r="Q88" i="55"/>
  <c r="Q89" i="55"/>
  <c r="Q90" i="55"/>
  <c r="Q91"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117" i="55"/>
  <c r="Q118" i="55"/>
  <c r="Q119" i="55"/>
  <c r="Q120" i="55"/>
  <c r="Q121" i="55"/>
  <c r="Q125" i="55"/>
  <c r="Q126" i="55"/>
  <c r="Q127" i="55"/>
  <c r="Q128" i="55"/>
  <c r="Q129" i="55"/>
  <c r="Q130" i="55"/>
  <c r="Q131" i="55"/>
  <c r="Q132" i="55"/>
  <c r="Q133" i="55"/>
  <c r="Q134" i="55"/>
  <c r="Q135" i="55"/>
  <c r="Q136" i="55"/>
  <c r="Q137" i="55"/>
  <c r="Q138" i="55"/>
  <c r="Q139" i="55"/>
  <c r="Q140" i="55"/>
  <c r="Q141" i="55"/>
  <c r="Q142" i="55"/>
  <c r="S142" i="55" s="1"/>
  <c r="Q143" i="55"/>
  <c r="Q144" i="55"/>
  <c r="Q145" i="55"/>
  <c r="Q146" i="55"/>
  <c r="Q147" i="55"/>
  <c r="Q148" i="55"/>
  <c r="Q149" i="55"/>
  <c r="Q7" i="55"/>
  <c r="B50" i="59"/>
  <c r="V50" i="59" s="1"/>
  <c r="C50" i="59"/>
  <c r="N50" i="59" s="1"/>
  <c r="D50" i="59"/>
  <c r="E50" i="59"/>
  <c r="H50" i="59"/>
  <c r="J50" i="59"/>
  <c r="K50" i="59"/>
  <c r="P50" i="59"/>
  <c r="Q50" i="59"/>
  <c r="R50" i="59"/>
  <c r="S50" i="59"/>
  <c r="B51" i="59"/>
  <c r="C51" i="59"/>
  <c r="D51" i="59"/>
  <c r="E51" i="59"/>
  <c r="H51" i="59"/>
  <c r="J51" i="59"/>
  <c r="K51" i="59"/>
  <c r="P51" i="59"/>
  <c r="Q51" i="59"/>
  <c r="R51" i="59"/>
  <c r="S51" i="59"/>
  <c r="B52" i="59"/>
  <c r="C52" i="59"/>
  <c r="D52" i="59"/>
  <c r="E52" i="59"/>
  <c r="H52" i="59"/>
  <c r="J52" i="59"/>
  <c r="K52" i="59"/>
  <c r="P52" i="59"/>
  <c r="Q52" i="59"/>
  <c r="R52" i="59"/>
  <c r="S52" i="59"/>
  <c r="B53" i="59"/>
  <c r="C53" i="59"/>
  <c r="L53" i="59" s="1"/>
  <c r="D53" i="59"/>
  <c r="E53" i="59"/>
  <c r="H53" i="59"/>
  <c r="J53" i="59"/>
  <c r="K53" i="59"/>
  <c r="O53" i="59"/>
  <c r="U53" i="59" s="1"/>
  <c r="P53" i="59"/>
  <c r="Q53" i="59"/>
  <c r="R53" i="59"/>
  <c r="S53" i="59"/>
  <c r="B35" i="59"/>
  <c r="T35" i="59" s="1"/>
  <c r="C35" i="59"/>
  <c r="D35" i="59"/>
  <c r="E35" i="59"/>
  <c r="G35" i="59"/>
  <c r="M35" i="59" s="1"/>
  <c r="H35" i="59"/>
  <c r="I35" i="59"/>
  <c r="J35" i="59"/>
  <c r="K35" i="59"/>
  <c r="O35" i="59"/>
  <c r="U35" i="59" s="1"/>
  <c r="P35" i="59"/>
  <c r="Q35" i="59"/>
  <c r="R35" i="59"/>
  <c r="S35" i="59"/>
  <c r="B32" i="59"/>
  <c r="T32" i="59" s="1"/>
  <c r="C32" i="59"/>
  <c r="N32" i="59" s="1"/>
  <c r="D32" i="59"/>
  <c r="E32" i="59"/>
  <c r="G32" i="59"/>
  <c r="M32" i="59" s="1"/>
  <c r="H32" i="59"/>
  <c r="I32" i="59"/>
  <c r="J32" i="59"/>
  <c r="K32" i="59"/>
  <c r="O32" i="59"/>
  <c r="U32" i="59" s="1"/>
  <c r="P32" i="59"/>
  <c r="Q32" i="59"/>
  <c r="R32" i="59"/>
  <c r="S32" i="59"/>
  <c r="B33" i="59"/>
  <c r="C33" i="59"/>
  <c r="N33" i="59" s="1"/>
  <c r="D33" i="59"/>
  <c r="E33" i="59"/>
  <c r="G33" i="59"/>
  <c r="M33" i="59" s="1"/>
  <c r="H33" i="59"/>
  <c r="I33" i="59"/>
  <c r="J33" i="59"/>
  <c r="K33" i="59"/>
  <c r="O33" i="59"/>
  <c r="U33" i="59" s="1"/>
  <c r="P33" i="59"/>
  <c r="Q33" i="59"/>
  <c r="R33" i="59"/>
  <c r="S33" i="59"/>
  <c r="B34" i="59"/>
  <c r="C34" i="59"/>
  <c r="L34" i="59" s="1"/>
  <c r="D34" i="59"/>
  <c r="E34" i="59"/>
  <c r="G34" i="59"/>
  <c r="M34" i="59" s="1"/>
  <c r="H34" i="59"/>
  <c r="I34" i="59"/>
  <c r="J34" i="59"/>
  <c r="K34" i="59"/>
  <c r="O34" i="59"/>
  <c r="U34" i="59" s="1"/>
  <c r="P34" i="59"/>
  <c r="Q34" i="59"/>
  <c r="R34" i="59"/>
  <c r="S34" i="59"/>
  <c r="D14" i="59"/>
  <c r="E14" i="59"/>
  <c r="H14" i="59"/>
  <c r="J14" i="59"/>
  <c r="K14" i="59"/>
  <c r="P14" i="59"/>
  <c r="Q14" i="59"/>
  <c r="R14" i="59"/>
  <c r="S14" i="59"/>
  <c r="D15" i="59"/>
  <c r="E15" i="59"/>
  <c r="H15" i="59"/>
  <c r="J15" i="59"/>
  <c r="K15" i="59"/>
  <c r="P15" i="59"/>
  <c r="V15" i="59" s="1"/>
  <c r="Q15" i="59"/>
  <c r="R15" i="59"/>
  <c r="S15" i="59"/>
  <c r="D16" i="59"/>
  <c r="E16" i="59"/>
  <c r="H16" i="59"/>
  <c r="J16" i="59"/>
  <c r="K16" i="59"/>
  <c r="P16" i="59"/>
  <c r="Q16" i="59"/>
  <c r="R16" i="59"/>
  <c r="S16" i="59"/>
  <c r="C14" i="59"/>
  <c r="C15" i="59"/>
  <c r="N15" i="59" s="1"/>
  <c r="C16" i="59"/>
  <c r="B14" i="59"/>
  <c r="B15" i="59"/>
  <c r="B16" i="59"/>
  <c r="B4" i="59"/>
  <c r="T2" i="53"/>
  <c r="R152" i="53"/>
  <c r="M2" i="55" s="1"/>
  <c r="O152" i="53"/>
  <c r="K2" i="53"/>
  <c r="K42" i="59"/>
  <c r="C13" i="59"/>
  <c r="C22" i="59"/>
  <c r="D49" i="59"/>
  <c r="D42" i="59"/>
  <c r="D43" i="59"/>
  <c r="D44" i="59"/>
  <c r="D45" i="59"/>
  <c r="D46" i="59"/>
  <c r="D47" i="59"/>
  <c r="D48" i="59"/>
  <c r="D41" i="59"/>
  <c r="D40" i="59"/>
  <c r="D31" i="59"/>
  <c r="D24" i="59"/>
  <c r="D25" i="59"/>
  <c r="D26" i="59"/>
  <c r="D27" i="59"/>
  <c r="D28" i="59"/>
  <c r="D29" i="59"/>
  <c r="D30" i="59"/>
  <c r="D23" i="59"/>
  <c r="D22" i="59"/>
  <c r="D13" i="59"/>
  <c r="D6" i="59"/>
  <c r="D7" i="59"/>
  <c r="D8" i="59"/>
  <c r="D9" i="59"/>
  <c r="D10" i="59"/>
  <c r="D11" i="59"/>
  <c r="D12" i="59"/>
  <c r="D5" i="59"/>
  <c r="D4" i="59"/>
  <c r="E8" i="59"/>
  <c r="AD2" i="53"/>
  <c r="AC2" i="53"/>
  <c r="AB2" i="53"/>
  <c r="AA2" i="53"/>
  <c r="W2" i="53"/>
  <c r="V2" i="53"/>
  <c r="R2" i="53"/>
  <c r="O2" i="53"/>
  <c r="L2" i="53"/>
  <c r="S13" i="59"/>
  <c r="R13" i="59"/>
  <c r="Q13" i="59"/>
  <c r="P13" i="59"/>
  <c r="V13" i="59" s="1"/>
  <c r="K13" i="59"/>
  <c r="J13" i="59"/>
  <c r="I13" i="59"/>
  <c r="H13" i="59"/>
  <c r="E13" i="59"/>
  <c r="B13" i="59"/>
  <c r="F13" i="59" s="1"/>
  <c r="S12" i="59"/>
  <c r="R12" i="59"/>
  <c r="Q12" i="59"/>
  <c r="P12" i="59"/>
  <c r="K12" i="59"/>
  <c r="J12" i="59"/>
  <c r="H12" i="59"/>
  <c r="E12" i="59"/>
  <c r="C12" i="59"/>
  <c r="B12" i="59"/>
  <c r="F12" i="59" s="1"/>
  <c r="S11" i="59"/>
  <c r="R11" i="59"/>
  <c r="Q11" i="59"/>
  <c r="P11" i="59"/>
  <c r="K11" i="59"/>
  <c r="J11" i="59"/>
  <c r="H11" i="59"/>
  <c r="E11" i="59"/>
  <c r="C11" i="59"/>
  <c r="L11" i="59" s="1"/>
  <c r="B11" i="59"/>
  <c r="V11" i="59"/>
  <c r="S10" i="59"/>
  <c r="R10" i="59"/>
  <c r="Q10" i="59"/>
  <c r="P10" i="59"/>
  <c r="K10" i="59"/>
  <c r="J10" i="59"/>
  <c r="H10" i="59"/>
  <c r="E10" i="59"/>
  <c r="C10" i="59"/>
  <c r="B10" i="59"/>
  <c r="S9" i="59"/>
  <c r="R9" i="59"/>
  <c r="Q9" i="59"/>
  <c r="P9" i="59"/>
  <c r="K9" i="59"/>
  <c r="J9" i="59"/>
  <c r="H9" i="59"/>
  <c r="E9" i="59"/>
  <c r="C9" i="59"/>
  <c r="B9" i="59"/>
  <c r="V9" i="59" s="1"/>
  <c r="S8" i="59"/>
  <c r="R8" i="59"/>
  <c r="Q8" i="59"/>
  <c r="P8" i="59"/>
  <c r="K8" i="59"/>
  <c r="J8" i="59"/>
  <c r="H8" i="59"/>
  <c r="C8" i="59"/>
  <c r="B8" i="59"/>
  <c r="V8" i="59" s="1"/>
  <c r="S7" i="59"/>
  <c r="R7" i="59"/>
  <c r="Q7" i="59"/>
  <c r="V7" i="59" s="1"/>
  <c r="P7" i="59"/>
  <c r="K7" i="59"/>
  <c r="J7" i="59"/>
  <c r="H7" i="59"/>
  <c r="E7" i="59"/>
  <c r="C7" i="59"/>
  <c r="B7" i="59"/>
  <c r="S6" i="59"/>
  <c r="R6" i="59"/>
  <c r="Q6" i="59"/>
  <c r="P6" i="59"/>
  <c r="K6" i="59"/>
  <c r="J6" i="59"/>
  <c r="J18" i="59" s="1"/>
  <c r="H6" i="59"/>
  <c r="E6" i="59"/>
  <c r="C6" i="59"/>
  <c r="B6" i="59"/>
  <c r="S5" i="59"/>
  <c r="R5" i="59"/>
  <c r="Q5" i="59"/>
  <c r="P5" i="59"/>
  <c r="K5" i="59"/>
  <c r="J5" i="59"/>
  <c r="H5" i="59"/>
  <c r="E5" i="59"/>
  <c r="C5" i="59"/>
  <c r="B5" i="59"/>
  <c r="S4" i="59"/>
  <c r="R4" i="59"/>
  <c r="Q4" i="59"/>
  <c r="P4" i="59"/>
  <c r="K4" i="59"/>
  <c r="J4" i="59"/>
  <c r="H4" i="59"/>
  <c r="E4" i="59"/>
  <c r="C4" i="59"/>
  <c r="N4" i="59" s="1"/>
  <c r="P46" i="59"/>
  <c r="T152" i="53"/>
  <c r="K152" i="53"/>
  <c r="K25" i="59"/>
  <c r="I26" i="59"/>
  <c r="C25" i="59"/>
  <c r="L25" i="59" s="1"/>
  <c r="C49" i="59"/>
  <c r="N49" i="59" s="1"/>
  <c r="B41" i="59"/>
  <c r="K49" i="59"/>
  <c r="J49" i="59"/>
  <c r="K48" i="59"/>
  <c r="J48" i="59"/>
  <c r="K47" i="59"/>
  <c r="J47" i="59"/>
  <c r="K46" i="59"/>
  <c r="J46" i="59"/>
  <c r="K45" i="59"/>
  <c r="J45" i="59"/>
  <c r="K44" i="59"/>
  <c r="J44" i="59"/>
  <c r="K43" i="59"/>
  <c r="J43" i="59"/>
  <c r="J42" i="59"/>
  <c r="K41" i="59"/>
  <c r="J41" i="59"/>
  <c r="K40" i="59"/>
  <c r="J40" i="59"/>
  <c r="K31" i="59"/>
  <c r="J31" i="59"/>
  <c r="K30" i="59"/>
  <c r="J30" i="59"/>
  <c r="K29" i="59"/>
  <c r="J29" i="59"/>
  <c r="K28" i="59"/>
  <c r="J28" i="59"/>
  <c r="K27" i="59"/>
  <c r="J27" i="59"/>
  <c r="K26" i="59"/>
  <c r="J26" i="59"/>
  <c r="J25" i="59"/>
  <c r="K24" i="59"/>
  <c r="J24" i="59"/>
  <c r="K23" i="59"/>
  <c r="J23" i="59"/>
  <c r="K22" i="59"/>
  <c r="J22" i="59"/>
  <c r="S22" i="59"/>
  <c r="S49" i="59"/>
  <c r="R49" i="59"/>
  <c r="S48" i="59"/>
  <c r="R48" i="59"/>
  <c r="S47" i="59"/>
  <c r="R47" i="59"/>
  <c r="S46" i="59"/>
  <c r="R46" i="59"/>
  <c r="S45" i="59"/>
  <c r="R45" i="59"/>
  <c r="S44" i="59"/>
  <c r="R44" i="59"/>
  <c r="S43" i="59"/>
  <c r="R43" i="59"/>
  <c r="S42" i="59"/>
  <c r="R42" i="59"/>
  <c r="S41" i="59"/>
  <c r="R41" i="59"/>
  <c r="S40" i="59"/>
  <c r="R40" i="59"/>
  <c r="S31" i="59"/>
  <c r="R31" i="59"/>
  <c r="S30" i="59"/>
  <c r="R30" i="59"/>
  <c r="S29" i="59"/>
  <c r="R29" i="59"/>
  <c r="S28" i="59"/>
  <c r="R28" i="59"/>
  <c r="S27" i="59"/>
  <c r="R27" i="59"/>
  <c r="S26" i="59"/>
  <c r="R26" i="59"/>
  <c r="S25" i="59"/>
  <c r="R25" i="59"/>
  <c r="S24" i="59"/>
  <c r="R24" i="59"/>
  <c r="S23" i="59"/>
  <c r="R23" i="59"/>
  <c r="R22" i="59"/>
  <c r="AD152" i="53"/>
  <c r="AC152" i="53"/>
  <c r="AB152" i="53"/>
  <c r="AA152" i="53"/>
  <c r="W152" i="53"/>
  <c r="V152" i="53"/>
  <c r="L152" i="53"/>
  <c r="J155" i="55" s="1"/>
  <c r="P31" i="59"/>
  <c r="H40" i="59"/>
  <c r="C41" i="59"/>
  <c r="C42" i="59"/>
  <c r="C43" i="59"/>
  <c r="C44" i="59"/>
  <c r="C45" i="59"/>
  <c r="C46" i="59"/>
  <c r="C47" i="59"/>
  <c r="L47" i="59" s="1"/>
  <c r="C48" i="59"/>
  <c r="C40" i="59"/>
  <c r="C23" i="59"/>
  <c r="C24" i="59"/>
  <c r="N24" i="59" s="1"/>
  <c r="C26" i="59"/>
  <c r="C27" i="59"/>
  <c r="L27" i="59" s="1"/>
  <c r="C28" i="59"/>
  <c r="L28" i="59" s="1"/>
  <c r="C29" i="59"/>
  <c r="C30" i="59"/>
  <c r="L30" i="59" s="1"/>
  <c r="C31" i="59"/>
  <c r="L31" i="59"/>
  <c r="B40" i="59"/>
  <c r="B22" i="59"/>
  <c r="F22" i="59"/>
  <c r="Q23" i="59"/>
  <c r="Q24" i="59"/>
  <c r="Q25" i="59"/>
  <c r="Q26" i="59"/>
  <c r="Q27" i="59"/>
  <c r="Q28" i="59"/>
  <c r="Q29" i="59"/>
  <c r="Q30" i="59"/>
  <c r="Q31" i="59"/>
  <c r="Q22" i="59"/>
  <c r="P23" i="59"/>
  <c r="P24" i="59"/>
  <c r="P25" i="59"/>
  <c r="P26" i="59"/>
  <c r="P27" i="59"/>
  <c r="P28" i="59"/>
  <c r="P29" i="59"/>
  <c r="P30" i="59"/>
  <c r="P22" i="59"/>
  <c r="I24" i="59"/>
  <c r="I25" i="59"/>
  <c r="I27" i="59"/>
  <c r="I29" i="59"/>
  <c r="I30" i="59"/>
  <c r="I31" i="59"/>
  <c r="I22" i="59"/>
  <c r="H23" i="59"/>
  <c r="H24" i="59"/>
  <c r="H25" i="59"/>
  <c r="H26" i="59"/>
  <c r="H27" i="59"/>
  <c r="H28" i="59"/>
  <c r="H29" i="59"/>
  <c r="H30" i="59"/>
  <c r="H31" i="59"/>
  <c r="H22" i="59"/>
  <c r="E23" i="59"/>
  <c r="E24" i="59"/>
  <c r="E25" i="59"/>
  <c r="E26" i="59"/>
  <c r="E27" i="59"/>
  <c r="E28" i="59"/>
  <c r="E29" i="59"/>
  <c r="E30" i="59"/>
  <c r="E31" i="59"/>
  <c r="E22" i="59"/>
  <c r="B23" i="59"/>
  <c r="B26" i="59"/>
  <c r="F26" i="59" s="1"/>
  <c r="B24" i="59"/>
  <c r="T24" i="59" s="1"/>
  <c r="B25" i="59"/>
  <c r="V25" i="59"/>
  <c r="B27" i="59"/>
  <c r="T27" i="59" s="1"/>
  <c r="B28" i="59"/>
  <c r="B29" i="59"/>
  <c r="V29" i="59" s="1"/>
  <c r="B30" i="59"/>
  <c r="B31" i="59"/>
  <c r="T31" i="59" s="1"/>
  <c r="E41" i="59"/>
  <c r="E42" i="59"/>
  <c r="E43" i="59"/>
  <c r="E44" i="59"/>
  <c r="E45" i="59"/>
  <c r="E46" i="59"/>
  <c r="E47" i="59"/>
  <c r="E48" i="59"/>
  <c r="E49" i="59"/>
  <c r="Q41" i="59"/>
  <c r="Q42" i="59"/>
  <c r="Q43" i="59"/>
  <c r="Q54" i="59" s="1"/>
  <c r="Q44" i="59"/>
  <c r="Q45" i="59"/>
  <c r="Q46" i="59"/>
  <c r="Q47" i="59"/>
  <c r="Q48" i="59"/>
  <c r="Q49" i="59"/>
  <c r="Q40" i="59"/>
  <c r="P41" i="59"/>
  <c r="P42" i="59"/>
  <c r="P43" i="59"/>
  <c r="P44" i="59"/>
  <c r="P45" i="59"/>
  <c r="P47" i="59"/>
  <c r="P48" i="59"/>
  <c r="P49" i="59"/>
  <c r="P40" i="59"/>
  <c r="H41" i="59"/>
  <c r="H42" i="59"/>
  <c r="H43" i="59"/>
  <c r="H44" i="59"/>
  <c r="H45" i="59"/>
  <c r="H46" i="59"/>
  <c r="H47" i="59"/>
  <c r="H48" i="59"/>
  <c r="H49" i="59"/>
  <c r="E40" i="59"/>
  <c r="B42" i="59"/>
  <c r="B43" i="59"/>
  <c r="B44" i="59"/>
  <c r="B45" i="59"/>
  <c r="B46" i="59"/>
  <c r="B47" i="59"/>
  <c r="B48" i="59"/>
  <c r="F48" i="59" s="1"/>
  <c r="B49" i="59"/>
  <c r="O31" i="59"/>
  <c r="U31" i="59" s="1"/>
  <c r="C7" i="26"/>
  <c r="C6"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K12" i="26" s="1"/>
  <c r="O26" i="59"/>
  <c r="U26" i="59" s="1"/>
  <c r="G29" i="59"/>
  <c r="M29" i="59" s="1"/>
  <c r="G31" i="59"/>
  <c r="M31" i="59" s="1"/>
  <c r="G25" i="59"/>
  <c r="M25" i="59"/>
  <c r="O30" i="59"/>
  <c r="U30" i="59" s="1"/>
  <c r="G26" i="59"/>
  <c r="M26" i="59" s="1"/>
  <c r="O47" i="59"/>
  <c r="U47" i="59" s="1"/>
  <c r="O24" i="59"/>
  <c r="U24" i="59" s="1"/>
  <c r="O25" i="59"/>
  <c r="U25" i="59"/>
  <c r="O22" i="59"/>
  <c r="U22" i="59" s="1"/>
  <c r="O28" i="59"/>
  <c r="U28" i="59" s="1"/>
  <c r="O11" i="59"/>
  <c r="U11" i="59" s="1"/>
  <c r="G27" i="59"/>
  <c r="M27" i="59" s="1"/>
  <c r="I49" i="59"/>
  <c r="I12" i="59"/>
  <c r="I46" i="59"/>
  <c r="I16" i="59"/>
  <c r="I41" i="59"/>
  <c r="I6" i="59"/>
  <c r="I7" i="59"/>
  <c r="I10" i="59"/>
  <c r="I40" i="59"/>
  <c r="I23" i="59"/>
  <c r="I51" i="59"/>
  <c r="G53" i="59"/>
  <c r="M53" i="59"/>
  <c r="I53" i="59"/>
  <c r="G28" i="59"/>
  <c r="M28" i="59" s="1"/>
  <c r="G11" i="59"/>
  <c r="M11" i="59" s="1"/>
  <c r="G47" i="59"/>
  <c r="M47" i="59"/>
  <c r="I15" i="59"/>
  <c r="I50" i="59"/>
  <c r="I5" i="59"/>
  <c r="I48" i="59"/>
  <c r="I8" i="59"/>
  <c r="I52" i="59"/>
  <c r="I45" i="59"/>
  <c r="I44" i="59"/>
  <c r="I9" i="59"/>
  <c r="U2" i="53"/>
  <c r="I14" i="59"/>
  <c r="I47" i="59"/>
  <c r="I11" i="59"/>
  <c r="I43" i="59"/>
  <c r="I28" i="59"/>
  <c r="U152" i="53"/>
  <c r="M65" i="55" s="1" a="1"/>
  <c r="M65" i="55" s="1"/>
  <c r="I42" i="59"/>
  <c r="I4" i="59"/>
  <c r="G22" i="59"/>
  <c r="M22" i="59" s="1"/>
  <c r="O29" i="59"/>
  <c r="U29" i="59" s="1"/>
  <c r="G24" i="59"/>
  <c r="M24" i="59"/>
  <c r="D7" i="26"/>
  <c r="D6" i="26"/>
  <c r="O27" i="59"/>
  <c r="U27" i="59" s="1"/>
  <c r="G30" i="59"/>
  <c r="M30" i="59" s="1"/>
  <c r="E7" i="26"/>
  <c r="F7" i="26" s="1"/>
  <c r="AB12" i="26"/>
  <c r="T12" i="26"/>
  <c r="U12" i="26"/>
  <c r="AF14" i="26"/>
  <c r="G14" i="26"/>
  <c r="AA14" i="26"/>
  <c r="W12" i="26"/>
  <c r="Q14" i="26"/>
  <c r="H12" i="26"/>
  <c r="F14" i="26"/>
  <c r="S12" i="26"/>
  <c r="G2" i="26"/>
  <c r="L12" i="26"/>
  <c r="X14" i="26"/>
  <c r="AH14" i="26"/>
  <c r="C12" i="26"/>
  <c r="I14" i="26"/>
  <c r="Y12" i="26"/>
  <c r="AG14" i="26"/>
  <c r="P12" i="26"/>
  <c r="N14" i="26"/>
  <c r="R126" i="55"/>
  <c r="R40" i="55"/>
  <c r="P124" i="55"/>
  <c r="S124" i="55" s="1"/>
  <c r="S123" i="55"/>
  <c r="R123" i="55"/>
  <c r="S147" i="55"/>
  <c r="H145" i="55"/>
  <c r="M124" i="55" a="1"/>
  <c r="M124" i="55" s="1"/>
  <c r="P65" i="55"/>
  <c r="G123" i="55"/>
  <c r="H123" i="55"/>
  <c r="G124" i="55"/>
  <c r="H122" i="55"/>
  <c r="P117" i="55"/>
  <c r="P111" i="55"/>
  <c r="R111" i="55" s="1"/>
  <c r="R85" i="55"/>
  <c r="R69" i="55"/>
  <c r="R31" i="55"/>
  <c r="P57" i="55"/>
  <c r="S57" i="55" s="1"/>
  <c r="R15" i="55"/>
  <c r="S144" i="55"/>
  <c r="T144" i="55" s="1"/>
  <c r="H104" i="55"/>
  <c r="P120" i="55"/>
  <c r="S120" i="55" s="1"/>
  <c r="T120" i="55" s="1"/>
  <c r="H102" i="55"/>
  <c r="R28" i="55"/>
  <c r="P76" i="55"/>
  <c r="P72" i="55"/>
  <c r="R100" i="55"/>
  <c r="P77" i="55"/>
  <c r="R77" i="55" s="1"/>
  <c r="J2" i="55"/>
  <c r="R95" i="55"/>
  <c r="P8" i="55"/>
  <c r="P10" i="55"/>
  <c r="R10" i="55" s="1"/>
  <c r="P89" i="55"/>
  <c r="P131" i="55"/>
  <c r="O45" i="59"/>
  <c r="U45" i="59" s="1"/>
  <c r="N16" i="59"/>
  <c r="P67" i="55"/>
  <c r="P128" i="55"/>
  <c r="R99" i="55"/>
  <c r="S130" i="55"/>
  <c r="V52" i="59"/>
  <c r="R142" i="55"/>
  <c r="P132" i="55"/>
  <c r="S132" i="55" s="1"/>
  <c r="N40" i="55" a="1"/>
  <c r="N40" i="55" s="1"/>
  <c r="H21" i="55"/>
  <c r="P112" i="55"/>
  <c r="R112" i="55" s="1"/>
  <c r="R29" i="55"/>
  <c r="Q155" i="55"/>
  <c r="N142" i="55" a="1"/>
  <c r="N142" i="55" s="1"/>
  <c r="P58" i="55"/>
  <c r="S58" i="55" s="1"/>
  <c r="T58" i="55" s="1"/>
  <c r="N118" i="55" a="1"/>
  <c r="N118" i="55" s="1"/>
  <c r="N8" i="59"/>
  <c r="S16" i="55"/>
  <c r="R7" i="55"/>
  <c r="R50" i="55"/>
  <c r="R17" i="55"/>
  <c r="S17" i="55"/>
  <c r="P143" i="55"/>
  <c r="O42" i="59"/>
  <c r="U42" i="59" s="1"/>
  <c r="M155" i="55"/>
  <c r="N12" i="55" a="1"/>
  <c r="N12" i="55" s="1"/>
  <c r="N10" i="59"/>
  <c r="R144" i="55"/>
  <c r="P56" i="55"/>
  <c r="S56" i="55" s="1"/>
  <c r="N9" i="55" a="1"/>
  <c r="N9" i="55" s="1"/>
  <c r="F7" i="59"/>
  <c r="P121" i="55"/>
  <c r="R121" i="55" s="1"/>
  <c r="N125" i="55" a="1"/>
  <c r="N125" i="55" s="1"/>
  <c r="N29" i="55" a="1"/>
  <c r="N29" i="55" s="1"/>
  <c r="N48" i="55" a="1"/>
  <c r="N48" i="55" s="1"/>
  <c r="O41" i="59"/>
  <c r="U41" i="59" s="1"/>
  <c r="N75" i="55" a="1"/>
  <c r="N75" i="55" s="1"/>
  <c r="N32" i="55" a="1"/>
  <c r="N32" i="55" s="1"/>
  <c r="M45" i="55" a="1"/>
  <c r="M45" i="55" s="1"/>
  <c r="M49" i="55" a="1"/>
  <c r="M49" i="55" s="1"/>
  <c r="O49" i="55" s="1"/>
  <c r="P59" i="55"/>
  <c r="R59" i="55"/>
  <c r="M44" i="55" a="1"/>
  <c r="M44" i="55" s="1"/>
  <c r="S95" i="55"/>
  <c r="S51" i="55"/>
  <c r="N55" i="55" a="1"/>
  <c r="N55" i="55" s="1"/>
  <c r="N98" i="55" a="1"/>
  <c r="N98" i="55" s="1"/>
  <c r="M71" i="55" a="1"/>
  <c r="M71" i="55" s="1"/>
  <c r="N87" i="55" a="1"/>
  <c r="N87" i="55" s="1"/>
  <c r="R130" i="55"/>
  <c r="P129" i="55"/>
  <c r="P145" i="55"/>
  <c r="P46" i="55"/>
  <c r="S46" i="55"/>
  <c r="P19" i="55"/>
  <c r="F50" i="59"/>
  <c r="V35" i="59"/>
  <c r="N46" i="59"/>
  <c r="V45" i="59"/>
  <c r="N23" i="59"/>
  <c r="N53" i="59"/>
  <c r="N43" i="59"/>
  <c r="P106" i="55"/>
  <c r="H128" i="55"/>
  <c r="S70" i="55"/>
  <c r="O49" i="59"/>
  <c r="N133" i="55" a="1"/>
  <c r="N133" i="55" s="1"/>
  <c r="M64" i="55" a="1"/>
  <c r="M64" i="55" s="1"/>
  <c r="N22" i="55" a="1"/>
  <c r="N22" i="55" s="1"/>
  <c r="M94" i="55" a="1"/>
  <c r="M94" i="55" s="1"/>
  <c r="T22" i="59"/>
  <c r="I2" i="55"/>
  <c r="N2" i="53"/>
  <c r="P141" i="55"/>
  <c r="S141" i="55" s="1"/>
  <c r="N53" i="55" a="1"/>
  <c r="N53" i="55" s="1"/>
  <c r="N33" i="55" a="1"/>
  <c r="N33" i="55" s="1"/>
  <c r="M67" i="55" a="1"/>
  <c r="M67" i="55" s="1"/>
  <c r="N44" i="55" a="1"/>
  <c r="N44" i="55" s="1"/>
  <c r="N45" i="55" a="1"/>
  <c r="N45" i="55" s="1"/>
  <c r="M70" i="55" a="1"/>
  <c r="M70" i="55" s="1"/>
  <c r="M96" i="55" a="1"/>
  <c r="M96" i="55" s="1"/>
  <c r="N112" i="55" a="1"/>
  <c r="N112" i="55" s="1"/>
  <c r="N2" i="55"/>
  <c r="M85" i="55" a="1"/>
  <c r="M85" i="55" s="1"/>
  <c r="O85" i="55" s="1"/>
  <c r="M46" i="55" a="1"/>
  <c r="M46" i="55" s="1"/>
  <c r="N131" i="55" a="1"/>
  <c r="N131" i="55" s="1"/>
  <c r="N121" i="55" a="1"/>
  <c r="N121" i="55" s="1"/>
  <c r="M90" i="55" a="1"/>
  <c r="M90" i="55" s="1"/>
  <c r="O90" i="55" s="1"/>
  <c r="N130" i="55" a="1"/>
  <c r="N130" i="55" s="1"/>
  <c r="N49" i="55" a="1"/>
  <c r="N49" i="55" s="1"/>
  <c r="M15" i="55" a="1"/>
  <c r="M15" i="55" s="1"/>
  <c r="M60" i="55" a="1"/>
  <c r="M60" i="55" s="1"/>
  <c r="M11" i="55" a="1"/>
  <c r="M11" i="55" s="1"/>
  <c r="M77" i="55" a="1"/>
  <c r="M77" i="55" s="1"/>
  <c r="N68" i="55" a="1"/>
  <c r="N68" i="55" s="1"/>
  <c r="M116" i="55" a="1"/>
  <c r="M116" i="55"/>
  <c r="N25" i="55" a="1"/>
  <c r="N25" i="55" s="1"/>
  <c r="M13" i="55" a="1"/>
  <c r="M13" i="55" s="1"/>
  <c r="M18" i="55" a="1"/>
  <c r="M18" i="55" s="1"/>
  <c r="M143" i="55" a="1"/>
  <c r="M143" i="55" s="1"/>
  <c r="N94" i="55" a="1"/>
  <c r="N94" i="55" s="1"/>
  <c r="M14" i="55" a="1"/>
  <c r="M14" i="55" s="1"/>
  <c r="N120" i="55" a="1"/>
  <c r="N120" i="55" s="1"/>
  <c r="M100" i="55" a="1"/>
  <c r="M100" i="55" s="1"/>
  <c r="N21" i="55" a="1"/>
  <c r="N21" i="55" s="1"/>
  <c r="N73" i="55" a="1"/>
  <c r="N73" i="55" s="1"/>
  <c r="M72" i="55" a="1"/>
  <c r="M72" i="55" s="1"/>
  <c r="N135" i="55" a="1"/>
  <c r="N135" i="55" s="1"/>
  <c r="N148" i="55" a="1"/>
  <c r="N148" i="55" s="1"/>
  <c r="N129" i="55" a="1"/>
  <c r="N129" i="55" s="1"/>
  <c r="M92" i="55" a="1"/>
  <c r="M92" i="55" s="1"/>
  <c r="N52" i="55" a="1"/>
  <c r="N52" i="55" s="1"/>
  <c r="N14" i="55" a="1"/>
  <c r="N14" i="55" s="1"/>
  <c r="M66" i="55" a="1"/>
  <c r="M66" i="55" s="1"/>
  <c r="M31" i="55" a="1"/>
  <c r="M31" i="55" s="1"/>
  <c r="M37" i="55" a="1"/>
  <c r="M37" i="55" s="1"/>
  <c r="M133" i="55" a="1"/>
  <c r="M133" i="55" s="1"/>
  <c r="M35" i="55" a="1"/>
  <c r="M35" i="55" s="1"/>
  <c r="N115" i="55" a="1"/>
  <c r="N115" i="55" s="1"/>
  <c r="M12" i="55" a="1"/>
  <c r="M12" i="55" s="1"/>
  <c r="M114" i="55" a="1"/>
  <c r="M114" i="55" s="1"/>
  <c r="O114" i="55" s="1"/>
  <c r="M80" i="55" a="1"/>
  <c r="M80" i="55" s="1"/>
  <c r="O80" i="55" s="1"/>
  <c r="N147" i="55" a="1"/>
  <c r="N147" i="55" s="1"/>
  <c r="N86" i="55" a="1"/>
  <c r="N86" i="55" s="1"/>
  <c r="M97" i="55" a="1"/>
  <c r="M97" i="55" s="1"/>
  <c r="M83" i="55" a="1"/>
  <c r="M83" i="55" s="1"/>
  <c r="M144" i="55" a="1"/>
  <c r="M144" i="55" s="1"/>
  <c r="O144" i="55" s="1"/>
  <c r="M113" i="55" a="1"/>
  <c r="M113" i="55"/>
  <c r="M22" i="55" a="1"/>
  <c r="M22" i="55" s="1"/>
  <c r="O22" i="55" s="1"/>
  <c r="M87" i="55" a="1"/>
  <c r="M87" i="55"/>
  <c r="N50" i="55" a="1"/>
  <c r="N50" i="55"/>
  <c r="M24" i="55" a="1"/>
  <c r="M24" i="55" s="1"/>
  <c r="N96" i="55" a="1"/>
  <c r="N96" i="55" s="1"/>
  <c r="O96" i="55" s="1"/>
  <c r="N72" i="55" a="1"/>
  <c r="N72" i="55"/>
  <c r="N58" i="55" a="1"/>
  <c r="N58" i="55" s="1"/>
  <c r="M56" i="55" a="1"/>
  <c r="M56" i="55"/>
  <c r="M110" i="55" a="1"/>
  <c r="M110" i="55" s="1"/>
  <c r="M88" i="55" a="1"/>
  <c r="M88" i="55" s="1"/>
  <c r="M135" i="55" a="1"/>
  <c r="M135" i="55"/>
  <c r="N77" i="55" a="1"/>
  <c r="N77" i="55" s="1"/>
  <c r="O77" i="55" s="1"/>
  <c r="P125" i="55"/>
  <c r="R125" i="55"/>
  <c r="S76" i="55"/>
  <c r="M140" i="55" a="1"/>
  <c r="M140" i="55" s="1"/>
  <c r="M36" i="55" a="1"/>
  <c r="M36" i="55" s="1"/>
  <c r="O36" i="55" s="1"/>
  <c r="M119" i="55" a="1"/>
  <c r="M119" i="55"/>
  <c r="M142" i="55" a="1"/>
  <c r="M142" i="55" s="1"/>
  <c r="O142" i="55" s="1"/>
  <c r="M107" i="55" a="1"/>
  <c r="M107" i="55" s="1"/>
  <c r="N13" i="55" a="1"/>
  <c r="N13" i="55" s="1"/>
  <c r="M53" i="55" a="1"/>
  <c r="M53" i="55"/>
  <c r="M33" i="55" a="1"/>
  <c r="M33" i="55" s="1"/>
  <c r="O33" i="55" s="1"/>
  <c r="M23" i="55" a="1"/>
  <c r="M23" i="55"/>
  <c r="O23" i="55" s="1"/>
  <c r="M28" i="55" a="1"/>
  <c r="M28" i="55" s="1"/>
  <c r="N17" i="55" a="1"/>
  <c r="N17" i="55" s="1"/>
  <c r="N111" i="55" a="1"/>
  <c r="N111" i="55" s="1"/>
  <c r="M69" i="55" a="1"/>
  <c r="M69" i="55" s="1"/>
  <c r="O69" i="55" s="1"/>
  <c r="V51" i="59"/>
  <c r="O15" i="59"/>
  <c r="U15" i="59"/>
  <c r="O10" i="59"/>
  <c r="O46" i="59"/>
  <c r="U46" i="59" s="1"/>
  <c r="P88" i="55"/>
  <c r="T85" i="55"/>
  <c r="N41" i="55" a="1"/>
  <c r="N41" i="55" s="1"/>
  <c r="N80" i="55" a="1"/>
  <c r="N80" i="55" s="1"/>
  <c r="M148" i="55" a="1"/>
  <c r="M148" i="55" s="1"/>
  <c r="O148" i="55" s="1"/>
  <c r="M86" i="55" a="1"/>
  <c r="M86" i="55"/>
  <c r="O86" i="55" s="1"/>
  <c r="M41" i="55" a="1"/>
  <c r="M41" i="55" s="1"/>
  <c r="N36" i="55" a="1"/>
  <c r="N36" i="55" s="1"/>
  <c r="N105" i="55" a="1"/>
  <c r="N105" i="55" s="1"/>
  <c r="N34" i="55" a="1"/>
  <c r="N34" i="55" s="1"/>
  <c r="M57" i="55" a="1"/>
  <c r="M57" i="55" s="1"/>
  <c r="P83" i="55"/>
  <c r="R83" i="55" s="1"/>
  <c r="P116" i="55"/>
  <c r="S116" i="55" s="1"/>
  <c r="T116" i="55" s="1"/>
  <c r="N29" i="59"/>
  <c r="L29" i="59"/>
  <c r="G4" i="59"/>
  <c r="L4" i="59" s="1"/>
  <c r="M51" i="55" a="1"/>
  <c r="M51" i="55" s="1"/>
  <c r="M139" i="55" a="1"/>
  <c r="M139" i="55" s="1"/>
  <c r="N37" i="55" a="1"/>
  <c r="N37" i="55" s="1"/>
  <c r="G49" i="59"/>
  <c r="M49" i="59" s="1"/>
  <c r="P14" i="55"/>
  <c r="R14" i="55" s="1"/>
  <c r="P13" i="55"/>
  <c r="G48" i="59"/>
  <c r="M48" i="59" s="1"/>
  <c r="N16" i="55" a="1"/>
  <c r="N16" i="55" s="1"/>
  <c r="M101" i="55" a="1"/>
  <c r="M101" i="55" s="1"/>
  <c r="N102" i="55" a="1"/>
  <c r="N102" i="55" s="1"/>
  <c r="O102" i="55" s="1"/>
  <c r="M134" i="55" a="1"/>
  <c r="M134" i="55"/>
  <c r="N42" i="55" a="1"/>
  <c r="N42" i="55" s="1"/>
  <c r="N117" i="55" a="1"/>
  <c r="N117" i="55" s="1"/>
  <c r="O117" i="55" s="1"/>
  <c r="N35" i="55" a="1"/>
  <c r="N35" i="55"/>
  <c r="M118" i="55" a="1"/>
  <c r="M118" i="55" s="1"/>
  <c r="O118" i="55" s="1"/>
  <c r="M146" i="55" a="1"/>
  <c r="M146" i="55" s="1"/>
  <c r="M62" i="55" a="1"/>
  <c r="M62" i="55" s="1"/>
  <c r="N137" i="55" a="1"/>
  <c r="N137" i="55" s="1"/>
  <c r="M81" i="55" a="1"/>
  <c r="M81" i="55"/>
  <c r="O81" i="55" s="1"/>
  <c r="M7" i="55" a="1"/>
  <c r="M7" i="55" s="1"/>
  <c r="M128" i="55" a="1"/>
  <c r="M128" i="55" s="1"/>
  <c r="P68" i="55"/>
  <c r="R68" i="55" s="1"/>
  <c r="S40" i="55"/>
  <c r="T40" i="55" s="1"/>
  <c r="N62" i="55" a="1"/>
  <c r="N62" i="55" s="1"/>
  <c r="M129" i="55" a="1"/>
  <c r="M129" i="55" s="1"/>
  <c r="N155" i="55"/>
  <c r="O155" i="55" s="1"/>
  <c r="M89" i="55" a="1"/>
  <c r="M89" i="55" s="1"/>
  <c r="M115" i="55" a="1"/>
  <c r="M115" i="55" s="1"/>
  <c r="O115" i="55" s="1"/>
  <c r="N56" i="55" a="1"/>
  <c r="N56" i="55" s="1"/>
  <c r="O56" i="55" s="1"/>
  <c r="P53" i="55"/>
  <c r="R53" i="55" s="1"/>
  <c r="N108" i="55" a="1"/>
  <c r="N108" i="55"/>
  <c r="P82" i="55"/>
  <c r="S82" i="55" s="1"/>
  <c r="M102" i="55" a="1"/>
  <c r="M102" i="55" s="1"/>
  <c r="N103" i="55" a="1"/>
  <c r="N103" i="55" s="1"/>
  <c r="M73" i="55" a="1"/>
  <c r="M73" i="55" s="1"/>
  <c r="O73" i="55" s="1"/>
  <c r="N64" i="55" a="1"/>
  <c r="N64" i="55" s="1"/>
  <c r="O64" i="55" s="1"/>
  <c r="M17" i="55" a="1"/>
  <c r="M17" i="55" s="1"/>
  <c r="O17" i="55" s="1"/>
  <c r="N27" i="55" a="1"/>
  <c r="N27" i="55" s="1"/>
  <c r="N83" i="55" a="1"/>
  <c r="N83" i="55"/>
  <c r="M112" i="55" a="1"/>
  <c r="M112" i="55" s="1"/>
  <c r="O112" i="55" s="1"/>
  <c r="M126" i="55" a="1"/>
  <c r="M126" i="55"/>
  <c r="M34" i="55" a="1"/>
  <c r="M34" i="55" s="1"/>
  <c r="O34" i="55" s="1"/>
  <c r="M25" i="55" a="1"/>
  <c r="M25" i="55" s="1"/>
  <c r="O25" i="55" s="1"/>
  <c r="M132" i="55" a="1"/>
  <c r="M132" i="55"/>
  <c r="F49" i="59"/>
  <c r="P66" i="55"/>
  <c r="R66" i="55" s="1"/>
  <c r="T66" i="55" s="1"/>
  <c r="O16" i="59"/>
  <c r="U16" i="59" s="1"/>
  <c r="M74" i="55" a="1"/>
  <c r="M74" i="55" s="1"/>
  <c r="O74" i="55" s="1"/>
  <c r="N81" i="55" a="1"/>
  <c r="N81" i="55" s="1"/>
  <c r="M136" i="55" a="1"/>
  <c r="M136" i="55"/>
  <c r="N69" i="55" a="1"/>
  <c r="N69" i="55" s="1"/>
  <c r="M137" i="55" a="1"/>
  <c r="M137" i="55" s="1"/>
  <c r="N19" i="55" a="1"/>
  <c r="N19" i="55" s="1"/>
  <c r="M42" i="55" a="1"/>
  <c r="M42" i="55" s="1"/>
  <c r="O42" i="55" s="1"/>
  <c r="M8" i="55" a="1"/>
  <c r="M8" i="55" s="1"/>
  <c r="M99" i="55" a="1"/>
  <c r="M99" i="55" s="1"/>
  <c r="O99" i="55" s="1"/>
  <c r="N11" i="55" a="1"/>
  <c r="N11" i="55" s="1"/>
  <c r="O11" i="55" s="1"/>
  <c r="P27" i="55"/>
  <c r="M108" i="55" a="1"/>
  <c r="M108" i="55"/>
  <c r="O108" i="55" s="1"/>
  <c r="F5" i="59"/>
  <c r="G42" i="59"/>
  <c r="M42" i="59" s="1"/>
  <c r="L42" i="59"/>
  <c r="P80" i="55"/>
  <c r="S80" i="55"/>
  <c r="P37" i="55"/>
  <c r="R37" i="55" s="1"/>
  <c r="O14" i="59"/>
  <c r="T14" i="59" s="1"/>
  <c r="P103" i="55"/>
  <c r="R103" i="55" s="1"/>
  <c r="S103" i="55"/>
  <c r="T103" i="55" s="1"/>
  <c r="S121" i="55"/>
  <c r="N149" i="55" a="1"/>
  <c r="N149" i="55"/>
  <c r="N28" i="55" a="1"/>
  <c r="N28" i="55" s="1"/>
  <c r="O28" i="55" s="1"/>
  <c r="M16" i="55" a="1"/>
  <c r="M16" i="55" s="1"/>
  <c r="O16" i="55" s="1"/>
  <c r="M117" i="55" a="1"/>
  <c r="M117" i="55" s="1"/>
  <c r="N88" i="55" a="1"/>
  <c r="N88" i="55" s="1"/>
  <c r="N30" i="55" a="1"/>
  <c r="N30" i="55" s="1"/>
  <c r="M9" i="55" a="1"/>
  <c r="M9" i="55" s="1"/>
  <c r="O9" i="55" s="1"/>
  <c r="N54" i="55" a="1"/>
  <c r="N54" i="55" s="1"/>
  <c r="M78" i="55" a="1"/>
  <c r="M78" i="55"/>
  <c r="O78" i="55" s="1"/>
  <c r="M63" i="55" a="1"/>
  <c r="M63" i="55"/>
  <c r="M29" i="55" a="1"/>
  <c r="M29" i="55" s="1"/>
  <c r="O29" i="55" s="1"/>
  <c r="M141" i="55" a="1"/>
  <c r="M141" i="55" s="1"/>
  <c r="N20" i="55" a="1"/>
  <c r="N20" i="55" s="1"/>
  <c r="N104" i="55" a="1"/>
  <c r="N104" i="55" s="1"/>
  <c r="N5" i="59"/>
  <c r="V6" i="59"/>
  <c r="F10" i="59"/>
  <c r="V10" i="59"/>
  <c r="N22" i="59"/>
  <c r="L22" i="59"/>
  <c r="G137" i="55"/>
  <c r="N61" i="55" a="1"/>
  <c r="N61" i="55" s="1"/>
  <c r="N70" i="55" a="1"/>
  <c r="N70" i="55" s="1"/>
  <c r="O70" i="55" s="1"/>
  <c r="N24" i="55" a="1"/>
  <c r="N24" i="55" s="1"/>
  <c r="N100" i="55" a="1"/>
  <c r="N100" i="55" s="1"/>
  <c r="N59" i="55" a="1"/>
  <c r="N59" i="55" s="1"/>
  <c r="N141" i="55" a="1"/>
  <c r="N141" i="55" s="1"/>
  <c r="N13" i="59"/>
  <c r="P92" i="55"/>
  <c r="S92" i="55" s="1"/>
  <c r="O4" i="59"/>
  <c r="S43" i="55"/>
  <c r="G46" i="59"/>
  <c r="M46" i="59" s="1"/>
  <c r="R147" i="55"/>
  <c r="S135" i="55"/>
  <c r="F43" i="59"/>
  <c r="N52" i="59"/>
  <c r="I18" i="59"/>
  <c r="P86" i="55"/>
  <c r="S86" i="55" s="1"/>
  <c r="S32" i="55"/>
  <c r="T32" i="55" s="1"/>
  <c r="O52" i="59"/>
  <c r="U52" i="59" s="1"/>
  <c r="Q18" i="59"/>
  <c r="S99" i="55"/>
  <c r="T99" i="55" s="1"/>
  <c r="R8" i="55"/>
  <c r="N27" i="59"/>
  <c r="R18" i="59"/>
  <c r="F8" i="59"/>
  <c r="D36" i="59"/>
  <c r="F15" i="59"/>
  <c r="S112" i="55"/>
  <c r="T112" i="55" s="1"/>
  <c r="V48" i="59"/>
  <c r="F14" i="59"/>
  <c r="S69" i="55"/>
  <c r="T69" i="55" s="1"/>
  <c r="G12" i="55"/>
  <c r="R65" i="55"/>
  <c r="T65" i="55" s="1"/>
  <c r="S152" i="53"/>
  <c r="S38" i="55"/>
  <c r="T38" i="55" s="1"/>
  <c r="P23" i="55"/>
  <c r="S23" i="55" s="1"/>
  <c r="G51" i="59"/>
  <c r="M51" i="59" s="1"/>
  <c r="P91" i="55"/>
  <c r="P79" i="55"/>
  <c r="R79" i="55" s="1"/>
  <c r="T79" i="55" s="1"/>
  <c r="P64" i="55"/>
  <c r="P136" i="55"/>
  <c r="S136" i="55" s="1"/>
  <c r="T136" i="55" s="1"/>
  <c r="P25" i="55"/>
  <c r="S25" i="55"/>
  <c r="T25" i="55" s="1"/>
  <c r="G23" i="55"/>
  <c r="G15" i="59"/>
  <c r="O12" i="59"/>
  <c r="U12" i="59" s="1"/>
  <c r="E18" i="59"/>
  <c r="G12" i="59"/>
  <c r="L12" i="59" s="1"/>
  <c r="S2" i="53"/>
  <c r="P62" i="55"/>
  <c r="L24" i="59"/>
  <c r="O7" i="59"/>
  <c r="U7" i="59" s="1"/>
  <c r="P52" i="55"/>
  <c r="S52" i="55" s="1"/>
  <c r="T52" i="55" s="1"/>
  <c r="F4" i="59"/>
  <c r="B18" i="59"/>
  <c r="V4" i="59"/>
  <c r="T33" i="59"/>
  <c r="V33" i="59"/>
  <c r="P115" i="55"/>
  <c r="P102" i="55"/>
  <c r="S102" i="55" s="1"/>
  <c r="Z2" i="53"/>
  <c r="N26" i="59"/>
  <c r="L26" i="59"/>
  <c r="F11" i="59"/>
  <c r="T11" i="59"/>
  <c r="V12" i="59"/>
  <c r="V34" i="59"/>
  <c r="T34" i="59"/>
  <c r="F34" i="59"/>
  <c r="G23" i="59"/>
  <c r="M23" i="59" s="1"/>
  <c r="P152" i="53"/>
  <c r="Z152" i="53"/>
  <c r="P155" i="55" s="1"/>
  <c r="AE2" i="53"/>
  <c r="R12" i="55"/>
  <c r="T30" i="59"/>
  <c r="F30" i="59"/>
  <c r="V30" i="59"/>
  <c r="F16" i="59"/>
  <c r="V16" i="59"/>
  <c r="G5" i="59"/>
  <c r="L5" i="59" s="1"/>
  <c r="O48" i="59"/>
  <c r="U48" i="59" s="1"/>
  <c r="T48" i="59"/>
  <c r="T47" i="59"/>
  <c r="V47" i="59"/>
  <c r="F47" i="59"/>
  <c r="T28" i="59"/>
  <c r="V28" i="59"/>
  <c r="F28" i="59"/>
  <c r="I36" i="59"/>
  <c r="V46" i="59"/>
  <c r="J36" i="59"/>
  <c r="K54" i="59"/>
  <c r="P63" i="55"/>
  <c r="R63" i="55" s="1"/>
  <c r="T63" i="55" s="1"/>
  <c r="R22" i="55"/>
  <c r="P61" i="55"/>
  <c r="S61" i="55" s="1"/>
  <c r="L17" i="59"/>
  <c r="R36" i="59"/>
  <c r="R54" i="59"/>
  <c r="J54" i="59"/>
  <c r="H115" i="55"/>
  <c r="R139" i="55"/>
  <c r="T139" i="55" s="1"/>
  <c r="V27" i="59"/>
  <c r="I54" i="59"/>
  <c r="Q36" i="59"/>
  <c r="S36" i="59"/>
  <c r="F52" i="59"/>
  <c r="F27" i="59"/>
  <c r="T29" i="59"/>
  <c r="N45" i="59"/>
  <c r="O43" i="59"/>
  <c r="U43" i="59" s="1"/>
  <c r="G8" i="59"/>
  <c r="M8" i="59" s="1"/>
  <c r="F29" i="59"/>
  <c r="V23" i="59"/>
  <c r="N44" i="59"/>
  <c r="P96" i="55"/>
  <c r="S96" i="55" s="1"/>
  <c r="P97" i="55"/>
  <c r="S97" i="55" s="1"/>
  <c r="N6" i="59"/>
  <c r="V44" i="59"/>
  <c r="V40" i="59"/>
  <c r="G120" i="55"/>
  <c r="N11" i="59"/>
  <c r="V43" i="59"/>
  <c r="N42" i="59"/>
  <c r="S54" i="59"/>
  <c r="D18" i="59"/>
  <c r="F18" i="59" s="1" a="1"/>
  <c r="F18" i="59" s="1"/>
  <c r="O40" i="59"/>
  <c r="U40" i="59" s="1"/>
  <c r="V42" i="59"/>
  <c r="H36" i="59"/>
  <c r="P36" i="59"/>
  <c r="N41" i="59"/>
  <c r="K18" i="59"/>
  <c r="G40" i="59"/>
  <c r="M40" i="59" s="1"/>
  <c r="L40" i="59"/>
  <c r="I155" i="55"/>
  <c r="L33" i="59"/>
  <c r="P54" i="59"/>
  <c r="F44" i="59"/>
  <c r="N40" i="59"/>
  <c r="F9" i="59"/>
  <c r="S41" i="55"/>
  <c r="N152" i="53"/>
  <c r="R16" i="55"/>
  <c r="T16" i="55" s="1"/>
  <c r="V49" i="59"/>
  <c r="P39" i="55"/>
  <c r="S39" i="55" s="1"/>
  <c r="G14" i="59"/>
  <c r="P133" i="55"/>
  <c r="S133" i="55" s="1"/>
  <c r="K36" i="59"/>
  <c r="E36" i="59"/>
  <c r="H54" i="59"/>
  <c r="N28" i="59"/>
  <c r="F40" i="59"/>
  <c r="V22" i="59"/>
  <c r="F45" i="59"/>
  <c r="D54" i="59"/>
  <c r="V24" i="59"/>
  <c r="N25" i="59"/>
  <c r="N51" i="59"/>
  <c r="F46" i="59"/>
  <c r="F24" i="59"/>
  <c r="F33" i="59"/>
  <c r="E54" i="59"/>
  <c r="N30" i="59"/>
  <c r="F51" i="59"/>
  <c r="B36" i="59"/>
  <c r="V36" i="59" s="1"/>
  <c r="T45" i="59"/>
  <c r="R24" i="55"/>
  <c r="S8" i="55"/>
  <c r="R146" i="55"/>
  <c r="T42" i="59"/>
  <c r="R51" i="55"/>
  <c r="T51" i="55" s="1"/>
  <c r="R56" i="55"/>
  <c r="T56" i="55" s="1"/>
  <c r="S126" i="55"/>
  <c r="T126" i="55" s="1"/>
  <c r="R94" i="55"/>
  <c r="T94" i="55" s="1"/>
  <c r="S10" i="55"/>
  <c r="T10" i="55" s="1"/>
  <c r="N34" i="59"/>
  <c r="L35" i="59"/>
  <c r="N35" i="59"/>
  <c r="V31" i="59"/>
  <c r="F31" i="59"/>
  <c r="F32" i="59"/>
  <c r="V32" i="59"/>
  <c r="G7" i="59"/>
  <c r="L7" i="59" s="1"/>
  <c r="G43" i="59"/>
  <c r="P75" i="55"/>
  <c r="O50" i="59"/>
  <c r="U50" i="59" s="1"/>
  <c r="P60" i="55"/>
  <c r="G12" i="26"/>
  <c r="T14" i="26"/>
  <c r="K12" i="26"/>
  <c r="AD12" i="26"/>
  <c r="AK14" i="26"/>
  <c r="O12" i="26"/>
  <c r="W14" i="26"/>
  <c r="M12" i="26"/>
  <c r="AF12" i="26"/>
  <c r="AJ14" i="26"/>
  <c r="Z12" i="26"/>
  <c r="AI12" i="26"/>
  <c r="V12" i="26"/>
  <c r="Y14" i="26"/>
  <c r="O14" i="26"/>
  <c r="R14" i="26"/>
  <c r="L14" i="26"/>
  <c r="M14" i="26"/>
  <c r="X12" i="26"/>
  <c r="E12" i="26"/>
  <c r="AI14" i="26"/>
  <c r="AG12" i="26"/>
  <c r="B6" i="26"/>
  <c r="V14" i="26"/>
  <c r="AA12" i="26"/>
  <c r="N12" i="26"/>
  <c r="AD14" i="26"/>
  <c r="J14" i="26"/>
  <c r="AJ12" i="26"/>
  <c r="AL14" i="26"/>
  <c r="G45" i="59"/>
  <c r="M45" i="59" s="1"/>
  <c r="O9" i="59"/>
  <c r="P21" i="55"/>
  <c r="G9" i="59"/>
  <c r="G50" i="59"/>
  <c r="M50" i="59" s="1"/>
  <c r="P127" i="55"/>
  <c r="P34" i="55"/>
  <c r="R34" i="55" s="1"/>
  <c r="T34" i="55" s="1"/>
  <c r="P148" i="55"/>
  <c r="P140" i="55"/>
  <c r="P33" i="55"/>
  <c r="S33" i="55" s="1"/>
  <c r="C54" i="59"/>
  <c r="L54" i="59" s="1"/>
  <c r="G44" i="59"/>
  <c r="M44" i="59" s="1"/>
  <c r="P109" i="55"/>
  <c r="S109" i="55" s="1"/>
  <c r="P44" i="55"/>
  <c r="Z14" i="26"/>
  <c r="N31" i="59"/>
  <c r="N48" i="59"/>
  <c r="F41" i="59"/>
  <c r="V41" i="59"/>
  <c r="P55" i="55"/>
  <c r="F17" i="59"/>
  <c r="T17" i="59"/>
  <c r="V17" i="59"/>
  <c r="H119" i="55"/>
  <c r="T26" i="59"/>
  <c r="V26" i="59"/>
  <c r="O44" i="59"/>
  <c r="O8" i="59"/>
  <c r="C36" i="59"/>
  <c r="B54" i="59"/>
  <c r="G41" i="59"/>
  <c r="P2" i="53"/>
  <c r="T53" i="59"/>
  <c r="V53" i="59"/>
  <c r="F53" i="59"/>
  <c r="O51" i="59"/>
  <c r="U51" i="59" s="1"/>
  <c r="P26" i="55"/>
  <c r="F25" i="59"/>
  <c r="G52" i="59"/>
  <c r="M52" i="59" s="1"/>
  <c r="P71" i="55"/>
  <c r="G6" i="59"/>
  <c r="N113" i="55" a="1"/>
  <c r="N113" i="55" s="1"/>
  <c r="O113" i="55" s="1"/>
  <c r="N85" i="55" a="1"/>
  <c r="N85" i="55" s="1"/>
  <c r="P81" i="55"/>
  <c r="S81" i="55" s="1"/>
  <c r="P113" i="55"/>
  <c r="P101" i="55"/>
  <c r="S101" i="55" s="1"/>
  <c r="M26" i="55" a="1"/>
  <c r="M26" i="55" s="1"/>
  <c r="P149" i="55"/>
  <c r="P9" i="55"/>
  <c r="S9" i="55" s="1"/>
  <c r="N57" i="55" a="1"/>
  <c r="N57" i="55" s="1"/>
  <c r="N47" i="59"/>
  <c r="N47" i="55" a="1"/>
  <c r="N47" i="55"/>
  <c r="F23" i="59"/>
  <c r="P54" i="55"/>
  <c r="P110" i="55"/>
  <c r="G16" i="59"/>
  <c r="O23" i="59"/>
  <c r="T25" i="59"/>
  <c r="F42" i="59"/>
  <c r="R90" i="55"/>
  <c r="R11" i="55"/>
  <c r="T121" i="55"/>
  <c r="T95" i="55"/>
  <c r="R141" i="55"/>
  <c r="R132" i="55"/>
  <c r="T132" i="55" s="1"/>
  <c r="R131" i="55"/>
  <c r="R128" i="55"/>
  <c r="S78" i="55"/>
  <c r="T123" i="55"/>
  <c r="T130" i="55"/>
  <c r="S114" i="55"/>
  <c r="R124" i="55"/>
  <c r="T124" i="55" s="1"/>
  <c r="T147" i="55"/>
  <c r="S59" i="55"/>
  <c r="T59" i="55" s="1"/>
  <c r="R57" i="55"/>
  <c r="T57" i="55" s="1"/>
  <c r="R58" i="55"/>
  <c r="S77" i="55"/>
  <c r="T77" i="55" s="1"/>
  <c r="O87" i="55"/>
  <c r="T15" i="55"/>
  <c r="L124" i="55" a="1"/>
  <c r="L124" i="55" s="1"/>
  <c r="K124" i="55" a="1"/>
  <c r="K124" i="55" s="1"/>
  <c r="S111" i="55"/>
  <c r="T111" i="55" s="1"/>
  <c r="K122" i="55" a="1"/>
  <c r="K122" i="55" s="1"/>
  <c r="R117" i="55"/>
  <c r="K120" i="55" a="1"/>
  <c r="K120" i="55" s="1"/>
  <c r="O12" i="55"/>
  <c r="O44" i="55"/>
  <c r="R80" i="55"/>
  <c r="T80" i="55" s="1"/>
  <c r="O45" i="55"/>
  <c r="T17" i="55"/>
  <c r="M10" i="59"/>
  <c r="L49" i="59"/>
  <c r="T41" i="59"/>
  <c r="R72" i="55"/>
  <c r="O35" i="55"/>
  <c r="O133" i="55"/>
  <c r="O53" i="55"/>
  <c r="S89" i="55"/>
  <c r="R120" i="55"/>
  <c r="K146" i="55" a="1"/>
  <c r="K146" i="55" s="1"/>
  <c r="S125" i="55"/>
  <c r="O72" i="55"/>
  <c r="R67" i="55"/>
  <c r="S67" i="55"/>
  <c r="R143" i="55"/>
  <c r="S143" i="55"/>
  <c r="R19" i="55"/>
  <c r="T19" i="55" s="1"/>
  <c r="S19" i="55"/>
  <c r="S145" i="55"/>
  <c r="R145" i="55"/>
  <c r="L145" i="55" a="1"/>
  <c r="L145" i="55" s="1"/>
  <c r="O37" i="55"/>
  <c r="R129" i="55"/>
  <c r="S129" i="55"/>
  <c r="R46" i="55"/>
  <c r="T46" i="55"/>
  <c r="S118" i="55"/>
  <c r="T46" i="59"/>
  <c r="L51" i="59"/>
  <c r="T52" i="59"/>
  <c r="L48" i="59"/>
  <c r="T16" i="59"/>
  <c r="T15" i="59"/>
  <c r="S14" i="55"/>
  <c r="T14" i="55" s="1"/>
  <c r="L62" i="55" a="1"/>
  <c r="L62" i="55" s="1"/>
  <c r="F36" i="59" a="1"/>
  <c r="F36" i="59" s="1"/>
  <c r="R116" i="55"/>
  <c r="O94" i="55"/>
  <c r="L50" i="59"/>
  <c r="S66" i="55"/>
  <c r="S83" i="55"/>
  <c r="T83" i="55" s="1"/>
  <c r="T40" i="59"/>
  <c r="L137" i="55" a="1"/>
  <c r="L137" i="55" s="1"/>
  <c r="L12" i="55" a="1"/>
  <c r="L12" i="55" s="1"/>
  <c r="S13" i="55"/>
  <c r="R13" i="55"/>
  <c r="U49" i="59"/>
  <c r="T49" i="59"/>
  <c r="L46" i="59"/>
  <c r="U4" i="59"/>
  <c r="T10" i="59"/>
  <c r="U10" i="59"/>
  <c r="O2" i="55"/>
  <c r="L111" i="55" a="1"/>
  <c r="L111" i="55" s="1"/>
  <c r="L104" i="55" a="1"/>
  <c r="L104" i="55" s="1"/>
  <c r="O14" i="55"/>
  <c r="S106" i="55"/>
  <c r="R106" i="55"/>
  <c r="L134" i="55" a="1"/>
  <c r="L134" i="55" s="1"/>
  <c r="U14" i="59"/>
  <c r="S27" i="55"/>
  <c r="R27" i="55"/>
  <c r="R96" i="55"/>
  <c r="L8" i="59"/>
  <c r="K145" i="55" a="1"/>
  <c r="K145" i="55" s="1"/>
  <c r="K12" i="55" a="1"/>
  <c r="K12" i="55" s="1"/>
  <c r="S64" i="55"/>
  <c r="R64" i="55"/>
  <c r="T64" i="55" s="1"/>
  <c r="R133" i="55"/>
  <c r="L2" i="55"/>
  <c r="L130" i="55" a="1"/>
  <c r="L130" i="55" s="1"/>
  <c r="L139" i="55" a="1"/>
  <c r="L139" i="55" s="1"/>
  <c r="S79" i="55"/>
  <c r="K30" i="55" a="1"/>
  <c r="K30" i="55"/>
  <c r="L143" i="55" a="1"/>
  <c r="L143" i="55" s="1"/>
  <c r="S63" i="55"/>
  <c r="M5" i="59"/>
  <c r="M15" i="59"/>
  <c r="L15" i="59"/>
  <c r="K143" i="55" a="1"/>
  <c r="K143" i="55" s="1"/>
  <c r="K56" i="55" a="1"/>
  <c r="K56" i="55" s="1"/>
  <c r="K104" i="55" a="1"/>
  <c r="K104" i="55" s="1"/>
  <c r="K155" i="55"/>
  <c r="K2" i="55"/>
  <c r="K134" i="55" a="1"/>
  <c r="K134" i="55" s="1"/>
  <c r="K119" i="55" a="1"/>
  <c r="K119" i="55" s="1"/>
  <c r="K109" i="55" a="1"/>
  <c r="K109" i="55" s="1"/>
  <c r="K62" i="55" a="1"/>
  <c r="K62" i="55" s="1"/>
  <c r="K102" i="55" a="1"/>
  <c r="K102" i="55" s="1"/>
  <c r="M14" i="59"/>
  <c r="L14" i="59"/>
  <c r="K103" i="55" a="1"/>
  <c r="K103" i="55" s="1"/>
  <c r="S62" i="55"/>
  <c r="R62" i="55"/>
  <c r="T62" i="55" s="1"/>
  <c r="R91" i="55"/>
  <c r="T91" i="55" s="1"/>
  <c r="S91" i="55"/>
  <c r="L23" i="59"/>
  <c r="R102" i="55"/>
  <c r="L44" i="59"/>
  <c r="S115" i="55"/>
  <c r="R115" i="55"/>
  <c r="T115" i="55" s="1"/>
  <c r="L23" i="55" a="1"/>
  <c r="L23" i="55" s="1"/>
  <c r="R52" i="55"/>
  <c r="L21" i="55" a="1"/>
  <c r="L21" i="55" s="1"/>
  <c r="X152" i="53"/>
  <c r="X2" i="53"/>
  <c r="K115" i="55" a="1"/>
  <c r="K115" i="55" s="1"/>
  <c r="T43" i="59"/>
  <c r="R136" i="55"/>
  <c r="L45" i="59"/>
  <c r="S148" i="55"/>
  <c r="R148" i="55"/>
  <c r="T148" i="55" s="1"/>
  <c r="L43" i="59"/>
  <c r="M43" i="59"/>
  <c r="M7" i="59"/>
  <c r="R21" i="55"/>
  <c r="S21" i="55"/>
  <c r="S34" i="55"/>
  <c r="S60" i="55"/>
  <c r="R60" i="55"/>
  <c r="S44" i="55"/>
  <c r="R44" i="55"/>
  <c r="T44" i="55" s="1"/>
  <c r="U9" i="59"/>
  <c r="T9" i="59"/>
  <c r="L6" i="59"/>
  <c r="M6" i="59"/>
  <c r="R109" i="55"/>
  <c r="T109" i="55" s="1"/>
  <c r="M16" i="59"/>
  <c r="L16" i="59"/>
  <c r="T50" i="59"/>
  <c r="U8" i="59"/>
  <c r="T8" i="59"/>
  <c r="M41" i="59"/>
  <c r="R127" i="55"/>
  <c r="S127" i="55"/>
  <c r="U23" i="59"/>
  <c r="T23" i="59"/>
  <c r="O36" i="59"/>
  <c r="R26" i="55"/>
  <c r="T26" i="55" s="1"/>
  <c r="S26" i="55"/>
  <c r="S55" i="55"/>
  <c r="R55" i="55"/>
  <c r="T55" i="55" s="1"/>
  <c r="T51" i="59"/>
  <c r="U44" i="59"/>
  <c r="T44" i="59"/>
  <c r="V54" i="59"/>
  <c r="S75" i="55"/>
  <c r="R75" i="55"/>
  <c r="T75" i="55" s="1"/>
  <c r="S149" i="55"/>
  <c r="R149" i="55"/>
  <c r="T149" i="55" s="1"/>
  <c r="S110" i="55"/>
  <c r="R110" i="55"/>
  <c r="R54" i="55"/>
  <c r="T54" i="55" s="1"/>
  <c r="S54" i="55"/>
  <c r="R71" i="55"/>
  <c r="S71" i="55"/>
  <c r="T71" i="55" s="1"/>
  <c r="R113" i="55"/>
  <c r="T113" i="55" s="1"/>
  <c r="S113" i="55"/>
  <c r="L52" i="59"/>
  <c r="S140" i="55"/>
  <c r="R140" i="55"/>
  <c r="T140" i="55" s="1"/>
  <c r="L9" i="59"/>
  <c r="M9" i="59"/>
  <c r="N36" i="59"/>
  <c r="L41" i="59"/>
  <c r="T129" i="55"/>
  <c r="T13" i="55"/>
  <c r="T145" i="55"/>
  <c r="T106" i="55"/>
  <c r="T143" i="55"/>
  <c r="T67" i="55"/>
  <c r="T118" i="55"/>
  <c r="L36" i="59"/>
  <c r="T54" i="59"/>
  <c r="T27" i="55"/>
  <c r="T127" i="55"/>
  <c r="T36" i="59"/>
  <c r="U36" i="59"/>
  <c r="T21" i="55"/>
  <c r="D8" i="57"/>
  <c r="D10" i="57"/>
  <c r="D5" i="57"/>
  <c r="D12" i="57"/>
  <c r="D11" i="57"/>
  <c r="D9" i="57"/>
  <c r="D6" i="57"/>
  <c r="D7" i="57"/>
  <c r="L50" i="55" l="1" a="1"/>
  <c r="L50" i="55" s="1"/>
  <c r="L108" i="55" a="1"/>
  <c r="L108" i="55" s="1"/>
  <c r="H108" i="55"/>
  <c r="K108" i="55" a="1"/>
  <c r="K108" i="55" s="1"/>
  <c r="K50" i="55" a="1"/>
  <c r="K50" i="55" s="1"/>
  <c r="H137" i="55"/>
  <c r="K144" i="55" a="1"/>
  <c r="K144" i="55" s="1"/>
  <c r="L44" i="55" a="1"/>
  <c r="L44" i="55" s="1"/>
  <c r="G50" i="55"/>
  <c r="K116" i="55" a="1"/>
  <c r="K116" i="55" s="1"/>
  <c r="K142" i="55" a="1"/>
  <c r="K142" i="55" s="1"/>
  <c r="L142" i="55" a="1"/>
  <c r="L142" i="55" s="1"/>
  <c r="H136" i="55"/>
  <c r="K136" i="55" a="1"/>
  <c r="K136" i="55" s="1"/>
  <c r="K135" i="55" a="1"/>
  <c r="K135" i="55" s="1"/>
  <c r="K51" i="55" a="1"/>
  <c r="K51" i="55" s="1"/>
  <c r="G16" i="55"/>
  <c r="K16" i="55" a="1"/>
  <c r="K16" i="55" s="1"/>
  <c r="L16" i="55" a="1"/>
  <c r="L16" i="55" s="1"/>
  <c r="L116" i="55" a="1"/>
  <c r="L116" i="55" s="1"/>
  <c r="L135" i="55" a="1"/>
  <c r="L135" i="55" s="1"/>
  <c r="G19" i="55"/>
  <c r="H135" i="55"/>
  <c r="K19" i="55" a="1"/>
  <c r="K19" i="55" s="1"/>
  <c r="H116" i="55"/>
  <c r="G55" i="55"/>
  <c r="H55" i="55"/>
  <c r="G51" i="55"/>
  <c r="L53" i="55" a="1"/>
  <c r="L53" i="55" s="1"/>
  <c r="H53" i="55"/>
  <c r="L48" i="55" a="1"/>
  <c r="L48" i="55" s="1"/>
  <c r="K47" i="55" a="1"/>
  <c r="K47" i="55" s="1"/>
  <c r="G39" i="55"/>
  <c r="H39" i="55"/>
  <c r="K48" i="55" a="1"/>
  <c r="K48" i="55" s="1"/>
  <c r="K105" i="55" a="1"/>
  <c r="K105" i="55" s="1"/>
  <c r="K71" i="55" a="1"/>
  <c r="K71" i="55" s="1"/>
  <c r="H48" i="55"/>
  <c r="H110" i="55"/>
  <c r="L29" i="55" a="1"/>
  <c r="L29" i="55" s="1"/>
  <c r="L80" i="55" a="1"/>
  <c r="L80" i="55" s="1"/>
  <c r="K25" i="55" a="1"/>
  <c r="K25" i="55" s="1"/>
  <c r="L32" i="55" a="1"/>
  <c r="L32" i="55" s="1"/>
  <c r="G125" i="55"/>
  <c r="G25" i="55"/>
  <c r="K125" i="55" a="1"/>
  <c r="K125" i="55" s="1"/>
  <c r="L125" i="55" a="1"/>
  <c r="L125" i="55" s="1"/>
  <c r="K32" i="55" a="1"/>
  <c r="K32" i="55" s="1"/>
  <c r="H32" i="55"/>
  <c r="G111" i="55"/>
  <c r="H149" i="55"/>
  <c r="K111" i="55" a="1"/>
  <c r="K111" i="55" s="1"/>
  <c r="G130" i="55"/>
  <c r="K37" i="55" a="1"/>
  <c r="K37" i="55" s="1"/>
  <c r="K149" i="55" a="1"/>
  <c r="K149" i="55" s="1"/>
  <c r="K130" i="55" a="1"/>
  <c r="K130" i="55" s="1"/>
  <c r="H37" i="55"/>
  <c r="H29" i="55"/>
  <c r="G78" i="55"/>
  <c r="H69" i="55"/>
  <c r="K69" i="55" a="1"/>
  <c r="K69" i="55" s="1"/>
  <c r="G71" i="55"/>
  <c r="G29" i="55"/>
  <c r="H70" i="55"/>
  <c r="G80" i="55"/>
  <c r="G140" i="55"/>
  <c r="K66" i="55" a="1"/>
  <c r="K66" i="55" s="1"/>
  <c r="K24" i="55" a="1"/>
  <c r="K24" i="55" s="1"/>
  <c r="L78" i="55" a="1"/>
  <c r="L78" i="55" s="1"/>
  <c r="H72" i="55"/>
  <c r="K80" i="55" a="1"/>
  <c r="K80" i="55" s="1"/>
  <c r="K133" i="55" a="1"/>
  <c r="K133" i="55" s="1"/>
  <c r="K49" i="55" a="1"/>
  <c r="K49" i="55" s="1"/>
  <c r="H114" i="55"/>
  <c r="K114" i="55" a="1"/>
  <c r="K114" i="55" s="1"/>
  <c r="L72" i="55" a="1"/>
  <c r="L72" i="55" s="1"/>
  <c r="L49" i="55" a="1"/>
  <c r="L49" i="55" s="1"/>
  <c r="H49" i="55"/>
  <c r="K72" i="55" a="1"/>
  <c r="K72" i="55" s="1"/>
  <c r="H133" i="55"/>
  <c r="K73" i="55" a="1"/>
  <c r="K73" i="55" s="1"/>
  <c r="K140" i="55" a="1"/>
  <c r="K140" i="55" s="1"/>
  <c r="L24" i="55" a="1"/>
  <c r="L24" i="55" s="1"/>
  <c r="L31" i="55" a="1"/>
  <c r="L31" i="55" s="1"/>
  <c r="L140" i="55" a="1"/>
  <c r="L140" i="55" s="1"/>
  <c r="L66" i="55" a="1"/>
  <c r="L66" i="55" s="1"/>
  <c r="K88" i="55" a="1"/>
  <c r="K88" i="55" s="1"/>
  <c r="G31" i="55"/>
  <c r="K96" i="55" a="1"/>
  <c r="K96" i="55" s="1"/>
  <c r="K31" i="55" a="1"/>
  <c r="K31" i="55" s="1"/>
  <c r="H24" i="55"/>
  <c r="G40" i="55"/>
  <c r="K78" i="55" a="1"/>
  <c r="K78" i="55" s="1"/>
  <c r="K36" i="55" a="1"/>
  <c r="K36" i="55" s="1"/>
  <c r="H17" i="55"/>
  <c r="K17" i="55" a="1"/>
  <c r="K17" i="55" s="1"/>
  <c r="L17" i="55" a="1"/>
  <c r="L17" i="55" s="1"/>
  <c r="G17" i="55"/>
  <c r="K127" i="55" a="1"/>
  <c r="K127" i="55" s="1"/>
  <c r="G127" i="55"/>
  <c r="H127" i="55"/>
  <c r="H67" i="55"/>
  <c r="K91" i="55" a="1"/>
  <c r="K91" i="55" s="1"/>
  <c r="L33" i="55" a="1"/>
  <c r="L33" i="55" s="1"/>
  <c r="L88" i="55" a="1"/>
  <c r="L88" i="55" s="1"/>
  <c r="G66" i="55"/>
  <c r="K26" i="55" a="1"/>
  <c r="K26" i="55" s="1"/>
  <c r="K86" i="55" a="1"/>
  <c r="K86" i="55" s="1"/>
  <c r="L45" i="55" a="1"/>
  <c r="L45" i="55" s="1"/>
  <c r="G91" i="55"/>
  <c r="K90" i="55" a="1"/>
  <c r="K90" i="55" s="1"/>
  <c r="L65" i="55" a="1"/>
  <c r="L65" i="55" s="1"/>
  <c r="L91" i="55" a="1"/>
  <c r="L91" i="55" s="1"/>
  <c r="G77" i="55"/>
  <c r="K42" i="55" a="1"/>
  <c r="K42" i="55" s="1"/>
  <c r="K33" i="55" a="1"/>
  <c r="K33" i="55" s="1"/>
  <c r="G33" i="55"/>
  <c r="H68" i="55"/>
  <c r="K7" i="55" a="1"/>
  <c r="K7" i="55" s="1"/>
  <c r="L7" i="55" a="1"/>
  <c r="L7" i="55" s="1"/>
  <c r="H89" i="55"/>
  <c r="L89" i="55" a="1"/>
  <c r="L89" i="55" s="1"/>
  <c r="G89" i="55"/>
  <c r="K89" i="55" a="1"/>
  <c r="K89" i="55" s="1"/>
  <c r="G13" i="55"/>
  <c r="K13" i="55" a="1"/>
  <c r="K13" i="55" s="1"/>
  <c r="H13" i="55"/>
  <c r="L13" i="55" a="1"/>
  <c r="L13" i="55" s="1"/>
  <c r="G117" i="55"/>
  <c r="H117" i="55"/>
  <c r="K117" i="55" a="1"/>
  <c r="K117" i="55" s="1"/>
  <c r="L117" i="55" a="1"/>
  <c r="L117" i="55" s="1"/>
  <c r="G79" i="55"/>
  <c r="K79" i="55" a="1"/>
  <c r="K79" i="55" s="1"/>
  <c r="H79" i="55"/>
  <c r="L79" i="55" a="1"/>
  <c r="L79" i="55" s="1"/>
  <c r="G60" i="55"/>
  <c r="H100" i="55"/>
  <c r="L74" i="55" a="1"/>
  <c r="L74" i="55" s="1"/>
  <c r="H60" i="55"/>
  <c r="H86" i="55"/>
  <c r="H83" i="55"/>
  <c r="L85" i="55" a="1"/>
  <c r="L85" i="55" s="1"/>
  <c r="K67" i="55" a="1"/>
  <c r="K67" i="55" s="1"/>
  <c r="L60" i="55" a="1"/>
  <c r="L60" i="55" s="1"/>
  <c r="L9" i="55" a="1"/>
  <c r="L9" i="55" s="1"/>
  <c r="K77" i="55" a="1"/>
  <c r="K77" i="55" s="1"/>
  <c r="K40" i="55" a="1"/>
  <c r="K40" i="55" s="1"/>
  <c r="K9" i="55" a="1"/>
  <c r="K9" i="55" s="1"/>
  <c r="K70" i="55" a="1"/>
  <c r="K70" i="55" s="1"/>
  <c r="G67" i="55"/>
  <c r="G35" i="55"/>
  <c r="G36" i="55"/>
  <c r="K44" i="55" a="1"/>
  <c r="K44" i="55" s="1"/>
  <c r="L40" i="55" a="1"/>
  <c r="L40" i="55" s="1"/>
  <c r="H44" i="55"/>
  <c r="H42" i="55"/>
  <c r="L100" i="55" a="1"/>
  <c r="L100" i="55" s="1"/>
  <c r="K76" i="55" a="1"/>
  <c r="K76" i="55" s="1"/>
  <c r="K100" i="55" a="1"/>
  <c r="K100" i="55" s="1"/>
  <c r="K65" i="55" a="1"/>
  <c r="K65" i="55" s="1"/>
  <c r="H85" i="55"/>
  <c r="G126" i="55"/>
  <c r="K126" i="55" a="1"/>
  <c r="K126" i="55" s="1"/>
  <c r="H126" i="55"/>
  <c r="L126" i="55" a="1"/>
  <c r="L126" i="55" s="1"/>
  <c r="G107" i="55"/>
  <c r="K107" i="55" a="1"/>
  <c r="K107" i="55" s="1"/>
  <c r="L107" i="55" a="1"/>
  <c r="L107" i="55" s="1"/>
  <c r="H107" i="55"/>
  <c r="H98" i="55"/>
  <c r="G98" i="55"/>
  <c r="K98" i="55" a="1"/>
  <c r="K98" i="55" s="1"/>
  <c r="L14" i="55" a="1"/>
  <c r="L14" i="55" s="1"/>
  <c r="K14" i="55" a="1"/>
  <c r="K14" i="55" s="1"/>
  <c r="H132" i="55"/>
  <c r="K132" i="55" a="1"/>
  <c r="K132" i="55" s="1"/>
  <c r="G132" i="55"/>
  <c r="G59" i="55"/>
  <c r="H59" i="55"/>
  <c r="K59" i="55" a="1"/>
  <c r="K59" i="55" s="1"/>
  <c r="G43" i="55"/>
  <c r="K43" i="55" a="1"/>
  <c r="K43" i="55" s="1"/>
  <c r="L43" i="55" a="1"/>
  <c r="L43" i="55" s="1"/>
  <c r="G20" i="55"/>
  <c r="K20" i="55" a="1"/>
  <c r="K20" i="55" s="1"/>
  <c r="L20" i="55" a="1"/>
  <c r="L20" i="55" s="1"/>
  <c r="H20" i="55"/>
  <c r="G148" i="55"/>
  <c r="H148" i="55"/>
  <c r="K148" i="55" a="1"/>
  <c r="K148" i="55" s="1"/>
  <c r="L148" i="55" a="1"/>
  <c r="L148" i="55" s="1"/>
  <c r="H54" i="55"/>
  <c r="K54" i="55" a="1"/>
  <c r="K54" i="55" s="1"/>
  <c r="L54" i="55" a="1"/>
  <c r="L54" i="55" s="1"/>
  <c r="H57" i="55"/>
  <c r="G57" i="55"/>
  <c r="L57" i="55" a="1"/>
  <c r="L57" i="55" s="1"/>
  <c r="K57" i="55" a="1"/>
  <c r="K57" i="55" s="1"/>
  <c r="G129" i="55"/>
  <c r="K129" i="55" a="1"/>
  <c r="K129" i="55" s="1"/>
  <c r="H129" i="55"/>
  <c r="L129" i="55" a="1"/>
  <c r="L129" i="55" s="1"/>
  <c r="G81" i="55"/>
  <c r="H81" i="55"/>
  <c r="K81" i="55" a="1"/>
  <c r="K81" i="55" s="1"/>
  <c r="L35" i="55" a="1"/>
  <c r="L35" i="55" s="1"/>
  <c r="K18" i="55" a="1"/>
  <c r="K18" i="55" s="1"/>
  <c r="L34" i="55" a="1"/>
  <c r="L34" i="55" s="1"/>
  <c r="K97" i="55" a="1"/>
  <c r="K97" i="55" s="1"/>
  <c r="K34" i="55" a="1"/>
  <c r="K34" i="55" s="1"/>
  <c r="G73" i="55"/>
  <c r="L97" i="55" a="1"/>
  <c r="L97" i="55" s="1"/>
  <c r="H73" i="55"/>
  <c r="G85" i="55"/>
  <c r="L77" i="55" a="1"/>
  <c r="L77" i="55" s="1"/>
  <c r="K53" i="55" a="1"/>
  <c r="K53" i="55" s="1"/>
  <c r="G114" i="55"/>
  <c r="G93" i="55"/>
  <c r="G34" i="55"/>
  <c r="G9" i="55"/>
  <c r="G18" i="55"/>
  <c r="K68" i="55" a="1"/>
  <c r="K68" i="55" s="1"/>
  <c r="K128" i="55" a="1"/>
  <c r="K128" i="55" s="1"/>
  <c r="L42" i="55" a="1"/>
  <c r="L42" i="55" s="1"/>
  <c r="L93" i="55" a="1"/>
  <c r="L93" i="55" s="1"/>
  <c r="L51" i="55" a="1"/>
  <c r="L51" i="55" s="1"/>
  <c r="H90" i="55"/>
  <c r="H18" i="55"/>
  <c r="H93" i="55"/>
  <c r="L98" i="55" a="1"/>
  <c r="L98" i="55" s="1"/>
  <c r="K23" i="55" a="1"/>
  <c r="K23" i="55" s="1"/>
  <c r="L128" i="55" a="1"/>
  <c r="L128" i="55" s="1"/>
  <c r="G47" i="55"/>
  <c r="R2" i="55"/>
  <c r="R155" i="55"/>
  <c r="L141" i="55" a="1"/>
  <c r="L141" i="55" s="1"/>
  <c r="H141" i="55"/>
  <c r="G141" i="55"/>
  <c r="K141" i="55" a="1"/>
  <c r="K141" i="55" s="1"/>
  <c r="G58" i="55"/>
  <c r="L58" i="55" a="1"/>
  <c r="L58" i="55" s="1"/>
  <c r="H58" i="55"/>
  <c r="K58" i="55" a="1"/>
  <c r="K58" i="55" s="1"/>
  <c r="H22" i="55"/>
  <c r="G22" i="55"/>
  <c r="K22" i="55" a="1"/>
  <c r="K22" i="55" s="1"/>
  <c r="H118" i="55"/>
  <c r="K118" i="55" a="1"/>
  <c r="K118" i="55" s="1"/>
  <c r="L118" i="55" a="1"/>
  <c r="L118" i="55" s="1"/>
  <c r="G118" i="55"/>
  <c r="H87" i="55"/>
  <c r="G87" i="55"/>
  <c r="K87" i="55" a="1"/>
  <c r="K87" i="55" s="1"/>
  <c r="L87" i="55" a="1"/>
  <c r="L87" i="55" s="1"/>
  <c r="T82" i="55"/>
  <c r="K38" i="55" a="1"/>
  <c r="K38" i="55" s="1"/>
  <c r="G38" i="55"/>
  <c r="L38" i="55" a="1"/>
  <c r="L38" i="55" s="1"/>
  <c r="H38" i="55"/>
  <c r="G11" i="55"/>
  <c r="L11" i="55" a="1"/>
  <c r="L11" i="55" s="1"/>
  <c r="H11" i="55"/>
  <c r="K11" i="55" a="1"/>
  <c r="K11" i="55" s="1"/>
  <c r="G94" i="55"/>
  <c r="K94" i="55" a="1"/>
  <c r="K94" i="55" s="1"/>
  <c r="H94" i="55"/>
  <c r="L94" i="55" a="1"/>
  <c r="L94" i="55" s="1"/>
  <c r="K147" i="55" a="1"/>
  <c r="K147" i="55" s="1"/>
  <c r="H147" i="55"/>
  <c r="L147" i="55" a="1"/>
  <c r="L147" i="55" s="1"/>
  <c r="G147" i="55"/>
  <c r="H8" i="55"/>
  <c r="K8" i="55" a="1"/>
  <c r="K8" i="55" s="1"/>
  <c r="L8" i="55" a="1"/>
  <c r="L8" i="55" s="1"/>
  <c r="G8" i="55"/>
  <c r="G15" i="55"/>
  <c r="K15" i="55" a="1"/>
  <c r="K15" i="55" s="1"/>
  <c r="H15" i="55"/>
  <c r="L15" i="55" a="1"/>
  <c r="L15" i="55" s="1"/>
  <c r="G113" i="55"/>
  <c r="H113" i="55"/>
  <c r="L113" i="55" a="1"/>
  <c r="L113" i="55" s="1"/>
  <c r="K113" i="55" a="1"/>
  <c r="K113" i="55" s="1"/>
  <c r="G82" i="55"/>
  <c r="H82" i="55"/>
  <c r="L82" i="55" a="1"/>
  <c r="L82" i="55" s="1"/>
  <c r="K82" i="55" a="1"/>
  <c r="K82" i="55" s="1"/>
  <c r="G106" i="55"/>
  <c r="H106" i="55"/>
  <c r="L106" i="55" a="1"/>
  <c r="L106" i="55" s="1"/>
  <c r="K106" i="55" a="1"/>
  <c r="K106" i="55" s="1"/>
  <c r="G95" i="55"/>
  <c r="L95" i="55" a="1"/>
  <c r="L95" i="55" s="1"/>
  <c r="K95" i="55" a="1"/>
  <c r="K95" i="55" s="1"/>
  <c r="H84" i="55"/>
  <c r="K84" i="55" a="1"/>
  <c r="K84" i="55" s="1"/>
  <c r="G84" i="55"/>
  <c r="L84" i="55" a="1"/>
  <c r="L84" i="55" s="1"/>
  <c r="H131" i="55"/>
  <c r="L131" i="55" a="1"/>
  <c r="L131" i="55" s="1"/>
  <c r="G131" i="55"/>
  <c r="K131" i="55" a="1"/>
  <c r="K131" i="55" s="1"/>
  <c r="O88" i="55"/>
  <c r="G10" i="55"/>
  <c r="H10" i="55"/>
  <c r="L10" i="55" a="1"/>
  <c r="L10" i="55" s="1"/>
  <c r="K10" i="55" a="1"/>
  <c r="K10" i="55" s="1"/>
  <c r="S155" i="55"/>
  <c r="S2" i="55"/>
  <c r="K101" i="55" a="1"/>
  <c r="K101" i="55" s="1"/>
  <c r="L101" i="55" a="1"/>
  <c r="L101" i="55" s="1"/>
  <c r="G101" i="55"/>
  <c r="H101" i="55"/>
  <c r="H41" i="55"/>
  <c r="G41" i="55"/>
  <c r="L41" i="55" a="1"/>
  <c r="L41" i="55" s="1"/>
  <c r="K41" i="55" a="1"/>
  <c r="K41" i="55" s="1"/>
  <c r="H121" i="55"/>
  <c r="K121" i="55" a="1"/>
  <c r="K121" i="55" s="1"/>
  <c r="G121" i="55"/>
  <c r="L121" i="55" a="1"/>
  <c r="L121" i="55" s="1"/>
  <c r="K112" i="55" a="1"/>
  <c r="K112" i="55" s="1"/>
  <c r="L112" i="55" a="1"/>
  <c r="L112" i="55" s="1"/>
  <c r="H112" i="55"/>
  <c r="G112" i="55"/>
  <c r="G92" i="55"/>
  <c r="H92" i="55"/>
  <c r="K92" i="55" a="1"/>
  <c r="K92" i="55" s="1"/>
  <c r="G63" i="55"/>
  <c r="K63" i="55" a="1"/>
  <c r="K63" i="55" s="1"/>
  <c r="H63" i="55"/>
  <c r="G27" i="55"/>
  <c r="K27" i="55" a="1"/>
  <c r="K27" i="55" s="1"/>
  <c r="L27" i="55" a="1"/>
  <c r="L27" i="55" s="1"/>
  <c r="T68" i="55"/>
  <c r="O83" i="55"/>
  <c r="S98" i="55"/>
  <c r="S49" i="55"/>
  <c r="S12" i="55"/>
  <c r="T12" i="55" s="1"/>
  <c r="T11" i="55"/>
  <c r="T142" i="55"/>
  <c r="Q2" i="55"/>
  <c r="S11" i="55"/>
  <c r="S20" i="55"/>
  <c r="T20" i="55" s="1"/>
  <c r="H18" i="59"/>
  <c r="S18" i="59"/>
  <c r="O24" i="55"/>
  <c r="O141" i="55"/>
  <c r="T125" i="55"/>
  <c r="O129" i="55"/>
  <c r="V14" i="59"/>
  <c r="R101" i="55"/>
  <c r="T101" i="55" s="1"/>
  <c r="T60" i="55"/>
  <c r="M12" i="59"/>
  <c r="K99" i="55" a="1"/>
  <c r="K99" i="55" s="1"/>
  <c r="L119" i="55" a="1"/>
  <c r="L119" i="55" s="1"/>
  <c r="L96" i="55" a="1"/>
  <c r="L96" i="55" s="1"/>
  <c r="K64" i="55" a="1"/>
  <c r="K64" i="55" s="1"/>
  <c r="R92" i="55"/>
  <c r="T92" i="55" s="1"/>
  <c r="L90" i="55" a="1"/>
  <c r="L90" i="55" s="1"/>
  <c r="T133" i="55"/>
  <c r="M106" i="55" a="1"/>
  <c r="M106" i="55" s="1"/>
  <c r="N31" i="55" a="1"/>
  <c r="N31" i="55" s="1"/>
  <c r="O31" i="55" s="1"/>
  <c r="M82" i="55" a="1"/>
  <c r="M82" i="55" s="1"/>
  <c r="O82" i="55" s="1"/>
  <c r="N132" i="55" a="1"/>
  <c r="N132" i="55" s="1"/>
  <c r="O132" i="55" s="1"/>
  <c r="M75" i="55" a="1"/>
  <c r="M75" i="55" s="1"/>
  <c r="O75" i="55" s="1"/>
  <c r="H64" i="55"/>
  <c r="R41" i="55"/>
  <c r="T41" i="55" s="1"/>
  <c r="T22" i="55"/>
  <c r="N101" i="55" a="1"/>
  <c r="N101" i="55" s="1"/>
  <c r="O101" i="55" s="1"/>
  <c r="V5" i="59"/>
  <c r="P18" i="59"/>
  <c r="V18" i="59" s="1"/>
  <c r="S134" i="55"/>
  <c r="S68" i="55"/>
  <c r="S107" i="55"/>
  <c r="T107" i="55" s="1"/>
  <c r="G36" i="59"/>
  <c r="M36" i="59" s="1"/>
  <c r="K83" i="55" a="1"/>
  <c r="K83" i="55" s="1"/>
  <c r="K39" i="55" a="1"/>
  <c r="K39" i="55" s="1"/>
  <c r="L61" i="55" a="1"/>
  <c r="L61" i="55" s="1"/>
  <c r="L39" i="55" a="1"/>
  <c r="L39" i="55" s="1"/>
  <c r="L59" i="55" a="1"/>
  <c r="L59" i="55" s="1"/>
  <c r="S53" i="55"/>
  <c r="T53" i="55" s="1"/>
  <c r="O135" i="55"/>
  <c r="R137" i="55"/>
  <c r="T137" i="55" s="1"/>
  <c r="T102" i="55"/>
  <c r="K75" i="55" a="1"/>
  <c r="K75" i="55" s="1"/>
  <c r="K21" i="55" a="1"/>
  <c r="K21" i="55" s="1"/>
  <c r="M30" i="55" a="1"/>
  <c r="M30" i="55" s="1"/>
  <c r="O30" i="55" s="1"/>
  <c r="N97" i="55" a="1"/>
  <c r="N97" i="55" s="1"/>
  <c r="O97" i="55" s="1"/>
  <c r="N116" i="55" a="1"/>
  <c r="N116" i="55" s="1"/>
  <c r="O116" i="55" s="1"/>
  <c r="M55" i="55" a="1"/>
  <c r="M55" i="55" s="1"/>
  <c r="O55" i="55" s="1"/>
  <c r="M79" i="55" a="1"/>
  <c r="M79" i="55" s="1"/>
  <c r="S128" i="55"/>
  <c r="T128" i="55" s="1"/>
  <c r="R76" i="55"/>
  <c r="T76" i="55" s="1"/>
  <c r="H43" i="55"/>
  <c r="S72" i="55"/>
  <c r="T7" i="59"/>
  <c r="P2" i="55"/>
  <c r="K35" i="55" a="1"/>
  <c r="K35" i="55" s="1"/>
  <c r="AE152" i="53"/>
  <c r="K123" i="55" a="1"/>
  <c r="K123" i="55" s="1"/>
  <c r="N92" i="55" a="1"/>
  <c r="N92" i="55" s="1"/>
  <c r="O92" i="55" s="1"/>
  <c r="N139" i="55" a="1"/>
  <c r="N139" i="55" s="1"/>
  <c r="O139" i="55" s="1"/>
  <c r="M109" i="55" a="1"/>
  <c r="M109" i="55" s="1"/>
  <c r="O109" i="55" s="1"/>
  <c r="N127" i="55" a="1"/>
  <c r="N127" i="55" s="1"/>
  <c r="N114" i="55" a="1"/>
  <c r="N114" i="55" s="1"/>
  <c r="L32" i="59"/>
  <c r="N43" i="55" a="1"/>
  <c r="N43" i="55" s="1"/>
  <c r="H96" i="55"/>
  <c r="S131" i="55"/>
  <c r="T131" i="55" s="1"/>
  <c r="S117" i="55"/>
  <c r="T117" i="55" s="1"/>
  <c r="R78" i="55"/>
  <c r="T78" i="55" s="1"/>
  <c r="R49" i="55"/>
  <c r="R97" i="55"/>
  <c r="T97" i="55" s="1"/>
  <c r="R9" i="55"/>
  <c r="T9" i="55" s="1"/>
  <c r="L133" i="55" a="1"/>
  <c r="L133" i="55" s="1"/>
  <c r="R86" i="55"/>
  <c r="T86" i="55" s="1"/>
  <c r="L36" i="55" a="1"/>
  <c r="L36" i="55" s="1"/>
  <c r="L81" i="55" a="1"/>
  <c r="L81" i="55" s="1"/>
  <c r="L103" i="55" a="1"/>
  <c r="L103" i="55" s="1"/>
  <c r="T72" i="55"/>
  <c r="L123" i="55" a="1"/>
  <c r="L123" i="55" s="1"/>
  <c r="K110" i="55" a="1"/>
  <c r="K110" i="55" s="1"/>
  <c r="N89" i="55" a="1"/>
  <c r="N89" i="55" s="1"/>
  <c r="O89" i="55" s="1"/>
  <c r="M91" i="55" a="1"/>
  <c r="M91" i="55" s="1"/>
  <c r="M103" i="55" a="1"/>
  <c r="M103" i="55" s="1"/>
  <c r="O103" i="55" s="1"/>
  <c r="N23" i="55" a="1"/>
  <c r="N23" i="55" s="1"/>
  <c r="M149" i="55" a="1"/>
  <c r="M149" i="55" s="1"/>
  <c r="O149" i="55" s="1"/>
  <c r="N67" i="55" a="1"/>
  <c r="N67" i="55" s="1"/>
  <c r="O67" i="55" s="1"/>
  <c r="N84" i="55" a="1"/>
  <c r="N84" i="55" s="1"/>
  <c r="S138" i="55"/>
  <c r="T138" i="55" s="1"/>
  <c r="N109" i="55" a="1"/>
  <c r="N109" i="55" s="1"/>
  <c r="C18" i="59"/>
  <c r="S24" i="55"/>
  <c r="T24" i="55"/>
  <c r="R33" i="55"/>
  <c r="T33" i="55" s="1"/>
  <c r="T141" i="55"/>
  <c r="S37" i="55"/>
  <c r="T37" i="55" s="1"/>
  <c r="O41" i="55"/>
  <c r="N76" i="55" a="1"/>
  <c r="N76" i="55" s="1"/>
  <c r="S108" i="55"/>
  <c r="O100" i="55"/>
  <c r="T96" i="55"/>
  <c r="O137" i="55"/>
  <c r="N140" i="55" a="1"/>
  <c r="N140" i="55" s="1"/>
  <c r="O140" i="55" s="1"/>
  <c r="M10" i="55" a="1"/>
  <c r="M10" i="55" s="1"/>
  <c r="N9" i="59"/>
  <c r="R39" i="55"/>
  <c r="T39" i="55" s="1"/>
  <c r="R61" i="55"/>
  <c r="T61" i="55" s="1"/>
  <c r="T110" i="55"/>
  <c r="R23" i="55"/>
  <c r="T23" i="55" s="1"/>
  <c r="L110" i="55" a="1"/>
  <c r="L110" i="55" s="1"/>
  <c r="L127" i="55" a="1"/>
  <c r="L127" i="55" s="1"/>
  <c r="L138" i="55" a="1"/>
  <c r="L138" i="55" s="1"/>
  <c r="T8" i="55"/>
  <c r="N93" i="55" a="1"/>
  <c r="N93" i="55" s="1"/>
  <c r="S146" i="55"/>
  <c r="T146" i="55" s="1"/>
  <c r="O57" i="55"/>
  <c r="R81" i="55"/>
  <c r="T81" i="55" s="1"/>
  <c r="D13" i="57"/>
  <c r="E5" i="57"/>
  <c r="E6" i="57" s="1"/>
  <c r="E7" i="57" s="1"/>
  <c r="E8" i="57" s="1"/>
  <c r="E9" i="57" s="1"/>
  <c r="E10" i="57" s="1"/>
  <c r="E11" i="57" s="1"/>
  <c r="E12" i="57" s="1"/>
  <c r="R88" i="55"/>
  <c r="S88" i="55"/>
  <c r="G7" i="26"/>
  <c r="F6" i="26"/>
  <c r="R105" i="55"/>
  <c r="S105" i="55"/>
  <c r="H26" i="55"/>
  <c r="G26" i="55"/>
  <c r="L83" i="55" a="1"/>
  <c r="L83" i="55" s="1"/>
  <c r="L92" i="55" a="1"/>
  <c r="L92" i="55" s="1"/>
  <c r="L115" i="55" a="1"/>
  <c r="L115" i="55" s="1"/>
  <c r="T12" i="59"/>
  <c r="M4" i="59"/>
  <c r="G99" i="55"/>
  <c r="H99" i="55"/>
  <c r="H61" i="55"/>
  <c r="G61" i="55"/>
  <c r="G134" i="55"/>
  <c r="H134" i="55"/>
  <c r="N54" i="59"/>
  <c r="T4" i="59"/>
  <c r="T114" i="55"/>
  <c r="T70" i="55"/>
  <c r="O119" i="55"/>
  <c r="O13" i="55"/>
  <c r="L122" i="55" a="1"/>
  <c r="L122" i="55" s="1"/>
  <c r="L22" i="55" a="1"/>
  <c r="L22" i="55" s="1"/>
  <c r="L55" i="55" a="1"/>
  <c r="L55" i="55" s="1"/>
  <c r="L19" i="55" a="1"/>
  <c r="L19" i="55" s="1"/>
  <c r="L69" i="55" a="1"/>
  <c r="L69" i="55" s="1"/>
  <c r="L109" i="55" a="1"/>
  <c r="L109" i="55" s="1"/>
  <c r="L86" i="55" a="1"/>
  <c r="L86" i="55" s="1"/>
  <c r="L70" i="55" a="1"/>
  <c r="L70" i="55" s="1"/>
  <c r="L146" i="55" a="1"/>
  <c r="L146" i="55" s="1"/>
  <c r="L52" i="55" a="1"/>
  <c r="L52" i="55" s="1"/>
  <c r="L30" i="55" a="1"/>
  <c r="L30" i="55" s="1"/>
  <c r="L136" i="55" a="1"/>
  <c r="L136" i="55" s="1"/>
  <c r="L76" i="55" a="1"/>
  <c r="L76" i="55" s="1"/>
  <c r="L71" i="55" a="1"/>
  <c r="L71" i="55" s="1"/>
  <c r="L155" i="55"/>
  <c r="L28" i="55" a="1"/>
  <c r="L28" i="55" s="1"/>
  <c r="L132" i="55" a="1"/>
  <c r="L132" i="55" s="1"/>
  <c r="L25" i="55" a="1"/>
  <c r="L25" i="55" s="1"/>
  <c r="L37" i="55" a="1"/>
  <c r="L37" i="55" s="1"/>
  <c r="T43" i="55"/>
  <c r="G54" i="59"/>
  <c r="M54" i="59" s="1"/>
  <c r="L46" i="55" a="1"/>
  <c r="L46" i="55" s="1"/>
  <c r="L63" i="55" a="1"/>
  <c r="L63" i="55" s="1"/>
  <c r="L75" i="55" a="1"/>
  <c r="L75" i="55" s="1"/>
  <c r="F54" i="59" a="1"/>
  <c r="F54" i="59" s="1"/>
  <c r="L102" i="55" a="1"/>
  <c r="L102" i="55" s="1"/>
  <c r="S42" i="55"/>
  <c r="R42" i="55"/>
  <c r="L120" i="55" a="1"/>
  <c r="L120" i="55" s="1"/>
  <c r="L68" i="55" a="1"/>
  <c r="L68" i="55" s="1"/>
  <c r="O54" i="59"/>
  <c r="U54" i="59" s="1"/>
  <c r="L64" i="55" a="1"/>
  <c r="L64" i="55" s="1"/>
  <c r="L149" i="55" a="1"/>
  <c r="L149" i="55" s="1"/>
  <c r="L47" i="55" a="1"/>
  <c r="L47" i="55" s="1"/>
  <c r="L56" i="55" a="1"/>
  <c r="L56" i="55" s="1"/>
  <c r="O62" i="55"/>
  <c r="N110" i="55" a="1"/>
  <c r="N110" i="55" s="1"/>
  <c r="O110" i="55" s="1"/>
  <c r="M95" i="55" a="1"/>
  <c r="M95" i="55" s="1"/>
  <c r="M120" i="55" a="1"/>
  <c r="M120" i="55" s="1"/>
  <c r="O120" i="55" s="1"/>
  <c r="N99" i="55" a="1"/>
  <c r="N99" i="55" s="1"/>
  <c r="N51" i="55" a="1"/>
  <c r="N51" i="55" s="1"/>
  <c r="O51" i="55" s="1"/>
  <c r="M104" i="55" a="1"/>
  <c r="M104" i="55" s="1"/>
  <c r="O104" i="55" s="1"/>
  <c r="G13" i="59"/>
  <c r="N7" i="59"/>
  <c r="N90" i="55" a="1"/>
  <c r="N90" i="55" s="1"/>
  <c r="H95" i="55"/>
  <c r="M111" i="55" a="1"/>
  <c r="M111" i="55" s="1"/>
  <c r="O111" i="55" s="1"/>
  <c r="N126" i="55" a="1"/>
  <c r="N126" i="55" s="1"/>
  <c r="O126" i="55" s="1"/>
  <c r="R98" i="55"/>
  <c r="T98" i="55" s="1"/>
  <c r="M122" i="55" a="1"/>
  <c r="M122" i="55" s="1"/>
  <c r="AH12" i="26"/>
  <c r="AE12" i="26"/>
  <c r="O13" i="59"/>
  <c r="P30" i="55"/>
  <c r="R89" i="55"/>
  <c r="T89" i="55" s="1"/>
  <c r="G146" i="55"/>
  <c r="H146" i="55"/>
  <c r="H144" i="55"/>
  <c r="G144" i="55"/>
  <c r="M48" i="55" a="1"/>
  <c r="M48" i="55" s="1"/>
  <c r="O48" i="55" s="1"/>
  <c r="M105" i="55" a="1"/>
  <c r="M105" i="55" s="1"/>
  <c r="O105" i="55" s="1"/>
  <c r="M125" i="55" a="1"/>
  <c r="M125" i="55" s="1"/>
  <c r="O125" i="55" s="1"/>
  <c r="M76" i="55" a="1"/>
  <c r="M76" i="55" s="1"/>
  <c r="O76" i="55" s="1"/>
  <c r="M54" i="55" a="1"/>
  <c r="M54" i="55" s="1"/>
  <c r="O54" i="55" s="1"/>
  <c r="M61" i="55" a="1"/>
  <c r="M61" i="55" s="1"/>
  <c r="O61" i="55" s="1"/>
  <c r="F12" i="26"/>
  <c r="S14" i="26"/>
  <c r="Q12" i="26"/>
  <c r="P14" i="26"/>
  <c r="U14" i="26"/>
  <c r="AC12" i="26"/>
  <c r="AB14" i="26"/>
  <c r="R12" i="26"/>
  <c r="I12" i="26"/>
  <c r="H14" i="26"/>
  <c r="AC14" i="26"/>
  <c r="AE14" i="26"/>
  <c r="T6" i="59"/>
  <c r="F6" i="59"/>
  <c r="M20" i="55" a="1"/>
  <c r="M20" i="55" s="1"/>
  <c r="O20" i="55" s="1"/>
  <c r="N26" i="55" a="1"/>
  <c r="N26" i="55" s="1"/>
  <c r="O26" i="55" s="1"/>
  <c r="M39" i="55" a="1"/>
  <c r="M39" i="55" s="1"/>
  <c r="N60" i="55" a="1"/>
  <c r="N60" i="55" s="1"/>
  <c r="O60" i="55" s="1"/>
  <c r="N79" i="55" a="1"/>
  <c r="N79" i="55" s="1"/>
  <c r="N138" i="55" a="1"/>
  <c r="N138" i="55" s="1"/>
  <c r="P47" i="55"/>
  <c r="M47" i="55" a="1"/>
  <c r="M47" i="55" s="1"/>
  <c r="O47" i="55" s="1"/>
  <c r="N143" i="55" a="1"/>
  <c r="N143" i="55" s="1"/>
  <c r="O143" i="55" s="1"/>
  <c r="D12" i="26"/>
  <c r="K14" i="26"/>
  <c r="H103" i="55"/>
  <c r="G103" i="55"/>
  <c r="M43" i="55" a="1"/>
  <c r="M43" i="55" s="1"/>
  <c r="O43" i="55" s="1"/>
  <c r="M68" i="55" a="1"/>
  <c r="M68" i="55" s="1"/>
  <c r="O68" i="55" s="1"/>
  <c r="R108" i="55"/>
  <c r="T108" i="55" s="1"/>
  <c r="M131" i="55" a="1"/>
  <c r="M131" i="55" s="1"/>
  <c r="O131" i="55" s="1"/>
  <c r="S93" i="55"/>
  <c r="T93" i="55" s="1"/>
  <c r="M58" i="55" a="1"/>
  <c r="M58" i="55" s="1"/>
  <c r="O58" i="55" s="1"/>
  <c r="E6" i="26"/>
  <c r="G138" i="55"/>
  <c r="H138" i="55"/>
  <c r="G109" i="55"/>
  <c r="H105" i="55"/>
  <c r="G105" i="55"/>
  <c r="M84" i="55" a="1"/>
  <c r="M84" i="55" s="1"/>
  <c r="O84" i="55" s="1"/>
  <c r="H27" i="55"/>
  <c r="P18" i="55"/>
  <c r="N78" i="55" a="1"/>
  <c r="N78" i="55" s="1"/>
  <c r="U6" i="59"/>
  <c r="P48" i="55"/>
  <c r="H46" i="55"/>
  <c r="G46" i="55"/>
  <c r="F35" i="59"/>
  <c r="P87" i="55"/>
  <c r="H76" i="55"/>
  <c r="H74" i="55"/>
  <c r="G74" i="55"/>
  <c r="H52" i="55"/>
  <c r="G52" i="55"/>
  <c r="G7" i="55"/>
  <c r="H7" i="55"/>
  <c r="R134" i="55"/>
  <c r="T134" i="55" s="1"/>
  <c r="M147" i="55" a="1"/>
  <c r="M147" i="55" s="1"/>
  <c r="O147" i="55" s="1"/>
  <c r="N134" i="55" a="1"/>
  <c r="N134" i="55" s="1"/>
  <c r="O134" i="55" s="1"/>
  <c r="P36" i="55"/>
  <c r="R135" i="55"/>
  <c r="T135" i="55" s="1"/>
  <c r="N46" i="55" a="1"/>
  <c r="N46" i="55" s="1"/>
  <c r="O46" i="55" s="1"/>
  <c r="N65" i="55" a="1"/>
  <c r="N65" i="55" s="1"/>
  <c r="O65" i="55" s="1"/>
  <c r="M19" i="55" a="1"/>
  <c r="M19" i="55" s="1"/>
  <c r="O19" i="55" s="1"/>
  <c r="N15" i="55" a="1"/>
  <c r="N15" i="55" s="1"/>
  <c r="O15" i="55" s="1"/>
  <c r="N145" i="55" a="1"/>
  <c r="N145" i="55" s="1"/>
  <c r="R119" i="55"/>
  <c r="T119" i="55" s="1"/>
  <c r="N144" i="55" a="1"/>
  <c r="N144" i="55" s="1"/>
  <c r="N7" i="55" a="1"/>
  <c r="N7" i="55" s="1"/>
  <c r="O7" i="55" s="1"/>
  <c r="G54" i="55"/>
  <c r="J12" i="26"/>
  <c r="B12" i="26"/>
  <c r="R45" i="55"/>
  <c r="T45" i="55" s="1"/>
  <c r="S45" i="55"/>
  <c r="P35" i="55"/>
  <c r="N146" i="55" a="1"/>
  <c r="N146" i="55" s="1"/>
  <c r="O146" i="55" s="1"/>
  <c r="N95" i="55" a="1"/>
  <c r="N95" i="55" s="1"/>
  <c r="N91" i="55" a="1"/>
  <c r="N91" i="55" s="1"/>
  <c r="O91" i="55" s="1"/>
  <c r="M127" i="55" a="1"/>
  <c r="M127" i="55" s="1"/>
  <c r="O127" i="55" s="1"/>
  <c r="N136" i="55" a="1"/>
  <c r="N136" i="55" s="1"/>
  <c r="O136" i="55" s="1"/>
  <c r="P104" i="55"/>
  <c r="M93" i="55" a="1"/>
  <c r="M93" i="55" s="1"/>
  <c r="O93" i="55" s="1"/>
  <c r="G142" i="55"/>
  <c r="AL12" i="26"/>
  <c r="N14" i="59"/>
  <c r="M59" i="55" a="1"/>
  <c r="M59" i="55" s="1"/>
  <c r="O59" i="55" s="1"/>
  <c r="N74" i="55" a="1"/>
  <c r="N74" i="55" s="1"/>
  <c r="N106" i="55" a="1"/>
  <c r="N106" i="55" s="1"/>
  <c r="O106" i="55" s="1"/>
  <c r="M121" i="55" a="1"/>
  <c r="M121" i="55" s="1"/>
  <c r="O121" i="55" s="1"/>
  <c r="N66" i="55" a="1"/>
  <c r="N66" i="55" s="1"/>
  <c r="O66" i="55" s="1"/>
  <c r="H75" i="55"/>
  <c r="G143" i="55"/>
  <c r="S7" i="55"/>
  <c r="T7" i="55" s="1"/>
  <c r="M27" i="55" a="1"/>
  <c r="M27" i="55" s="1"/>
  <c r="O27" i="55" s="1"/>
  <c r="M52" i="55" a="1"/>
  <c r="M52" i="55" s="1"/>
  <c r="O52" i="55" s="1"/>
  <c r="N38" i="55" a="1"/>
  <c r="N38" i="55" s="1"/>
  <c r="N122" i="55" a="1"/>
  <c r="N122" i="55" s="1"/>
  <c r="M98" i="55" a="1"/>
  <c r="M98" i="55" s="1"/>
  <c r="O98" i="55" s="1"/>
  <c r="N128" i="55" a="1"/>
  <c r="N128" i="55" s="1"/>
  <c r="O128" i="55" s="1"/>
  <c r="N119" i="55" a="1"/>
  <c r="N119" i="55" s="1"/>
  <c r="M21" i="55" a="1"/>
  <c r="M21" i="55" s="1"/>
  <c r="O21" i="55" s="1"/>
  <c r="M145" i="55" a="1"/>
  <c r="M145" i="55" s="1"/>
  <c r="N39" i="55" a="1"/>
  <c r="N39" i="55" s="1"/>
  <c r="M38" i="55" a="1"/>
  <c r="M38" i="55" s="1"/>
  <c r="N8" i="55" a="1"/>
  <c r="N8" i="55" s="1"/>
  <c r="O8" i="55" s="1"/>
  <c r="N71" i="55" a="1"/>
  <c r="N71" i="55" s="1"/>
  <c r="O71" i="55" s="1"/>
  <c r="N63" i="55" a="1"/>
  <c r="N63" i="55" s="1"/>
  <c r="O63" i="55" s="1"/>
  <c r="N10" i="55" a="1"/>
  <c r="N10" i="55" s="1"/>
  <c r="O10" i="55" s="1"/>
  <c r="M138" i="55" a="1"/>
  <c r="M138" i="55" s="1"/>
  <c r="O138" i="55" s="1"/>
  <c r="M50" i="55" a="1"/>
  <c r="M50" i="55" s="1"/>
  <c r="O50" i="55" s="1"/>
  <c r="M32" i="55" a="1"/>
  <c r="M32" i="55" s="1"/>
  <c r="O32" i="55" s="1"/>
  <c r="M123" i="55" a="1"/>
  <c r="M123" i="55" s="1"/>
  <c r="O123" i="55" s="1"/>
  <c r="T84" i="55"/>
  <c r="H45" i="55"/>
  <c r="G45" i="55"/>
  <c r="H139" i="55"/>
  <c r="G139" i="55"/>
  <c r="O5" i="59"/>
  <c r="M40" i="55" a="1"/>
  <c r="M40" i="55" s="1"/>
  <c r="O40" i="55" s="1"/>
  <c r="M130" i="55" a="1"/>
  <c r="M130" i="55" s="1"/>
  <c r="O130" i="55" s="1"/>
  <c r="N18" i="55" a="1"/>
  <c r="N18" i="55" s="1"/>
  <c r="O18" i="55" s="1"/>
  <c r="N107" i="55" a="1"/>
  <c r="N107" i="55" s="1"/>
  <c r="O107" i="55" s="1"/>
  <c r="N124" i="55" a="1"/>
  <c r="N124" i="55" s="1"/>
  <c r="O124" i="55" s="1"/>
  <c r="P74" i="55"/>
  <c r="G97" i="55"/>
  <c r="G88" i="55"/>
  <c r="S31" i="55"/>
  <c r="T31" i="55" s="1"/>
  <c r="H65" i="55"/>
  <c r="N82" i="55" a="1"/>
  <c r="N82" i="55" s="1"/>
  <c r="N123" i="55" a="1"/>
  <c r="N123" i="55" s="1"/>
  <c r="N12" i="59"/>
  <c r="H28" i="55"/>
  <c r="G28" i="55"/>
  <c r="H14" i="55"/>
  <c r="G14" i="55"/>
  <c r="P122" i="55"/>
  <c r="T49" i="55" l="1"/>
  <c r="N18" i="59"/>
  <c r="O79" i="55"/>
  <c r="T2" i="55"/>
  <c r="U2" i="55" s="1"/>
  <c r="T155" i="55"/>
  <c r="O38" i="55"/>
  <c r="G156" i="55"/>
  <c r="G2" i="55"/>
  <c r="G155" i="55"/>
  <c r="G3" i="55"/>
  <c r="S18" i="55"/>
  <c r="R18" i="55"/>
  <c r="T18" i="55" s="1"/>
  <c r="R104" i="55"/>
  <c r="S104" i="55"/>
  <c r="L13" i="59"/>
  <c r="M13" i="59"/>
  <c r="G18" i="59"/>
  <c r="AJ2" i="53"/>
  <c r="T42" i="55"/>
  <c r="R87" i="55"/>
  <c r="S87" i="55"/>
  <c r="R47" i="55"/>
  <c r="S47" i="55"/>
  <c r="T105" i="55"/>
  <c r="R74" i="55"/>
  <c r="S74" i="55"/>
  <c r="R30" i="55"/>
  <c r="S30" i="55"/>
  <c r="U13" i="59"/>
  <c r="T13" i="59"/>
  <c r="H7" i="26"/>
  <c r="G6" i="26"/>
  <c r="O95" i="55"/>
  <c r="R36" i="55"/>
  <c r="T36" i="55" s="1"/>
  <c r="S36" i="55"/>
  <c r="O39" i="55"/>
  <c r="T88" i="55"/>
  <c r="S48" i="55"/>
  <c r="R48" i="55"/>
  <c r="T48" i="55" s="1"/>
  <c r="O122" i="55"/>
  <c r="T5" i="59"/>
  <c r="U5" i="59"/>
  <c r="O145" i="55"/>
  <c r="H2" i="55"/>
  <c r="H155" i="55"/>
  <c r="O18" i="59"/>
  <c r="R35" i="55"/>
  <c r="S35" i="55"/>
  <c r="R122" i="55"/>
  <c r="S122" i="55"/>
  <c r="T30" i="55" l="1"/>
  <c r="T87" i="55"/>
  <c r="T74" i="55"/>
  <c r="T122" i="55"/>
  <c r="M18" i="59"/>
  <c r="L18" i="59"/>
  <c r="T35" i="55"/>
  <c r="I7" i="26"/>
  <c r="H6" i="26"/>
  <c r="T18" i="59"/>
  <c r="U18" i="59"/>
  <c r="T104" i="55"/>
  <c r="H156" i="55"/>
  <c r="H3" i="55"/>
  <c r="T47" i="55"/>
  <c r="J7" i="26" l="1"/>
  <c r="I6" i="26"/>
  <c r="J6" i="26" l="1"/>
  <c r="K7" i="26"/>
  <c r="K6" i="26" l="1"/>
  <c r="L7" i="26"/>
  <c r="M7" i="26" l="1"/>
  <c r="L6" i="26"/>
  <c r="N7" i="26" l="1"/>
  <c r="M6" i="26"/>
  <c r="O7" i="26" l="1"/>
  <c r="N6" i="26"/>
  <c r="P7" i="26" l="1"/>
  <c r="O6" i="26"/>
  <c r="Q7" i="26" l="1"/>
  <c r="P6" i="26"/>
  <c r="R7" i="26" l="1"/>
  <c r="Q6" i="26"/>
  <c r="R6" i="26" l="1"/>
  <c r="S7" i="26"/>
  <c r="S6" i="26" l="1"/>
  <c r="T7" i="26"/>
  <c r="T6" i="26" l="1"/>
  <c r="U7" i="26"/>
  <c r="V7" i="26" l="1"/>
  <c r="U6" i="26"/>
  <c r="V6" i="26" l="1"/>
  <c r="W7" i="26"/>
  <c r="X7" i="26" l="1"/>
  <c r="W6" i="26"/>
  <c r="X6" i="26" l="1"/>
  <c r="Y7" i="26"/>
  <c r="Y6" i="26" l="1"/>
  <c r="Z7" i="26"/>
  <c r="Z6" i="26" l="1"/>
  <c r="AA7" i="26"/>
  <c r="AB7" i="26" l="1"/>
  <c r="AA6" i="26"/>
  <c r="AB6" i="26" l="1"/>
  <c r="AC7" i="26"/>
  <c r="AD7" i="26" l="1"/>
  <c r="AC6" i="26"/>
  <c r="AE7" i="26" l="1"/>
  <c r="AD6" i="26"/>
  <c r="AE6" i="26" l="1"/>
  <c r="AF7" i="26"/>
  <c r="AG7" i="26" l="1"/>
  <c r="AF6" i="26"/>
  <c r="AG6" i="26" l="1"/>
  <c r="AH7"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1"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761FE57D-D7DF-4431-A52D-4A43EE4A1660}">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A809E92D-0C38-4805-BCA3-E56219F8016F}">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<sst xmlns="http://schemas.openxmlformats.org/spreadsheetml/2006/main" count="6004" uniqueCount="1190">
  <si>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</si>
  <si>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</si>
  <si>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</si>
  <si>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</si>
  <si>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</si>
  <si>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</si>
  <si>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</si>
  <si>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</si>
  <si>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</si>
  <si>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</si>
  <si>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</si>
  <si>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</si>
  <si>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</si>
  <si>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</si>
  <si>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</si>
  <si>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</si>
  <si>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</si>
  <si>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</si>
  <si>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</si>
  <si>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</si>
  <si>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</si>
  <si>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</si>
  <si>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</si>
  <si>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</si>
  <si>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</si>
  <si>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</si>
  <si>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</si>
  <si>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</si>
  <si>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</si>
  <si>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</si>
  <si>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</si>
  <si>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</si>
  <si>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</si>
  <si>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</si>
  <si>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</si>
  <si>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</si>
  <si>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</si>
  <si>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</si>
  <si>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</si>
  <si>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</si>
  <si>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</si>
  <si>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</si>
  <si>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</si>
  <si>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</si>
  <si>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</si>
  <si>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</si>
  <si>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</si>
  <si>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</si>
  <si>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</si>
  <si>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</si>
  <si>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</si>
  <si>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</si>
  <si>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</si>
  <si>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</si>
  <si>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</si>
  <si>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</si>
  <si>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</si>
  <si>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</si>
  <si>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</si>
  <si>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</si>
  <si>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</si>
  <si>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</si>
  <si>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</si>
  <si>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</si>
  <si>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</si>
  <si>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</si>
  <si>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</si>
  <si>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</si>
  <si>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</si>
  <si>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</si>
  <si>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</si>
  <si>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</si>
  <si>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</si>
  <si>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</si>
  <si>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</si>
  <si>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</si>
  <si>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</si>
  <si>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</si>
  <si>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</si>
  <si>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</si>
  <si>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</si>
  <si>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</si>
  <si>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</si>
  <si>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</si>
  <si>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</si>
  <si>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</si>
  <si>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</si>
  <si>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</si>
  <si>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</si>
  <si>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</si>
  <si>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</si>
  <si>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</si>
  <si>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</si>
  <si>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</si>
  <si>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</si>
  <si>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</si>
  <si>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</si>
  <si>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</si>
  <si>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</si>
  <si>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</si>
  <si>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</si>
  <si>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</si>
  <si>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</si>
  <si>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</si>
  <si>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</si>
  <si>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</si>
  <si>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</si>
  <si>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</si>
  <si>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</si>
  <si>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</si>
  <si>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</si>
  <si>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</si>
  <si>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</si>
  <si>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</si>
  <si>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</si>
  <si>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</si>
  <si>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</si>
  <si>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</si>
  <si>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</si>
  <si>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</si>
  <si>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</si>
  <si>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</si>
  <si>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</si>
  <si>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</si>
  <si>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</si>
  <si>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</si>
  <si>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</si>
  <si>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</si>
  <si>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</si>
  <si>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</si>
  <si>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</si>
  <si>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</si>
  <si>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</si>
  <si>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</si>
  <si>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</si>
  <si>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</si>
  <si>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</si>
  <si>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</si>
  <si>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</si>
  <si>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</si>
  <si>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</si>
  <si>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</si>
  <si>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</si>
  <si>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</si>
  <si>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</si>
  <si>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</si>
  <si>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</si>
  <si>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</si>
  <si>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</si>
  <si>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</si>
  <si>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</si>
  <si>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</si>
  <si>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</si>
  <si>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</si>
  <si>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</si>
  <si>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</si>
  <si>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</si>
  <si>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</si>
  <si>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</si>
  <si>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</si>
  <si>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</si>
  <si>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</si>
  <si>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</si>
  <si>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</si>
  <si>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</si>
  <si>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</si>
  <si>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</si>
  <si>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</si>
  <si>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</si>
  <si>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</si>
  <si>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</si>
  <si>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</si>
  <si>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</si>
  <si>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</si>
  <si>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</si>
  <si>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</si>
  <si>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</si>
  <si>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</si>
  <si>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</si>
  <si>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</si>
  <si>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</si>
  <si>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</si>
  <si>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</si>
  <si>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</si>
  <si>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</si>
  <si>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</si>
  <si>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</si>
  <si>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</si>
  <si>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</si>
  <si>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</si>
  <si>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</si>
  <si>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</si>
  <si>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</si>
  <si>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</si>
  <si>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</si>
  <si>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</si>
  <si>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</si>
  <si>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</si>
  <si>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</si>
  <si>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</si>
  <si>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</si>
  <si>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</si>
  <si>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</si>
  <si>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</si>
  <si>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</si>
  <si>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</si>
  <si>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</si>
  <si>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</si>
  <si>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</si>
  <si>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</si>
  <si>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</si>
  <si>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</si>
  <si>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</si>
  <si>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</si>
  <si>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</si>
  <si>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</si>
  <si>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</si>
  <si>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</si>
  <si>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</si>
  <si>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</si>
  <si>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</si>
  <si>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</si>
  <si>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</si>
  <si>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</si>
  <si>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</si>
  <si>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</si>
  <si>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</si>
  <si>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</si>
  <si>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</si>
  <si>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</si>
  <si>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</si>
  <si>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</si>
  <si>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</si>
  <si>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</si>
  <si>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</si>
  <si>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</si>
  <si>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</si>
  <si>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</si>
  <si>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</si>
  <si>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</si>
  <si>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</si>
  <si>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</si>
  <si>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</si>
  <si>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</si>
  <si>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</si>
  <si>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</si>
  <si>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</si>
  <si>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</si>
  <si>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</si>
  <si>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</si>
  <si>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</si>
  <si>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</si>
  <si>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</si>
  <si>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</si>
  <si>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</si>
  <si>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</si>
  <si>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</si>
  <si>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</si>
  <si>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</si>
  <si>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</si>
  <si>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</si>
  <si>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</si>
  <si>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</si>
  <si>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</si>
  <si>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</si>
  <si>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</si>
  <si>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</si>
  <si>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</si>
  <si>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</si>
  <si>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</si>
  <si>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</si>
  <si>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</si>
  <si>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</si>
  <si>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</si>
  <si>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</si>
  <si>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</si>
  <si>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</si>
  <si>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</si>
  <si>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</si>
  <si>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</si>
  <si>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</si>
  <si>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</si>
  <si>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</si>
  <si>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</si>
  <si>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</si>
  <si>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</si>
  <si>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</si>
  <si>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</si>
  <si>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</si>
  <si>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</si>
  <si>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</si>
  <si>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</si>
  <si>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</si>
  <si>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</si>
  <si>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</si>
  <si>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</si>
  <si>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</si>
  <si>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</si>
  <si>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</si>
  <si>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</si>
  <si>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</si>
  <si>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</si>
  <si>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</si>
  <si>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</si>
  <si>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</si>
  <si>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</si>
  <si>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</si>
  <si>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</si>
  <si>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Covered in 
Framework?</t>
  </si>
  <si>
    <t>FunctionalBlock</t>
  </si>
  <si>
    <t>Bring-up</t>
  </si>
  <si>
    <t>Stage 1 
Test duration in hours</t>
  </si>
  <si>
    <t>Stgae 1 
Execution Status</t>
  </si>
  <si>
    <t>Stage 2 
Test duration in Min</t>
  </si>
  <si>
    <t>Stgae 2 
Execution Status</t>
  </si>
  <si>
    <t>CORE-FEAT-001</t>
  </si>
  <si>
    <t>WS.Storm.Core.ISA.1</t>
  </si>
  <si>
    <t>Joseph, Swapnesh</t>
  </si>
  <si>
    <t>CORE-09</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</si>
  <si>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</si>
  <si>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Provides Coverage for various ISAs
CCX_EXSC_Diag_Testplan.docx
CCX_Decode_Diag_Testplan.docx
CCX_UC_Diag_testPlan.docx
CCX_LS_DC_Diag_Testplan.docx
CCX_Cache_Diag_Testplan.docx</t>
  </si>
  <si>
    <t>STORM</t>
  </si>
  <si>
    <t xml:space="preserve">N-1 Completed </t>
  </si>
  <si>
    <t>CORE</t>
  </si>
  <si>
    <t xml:space="preserve">92/310 </t>
  </si>
  <si>
    <t>CORE-FEAT-002</t>
  </si>
  <si>
    <t>WS.Storm.Core.ISA.2</t>
  </si>
  <si>
    <t>Bijesh</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</si>
  <si>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</si>
  <si>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CORE-FEAT-003</t>
  </si>
  <si>
    <t>WS.Storm.Core.ISA.3</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</si>
  <si>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
[LS_26] - Secure Mode Access Prevention (SMAP)
[LS_27] - Supervisor Mode Execution Prevention (SMEP)
[LS_35] - MSRs
[LS_36] - Memory Type Range Registers (MTRR)
[LS_39] - Extended Fixed Range MTRR Type Field Encoding
[LS_38] - IORR
[PS_LS_92] – 4 cycle load to use for EMEM
[LS_45] - Emulation memory stored in DC</t>
  </si>
  <si>
    <t>deluge.yml</t>
  </si>
  <si>
    <t>CORE-FEAT-004</t>
  </si>
  <si>
    <t>WS.Storm.Core.ISA.4</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</si>
  <si>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[LS_26] - Secure Mode Access Prevention (SMAP)
[LS_27] - Supervisor Mode Execution Prevention (SMEP)
[LS_35] - MSRs
[LS_36] - Memory Type Range Registers (MTRR)
[LS_39] - Extended Fixed Range MTRR Type Field Encoding
[LS_38] - IORR</t>
  </si>
  <si>
    <t>Provides Coverage for various ISAs from Guest mode
CCX_EXSC_Diag_Testplan.docx
CCX_Decode_Diag_Testplan.docx
CCX_UC_Diag_testPlan.docx
CCX_LS_DC_Diag_Testplan.docx
CCX_Cache_Diag_Testplan.docx</t>
  </si>
  <si>
    <t>deluge_in_guest_mode.yml</t>
  </si>
  <si>
    <t xml:space="preserve">N-1 completed </t>
  </si>
  <si>
    <t>CORE-FEAT-005</t>
  </si>
  <si>
    <t>WS.Storm.Core.ISA.5</t>
  </si>
  <si>
    <t>Broad level coverage for Core Features</t>
  </si>
  <si>
    <t>rapid_deluge.yml</t>
  </si>
  <si>
    <t>CORE-FEAT-006</t>
  </si>
  <si>
    <t>WS.Storm.Core.ISA.6</t>
  </si>
  <si>
    <t>rapid_deluge_in_guest_mode.yml</t>
  </si>
  <si>
    <t>CORE-FEAT-007</t>
  </si>
  <si>
    <t>WS.Storm.CORE.Exerciser.1</t>
  </si>
  <si>
    <t>Provides coverage for various Structures and Quese from BP
 CCX_IC_BP_Diag_Testplan.docx</t>
  </si>
  <si>
    <t>stateless_function_call.yml</t>
  </si>
  <si>
    <t>CORE-FEAT-008</t>
  </si>
  <si>
    <t>WS.Storm.CORE.Exerciser.2</t>
  </si>
  <si>
    <t>stateless_function_call_in_guest_mode.yml</t>
  </si>
  <si>
    <t>CORE-FEAT-009</t>
  </si>
  <si>
    <t>WS.Storm.CORE.Exerciser.3</t>
  </si>
  <si>
    <t>Provides coverage for various Structures and Quese from BP
CCX_IC_BP_Diag_Testplan.docx
CCX_Decode_Diag_Testplan.docx</t>
  </si>
  <si>
    <t>Riptide.yml</t>
  </si>
  <si>
    <t>CORE-FEAT-010</t>
  </si>
  <si>
    <t>WS.Storm.CORE.Exerciser.4</t>
  </si>
  <si>
    <t>Provides coverage for various Structures and Quese in BP from Guest mode
CCX_IC_BP_Diag_Testplan.docx
CCX_Decode_Diag_Testplan.docx</t>
  </si>
  <si>
    <t>ubursts.yml</t>
  </si>
  <si>
    <t>CORE-FEAT-011</t>
  </si>
  <si>
    <t>WS.Storm.CORE.Exerciser.5</t>
  </si>
  <si>
    <t>supercell.yml</t>
  </si>
  <si>
    <t>CORE-FEAT-012</t>
  </si>
  <si>
    <t>WS.Storm.CORE.Exerciser.6</t>
  </si>
  <si>
    <t>rep_op_generator.rb.yml</t>
  </si>
  <si>
    <t>CORE-FEAT-013</t>
  </si>
  <si>
    <t>WS.Storm.Core.SRB</t>
  </si>
  <si>
    <t>[EX_037] - SRB Registers,Retire Atomicity
[LS_09] - Special Register Block (SRB) Controller and Queue
[DE_05] DE SRB write</t>
  </si>
  <si>
    <t>Validated SRB register access
CCX_EXSC_Diag_Testplan.docx
CCX_Decode_Diag_Testplan.docx
CCX_LS_DC_Diag_Testplan.docx</t>
  </si>
  <si>
    <t>ssp_zp_compat_exsc_leg037_srb_registers.yml</t>
  </si>
  <si>
    <t>CORE-FEAT-014</t>
  </si>
  <si>
    <t>WS.CDL.Core.TSCTestCases</t>
  </si>
  <si>
    <t>Vivek</t>
  </si>
  <si>
    <t>[EX_42] TSC test cases</t>
  </si>
  <si>
    <t>To ensure that time-stamp counter (TSC) feature is working as per the specification. CCX_EXSC_Diag_Testplan(4.6.42[EX_42])</t>
  </si>
  <si>
    <t>CORE-FEAT-015</t>
  </si>
  <si>
    <t>WS.CDL.Core.AperfMperfTestCases</t>
  </si>
  <si>
    <t>CORE-FEAT-016</t>
  </si>
  <si>
    <t>WS.CDL.Core.TSCSemTestCases</t>
  </si>
  <si>
    <t>Core_Group_15_TSC_Sync_Check_with_Semaphore_Lock.stf
Core_Group_16_TSC_Sync_Check_with_Semaphore_Lock_and_C6_Irritator.stf</t>
  </si>
  <si>
    <t>CORE-FEAT-017</t>
  </si>
  <si>
    <t>WS.CDL.Core.Down-coring</t>
  </si>
  <si>
    <t>[EX_49] Down-coring</t>
  </si>
  <si>
    <t>To ensure that the Down-coring feature is working as per specification. CCX_EXSC_Diag_Testplan(4.6.53[EX_53])</t>
  </si>
  <si>
    <t>Manual</t>
  </si>
  <si>
    <t>CORE-FEAT-018</t>
  </si>
  <si>
    <t>WS.Storm.CPU.CET</t>
  </si>
  <si>
    <t>[CPU002] – Control-flow Enforcement Technology (CET) – Shadow Stack
[CPU003] – Control-flow Enforcement Technology (CET) – Indirect Branch Tracking</t>
  </si>
  <si>
    <t xml:space="preserve"> Shadow Stack and Indirect branch tracking.
[4.6.2]CCX_Cache_Diag_TestPlan.docx</t>
  </si>
  <si>
    <t>shadowstack.yml</t>
  </si>
  <si>
    <t>CORE-FEAT-019</t>
  </si>
  <si>
    <t>WS.CDL.CPU.PPIN</t>
  </si>
  <si>
    <t>Kulkarni, Ganesh</t>
  </si>
  <si>
    <t>[CPU007] - Add PPIN support to CB core</t>
  </si>
  <si>
    <t>PPIN is a feature that provides a unique ID for each 
processor that can be used for inventory or other purposes.
[4.6.7]CCX_Cache_Diag_TestPlan.docx</t>
  </si>
  <si>
    <t>ppin.stf</t>
  </si>
  <si>
    <t xml:space="preserve">No Test </t>
  </si>
  <si>
    <t>CORE-FEAT-020</t>
  </si>
  <si>
    <t>CPUID [CPU015] – CPUID Values</t>
  </si>
  <si>
    <t>CPUID values provide information about the processor
implementation and its capabilities. The purpose of this test is to check the validity of these CPUID values.
[4.6.15]CCX_CPU_Diag_TestPlan.docx</t>
  </si>
  <si>
    <t>CORE-FEAT-021</t>
  </si>
  <si>
    <t>WS.Storm.CPU.x86ExceptionHandling</t>
  </si>
  <si>
    <t>[CPU017] - x86 Exception Handling
[CPU018] – Exception History Buffer</t>
  </si>
  <si>
    <t>The intent of this test is to verify the x86 exception handling
 capabilities of AMD processors.
[4.6.17]CCX_CPU_Diag_TestPlan.docx</t>
  </si>
  <si>
    <t>CORE-FEAT-022</t>
  </si>
  <si>
    <t>WS.CDL.CPU.BranchTraceHistoryBuffer</t>
  </si>
  <si>
    <t>[CPU019] – Branch Trace History Buffer</t>
  </si>
  <si>
    <t>Validate Branch trace history feature(BTHB) feature.
[4.6.19]CCX_CPU_Diag_TestPlan.docx</t>
  </si>
  <si>
    <t>Bthb_Trace.stf</t>
  </si>
  <si>
    <t>CORE-FEAT-023</t>
  </si>
  <si>
    <t>WS.CDL.CPU.SKINIT</t>
  </si>
  <si>
    <t>[CPU00X] – Secure Kernel INIT</t>
  </si>
  <si>
    <t>Skinit Unit Test Plan
CCX_CPU_Diag_TestPlan.docx</t>
  </si>
  <si>
    <t>UEFI</t>
  </si>
  <si>
    <t>CORE-FEAT-024</t>
  </si>
  <si>
    <t>WS.CDL.ISA.RepInstructions</t>
  </si>
  <si>
    <t>Pandey, Vivek</t>
  </si>
  <si>
    <t>[LS_78] - The Rep Instructions Exerciser
[LS_76]  - Certain REP MOVS and REP STOS May Result in Unpredictable Behavior
[EX_49] Memory Renaming
UCODE_Exerciser:
[DE_09] Microcode Word Queue (MWQ)
[DE_11] Microcode thread switching
[CPU005] - Use non-temporal requests for Rep Mov and Rep St larger than L3 cache size</t>
  </si>
  <si>
    <t xml:space="preserve">The test verifies and exercises different instructions
 (MOVS, CMPS, SCAS, STOC, ) with the REP prefix. The instructions are exercised with different possible rcx values and different starting pointers for all instructions. The rep movs instructions are specifically exercised with page faults on every page involved in the string copy.
CCX_LS_DC_Diag_Testplan (4.6.78[LS_78] )
</t>
  </si>
  <si>
    <t>EX-FEAT-001</t>
  </si>
  <si>
    <t>WS.Storm.EX.SchedulerQExerciser</t>
  </si>
  <si>
    <t>EX-01</t>
  </si>
  <si>
    <t xml:space="preserve">[EX_18] Checkpoint queue and BBQ,
[EX_19] Dispatch Queue and AGU,
[EX_20] Status Queue,
[EX_21] Branch Prediction Queue,
[EX_23] Checkpoint Array
[EX_24] Flag Register Files
[EX_25] Payload Array
[EX_26] Schedule Queue
[EX_27] Result Muxing 
[EX_28] Retire Queue
[EX_48] Differential Checkpointing
[EX_31] Replay Suppression
[EX_52] Zen Move to Fully Distributed Scheduler Queues,
[EX_54] 3 AGEN
[EX_55] Deeper Scheduler, 
[EX_57] Deeper Retire Queue,
[EX_58] Larger PRF
</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</si>
  <si>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CCX_EXSC_Diag_Testplan.docx</t>
  </si>
  <si>
    <t>st279_gnb0_gna0_vmr_compat_deeper_scheduler.yml</t>
  </si>
  <si>
    <t>EX</t>
  </si>
  <si>
    <t>EX-FEAT-002</t>
  </si>
  <si>
    <t>WS.Storm.EX.RetireQExercisers</t>
  </si>
  <si>
    <t xml:space="preserve"> [EX_57]Deeper Retire Queue</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</si>
  <si>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CCX_EXSC_Diag_Testplan(4.6.57)</t>
  </si>
  <si>
    <t>st276_gnb0_gna0_vmr_compat_deeper_retire_queue.yml</t>
  </si>
  <si>
    <t>EX-FEAT-003</t>
  </si>
  <si>
    <t>WS.CDL.EX.IntegerUintExercisers</t>
  </si>
  <si>
    <t xml:space="preserve">[EX_11] – Combine MUL instructions and non-arithmetic instruction
[EX_19] – Dispatch Queue and AGU
[EX_24] - Flag Register Files
[EX_29] - ALU  - Arithmetic, Logical and Conditionals
[EX_47] Distributed Issue Queues - 3 (2 ALU, 1 AGU), 20entry, each queue can absorb 6in/clock
[EX_46] ROB/RetQueue 192 entry, static partition for SMT
[EX_56] Improved integer multiply,
[EX_58] – Larger PRF
[LS_28] - Physical Register File (PRF)
[LS_43] - LS-DC Exerciser – Directed Tests
</t>
  </si>
  <si>
    <t>The purpose/goal of the test is to ensure that the Dispatch queue within the EXSC logic block is exercised exhaustively with all corner cases covered.  Subsequent report is that Deltas test plan also has coverage for this – so be sure not to duplicate if Deltas plan is already implemented.
 CCX_EXSC_Diag_Testplan.docx</t>
  </si>
  <si>
    <t>Integer_Unit_Stress.stf</t>
  </si>
  <si>
    <t>EX-FEAT-004</t>
  </si>
  <si>
    <t>WS.Storm.EX.InterfaceExerciser</t>
  </si>
  <si>
    <t>[EX_35]Dispatch/Retire/SpecLockMap Interface</t>
  </si>
  <si>
    <t>This feature allows speculative retire past a LOCK instruction. The Retire Map State and several other registers (listed below) are shadowed in the SpecLockMap State such that if the LOCK is aborted, we can recover that state and proceed correctly.
 CCX_EXSC_Diag_Testplan(4.6.35[EX_35])</t>
  </si>
  <si>
    <t>ssp_zp_compat_exsc_leg035_dispatch_retire_speclockmap_interface.yml</t>
  </si>
  <si>
    <t>LS-FEAT-001</t>
  </si>
  <si>
    <t>WS.CDL.LS.DataCacheExerciser</t>
  </si>
  <si>
    <t>LS-02</t>
  </si>
  <si>
    <t>[LS_01] - Data Cache
[LS_02] - DC uTag
[LS_40] - DC data errors
[LS_41] - DC poison bit errors
[LS_42] - DC tag array errors
[PS_LS_87] – Latch-Array DCache Byte-Write CapableLF using LHash 
[LS_43] - LS-DC Exerciser – Directed Tests</t>
  </si>
  <si>
    <t>The purpose of the test is to ensure that the Data Cache is tested exhaustively with all corner cases covered. 
CCX_LS_DC_Diag_Testplan (4.6.1[LS_01] )</t>
  </si>
  <si>
    <t>Passes on Loop of 1 , and fails on anything beyond 1.
Under debug.
DENVRTVF-32744
DENVRTVF-33772
DENVRTVF-34599</t>
  </si>
  <si>
    <t>LS</t>
  </si>
  <si>
    <t>LS-FEAT-002</t>
  </si>
  <si>
    <t>WS.CDL.LS.TLBExerciser</t>
  </si>
  <si>
    <t xml:space="preserve">[LS_02] - DC uTagDC uTag
[LS_03] - Load Queue
[LS_04] - Store Queue
[LS_08] - Miss Address Buffer (MAB)
[PS_LS_96] – Larger Load Queue (STQ)
[PS_LS_97] – Larger Store Queue (STQ)
[LS_53] - Deeper Store Queue (STQ)
[LS_43] - LS-DC Exerciser – Directed Tests
[LS_54] - TLBI
[LS_67] - L1 TLB 2M Page
[LS_55] - 16K Pages
[PS_LS_100] - Larger L1 DTLB
[LS_47] - 2048-entry L2DTLB
[PS_LS_100] - Larger L1 DTLB
[CH22]-Page Size and TLB entries
</t>
  </si>
  <si>
    <t>The purpose of the test is to ensure that the LDQ/STQ and DTLB with all different Page sizes are exercised exhaustively with all corner cases covered. This would also provide coverage fro TLBI(INVLPGB/TLBSYnc) feature.
 CCX_LS_DC_Diag_Testplan (4.6.3[LS_03], 4,8)
Test all types of page translations, i.e. page size of 
4K, 2M and 1G.
CCX_Cache_Diag_TestPlan.docx(4.5.22[CH_022])</t>
  </si>
  <si>
    <t>LS01_TLB_Exerciser.stf
LS01_1_TLB_Exerciser.stf
LS01_2_TLB_Exerciser.stf
LS01_3_TLB_Exerciser.stf
LS01_4_TLB_Exerciser.stf</t>
  </si>
  <si>
    <t>/CPU/linux/Cache_Suite/TLB_Exerciser --cpu all -t 4h</t>
  </si>
  <si>
    <t>LS-FEAT-003</t>
  </si>
  <si>
    <t>WS.CDL.LS.WcbScbExerciser</t>
  </si>
  <si>
    <t xml:space="preserve">[LS_05] - Write Combining Buffer (WCB)
[LS_32] - Speculative WC loads
[PS_LS_88] – Reduce Victim and SCB conflicts with loads
 [LS_75] - WC Timer
[CH04]-Write combining buffer (WCB)
</t>
  </si>
  <si>
    <t>The purpose of the test is to ensure that the WCB is exercised exhaustively with all corner cases covered.
CCX_LS_DC_Diag_Testplan (4.6.5[LS_05])
The Write Combining Buffer (WCB) is a block of 8 cache-line data buffers, which are the data storage for LS non-cacheable in L1D stores. 
CCX_Cache_Diag_TestPlan.docx(4.5.4[CH_004])</t>
  </si>
  <si>
    <t>LS-FEAT-004</t>
  </si>
  <si>
    <t>WS.Storm.LS.LdqExerciser</t>
  </si>
  <si>
    <t xml:space="preserve">[LS_006] - Load Ordering 
Queue (LOQ)
[PS_LS_98] –Larger Load Ordering Queue (LOQ)
[PS_LS_93] – LOQ_SP : Separate RSP-based LOQ
[PS_LS_94] – Issue RdBlkWeakX instead of C2X on speculative store
</t>
  </si>
  <si>
    <t>The purpose of the test is to ensure that the LOQ is exercised exhaustively with all corner cases covered.
CCX_LS_DC_Diag_Testplan (4.6.6[LS_06])</t>
  </si>
  <si>
    <t>ssp_zp_compat_lsdc_leg006_load_ordering_queue.yml</t>
  </si>
  <si>
    <t>LS-FEAT-005</t>
  </si>
  <si>
    <t>WS.Storm.LS.OobExerciser</t>
  </si>
  <si>
    <t>[LS_007] - Out of Order Buffer (OOB)
[PS_LS_99] – Larger Out of Order Buffer (OOB)</t>
  </si>
  <si>
    <t>The purpose of the test is to ensure that the OOB is exercised exhaustively with all corner cases covered.
 CCX_LS_DC_Diag_Testplan (4.6.7[LS_07])</t>
  </si>
  <si>
    <t>ssp_zp_compat_lsdc_leg007_out_of_order_buffer.yml</t>
  </si>
  <si>
    <t>LS-FEAT-006</t>
  </si>
  <si>
    <t>WS.CDL.LS.CacheLockBusLock</t>
  </si>
  <si>
    <t>[LS_10] - Load-Op-store
[LS_11] - Locks
[LS_12] - Speculative Lock Map
[LS_13] - Contended Lock Predictor
[LS_14] - Spinning Load/Lock Acquire Widget
[LS_62] - CacheLock And BusLock New
 [LS_69] - CMPXCHG16B
[CH05]-Cache Locks  &amp; BusLocks
[CH21]-Locked Access</t>
  </si>
  <si>
    <t>The purpose of the test is to ensure that the Load-Op-Store and Locks is exercised exhaustively with all corner cases covered. 
CCX_LS_DC_Diag_Testplan (4.6.10[LS_10], 13[LS_13])
Locked Load operations.
CCX_Cache_Diag_TestPlan.docx(4.5.5[CH_005])</t>
  </si>
  <si>
    <t>Cache_Lock_And_Bus_Lock.stf
Cache_Lock_And_Bus_Lock_New.stf</t>
  </si>
  <si>
    <t>LS-FEAT-007</t>
  </si>
  <si>
    <t>WS.CDL.LS.StlfStli</t>
  </si>
  <si>
    <t xml:space="preserve">[LS_16] Store To Load Interleaving 
[LS_17] Store To Load Forwarding 
[LS_22] - Memory renaming
[LS_24] - IC DC sharing
[PS_LS_86] – STLF using Lhash
[LS_82] - MDP 
[DE_14] Resync Prediction
[LS_43] - LS-DC Exerciser – Directed Tests
[EX_49] Memory Renaming
[EX_34] Redirect/Flush Interface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t>
  </si>
  <si>
    <t xml:space="preserve">The purpose of the test is to ensure that the “Store To Load Interleaving”  and  “Store To Load forwarding” are exercised exhaustively with all corner cases covered. 
CCX_LS_DC_Diag_Testplan (4.3.16[LS_16], 17[ls_17])  </t>
  </si>
  <si>
    <t>STLF.stf</t>
  </si>
  <si>
    <t>LS-FEAT-008</t>
  </si>
  <si>
    <t>WS.CDL.LS.SmcCmc</t>
  </si>
  <si>
    <t>[LS_018] - SMC and CMC
 [PS_LS_85] – Additional completion port for SMC
[CH19]-Self Modifying Code
[CH20]-Cross Core Data Sharing</t>
  </si>
  <si>
    <t xml:space="preserve">The purpose of the test is to ensure that the SMC &amp; CMS are exercised exhaustively with all corner cases covered. CCX_LS_DC_Diag_Testplan (4.6.18[LS_18]) </t>
  </si>
  <si>
    <t>Cross_Modifying_Code.stf</t>
  </si>
  <si>
    <t>LS-FEAT-009</t>
  </si>
  <si>
    <t>WS.CDL.LS.StreamingStore</t>
  </si>
  <si>
    <t xml:space="preserve"> [LS_31] - Streaming Store</t>
  </si>
  <si>
    <t xml:space="preserve">The purpose of the test is to ensure that the Streaming Store is exercised exhaustively with all corner cases covered. 
CCX_LS_DC_Diag_Testplan (4.6.31[LS_31]) </t>
  </si>
  <si>
    <t>/CPU/linux/Core_Suite/Streaming_Store_Instructions --cpu all -t 4h</t>
  </si>
  <si>
    <t>LS-FEAT-010</t>
  </si>
  <si>
    <t>WS.CDL.LS.MonitorMwait</t>
  </si>
  <si>
    <t>[LS_33] - MONITOR/MWAIT Instructions</t>
  </si>
  <si>
    <t xml:space="preserve">The MONITOR instruction establishes a linear address range to be monitored by hardware and causes the processor to enter the monitor event pending state. .
CCX_LS_DC_Diag_Testplan (4.6.33[LS_33]) </t>
  </si>
  <si>
    <t>Monitor_Mwait.stf</t>
  </si>
  <si>
    <t>/CPU/linux/Core_Suite/Monitor_Mwait --cpu all -t 6h</t>
  </si>
  <si>
    <t>6h</t>
  </si>
  <si>
    <t>8h</t>
  </si>
  <si>
    <t>25h</t>
  </si>
  <si>
    <t>LS-FEAT-011</t>
  </si>
  <si>
    <t>WS.Storm.LS.PageMigration</t>
  </si>
  <si>
    <t>[LS_34] - Memory Aliasing to coherent to coherent and non-coherent to non-coherent
 [LS_70] - Linear Address Alias Check
[LS_079] - The Page Size Migration</t>
  </si>
  <si>
    <t>The purpose of the test is to ensure that the SMEP/SMAP/MSRs is exercised exhaustively with all corner cases covered. 
CCX_LS_DC_Diag_Testplan (4.6.35[LS_35])</t>
  </si>
  <si>
    <t>Covered by majority of diags</t>
  </si>
  <si>
    <t>LS-FEAT-012</t>
  </si>
  <si>
    <t>WS.CDL.LS.CacheFlush</t>
  </si>
  <si>
    <t>[LS_51] - WBNOINVD
[CH12]-Flush iterator
[CH18]-Exercise Cache Array Flush Operations</t>
  </si>
  <si>
    <t>The purpose of this test is to check the functionality of new instruction WBNOINVD. CCX_LS_DC_Diag_Testplan (4.6.51[LS_51])   
A hardware iterator inside L2Ctl responds by issuing an  atomic sequence of 1024 special array operations on consecutive clock cycles.
CCX_Cache_Diag_TestPlan.docx(4.5.12[CH_012])</t>
  </si>
  <si>
    <t>/CPU/linux/Cache_Suite/Cache_WBNOINVD --cpu all --wbnoinvd-pmc-check -t 1h
/CPU/linux/Cache_Suite/Cache_WBNOINVD --cpu all --wbnoinvd-pmc-check --wbnoinvd-using-mov-cr7 -t 1h
/CPU/linux/Cache_Suite/Cache_WBNOINVD --cpu all --wbnoinvd-performance-check --wbnoinvd-using-mov-cr7 -t 1h
/CPU/linux/Cache_Suite/Cache_WBNOINVD --cpu all --wbnoinvd-performance-check -t 1h</t>
  </si>
  <si>
    <t>LS-FEAT-013</t>
  </si>
  <si>
    <t>WS.Storm.LS.TLBI.1</t>
  </si>
  <si>
    <t xml:space="preserve">[LS_54] - TLBI
</t>
  </si>
  <si>
    <t xml:space="preserve">The purpose of this test is to check the functionality of TLBI Feature. 
CCX_LS_DC_Diag_Testplan (4.6.54[LS_54]) </t>
  </si>
  <si>
    <t>tlbi_stress.rb</t>
  </si>
  <si>
    <t>LS-FEAT-014</t>
  </si>
  <si>
    <t>WS.CDL.LS.TLBI.2</t>
  </si>
  <si>
    <t xml:space="preserve">The purpose of this test is to check the functionality of TLBI Featureenhancement.
CCX_LS_DC_Diag_Testplan (4.6.54[LS_54]) 
Below is the setup for AMDSOS, TLBI with latest SVM support is on v5.7
http://confluence.amd.com/display/CoreSiDebug/amdsos+kernel+patch
Once updated “tlbi=enable” has to be added in Grub setting. </t>
  </si>
  <si>
    <t>TBD</t>
  </si>
  <si>
    <t>/CPU/linux/Cache_Suite/TLB_Exerciser --cpu all --reduce-tlb-size --reduce-mab-size --enable-1g-page --enable-2m-page --execute-tlbi --internal-loop 1 --page-access-count 1000 --page-count-4k 256 -t 4h</t>
  </si>
  <si>
    <t>LS-FEAT-015</t>
  </si>
  <si>
    <t>WS.Storm.LS.MPK</t>
  </si>
  <si>
    <t xml:space="preserve">[LS066] – Memory Protection Keys </t>
  </si>
  <si>
    <t xml:space="preserve">Validate the Memory Protection Keys\, which is a security feature introduced  to restrict data accesses to user mode addresses.
CCX_LS_DC_Diag_Testplan(4.6.66[LS_66]) </t>
  </si>
  <si>
    <t>/proj/diags_blr_storm/common_storm/yml/gna0_vmr_compat/cbb0_vmra0_paging_faults_for_mpk.yml</t>
  </si>
  <si>
    <t>LS-FEAT-016</t>
  </si>
  <si>
    <t>WS.CDL.LS.MisallignedAccess</t>
  </si>
  <si>
    <t>Ramakrishna</t>
  </si>
  <si>
    <t>[LS_80] – Instruction and Data Misalignment</t>
  </si>
  <si>
    <t xml:space="preserve">The intent of this test is to exercise Misaligned loads and stores, to certify the feature
CCX_LS_DC_Diag_Testplan </t>
  </si>
  <si>
    <t>LSDC_Stress.stf</t>
  </si>
  <si>
    <t>LS-FEAT-017</t>
  </si>
  <si>
    <t>WS.Storm.LS.LargerVA</t>
  </si>
  <si>
    <t>[PS_LS_83] - Larger VA (57 or 52 bits)/ PA (52 bits)</t>
  </si>
  <si>
    <t>Extend the address space to support 52-bit Physical and 57-bit Virtual Address.
CCX_LS_DC_Diag_Testplan (4.6.83[LS_83] )</t>
  </si>
  <si>
    <t>LS-FEAT-018</t>
  </si>
  <si>
    <t>WS.Storm.LS.UpperAddressIgnore</t>
  </si>
  <si>
    <t>[PS_LS_84] – Upper Address Ignor</t>
  </si>
  <si>
    <t>Address sanitizer (ASAN) is a software method for checking accesses to ensure that they do not go outside of bounds.
CCX_LS_DC_Diag_Testplan (4.6.84[LS_84] )</t>
  </si>
  <si>
    <t>LS-FEAT-019</t>
  </si>
  <si>
    <t>SW.CDL.LS.Prefetch</t>
  </si>
  <si>
    <t xml:space="preserve">[LS_15] -RIP based Stride Prefetcher
[PS_LS_90] – SW prefetch with PREFETCHT0 to L1 and PREFETCHT1/2 to L2
 [LS_73] - PREFETCH/PREFETCHW Instructions
 [LS_68] - PrefetchLock
[LS_46] - HW Prefetchers, prefetcher hint interface to L2
[LS_52] - Prefetching Improvements
[CH06]-L2 prefetcher - L2 Independent Stream Prefetcher
[CH07]-L2 prefetcher - Up/Down Prefetcher 
[CH_08] - L2 prefetcher - Dependent Stride Prefetche
[CH24]-Improved Pre-fetch Throttling
</t>
  </si>
  <si>
    <t>PS should only prefetch to L2 for PREFETCHT1 and PREFETCHT2.
CCX_LS_DC_Diag_Testplan (4.6.90[LS_90] )
The purpose of the L2 Prefetcher is to generate and queue 
prefetches which will return data to the L2 cache.
CCX_Cache_Diag_TestPlan.docx(4.5.6[CH_006])
The Up/Down Prefetcher (UDP) is used to identify 
“slow-moving” stride/stream patterns which run into limitations with the existing stride/stream prefetchers.
CCX_Cache_Diag_TestPlan.docx(4.5.7[CH_007])</t>
  </si>
  <si>
    <t>Region prefetching is complete</t>
  </si>
  <si>
    <t>LS-FEAT-020</t>
  </si>
  <si>
    <t>WS.CDL.LS.DTLB</t>
  </si>
  <si>
    <t>[LS_67] - L1 TLB 2M Page
[LS_55] - 16K Pages
[PS_LS_100] - Larger L1 DTLB
[LS_47] - 2048-entry L2DTLB
[PS_LS_100] - Larger L1 DTLB
[CH22]-Page Size and TLB entries</t>
  </si>
  <si>
    <t>Increased to72-entry L1DTLB from 64.
CCX_LS_DC_Diag_Testplan (4.6.100[LS_100] )</t>
  </si>
  <si>
    <t>DTLB_stress.stf</t>
  </si>
  <si>
    <t>FP-FEAT-001</t>
  </si>
  <si>
    <t>WS.Storm.FP.Exerciser.1</t>
  </si>
  <si>
    <t>Shyamasundar, Srilakshmi
Khaleel, Uzma</t>
  </si>
  <si>
    <t>FP-03</t>
  </si>
  <si>
    <t xml:space="preserve">[FP_01] - Accelerated Flush
[FP_03] - FMAC instruction( already present),
[FP_04] - ALL instructions – x87/MMX/SSE/AVX,
[FP_05] - Replay Optimization,
[FP_06] - Optimized IMUL/IMAC,
[FP_07] - Optimized SRT,
[FP_09] - FPCVT - Dedicated Int to FP bus and FP2INT,
[FP_10] – FMUL instruction,
[FP_11] – FPA  and FADD instructions,
[FP_12] – 4 pipe with 3 source op pipe sharing
[FP_13] – Full Single Cycle Support,
[FP_14] – FpMOV[LH]PD  and interrupts/Traps,
[FP_15] – FP Status Register File ( SRF),
[FP_16] – FPU Freelist,
[FP_17] – FP and non-FP – Uncacheable space,
[FP_20] – FP Operand Types and Special Datapaths,
[FP_23] – FPU Exceptions and Special Cases
[FP_25] – FPU Suppress Write,
[FP_28] – FPSCE – MBV( Match Bit Vector),
[FP_34] - Exception and Pipe Control
[FP_43] - FPDIV massive underflow/overflow,
[FP_44] – FPU State Loads
[FP_45] – FPCVT and EP ( Extended Precision)
 [FP_46] - 3DNow Instructions
 [FP_47] - 3DNowExtension Instructions
[FP_48] – FPCVT and EP ( Extended Precision),   
[FP_49] – SSE2
[FP_50] – SSE3
[FP_51] – SSE4a
[FP_52] – MMX Extension
[FP_53] – Legacy Instructions, 
[FP_54] – Increase FPU skid-buffer capacity[FP_55] - MOVNTSS/MOVNTSD Instructions, 
[FP_56] - 128-bit FPU Data Path for Vector SSE,
[FP_57] - Instruction Bytes Fetching Per Cycle,
[FP_58] - SSE move-compute single-entry scheme,
[FP_59] - FST and FSTP Instructions May Calculate Operand Address in Incorrect Mode,
[FP_60] - FP scalar merge source removal via zero bit,
[FP_61] - PIFU for one-cycle scheduling of dependent SSE/MMX PI ops,
[FP_62] - BT x87 instructions,
[FP_63] - x87 accuracy, 
[FP_64] - Supplemental SSE3, (SSSE3) Opcodes, 
[FP_65] - x87 and SSE exceptions,
[FP_66] - Aliased FPU instructions,
[FP_67] - FP Move Eliminate optimization,
[FP_68] - FP scalar z bit (zero bit) optimizaton for XMM,
[FP_69] - Movlpd/Movhpd optimization - Merge dependency; requires that the instruction pair retire,
[FP_70] - FP Xor/Com/Shifts optimization to force zeros or ones on MMX, 
SSE/AVX, 
[FP_72] - FP multiplies underneath div/sqrt,
[FP_73] - FP denormal handling,
[FP_74] - New instructions – SSE 4.1, 4.2, TBM, AVX,
[FP_75] - VMaskMov (and interactions with exceptions/faults),
[FP_76] - FMAC Denormal support,
[FP_77] - FP: PCLMUL,
[FP_78] - SSE 4.2 String Compare, 
[FP_79] - AES instructions,
[FP_80] -MPSAD instructions,
[FP_81] - DPP instructions, 
[FP_82] - SSE 4.1 new instructions,
[FP_83] - 3 to 2 cycle instructions &amp; debug breakpoint,
[FP_84] - AVX/VEX and F16C,
[FP_85] - SSE Misaligned Mode
[FP_86] - Add AVX256 support for AES &amp; PCLMULQDQ instructions 
[FP_87] - Floating-Point Divide and Square Root (FPDIV) ,
[FP_88] - Separate x87 unit, 
[FP_89] - SHA1/SHA256, 
[DE_19] Floating Point (FP) 256 instructions
</t>
  </si>
  <si>
    <t>Provides coverage for FP ISA
CCX_FP_Diag_Testplan</t>
  </si>
  <si>
    <t>FP</t>
  </si>
  <si>
    <t>FP-FEAT-002</t>
  </si>
  <si>
    <t>WS.CDL.FP.Exerciser.2</t>
  </si>
  <si>
    <t>[FP_10] - FMUL, 
[FP_11] - FPA  and FADD instructions
[FP_12] - 4 pipe with 3 source op pipe sharing
4.6.18 Committed Translate Map( CRM) 
[FP_21] – FPU Denorm Reissue Widget
[FP_24] – FPU PRN Recovery
[FP_26] – Di/dt and power throttle control interface
[FP_27] – AVFS/ODDI/PSM/HWA interface
[FP_29] – FPU Schedule Queue ( NSQ + SQ)
[FP_30] – FPU Non-Schedule Queue ( FPU NSQ)
[FP_31] – FPU Retire Queue
[FP_32] - Load Map ( LDM)
[FP_33] - DXR( Decode/Transition/Rename) Logic
[FP_35] - Load Convert ( LDC)
[FP_36] – FPU Physical Register File( PRF)
[FP_37] – Integer to Floating Point Buffer( I2FQ)
[FP_38] – Speculative Translate Map(SXM)
[FP_39] – Committed Register Map(CRM),
[FP_40] – FP SRB Interface
[FP_71] - FP unrounded bypass for FMAC
[FP_90] - Resync Predictor 
[DE_41] Final decoders: 6 integer, 4 FP, 4 microcode</t>
  </si>
  <si>
    <t>The purpose of the test is to ensure that the integer, fp and microcode decoders are working as per expectation.
CCX_LS_DC_Diag_Testplan
CCX_Decode_Diag_Testplan(4.6.41[DE_41])</t>
  </si>
  <si>
    <t>FP-FEAT-003</t>
  </si>
  <si>
    <t>WS.CDL.FP.AVX256</t>
  </si>
  <si>
    <t>AVX256 instruction set</t>
  </si>
  <si>
    <t>To validate AVX256 Instructions and Data path. 
CCX_EXSC_Diag_Testplan(4.6. 44)</t>
  </si>
  <si>
    <t>FP-FEAT-004</t>
  </si>
  <si>
    <t>WS.CDL.FP.AVX512</t>
  </si>
  <si>
    <t>AVX512 Instruction set</t>
  </si>
  <si>
    <t>To validate AVX512(FpGfni, bfloat16) Instructions and Data path. 
CCX_FP_Diag_Testplan(4.6. 44)</t>
  </si>
  <si>
    <t>BP-FEAT-001</t>
  </si>
  <si>
    <t>WS.Storm.BP.Exerciser.1</t>
  </si>
  <si>
    <t>Pissay, Chetan gunashekar</t>
  </si>
  <si>
    <t>BP-04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</si>
  <si>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t>
  </si>
  <si>
    <t>The purpose of the test is to ensure that this feature exercised under stressful conditions and target the rare corner-case situations buried deep in the design state space. 
CCX_IC_BP_Diag_Testplan</t>
  </si>
  <si>
    <t>BP</t>
  </si>
  <si>
    <t>BP-FEAT-002</t>
  </si>
  <si>
    <t>WS.Storm.BP.Exerciser.2</t>
  </si>
  <si>
    <t>BP-FEAT-003</t>
  </si>
  <si>
    <t>WS.Storm.BP.Exerciser.3</t>
  </si>
  <si>
    <t>BP-FEAT-004</t>
  </si>
  <si>
    <t>WS.CDL.BP.Exerciser.4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</si>
  <si>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</si>
  <si>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The purpose of the test is to ensure that the L1 BTB and L2BTB validation on silicon is exercised exhaustively with all corner cases covered.
 CCX_IC_BP_Diag_Testplan</t>
  </si>
  <si>
    <t>IC-FEAT-001</t>
  </si>
  <si>
    <t>WS.CDL.IC.Exerciser.1</t>
  </si>
  <si>
    <t>IC-04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</si>
  <si>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</si>
  <si>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 xml:space="preserve">The purpose of the test is to ensure that this feature exercised under stressful conditions and target the rare corner-case situations buried deep in the design state space.
CCX_IC_BP_Diag_Testplan(4.5.11[BP_11]) </t>
  </si>
  <si>
    <t>IC</t>
  </si>
  <si>
    <t>IC-FEAT-002</t>
  </si>
  <si>
    <t>WS.Storm.IC.Exerciser.2</t>
  </si>
  <si>
    <t>st283_gnb0_gna0_vmr_compat_instruction_cache_bumped_visits.yml</t>
  </si>
  <si>
    <t>IC-FEAT-003</t>
  </si>
  <si>
    <t>BP_18</t>
  </si>
  <si>
    <t xml:space="preserve">The purpose of the test is to verify the CPUID field indicating AdMaskExtnInstBP support. CPUID[AdMaskExtnInstBP]: Fn8000_0001_ECX[30] = 1.
CCX_IC_BP_Diag_Testplan(4.5.18[BP_18]) </t>
  </si>
  <si>
    <t>IC-FEAT-004</t>
  </si>
  <si>
    <t>WS.CDL.IC.ITLB</t>
  </si>
  <si>
    <t xml:space="preserve">  [LS_77] - Speculative ITLB Writes</t>
  </si>
  <si>
    <t>This test generates speculative ITLB reloads after 
enabling/disabling the speculative ITLB write and verifies that the execution time is less when speculative ITLB write is enabled.
CCX_LS_DC_Diag_Testplan (4.6.77[LS_77] )</t>
  </si>
  <si>
    <t>ITLB.stf</t>
  </si>
  <si>
    <t>DE-FEAT-001</t>
  </si>
  <si>
    <t>WS.Storm.De.Exerciser</t>
  </si>
  <si>
    <t>KV, Bijesh</t>
  </si>
  <si>
    <t>DE-05</t>
  </si>
  <si>
    <t>[DE_08] Jamcount
[DE_09] Microcode Word Queue (MWQ)</t>
  </si>
  <si>
    <t>The purpose of the test is to ensure that UCODE is tested and is functioning as per the specification, no failures were observed as mentioned in Pass/Fail criteria.
CCX_Decode_Diag_Testplan(4.6.8[DE_08])</t>
  </si>
  <si>
    <t>ssp_zp_compat_exsc_leg013_special_ops_jamming.yml</t>
  </si>
  <si>
    <t>DE</t>
  </si>
  <si>
    <t>DE-FEAT-002</t>
  </si>
  <si>
    <t>WS.CDL.De.UnifiedOpCache.1</t>
  </si>
  <si>
    <t xml:space="preserve">[DE_20] Double Micro-OP (UOP) cache size
[DE042] – Unified Op Cache (Same As DE_20)
[PS_DE_102]TwoTakenBranchDispatch
[DE_24] Early Redirect
[DE_22] MicroOpQueue (UopQ) Loop Buffer
[DE_23] Increasing IDQ and UOPQ Read Slots
[DE_40] Final-decode micro-op queue (UOPQ): 72-entry, static split for 2T
</t>
  </si>
  <si>
    <t>CB's unified op cache (UOC or just OC) stores instructions in form of unified ops.
CCX_Decode_Diag_Testplan</t>
  </si>
  <si>
    <t>DE04_opcache_stress.stf</t>
  </si>
  <si>
    <t>/CPU/linux/Cache_Suite/Opcache_Stress --cpu all --enable-demand-paging -t 4h</t>
  </si>
  <si>
    <t>DE-FEAT-003</t>
  </si>
  <si>
    <t>WS.Storm.De.UnifiedOpCache.2</t>
  </si>
  <si>
    <t>[DE042] – Unified Op Cache (Same As DE_20)
[PS_DE_102]TwoTakenBranchDispatch
[DE_22] MicroOpQueue (UopQ) Loop Buffer
[DE_23] Increasing IDQ and UOPQ Read Slots</t>
  </si>
  <si>
    <t>CB's unified op cache (UOC or just OC) stores instructions in form of unified ops.
 CCX_Decode_Diag_Testplan(4.6.42[DE_01])</t>
  </si>
  <si>
    <t>st260_gna0_ssp_compat_uop_cache_bumped_visits.yml</t>
  </si>
  <si>
    <t>CH-FEAT-001</t>
  </si>
  <si>
    <t>WS.CDL.CH.L2CacheCoherencyExerciser</t>
  </si>
  <si>
    <t>CH-06</t>
  </si>
  <si>
    <t>[CH01]-L2 cache Tag-Data (TD) pipeline &amp; Response pipeline
[CH02]-L1D, L2 &amp; L3 cache coherency state transitions
[CH03]-L1, L2 &amp; L3 cache coherency and Probe filter
[CH23]-Cache Coherency 
[CH16]-Gate clocks to the L2 data macros while L2 is idle</t>
  </si>
  <si>
    <t>L2Macro tag and data lookups and  L2 Coherency
CCX_Cache_Diag_TestPlan.docx(4.5.1[CH_001])</t>
  </si>
  <si>
    <t>CH</t>
  </si>
  <si>
    <t>CH-FEAT-002</t>
  </si>
  <si>
    <t>WS.CDL.CH.L1L2CacheExerciser</t>
  </si>
  <si>
    <t>CH-FEAT-003</t>
  </si>
  <si>
    <t>WS.CDL.CH.L3CacheCoherencyExerciser</t>
  </si>
  <si>
    <t>Varifes the L3 Coherency protocol
CCX_Cache_Diag_TestPlan.docx(4.5.1[CH_001])</t>
  </si>
  <si>
    <t>Cache_L3_Cache_Coherency.stf</t>
  </si>
  <si>
    <t>CH-FEAT-004</t>
  </si>
  <si>
    <t>WS.CDL.CH.CacheableIO</t>
  </si>
  <si>
    <t>[CH_10] - Cacheable IO</t>
  </si>
  <si>
    <t>Cacheable IO is a memory-mapped IO region that is allowed  to be copied into the cache and used from there. 
CCX_Cache_Diag_TestPlan.docx(4.5.10[CH_010])</t>
  </si>
  <si>
    <t>CacheableIO.stf</t>
  </si>
  <si>
    <t>CH-FEAT-005</t>
  </si>
  <si>
    <t>WS.CDL.CH.CacheRangeLock</t>
  </si>
  <si>
    <t>[CH11]-Cache Range Locking/6.2.2 Cache Range Locking</t>
  </si>
  <si>
    <t>Cache range locking is a mechanism for forcing something to stay in the cache, rather than being replaced by other normal transactions.
CCX_Cache_Diag_TestPlan.docx(4.5.11[CH_011])</t>
  </si>
  <si>
    <t>Cache_Range_Lock.stf</t>
  </si>
  <si>
    <t>/CPU/linux/Cache_Suite/Cache_Range_Lock --cpu all -p -t 6h</t>
  </si>
  <si>
    <t>CH-FEAT-006</t>
  </si>
  <si>
    <t>WS.CDL.CH.L3CacheExerciser</t>
  </si>
  <si>
    <t>[CH14] - L3 cache Tag-Data (TD) pipeline &amp; Response pipeline</t>
  </si>
  <si>
    <t>L3Macro tag and data lookups(Interfaces, L3 Q &amp; Buffers).
CCX_Cache_Diag_TestPlan.docx(4.5.14[CH_014])</t>
  </si>
  <si>
    <t>/CPU/linux/Core_Suite/Cache_Exerciser_With_Mem_Types --cpu all --enable-demand-paging -t 6h</t>
  </si>
  <si>
    <t>CH-FEAT-007</t>
  </si>
  <si>
    <t>[CH01]-L2 cache Tag-Data (TD) pipeline &amp; Response pipeline 
[CH14] - L3 cache Tag-Data (TD) pipeline &amp; Response pipeline</t>
  </si>
  <si>
    <t>CH-FEAT-008</t>
  </si>
  <si>
    <t xml:space="preserve"> [PS_LS_85] – Additional completion port for SMC,
Larger L2,
Additional L2 MIBs and finer-grained throttling,
RdBlkWeakX,
L3 C2C speedup,
Additional L2/L3 index hashing,
Double CCD probe request bandwidth,
CleanShared probe type,
Enhanced buslock support,
Allow 9 ops per OC entry,
[UC05] - 4-in-1 Jresync Jcc Setcnt Combo op,
[PS_UC_113] - Faster REP CMPB,
[PS_UC_100] - FpDestNum Support for Fast String FP Loads and Stores
</t>
  </si>
  <si>
    <t xml:space="preserve">
CCX_Cache_Diag_TestPlan.docx
CCX_Ucode_Diag_TestPlan.docx</t>
  </si>
  <si>
    <t>st341_rsa0_gn_compat_mp_blocks.yml</t>
  </si>
  <si>
    <t>CH-FEAT-009</t>
  </si>
  <si>
    <t>WS.CDL.CH.MemoryOrdering</t>
  </si>
  <si>
    <t>[CH15]-Memory Ordering</t>
  </si>
  <si>
    <t>Load Ordering Rules, Store Ordering Rules.
CCX_Cache_Diag_TestPlan.docx(4.5.15[CH_015])</t>
  </si>
  <si>
    <t>Core_Memory_Ordering.stf</t>
  </si>
  <si>
    <t>/CPU/linux/Core_Suite/Memory_Ordering --cpu all -t 6h</t>
  </si>
  <si>
    <t>CH-FEAT-010</t>
  </si>
  <si>
    <t>WS.Storm.CH.SelfModifyingCode.1</t>
  </si>
  <si>
    <t>[CH19]-Self Modifying Code
 [PS_LS_85] – Additional completion port for SMC</t>
  </si>
  <si>
    <t>Software that writes in to the code segment is called 
Self Modifying Code.
CCX_Cache_Diag_TestPlan.docx(4.5.19[CH_019])</t>
  </si>
  <si>
    <t>CH-FEAT-011</t>
  </si>
  <si>
    <t>WS.Storm.CH.SelfModifyingCode.2</t>
  </si>
  <si>
    <t>CH-FEAT-012</t>
  </si>
  <si>
    <t xml:space="preserve"> WS.Storm.CH.MCOMMIT</t>
  </si>
  <si>
    <t>[CH25]-MCOMMIT plumbing</t>
  </si>
  <si>
    <t>The purpose of the test is to ensure thatMCOMMIT is functioning as per the specification, no failures were observed as mentioned in Pass/Fail criteria.
CCX_Cache_Diag_Testplan(4.6.25[CH_25])</t>
  </si>
  <si>
    <t>cba0_gn_only_mcommit.yml</t>
  </si>
  <si>
    <t>CH-FEAT-013</t>
  </si>
  <si>
    <t>[CH26]-Interruptible WBINVD/WBNOINVD</t>
  </si>
  <si>
    <t>L2Macro tag and data lookups.
CCX_Cache_Diag_TestPlan.docx(4.5.26[CH_026])</t>
  </si>
  <si>
    <t>CH-FEAT-014</t>
  </si>
  <si>
    <t>WS.CDL.CH.Memcopy</t>
  </si>
  <si>
    <t>[CH_028] - Memcopy</t>
  </si>
  <si>
    <t>CCX_Cache_Diag_Testplan(4.6.25[CH_26])</t>
  </si>
  <si>
    <t>Core_Mem_Copy.stf
CCX_Mem_Test.stf
CCX_Mem_Test_bit_shift.stf
Produ_Consu.stf</t>
  </si>
  <si>
    <t>/CPU/linux/Core_Suite/Mem_Copy --cpu all --MemorySize 0x10000000 --RepMov --isCacheable -t 4h</t>
  </si>
  <si>
    <t>CH-FEAT-015</t>
  </si>
  <si>
    <t>WS.CDL.CH.Downcaching</t>
  </si>
  <si>
    <t>[CH_033] - Downcaching</t>
  </si>
  <si>
    <t>CCX_Cache_Diag_Testplan(4.6.25[CH_33])</t>
  </si>
  <si>
    <t>MANUAL</t>
  </si>
  <si>
    <t>UC-FEAT-001</t>
  </si>
  <si>
    <t>WS.CDL.Core.Ucode.Func.QualityOfService</t>
  </si>
  <si>
    <t>Sekharappa, Harsha</t>
  </si>
  <si>
    <t>UC-07</t>
  </si>
  <si>
    <t>Quality Of Service</t>
  </si>
  <si>
    <t>Validate Cahce Allocation Technology(CAT), (CMT)Cache Management Technology and CDP features .
[4.6.1] CCX_UC_Diag_testPlan.docx</t>
  </si>
  <si>
    <t>UC01_Qos.stf</t>
  </si>
  <si>
    <t>/CPU/linux/Cache_Suite/Qos --cpu all -t 4h</t>
  </si>
  <si>
    <t>UC</t>
  </si>
  <si>
    <t>UC-FEAT-002</t>
  </si>
  <si>
    <t>[UC_005] - Setcnt
[CPU006] - REP string Setcnt enhancements
[PS_UC_107] – Faster REP STOSB
[PF_UC_113] – Faster REP CMPB
[CPU006] - REP string Setcnt enhancements</t>
  </si>
  <si>
    <t xml:space="preserve">Validates setcnt feature enhancement.
[4.6.5] CCX_UC_Diag_testPlan.docx
</t>
  </si>
  <si>
    <t>UC-FEAT-003</t>
  </si>
  <si>
    <t>WS.CDL.Ucode.ChangeApicIDAssignment</t>
  </si>
  <si>
    <t>[PF_UC_127] – Change APIC ID assignment to reduce interrupt delivery overhead</t>
  </si>
  <si>
    <t>Change APIC ID assignment to reduce interrupt delivery overhead
[4.6.11] CCX_UC_Diag_testPlan.docx</t>
  </si>
  <si>
    <t>Manual  or CDL</t>
  </si>
  <si>
    <t>OSBOOT</t>
  </si>
  <si>
    <t>UC-FEAT-004</t>
  </si>
  <si>
    <t>WS.CDL.Ucode.RdrandRdseed</t>
  </si>
  <si>
    <t>[PF_UC_130] – Complete Microcoded RDRAND implementation
[DE_26] RDRAND/RDSEED instruction</t>
  </si>
  <si>
    <t>Complete Microcoded RDRAND implementation
[4.6.12] CCX_UC_Diag_testPlan.docx
The purpose of the test is to ensure that the RDRAND/RDSEED instruction is working as per expectation.
CCX_Decode_Diag_Testplan(4.6.26[DE_26])</t>
  </si>
  <si>
    <t>APIC-FEAT-001</t>
  </si>
  <si>
    <t>WS.CDL.Apic.Local_APIC_Fixed_Interrupts</t>
  </si>
  <si>
    <t>APIC-10</t>
  </si>
  <si>
    <t>[APIC_01]Local_APIC_Fixed_Interrupts
[APIC_04] SELF IPI Register - Local_APIC_Self_IPI</t>
  </si>
  <si>
    <t xml:space="preserve">Fixed interrupts are vectored interrupts, either remote or local.
[4.4.1]  CCX_APIC_Diag_testplan.docx
</t>
  </si>
  <si>
    <t>Local_APIC_Fixed_Interrupts.stf</t>
  </si>
  <si>
    <t>APIC</t>
  </si>
  <si>
    <t>APIC-FEAT-002</t>
  </si>
  <si>
    <t>WS.CDL.Apic.Local_APIC_Lowest_Priority_Interrupts</t>
  </si>
  <si>
    <t>[APIC_02] Local_APIC_Lowest_Priority_Interrupts</t>
  </si>
  <si>
    <t>Lowest-Priority or Arbitrated Interrupt:
A Lowest-Priority (also known as Arbitrated) Interrupt is a special type of remote fixed interrupt
[4.4.2] CCX_APIC_Diag_testplan.docx:</t>
  </si>
  <si>
    <t>Local_APIC_Lowest_Priority_Interrupts.stf</t>
  </si>
  <si>
    <t>/CPU/linux/Local_APIC_Suite/Lowest_Priority_Interrupts --cpu all -t 4h</t>
  </si>
  <si>
    <t>APIC-FEAT-003</t>
  </si>
  <si>
    <t>WS.CDL.Apic.Local_APIC_NMI_Check</t>
  </si>
  <si>
    <t>[APIC_03]Local_APIC_NMI_Check
[APIC_21]Local_APIC_NMI_Flood</t>
  </si>
  <si>
    <t>Non-Maskable Interrupts : The remote NMI interrupt received by the APIC is a non-vectored interrupt
[4.4.3] CCX_APIC_Diag_testplan.docx</t>
  </si>
  <si>
    <t>Local_APIC_NMI_Check.stf</t>
  </si>
  <si>
    <t>/CPU/linux/Local_APIC_Suite/NMI_Check --cpu all -t 4h</t>
  </si>
  <si>
    <t>APIC-FEAT-004</t>
  </si>
  <si>
    <t>WS.CDL.Apic.Local_APIC_SMI_Check</t>
  </si>
  <si>
    <t>[APIC_05] Local_APIC_SMI_Check 
[CPU011]- SMM Entry/Execution/Resume</t>
  </si>
  <si>
    <t>The most common source of an SMI CPU Interrupt is the  remote SMI interrupt request
[4.4.5] CCX_APIC_Diag_testplan.docx: 
The intent here is to test the SMM
 (System Management Mode) architecture of AMD processors. 
[4.611]CCX_CPU_Diag_TestPlan.docx</t>
  </si>
  <si>
    <t>Local_APIC_SMI_Check.stf</t>
  </si>
  <si>
    <t>/CPU/linux/Local_APIC_Suite/SMI_Check --cpu all -t 4h</t>
  </si>
  <si>
    <t>APIC-FEAT-005</t>
  </si>
  <si>
    <t>WS.CDL.Apic.Local_APIC_Timer_LVT</t>
  </si>
  <si>
    <t>[APIC_06] Local_APIC_Timer_LVT</t>
  </si>
  <si>
    <t xml:space="preserve">Each APIC contains a timer which counts down from an initial value to zero, and causes an interrupt to the CPU when it reaches zero
[4.4.6] CCX_APIC_Diag_testplan.docx: 
</t>
  </si>
  <si>
    <t>Local_APIC_Timer_LVT.stf</t>
  </si>
  <si>
    <t>/CPU/linux/Local_APIC_Suite/Timer_LVT --cpu all --delay 10ms -t 4h</t>
  </si>
  <si>
    <t>APIC-FEAT-006</t>
  </si>
  <si>
    <t>WS.CDL.Apic.Local_APIC_Performance_Counter_LVT</t>
  </si>
  <si>
    <t>[APIC_07]Local_APIC_Performance_Counter_LVT</t>
  </si>
  <si>
    <t>Performance Counter Overflow Interrupts : CPU performance monitor countergenerates APIC interrupts on counter overflow
[4.4.7] CCX_APIC_Diag_testplan.docx:</t>
  </si>
  <si>
    <t>/CPU/linux/Local_APIC_Suite/Performance_Counter_LVT --cpu all --serial --run-time 6h
/CPU/linux/Local_APIC_Suite/Performance_Counter_LVT --cpu all --serial --EventSelect 0x76 --UnitMask 0 --run-time 6h</t>
  </si>
  <si>
    <t>APIC-FEAT-007</t>
  </si>
  <si>
    <t>WS.CDL.Apic.Local_APIC_Error_LVT</t>
  </si>
  <si>
    <t>[APIC_08]Local_APIC_Error_LVT</t>
  </si>
  <si>
    <t>Error Interrupt: An error interrupt request is asserted whenever the APIC detects an internal error
[4.4.8] CCX_APIC_Diag_testplan.docx</t>
  </si>
  <si>
    <t>Local_APIC_Error_LVT.stf</t>
  </si>
  <si>
    <t>/CPU/linux/Local_APIC_Suite/Error_LVT --cpu all -t 4h</t>
  </si>
  <si>
    <t>APIC-FEAT-008</t>
  </si>
  <si>
    <t>WS.CDL.Apic.Local_APIC_Spurious_Interrupt</t>
  </si>
  <si>
    <t>[APIC_09] Local_APIC_Spurious_Interrupt</t>
  </si>
  <si>
    <t>Spurious Interrupts:
[4.4.9] CCX_APIC_Diag_testplan.docx</t>
  </si>
  <si>
    <t>Local_APIC_Spurious_Interrupt.stf</t>
  </si>
  <si>
    <t>/CPU/linux/Local_APIC_Suite/Spurious_Interrupt --cpu all -t 4h</t>
  </si>
  <si>
    <t>APIC-FEAT-009</t>
  </si>
  <si>
    <t>WS.CDL.Apic.Local_APIC_IOAPIC_Interrupts</t>
  </si>
  <si>
    <t>[APIC_10]Local_APIC_IOAPIC_Interrupts</t>
  </si>
  <si>
    <t xml:space="preserve">The purpose of this test is to validate the ability of the local APIC to receive and handle different interrupt types from the IO APIC
[4.4.10] CCX_APIC_Diag_testplan.docx </t>
  </si>
  <si>
    <t>Local_APIC_IOAPIC_Interrupts.stf</t>
  </si>
  <si>
    <t>/CPU/linux/Local_APIC_Suite/IOAPIC_Interrupts --cpu all:0 -t 4h</t>
  </si>
  <si>
    <t>APIC-FEAT-010</t>
  </si>
  <si>
    <t>WS.CDL.Core.Apic.Func.Local_APIC_Nested_Interrupt</t>
  </si>
  <si>
    <t>[APIC_11] Local_APIC_Nested_Interrupt</t>
  </si>
  <si>
    <t xml:space="preserve">The APIC forwards a vectored interrupt to the CPU for  servicing only when the interrupt's priority is higher than the interrupt which the APIC is currently servicing (if any), and when the interrupt's priority is higher than that of the task currently executing in the CPU.
[4.4.11] CCX_APIC_Diag_testplan.docx: 
Nested Interrupts 
4.4.12  [APIC_12] Nested TPR: </t>
  </si>
  <si>
    <t>Coverage by all APIC diags</t>
  </si>
  <si>
    <t>APIC-FEAT-011</t>
  </si>
  <si>
    <t>WS.CDL.Apic.Local_APIC_TPR_And_Interrupt_Priority</t>
  </si>
  <si>
    <t>[APIC_12] Local_APIC_TPR_And_Interrupt_Priority</t>
  </si>
  <si>
    <t>APIC Register: Nested TPR
[4.4.13] CCX_APIC_Diag_testplan.docx</t>
  </si>
  <si>
    <t>Local_APIC_TPR_And_Interrupt_Priority.stf</t>
  </si>
  <si>
    <t>/CPU/linux/Local_APIC_Suite/TPR_And_Interrupt_Priority --cpu all -t 4h</t>
  </si>
  <si>
    <t>APIC-FEAT-012</t>
  </si>
  <si>
    <t>WS.CDL.Apic.Local_APIC_Register_Bits_Read_Write</t>
  </si>
  <si>
    <t>[APIC_13] Local_APIC_Register_Bits_Read_Write</t>
  </si>
  <si>
    <t xml:space="preserve">The test writes zero and one to each bit of every local apic  register and read back the values to verify the write has done
[4.4.13] CCX_APIC_Diag_testplan.docx
</t>
  </si>
  <si>
    <t>Local_APIC_Register_Bits_Read_Write.stf</t>
  </si>
  <si>
    <t>/CPU/linux/Local_APIC_Suite/Register_Bits_Read_Write --cpu all --repeat 1</t>
  </si>
  <si>
    <t>APIC-FEAT-013</t>
  </si>
  <si>
    <t>WS.CDL.Apic.APIC 52bit Base Address MSR</t>
  </si>
  <si>
    <t>[APIC_19] APIC 52bit Base Address MSR
[CPU022] - Support 52-bit PA mode</t>
  </si>
  <si>
    <t xml:space="preserve">APIC 52bit Base Address MSR: Verify that a local apic can be mapped to a physical address above the 40 bit boundary
[4.4.19] CCX_APIC_Diag_testplan.docx: </t>
  </si>
  <si>
    <t>Manual verification</t>
  </si>
  <si>
    <t>APIC-FEAT-014</t>
  </si>
  <si>
    <t>WS.CDL.Apic.APIC Stress</t>
  </si>
  <si>
    <t xml:space="preserve"> [APIC_20] APIC Stress</t>
  </si>
  <si>
    <t xml:space="preserve">Integrated Testing: Interrupts of different types are generated simultaneously from different interrupt sources like timer interrupts, performance overflow interrupts, spurious interrupts, NMI, HPET timers etc.
[4.4.20] CCX_APIC_Diag_testplan.docx:
</t>
  </si>
  <si>
    <t>XAPIC_Stress_Test.stf</t>
  </si>
  <si>
    <t>/CPU/linux/Local_APIC_Suite/APIC_Stress_Test --cpu all --run-time 4h</t>
  </si>
  <si>
    <t>APIC-FEAT-015</t>
  </si>
  <si>
    <t>WS.CDL.Apic.Extended LVT interrupts</t>
  </si>
  <si>
    <t xml:space="preserve">[APIC_23] Extended LVT interrupts
[APIC_14] IBS Interrupts
[LS_64] - IBS Periodic Interrupt
</t>
  </si>
  <si>
    <t>This set of registers is located at APIC[530:500] and provide additional local vector table entries for selected internal interrupt sources: Machine Check Thresholding, IBS, Deffered Error, SBI etc
[4.4.23] CCX_APIC_Diag_testplan.docx
Instruction-Based Sampling (IBS) is a hardware facility that can be used to gather specific metrics related to processor instruction fetch and instruction execution activity.
[4.4.14] CCX_APIC_Diag_testplan.docx: CCX_LS_DC_Diag_Testplan(4.6.64[LS_64])</t>
  </si>
  <si>
    <t>3.1.45_IBS_Interrupt_Mapping_Instruction_fetch_feature.stf
3.1.45_IBS_Interrupt_Mapping_Instruction_Execution_feature.stf</t>
  </si>
  <si>
    <t>/CPU/linux/Core_Suite/Instruction_Based_Sampling_Fetch --cpu all -t 4h
/CPU/linux/Core_Suite/Instruction_Based_Sampling_Execution --cpu all -t 4h</t>
  </si>
  <si>
    <t>APIC-FEAT-016</t>
  </si>
  <si>
    <t>WS.CDL.Apic.Local_APIC_Faster TPR write for mov CR8</t>
  </si>
  <si>
    <t>[APIC_24] Local_APIC_Faster TPR write for mov CR8
[LS_71] - MOV CR8 Instruction
[LS_74] - CR8 Read/Write using MOV (CRn) with LOCK prefix in Legacy Mode
[LS_63] - TPR Read Write</t>
  </si>
  <si>
    <t>This feature is to improve performance of TPR writes done by a MOV CR8 instruction
[4.4.28] CCX_APIC_Diag_testplan.docx</t>
  </si>
  <si>
    <t>TPR_Read_Write.stf</t>
  </si>
  <si>
    <t>X2APIC-FEAT-030</t>
  </si>
  <si>
    <t>WS.CDL.X2Apic.X2APIC_X2APIC_Check</t>
  </si>
  <si>
    <t>[X2APIC_00]X2APIC_X2APIC_Check</t>
  </si>
  <si>
    <t xml:space="preserve"> Detecting and Enabling x2APIC Mode
[4.5.1] CCX_APIC_Diag_testplan.docx</t>
  </si>
  <si>
    <t>LS08_10_X2APIC_Check.stf</t>
  </si>
  <si>
    <t>/CPU/linux/Core_Suite/TPR_Read_Write --cpu all --internal-loop 1 --block-size 0x100000 -v -t 4h</t>
  </si>
  <si>
    <t>X2APIC</t>
  </si>
  <si>
    <t>X2APIC-FEAT-031</t>
  </si>
  <si>
    <t>WS.CDL.X2Apic.X2APIC_APIC_Fixed_Interrupts</t>
  </si>
  <si>
    <t>[X2APIC_01]X2APIC_APIC_Fixed_Interrupts</t>
  </si>
  <si>
    <t>Fixed interrupts are vectored interrupts, either remote or local.
[4.4.1]  CCX_APIC_Diag_testplan.docx</t>
  </si>
  <si>
    <t>LS08_2_Fixed_Interrupts_X2APIC.stf</t>
  </si>
  <si>
    <t>/CPU/linux/Local_APIC_Suite/X2APIC_Check --cpu all -t 1h</t>
  </si>
  <si>
    <t>X2APIC-FEAT-033</t>
  </si>
  <si>
    <t>WS.CDL.X2Apic.X2APIC_NMI_Check_X2APIC</t>
  </si>
  <si>
    <t>[X2APIC_03]X2APIC_NMI_Check_X2APIC</t>
  </si>
  <si>
    <t xml:space="preserve"> The remote NMI interrupt received by the
APIC is a non-vectored interrupt
[4.4.3] CCX_APIC_Diag_testplan.docx</t>
  </si>
  <si>
    <t>LS08_4_NMI_Check_X2APIC.stf</t>
  </si>
  <si>
    <t>/CPU/linux/Local_APIC_Suite/Fixed_Interrupts_X2APIC --cpu all -t 4h</t>
  </si>
  <si>
    <t>X2APIC-FEAT-034</t>
  </si>
  <si>
    <t>WS.CDL.X2Apic.X2APIC_Self_IPI_X2APIC</t>
  </si>
  <si>
    <t>[X2APIC_04]X2APIC_Self_IPI_X2APIC</t>
  </si>
  <si>
    <t>The ICR is used to generate APIC-initiated interrupts which are sent to other APICs or to itself.
[4.4.4] CCX_APIC_Diag_testplan.docx</t>
  </si>
  <si>
    <t>LS08_8_Self_IPI_X2APIC.stf</t>
  </si>
  <si>
    <t>/CPU/linux/Local_APIC_Suite/NMI_Check_X2APIC --cpu all -t 4h</t>
  </si>
  <si>
    <t>X2APIC-FEAT-035</t>
  </si>
  <si>
    <t>WS.CDL.X2Apic.X2APIC_SMI_Check_X2APIC</t>
  </si>
  <si>
    <t xml:space="preserve">[X2APIC_05]X2APIC_SMI_Check_X2APIC </t>
  </si>
  <si>
    <t>The most common source of an SMI CPU Interrupt is the remote SMI interrupt request
[4.4.5] CCX_APIC_Diag_testplan.docx</t>
  </si>
  <si>
    <t>LS08_7_SMI_Check_X2APIC.stf</t>
  </si>
  <si>
    <t>/CPU/linux/Local_APIC_Suite/Self_IPI_X2APIC --cpu all -t 4h</t>
  </si>
  <si>
    <t>X2APIC-FEAT-036</t>
  </si>
  <si>
    <t>WS.CDL.X2Apic.X2APIC_Timer_LVT_X2APIC</t>
  </si>
  <si>
    <t>[X2APIC_06]X2APIC_Timer_LVT_X2APIC</t>
  </si>
  <si>
    <t>APIC Timer: Each APIC contains a timer which counts down from an initial value to zero, and causes an interrupt to the CPU when it reaches zero
[4.4.6] CCX_APIC_Diag_testplan.docx</t>
  </si>
  <si>
    <t>LS08_9_Timer_LVT_X2APIC.stf</t>
  </si>
  <si>
    <t>/CPU/linux/Local_APIC_Suite/Timer_LVT_X2APIC --cpu all -t 4h</t>
  </si>
  <si>
    <t>X2APIC-FEAT-037</t>
  </si>
  <si>
    <t>WS.CDL.X2Apic.X2APIC_Performance_Counter_LVT_X2APIC</t>
  </si>
  <si>
    <t>[X2APIC_07]X2APIC_Performance_Counter_LVT_X2APIC</t>
  </si>
  <si>
    <t>CPU performance monitor countergenerates APIC interrupts on counter overflow
[4.4.7] CCX_APIC_Diag_testplan.docx</t>
  </si>
  <si>
    <t>LS08_6_Performance_Counter_LVT_X2APIC.stf</t>
  </si>
  <si>
    <t>/CPU/linux/Local_APIC_Suite/Performance_Counter_LVT_X2APIC --cpu all -t 4h</t>
  </si>
  <si>
    <t>X2APIC-FEAT-038</t>
  </si>
  <si>
    <t>WS.CDL.X2Apic.X2APIC_Error_LVT_X2APIC</t>
  </si>
  <si>
    <t>[X2APIC_08]X2APIC_Error_LVT_X2APIC</t>
  </si>
  <si>
    <t>APIC Logs internal errors in the status register
[4.4.2]  CCX_APIC_Diag_testplan.docx</t>
  </si>
  <si>
    <t>LS08_1_Error_LVT_X2APIC.stf</t>
  </si>
  <si>
    <t>/CPU/linux/Local_APIC_Suite/Error_LVT_X2APIC --cpu all -t 4h</t>
  </si>
  <si>
    <t>X2APIC-FEAT-039</t>
  </si>
  <si>
    <t>WS.CDL.X2Apic.X2APIC_5_NMI_Flood_X2APIC</t>
  </si>
  <si>
    <t>[X2APIC_21]X2APIC_5_NMI_Flood_X2APIC</t>
  </si>
  <si>
    <t>LS08_5_NMI_Flood_X2APIC.stf</t>
  </si>
  <si>
    <t>X2APIC-FEAT-040</t>
  </si>
  <si>
    <t>WS.CDL.X2Apic.X2APIC_IOAPIC_Interrupts_X2APIC</t>
  </si>
  <si>
    <t>[X2APIC_10]X2APIC_IOAPIC_Interrupts_X2APIC</t>
  </si>
  <si>
    <t xml:space="preserve">
The purpose of this test is to validate the ability of the local APIC to receive and handle different interrupt types from the IO APIC
[4.4.10] CCX_APIC_Diag_testplan.docx</t>
  </si>
  <si>
    <t>LS08_3_IOAPIC_Interrupts_X2APIC.stf</t>
  </si>
  <si>
    <t>/CPU/linux/Local_APIC_Suite/IOAPIC_Interrupts_X2APIC --cpu all:0 -t 4h</t>
  </si>
  <si>
    <t>X2APIC-FEAT-050</t>
  </si>
  <si>
    <t>WS.CDL.X2Apic.X2APIC_APIC Stress</t>
  </si>
  <si>
    <t>[X2APIC_20]X2APIC_APIC Stress</t>
  </si>
  <si>
    <t xml:space="preserve">
 Integrated Testing: Interrupts of different types are generated simultaneously from different interrupt sources like timer interrupts, performance overflow interrupts, spurious interrupts, NMI, HPET timers etc.
[4.4.20] CCX_APIC_Diag_testplan.docx</t>
  </si>
  <si>
    <t>X2APIC_Stress_Test.stf</t>
  </si>
  <si>
    <t>No separate diag. Coverage with existing X2APIC testcases.</t>
  </si>
  <si>
    <t>SVM-FEAT-001</t>
  </si>
  <si>
    <t>WS.Storm.SVM.BasicSVMFeatures</t>
  </si>
  <si>
    <t>SVM-12</t>
  </si>
  <si>
    <t xml:space="preserve">[SVM_4] - VM_HSAVE_PA MSR (C001_0117h)
[SVM_5] - TSC Ratio MSR (C000_0104h)
[SVM_6] - A guest/host Tagged TLB
[SVM_7] - Enhanced Pause filter
[SVM_8] - Intercepts
[SVM_9] - VMRUN
[SVM_13] - VMCB State Caching
[SVM_14] - TLB Control
[SVM_15] - Last Branch Record Virtualization
[SVM_16] - Nested Paging
[SVM_17] - Next RIP on VMEXIT
[SVM_19] - Monitor and Mwait
</t>
  </si>
  <si>
    <t>The 64-bit read/write VM_HSAVE_PA MSR holds the physical address of a 4KB block of memory where VMRUN saves host state, and from which #VMEXIT reloads host state.
4.6.4 [SVM_4]CCX_SVM_Diag_Testplan.docx</t>
  </si>
  <si>
    <t>SVM</t>
  </si>
  <si>
    <t>SVM-FEAT-002</t>
  </si>
  <si>
    <t>WS.Storm.SVM.svm_vmexit_invalid</t>
  </si>
  <si>
    <t>[SVM_12] - VMEXIT_INVALID</t>
  </si>
  <si>
    <t>The VMRUN instruction performs consistency checks on guest state and #VMEXIT performs the appropriate subset of these consistency checks on host state. Illegal guest state combinations cause a #VMEXIT with error code VMEXIT_INVALID.
4.6.12 [SVM_12]CCX_SVM_Diag_Testplan.docx</t>
  </si>
  <si>
    <t>SVM-FEAT-003</t>
  </si>
  <si>
    <t>WS.CDL.CDLOverSVM.Diag1</t>
  </si>
  <si>
    <t xml:space="preserve"> [LS_48] - SVM
</t>
  </si>
  <si>
    <t xml:space="preserve">
[4.6.48] CCX_LS_DC_Diag_Testplan.docxc
Refer to " Different VM Configurations"  from below link
https://confluence.amd.com/display/AVD/CDL+over+SVM
</t>
  </si>
  <si>
    <t>IT-FEAT-001</t>
  </si>
  <si>
    <t>WS.IT.CDL.CrossSMTPair.IT_Group_1</t>
  </si>
  <si>
    <t>IT-11</t>
  </si>
  <si>
    <t>IntegrationTesting</t>
  </si>
  <si>
    <t>ALL</t>
  </si>
  <si>
    <t xml:space="preserve">python3 cdl_it_executor.py --time 25m --sleepTime 0s --numberOfIterations 10000 --runCPU all --runCommands short --numberOfCommands &lt;&gt; --shuffleThreads --commandFile command_input_short_list_Turin.yaml --testerName “UserName” --workStream 1 </t>
  </si>
  <si>
    <t>IT</t>
  </si>
  <si>
    <t>IT-FEAT-002</t>
  </si>
  <si>
    <t>WS.IT.CDL.CrossSMTPair.IT_Group_2</t>
  </si>
  <si>
    <t>python3 cdl_it_executor.py --time 15m --sleepTime 0s --numberOfIterations 10000 --runCPU all --runCommands long --numberOfCommands &lt;&gt; --shuffleThreads --commandFile command_input_short_list_Turin.yaml --testerName “UserName” --workStream 1</t>
  </si>
  <si>
    <t>IT-FEAT-003</t>
  </si>
  <si>
    <t>WS.IT.CDL.CrossSMTPair.IT_Group_3</t>
  </si>
  <si>
    <t>Terminal 1:
python3 cdl_it_executor.py --time 25m --sleepTime 0s --numberOfIterations 40000 --runCPU T1 --runCommands short --numberOfCommands &lt;&gt; --shuffleThreads --commandFile command_input_short_list_Turin.yaml --testerName “UserName” --workStream 1
Terminal 2:
python3 cdl_it_executor.py --time 15m --sleepTime 0s --numberOfIterations &lt;&gt; --runCPU T0 --runCommands long --numberOfCommands 10 --shuffleThreads --commandFile command_input_short_list_Turin.yaml --testerName “UserName” --workStream 1</t>
  </si>
  <si>
    <t>IT-FEAT-004</t>
  </si>
  <si>
    <t xml:space="preserve">python3 cdl_it_executor.py --time 25m --sleepTime 0s --numberOfIterations 10000 --runCPU all --runCommands short --numberOfCommands &lt;&gt; --shuffleThreads --commandFile command_input_short_list_Turin_P1.yaml --testerName “UserName” --workStream 1 </t>
  </si>
  <si>
    <t>IT-FEAT-005</t>
  </si>
  <si>
    <t>WS.IT.CDL.CrossSMTPair.IT_Group_5</t>
  </si>
  <si>
    <t xml:space="preserve">python3 cdl_it_executor.py --time 25m --sleepTime 0s --numberOfIterations 10000 --runCPU all --runCommands short --numberOfCommands &lt;&gt; --shuffleThreads --commandFile command_input_short_list_Turin_P2.yaml --testerName “UserName” --workStream 1 </t>
  </si>
  <si>
    <t>IT-FEAT-006</t>
  </si>
  <si>
    <t>WS.IT.CDL.CrossSMTPair.IT_Group_6</t>
  </si>
  <si>
    <t>Terminal 1:
Dieter MonitorMwait DIag
Terminal 2:
python3 cdl_it_executor.py --time 15m --sleepTime 0s --numberOfIterations &lt;&gt; --runCPU T0 --runCommands short --numberOfCommands 10 --shuffleThreads --commandFile command_input_short_list_Turin.yaml --testerName “UserName” --workStream 1</t>
  </si>
  <si>
    <t>MSR-IRR-FEAT-000</t>
  </si>
  <si>
    <t>IRR-13</t>
  </si>
  <si>
    <t>rdwrmsr_NVA0_ChickenBit_High.lst</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</si>
  <si>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/rdwrmsr_20231030/cfg/rdwrmsr_NVA0_ChickenBit_High.lst
T1: long
python3 cdl_it_executor.py --time 15m --sleepTime 1s --numberOfIterations 10000 --runCPU T1 --runCommands long --numberOfCommands 1 --shuffleThreads --commandFile command_input_short_list_Turin_repro_DF_fatal.yaml --testerName “UserName” --workStream 5
</t>
  </si>
  <si>
    <t>IRR</t>
  </si>
  <si>
    <t>MSR-IRR-FEAT-001</t>
  </si>
  <si>
    <t>rdwrmsr_NVA0_ChickenBit_Medium.lst</t>
  </si>
  <si>
    <t xml:space="preserve">
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/rdwrmsr_20231030/cfg/rdwrmsr_NVA0_ChickenBit_Medium.lst
T1: long
python3 cdl_it_executor.py --time 15m --sleepTime 1s --numberOfIterations 10000 --runCPU T1 --runCommands long --numberOfCommands 1 --shuffleThreads --commandFile command_input_short_list_Turin_repro_DF_fatal.yaml --testerName “UserName” --workStream 5</t>
  </si>
  <si>
    <t>MSR-IRR-FEAT-002</t>
  </si>
  <si>
    <t>rdwrmsr_NVA0_ChickenBit_Low.lst</t>
  </si>
  <si>
    <t>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/rdwrmsr_20231030/cfg/rdwrmsr_NVA0_ChickenBit_Low.lst
T1: long
python3 cdl_it_executor.py --time 15m --sleepTime 1s --numberOfIterations 10000 --runCPU T1 --runCommands long --numberOfCommands 1 --shuffleThreads --commandFile command_input_short_list_Turin_repro_DF_fatal.yaml --testerName “UserName” --workStream 5</t>
  </si>
  <si>
    <t>MSR-IRR-FEAT-003</t>
  </si>
  <si>
    <t>rdwrmsr_NVA0_ChickenBit_All.lst</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</si>
  <si>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/rdwrmsr_20231030/cfg/rdwrmsr_NVA0_ChickenBit_All.lst
T1: long
python3 cdl_it_executor.py --time 15m --sleepTime 1s --numberOfIterations 10000 --runCPU T1 --runCommands long --numberOfCommands 1 --shuffleThreads --commandFile command_input_short_list_Turin_repro_DF_fatal.yaml --testerName “UserName” --workStream 5
</t>
  </si>
  <si>
    <t>MSR-IRR-FEAT-004</t>
  </si>
  <si>
    <t>T0 and T1: Short
python3 cdl_it_executor.py --time 15m --sleepTime 1s --numberOfIterations 10000 --runCPU All --runCommands short --numberOfCommands 10 --shuffleThreads --commandFile command_input_short_list_Turin.yaml --testerName “UserName” --workStream 5 --msrIRR  --restoreMSR 1 --chickenBitsFile /rdwrmsr_20231030/cfg/rdwrmsr_NVA0_ChickenBit_All.lst</t>
  </si>
  <si>
    <t>MSR-IRR-FEAT-005</t>
  </si>
  <si>
    <t>T0 and T1: Long
python3 cdl_it_executor.py --time 15m --sleepTime 1s --numberOfIterations 10000 --runCPU All --runCommands long --numberOfCommands 10 --shuffleThreads --commandFile command_input_short_list_Turin.yaml --testerName “UserName” --workStream 5 --msrIRR  --restoreMSR 1 --chickenBitsFile /rdwrmsr_20231030/cfg/rdwrmsr_NVA0_ChickenBit_All.lst</t>
  </si>
  <si>
    <t>MSR-IRR-FEAT-006</t>
  </si>
  <si>
    <t>T0 and T1: Short
python3 cdl_it_executor.py --time 15m --sleepTime 1s --numberOfIterations 10000 --runCPU All --runCommands short --numberOfCommands 10 --shuffleThreads --commandFile command_input_short_list_Turin_p1.yaml --testerName “UserName” --workStream 5 --msrIRR  --restoreMSR 1 --chickenBitsFile /rdwrmsr_20231030/cfg/rdwrmsr_NVA0_ChickenBit_All.lst</t>
  </si>
  <si>
    <t>MSR-IRR-FEAT-007</t>
  </si>
  <si>
    <t xml:space="preserve">T0 and T1: Short
python3 cdl_it_executor.py --time 15m --sleepTime 1s --numberOfIterations 10000 --runCPU All --runCommands long --numberOfCommands 10 --shuffleThreads --commandFile command_input_short_list_Turin_p1.yaml --testerName “UserName” --workStream 5 --msrIRR  --restoreMSR 1 --chickenBitsFile /rdwrmsr_20231030/cfg/rdwrmsr_NVA0_ChickenBit_All.lst
</t>
  </si>
  <si>
    <t>MSR-IRR-FEAT-008</t>
  </si>
  <si>
    <t>T0 and T1: Short
python3 cdl_it_executor.py --time 15m --sleepTime 1s --numberOfIterations 10000 --runCPU All --runCommands long --numberOfCommands 10 --shuffleThreads --commandFile command_input_short_list_Turin_p2.yaml --testerName “UserName” --workStream 5 --msrIRR  --restoreMSR 1 --chickenBitsFile /rdwrmsr_20231030/cfg/rdwrmsr_NVA0_ChickenBit_All.lst</t>
  </si>
  <si>
    <t>DSM-IRR-FEAT-009</t>
  </si>
  <si>
    <t>IRR_X_IntegrationTesting</t>
  </si>
  <si>
    <t>DSM IRR
below commands are in 1 file run_cmds.yaml
- python3 cdl_it_executor.py --time 15m --sleepTime 0s --numberOfIterations 3000 --dsmCyclesOn 300 --runCPU T1 --runCommands short --numberOfCommands 23 --commandFile command_input_short_list_Turin.yaml --testerName amit --workStream 6 --dsmIRR --clearDSM 5
- python3 cdl_it_executor.py --time 15m --sleepTime 0s --numberOfIterations 1000 --dsmCyclesOn 300 --runCPU T0 --runCommands long --numberOfCommands 1 --commandFile command_input_short_list_Turin.yaml --testerName amit --workStream 2
Command to run the session: python3 cdl_it_executor.py --multiProcess --runScriptFile run_cmds.yaml</t>
  </si>
  <si>
    <t>DSM-IRR-FEAT-010</t>
  </si>
  <si>
    <t>DSM IRR
below commands are in 1 file run_cmds.yaml
- python3 cdl_it_executor.py --time 15m --sleepTime 0s --numberOfIterations 3000 --dsmCyclesOn 300 --runCPU All --runCommands short --numberOfCommands 23 --commandFile command_input_short_list_Turin_P1.yaml --testerName amit --workStream 6 --dsmIRR --clearDSM 5
Command to run the session: python3 cdl_it_executor.py --multiProcess --runScriptFile run_cmds.yaml</t>
  </si>
  <si>
    <t>DSM-IRR-FEAT-011</t>
  </si>
  <si>
    <t>DSM IRR
below commands are in 1 file run_cmds.yaml
- python3 cdl_it_executor.py --time 15m --sleepTime 0s --numberOfIterations 3000 --dsmCyclesOn 300 --runCPU All --runCommands short --numberOfCommands 23 --commandFile command_input_short_list_Turin_P2.yaml --testerName amit --workStream 6 --dsmIRR --clearDSM 5
Command to run the session: python3 cdl_it_executor.py --multiProcess --runScriptFile run_cmds.yaml</t>
  </si>
  <si>
    <t>DSM-IRR-FEAT-012</t>
  </si>
  <si>
    <t>DSM IRR
below commands are in 1 file run_cmds.yaml
- python3 cdl_it_executor.py --time 15m --sleepTime 0s --numberOfIterations 3000 --dsmCyclesOn 300 --runCPU All --runCommands long --numberOfCommands 23 --commandFile command_input_short_list_Turin_P1.yaml --testerName amit --workStream 6 --dsmIRR --clearDSM 5
Command to run the session: python3 cdl_it_executor.py --multiProcess --runScriptFile run_cmds.yaml</t>
  </si>
  <si>
    <t>DSM-IRR-FEAT-013</t>
  </si>
  <si>
    <t>DSM IRR
below commands are in 1 file run_cmds.yaml
- python3 cdl_it_executor.py --time 15m --sleepTime 0s --numberOfIterations 3000 --dsmCyclesOn 300 --runCPU All --runCommands long --numberOfCommands 23 --commandFile command_input_short_list_Turin_P2.yaml --testerName amit --workStream 6 --dsmIRR --clearDSM 5
Command to run the session: python3 cdl_it_executor.py --multiProcess --runScriptFile run_cmds.yaml</t>
  </si>
  <si>
    <t>DSM-IRR-FEAT-014</t>
  </si>
  <si>
    <t>DSM IRR
below commands are in 1 file run_cmds.yaml
- python3 cdl_it_executor.py --time 15m --sleepTime 0s --numberOfIterations 3000 --dsmCyclesOn 300 --runCPU All --runCommands short --numberOfCommands 23 --commandFile command_input_short_list_Turin.yaml --testerName amit --workStream 6 --dsmIRR --clearDSM 5
Command to run the session: python3 cdl_it_executor.py --multiProcess --runScriptFile run_cmds.yaml</t>
  </si>
  <si>
    <t>DSM-IRR-FEAT-015</t>
  </si>
  <si>
    <t xml:space="preserve">DSM IRR
below commands are in 1 file run_cmds.yaml
- python3 cdl_it_executor.py --time 15m --sleepTime 0s --numberOfIterations 3000 --dsmCyclesOn 300 --runCPU All --runCommands long --numberOfCommands 23 --commandFile command_input_short_list_Turin.yaml --testerName amit --workStream 6 --dsmIRR --clearDSM 5
Command to run the session: python3 cdl_it_executor.py --multiProcess --runScriptFile run_cmds.yaml
</t>
  </si>
  <si>
    <t>MSR-DSM-IRR-FEAT-016</t>
  </si>
  <si>
    <t>WS.IRR.CDL.MSR+DSM</t>
  </si>
  <si>
    <t>MSR + DSM IRR 
below commands are in 1 file run_cmds.yaml
- python3 cdl_it_executor.py --time 15m --sleepTime 0s --numberOfIterations 3000 --runCPU T0 --runCommands short --numberOfCommands 20 --shuffleThreads --commandFile command_input_short_list_Turin.yaml --testerName "UserName" --workStream 6 --dsmIRR --clearDSM 20 --msrIRR  --restoreMSR 5 --chickenBitsFile /rdwrmsr_20231030/cfg/rdwrmsr_NVA0_ChickenBit_High.lst
- python3 cdl_it_executor.py --time 15m --sleepTime 0s --numberOfIterations 1000 --runCPU T1 --runCommands long --numberOfCommands 1 --shuffleThreads --commandFile command_input_short_list_Turin.yaml --testerName "UserName" --workStream 2
Command to run the session: python3 cdl_it_executor.py --multiProcess --runScriptFile run_cmds.yaml</t>
  </si>
  <si>
    <t>MSR-DSM-IRR-FEAT-017</t>
  </si>
  <si>
    <t>MSR + DSM IRR 
below commands are in 1 file run_cmds.yaml
- python3 cdl_it_executor.py --time 15m --sleepTime 0s --numberOfIterations 3000 --runCPU All --runCommands short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</si>
  <si>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MSR-DSM-IRR-FEAT-018</t>
  </si>
  <si>
    <t xml:space="preserve">MSR + DSM IRR 
below commands are in 1 file run_cmds.yaml
- python3 cdl_it_executor.py --time 15m --sleepTime 0s --numberOfIterations 3000 --runCPU All --runCommands short --numberOfCommands 20 --shuffleThreads --commandFile command_input_short_list_Turin_P1.yaml --testerName "UserName" --workStream 6 --dsmIRR --clearDSM 20 --msrIRR  --restoreMSR 5 --chickenBitsFile /rdwrmsr_20231030/cfg/rdwrmsr_NVA0_ChickenBit_High.lst
</t>
  </si>
  <si>
    <t>MSR-DSM-RR-FEAT-019</t>
  </si>
  <si>
    <t>MSR + DSM IRR 
below commands are in 1 file run_cmds.yaml
- python3 cdl_it_executor.py --time 15m --sleepTime 0s --numberOfIterations 3000 --runCPU All --runCommands short --numberOfCommands 20 --shuffleThreads --commandFile command_input_short_list_Turin_P2.yaml --testerName "UserName" --workStream 6 --dsmIRR --clearDSM 20 --msrIRR  --restoreMSR 5 --chickenBitsFile /rdwrmsr_20231030/cfg/rdwrmsr_NVA0_ChickenBit_High.lst
Command to run the session: python3 cdl_it_executor.py --multiProcess --runScriptFile run_cmds.yaml</t>
  </si>
  <si>
    <t>MSR-DSM-IRR-FEAT-020</t>
  </si>
  <si>
    <t>MSR + DSM IRR 
below commands are in 1 file run_cmds.yaml
- python3 cdl_it_executor.py --time 15m --sleepTime 0s --numberOfIterations 3000 --runCPU All --runCommands long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</si>
  <si>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MSR-DSM-IRR-FEAT-021</t>
  </si>
  <si>
    <t xml:space="preserve">MSR + DSM IRR 
below commands are in 1 file run_cmds.yaml
- python3 cdl_it_executor.py --time 15m --sleepTime 0s --numberOfIterations 3000 --runCPU All --runCommands long --numberOfCommands 20 --shuffleThreads --commandFile command_input_short_list_Turin_P1.yaml --testerName "UserName" --workStream 6 --dsmIRR --clearDSM 20 --msrIRR  --restoreMSR 5 --chickenBitsFile /rdwrmsr_20231030/cfg/rdwrmsr_NVA0_ChickenBit_High.lst
Command to run the session: python3 cdl_it_executor.py --multiProcess --runScriptFile run_cmds.yaml
</t>
  </si>
  <si>
    <t>MSR-DSM-IRR-FEAT-022</t>
  </si>
  <si>
    <t>MSR + DSM IRR 
below commands are in 1 file run_cmds.yaml
- python3 cdl_it_executor.py --time 15m --sleepTime 0s --numberOfIterations 3000 --runCPU All --runCommands long --numberOfCommands 20 --shuffleThreads --commandFile command_input_short_list_Turin_P2.yaml --testerName "UserName" --workStream 6 --dsmIRR --clearDSM 20 --msrIRR  --restoreMSR 5 --chickenBitsFile /rdwrmsr_20231030/cfg/rdwrmsr_NVA0_ChickenBit_High.lst</t>
  </si>
  <si>
    <t>IT-FEAT-020</t>
  </si>
  <si>
    <t>WS.IT.CDL.HDRT</t>
  </si>
  <si>
    <t>HDRT.stf</t>
  </si>
  <si>
    <t>Cobra</t>
  </si>
  <si>
    <t>IT-FEAT-021</t>
  </si>
  <si>
    <t>WS.IT.CDL.CCX_Exerciser</t>
  </si>
  <si>
    <t>CCX_Exerciser.stf
CCX_Exerciser_fusion.stf
CCX_Exerciser_random.stf
CCX_Exerciser_clbl.stf
CCX_Exerciser_hdrt.stf
CCX_Exerciser_retq.stf
CCX_Exerciser_diag_instances.stf
CCX_Exerciser_lsdc.stf
CCX_Exerciser_stlf.stf</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</si>
  <si>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</si>
  <si>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</si>
  <si>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</si>
  <si>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</si>
  <si>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SEC-08</t>
  </si>
  <si>
    <t>BUG-REGRESSION-15</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</si>
  <si>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</si>
  <si>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</si>
  <si>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</si>
  <si>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</si>
  <si>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</si>
  <si>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P4</t>
  </si>
  <si>
    <t>Total # of Features</t>
  </si>
  <si>
    <t>Total # of P1</t>
  </si>
  <si>
    <t>Total # of P2</t>
  </si>
  <si>
    <t>Total # of P3</t>
  </si>
  <si>
    <t>Total # of Diagnostics</t>
  </si>
  <si>
    <t>Total # of Driver</t>
  </si>
  <si>
    <t>Total # of IPSE</t>
  </si>
  <si>
    <t>Total # of N/A</t>
  </si>
  <si>
    <t>Total # of Legacy</t>
  </si>
  <si>
    <t>Total # of Delta</t>
  </si>
  <si>
    <t>Total # of New</t>
  </si>
  <si>
    <t>WS.CDL.CPU.CPUID Values</t>
  </si>
  <si>
    <t>WS.CDL.IC.ICMaskAddrExt</t>
  </si>
  <si>
    <t>WS.CDL.CH.CacheExerciser</t>
  </si>
  <si>
    <t>WS.Storm.CH.InterruptibleWBINVD</t>
  </si>
  <si>
    <t>WS.CDL.Ucode.Setcnt</t>
  </si>
  <si>
    <t>WS.IT.CDL.CrossSMTPair.IT_Group_4</t>
  </si>
  <si>
    <t>WS.IRR.CDL.BP_CFG_Bit_10</t>
  </si>
  <si>
    <t>WS.IRR.CDL.BP_CFG_Bit_09</t>
  </si>
  <si>
    <t>WS.IRR.CDL.BP_CFG_Bit_11</t>
  </si>
  <si>
    <t>WS.IRR.CDL.BP_CFG_Bit_06</t>
  </si>
  <si>
    <t>WS.IRR.CDL.DE_TKN_CFG_Bit_50_45</t>
  </si>
  <si>
    <t>WS.IRR.CDL.DE_TKN_CFG_Bit_08_10</t>
  </si>
  <si>
    <t>WS.IRR.CDL.DE_TKN_CFG_Bit_57_51</t>
  </si>
  <si>
    <t>WS.IRR.CDL.IC_CFG_Bit_5</t>
  </si>
  <si>
    <t>WS.IRR.CDL.IC_CFG_Bit_26</t>
  </si>
  <si>
    <t>WS.IRR.CDL.IC_CFG_Bit_25</t>
  </si>
  <si>
    <t>WS.IRR.CDL.IC_CFG_Bit_2</t>
  </si>
  <si>
    <t>WS.IRR.CDL.IC_CFG_Bit_20_13</t>
  </si>
  <si>
    <t>WS.IRR.CDL.IC_CFG_Bit_38_35</t>
  </si>
  <si>
    <t>WS.IRR.CDL.LS_CFG_Bit_60</t>
  </si>
  <si>
    <t>WS.IRR.CDL.LS_CFG3_Bit_30</t>
  </si>
  <si>
    <t>WS.IRR.CDL.EX_CFG_Bit_52</t>
  </si>
  <si>
    <t>WS.IRR.CDL.EX_CFG_Bit_24</t>
  </si>
  <si>
    <t>WS.IRR.CDL.CH_L2_CFG0_Bit_0</t>
  </si>
  <si>
    <t>MSR-DSM-IRR-FEAT-019</t>
  </si>
  <si>
    <t>WS.IRR.CDL.CH_L2_CFG0_Bit_1</t>
  </si>
  <si>
    <t>WS.IRR.CDL.CH_L2_CFG0_Bit_2</t>
  </si>
  <si>
    <t>WS.IRR.CDL.CH_L2_CFG0_Bit_3</t>
  </si>
  <si>
    <t>WS.IRR.CDL.CH_L2_CFG0_Bit_4</t>
  </si>
  <si>
    <t>PLEASE CAREFULLY READ 'Usage' tab’s descriptions and instructions of all columns and tabs</t>
  </si>
  <si>
    <t>Execution is complete, No plan to rerun, the coverage is reuse from BRH/GNR as the core remains the same.  </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</si>
  <si>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</si>
  <si>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ETA  Comments</t>
  </si>
  <si>
    <t>No plan to rerun. The coverage is reuse from Stones as it is same Zen4 core</t>
  </si>
  <si>
    <t>{=TEXTJOIN("",TRUE,IF(ISNUMBER(SEARCH($A21,'Diags Raw Data'!$A$6:$A$3768)),CONCATENATE('Diags Raw Data'!$H$6:$H$3768,", "),""))}</t>
  </si>
  <si>
    <t>NA</t>
  </si>
  <si>
    <t>Not POR</t>
  </si>
  <si>
    <t>Core3.1.131_Rep_Instructions_Exerciser_On_Heavy_Memory.stf _x000D_
Core3.1.131_Rep_Instructions_Exerciser_On_Heavy_Memory_WC.stf _x000D_
Core3.1.131_Rep_Instructions_Exerciser.stf_x000D_
Core3.1.131_Rep_Instructions_Exerciser_On_Heavy_Memory_UC.stf _x000D_
Core3.1.131_Rep_Instructions_Exerciser_On_Heavy_Memory_WT.stf_x000D_
Rep_Instructions_Exerciser_STOS.stf</t>
  </si>
  <si>
    <t xml:space="preserve">Write_Combining_Buffer.stf
, </t>
  </si>
  <si>
    <t xml:space="preserve">BP01_Branch_Predictor_Stress.stf_x000D_
BP02_Branch_Predictor_Stress.stf   _x000D_
Core_Stress_BP_V3.stf_x000D_
Core_Stress_BP_V3_BP_BTB.stf_x000D_
Core_Stress_BP_V3_HDRT.stf_x000D_
Core_Stress_BP_V3_LB.stf_x000D_
Core_Stress_BP_V3_SMC_Btb_pair.stf_x000D_
Core_Stress_BP_V3_SMC_Statecheck.stf_x000D_
Core_Stress_BP_V3_back_to_back_branches.stf_x000D_
Core_Stress_BP_V3_nested_calls.stf_x000D_
Core_Stress_BP_V3_BP_BTB.stf_x000D_
Core_Stress_BP_V3_Nested_BP_BTB.stf_x000D_
Core_Stress_BP_V3_SMC_BP_BTB.stf_x000D_
Core_Stress_BP_V3_TPAIR_BP_BTB.stf </t>
  </si>
  <si>
    <t>No plan to rerun. The coverage is reuse from BRH/GNR as the core remains same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</si>
  <si>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</si>
  <si>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</si>
  <si>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</si>
  <si>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</si>
  <si>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</si>
  <si>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</si>
  <si>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</si>
  <si>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</si>
  <si>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</si>
  <si>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</si>
  <si>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</si>
  <si>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</si>
  <si>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</si>
  <si>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</si>
  <si>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</si>
  <si>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</si>
  <si>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</si>
  <si>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</si>
  <si>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</si>
  <si>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</si>
  <si>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</si>
  <si>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</si>
  <si>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</si>
  <si>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</si>
  <si>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</si>
  <si>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</si>
  <si>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</si>
  <si>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</si>
  <si>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</si>
  <si>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</si>
  <si>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</si>
  <si>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</si>
  <si>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</si>
  <si>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</si>
  <si>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</si>
  <si>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</si>
  <si>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</si>
  <si>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</si>
  <si>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</si>
  <si>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</si>
  <si>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</si>
  <si>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</si>
  <si>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</si>
  <si>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</si>
  <si>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</si>
  <si>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</si>
  <si>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</si>
  <si>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</si>
  <si>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</si>
  <si>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</si>
  <si>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</si>
  <si>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</si>
  <si>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</si>
  <si>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</si>
  <si>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</si>
  <si>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</si>
  <si>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</si>
  <si>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</si>
  <si>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</si>
  <si>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</si>
  <si>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</si>
  <si>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</si>
  <si>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</si>
  <si>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</si>
  <si>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</si>
  <si>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</si>
  <si>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</si>
  <si>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</si>
  <si>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</si>
  <si>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</si>
  <si>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</si>
  <si>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</si>
  <si>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</si>
  <si>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</si>
  <si>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</si>
  <si>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</si>
  <si>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</si>
  <si>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</si>
  <si>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</si>
  <si>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</si>
  <si>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</si>
  <si>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</si>
  <si>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</si>
  <si>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</si>
  <si>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</si>
  <si>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</si>
  <si>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</si>
  <si>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</si>
  <si>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</si>
  <si>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</si>
  <si>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</si>
  <si>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</si>
  <si>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</si>
  <si>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</si>
  <si>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</si>
  <si>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</si>
  <si>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</si>
  <si>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</si>
  <si>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</si>
  <si>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</si>
  <si>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</si>
  <si>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</si>
  <si>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</si>
  <si>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</si>
  <si>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</si>
  <si>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</si>
  <si>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</si>
  <si>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</si>
  <si>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</si>
  <si>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</si>
  <si>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</si>
  <si>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</si>
  <si>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</si>
  <si>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</si>
  <si>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</si>
  <si>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</si>
  <si>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</si>
  <si>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</si>
  <si>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</si>
  <si>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</si>
  <si>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</si>
  <si>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</si>
  <si>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</si>
  <si>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</si>
  <si>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</si>
  <si>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Cache_L1_Cache_Coherency.stf</t>
  </si>
  <si>
    <t>DE01_fp256.stf</t>
  </si>
  <si>
    <t>Cache_L2_Cache_Coherency.stf</t>
  </si>
  <si>
    <t>Cache_Group_1_2.stf</t>
  </si>
  <si>
    <t>Cache_All_L3_Cache.stf</t>
  </si>
  <si>
    <t>TBD(Find a new stf for this)</t>
  </si>
  <si>
    <t>Manual_test</t>
  </si>
  <si>
    <t>st279_gnb0_gna0_vmr_compat_setcnt.yml.1-500</t>
  </si>
  <si>
    <t>Core_RDRAND_Exerciser.stf
Core_RDSEED_Exerciser.stf 
With Manual verification of Key/Value/Entropy fiedls for each HW thread. Use Ruby Script read_rdrand_kve_hdt.rb periodicaly to read Key/Value/Entropy fileds.1-2</t>
  </si>
  <si>
    <t>all_insts.yml</t>
  </si>
  <si>
    <t>all_insts_in_guest_mode.yml</t>
  </si>
  <si>
    <t>st341_rsa0_ps_only_cross_all_insts_all_excps.yml</t>
  </si>
  <si>
    <t>Write_Combining_Buffer.stf</t>
  </si>
  <si>
    <t>Deluge_page_migration.yml</t>
  </si>
  <si>
    <t>deluge_for_larger_va.yml</t>
  </si>
  <si>
    <t>deluge_for_upper_address_range.yml</t>
  </si>
  <si>
    <t>fp256.r</t>
  </si>
  <si>
    <t>FP_Deluge_V2_avx512_integer_stlf.stf
FP_Deluge_V2_avx512_limiter.stf
FP_Deluge_V2_high_ipc.stf
FP_Deluge_V2_high_vmin_avx512.stf
FP_Deluge_V2_high_vmin.stf
FP_Deluge_V2_limiter.stf</t>
  </si>
  <si>
    <t>FPU_AVX512.stf</t>
  </si>
  <si>
    <t>st283_gnb0_gna0_vmr_compat_bp_exerciser_bumped_visits.yml</t>
  </si>
  <si>
    <t>st279_gnb0_gna0_vmr_compat_twister_bumped_visits.yml</t>
  </si>
  <si>
    <t>st279_gnb0_gna0_vmr_compat_twister_bumped_visits_in_guest_mode.yml</t>
  </si>
  <si>
    <t>BP01_Branch_Predictor_Stress.stf
BP02_Branch_Predictor_Stress.stf   
Core_Stress_BP_V3.stf
Core_Stress_BP_V3_BP_BTB.stf
Core_Stress_BP_V3_HDRT.stf
Core_Stress_BP_V3_LB.stf
Core_Stress_BP_V3_SMC_Btb_pair.stf
Core_Stress_BP_V3_SMC_Statecheck.stf
Core_Stress_BP_V3_back_to_back_branches.stf
Core_Stress_BP_V3_nested_calls.stf
Core_Stress_BP_V3_BP_BTB.stf
Core_Stress_BP_V3_Nested_BP_BTB.stf
Core_Stress_BP_V3_SMC_BP_BTB.stf
Core_Stress_BP_V3_TPAIR_BP_BTB.stf</t>
  </si>
  <si>
    <t>IC01_Branch_predictor_Stress.stf 
IC02_Branch_predictor_Stress_1.stf
Ic32k_Branch_Predictor_Stress.stf</t>
  </si>
  <si>
    <t>BP08_ICMask_Address_Extension.stf 
BP09_ICMask_Address_Extension.stf</t>
  </si>
  <si>
    <t>smc.rb</t>
  </si>
  <si>
    <t>mp_blocks_biased_to_smc.rb</t>
  </si>
  <si>
    <t>Performance_Counter_LVT_Interrupts.stf
Performance_Counter_LVT.stf</t>
  </si>
  <si>
    <t>svm_migration.yml</t>
  </si>
  <si>
    <t>vmexit_invalid.yml</t>
  </si>
  <si>
    <t>Cache_Walker_Dring.stf		
Cache_Walker_Vring_2P.stf		
Cache_Walker_L1.stf		
Cache_Walker_Vring_1P.stf	
Cache_walker_L3.stf				
Cache_Walker_L2.stf
Cache_Walker_L3_Max_Hits.stf</t>
  </si>
  <si>
    <t>command_input_short_list_Turin.yaml</t>
  </si>
  <si>
    <t>command_input_short_list_Turin_P1.yaml</t>
  </si>
  <si>
    <t xml:space="preserve">cdl_it_executor.py </t>
  </si>
  <si>
    <t xml:space="preserve">python3 cdl_it_executor.py </t>
  </si>
  <si>
    <t>Core3-1-172_TSC_Sync_Correctness_Check.stf
Core_Group_18_TSC_Sync_Check_Using_RDTSC.stf
Core3-1-180_TSC_Check.stf
Rdtsc_Rollover.stf
Core_TSC_Stability_Check_With_External_Source.stf</t>
  </si>
  <si>
    <t>Core3-1-131_Rep_Instructions_Exerciser_On_Heavy_Memory.stf 
Core3-1-131_Rep_Instructions_Exerciser_On_Heavy_Memory_WC.stf 
Core3-1-131_Rep_Instructions_Exerciser.stf
Core3-1-131_Rep_Instructions_Exerciser_On_Heavy_Memory_UC.stf 
Core3-1-131_Rep_Instructions_Exerciser_On_Heavy_Memory_WT.stf
Rep_Instructions_Exerciser_STOS.stf</t>
  </si>
  <si>
    <t>LS06_Cache_WBNOINVD.stf
LS06_1_Cache_WBNOINVD.stf
LS06_2_Cache_WBNOINVD.stf
LS06_3_Cache_WBNOINVD.stf
Cache_3-1-11_L2_L3_WBINVD_INVD.stf</t>
  </si>
  <si>
    <t>Core_Streaming_Store_Instructions_1.stf
Core_Streaming_Store_Instructions_3.stf
Core_Streaming_Store_Instructions_6.stf
Core_Streaming_Store_Instructions_8.stf</t>
  </si>
  <si>
    <t>Core_3-1-20_Prefetch_Lock.stf 
LS11_0_Cache_Region_Prefetching.stf
LS11_1_Cache_Stream_Prefetching.stf</t>
  </si>
  <si>
    <t>Core3-1-181_MPERF_TSC_Check.stf
Core3-1-181_APERF_TSC_Check.stf
APERF_MPERF_TSC_Ratio.stf
mperf_pmc.stf
Core3-1-180_MPRF_Check.stf
Core3-1-180_APRF_Check.stf</t>
  </si>
  <si>
    <t>Core_3-1-65_CPUID_Values.stf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</si>
</sst>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29" xfId="0" applyFill="1" applyBorder="1" applyAlignment="1" applyProtection="1">
      <alignment horizontal="center"/>
      <protection locked="0"/>
    </xf>
    <xf numFmtId="0" fontId="0" fillId="0" borderId="0" xfId="0" applyAlignment="1">
      <alignment horizontal="left" vertical="top"/>
    </xf>
    <xf numFmtId="0" fontId="41" fillId="40" borderId="58" xfId="0" applyFont="1" applyFill="1" applyBorder="1" applyAlignment="1" applyProtection="1">
      <alignment horizontal="center" vertical="center"/>
      <protection locked="0"/>
    </xf>
    <xf numFmtId="0" fontId="41" fillId="40" borderId="59" xfId="0" applyFont="1" applyFill="1" applyBorder="1" applyAlignment="1" applyProtection="1">
      <alignment vertical="center"/>
      <protection locked="0"/>
    </xf>
    <xf numFmtId="166" fontId="41" fillId="42" borderId="72" xfId="0" applyNumberFormat="1" applyFont="1" applyFill="1" applyBorder="1" applyAlignment="1" applyProtection="1">
      <alignment horizontal="center" vertical="center"/>
      <protection locked="0"/>
    </xf>
    <xf numFmtId="0" fontId="41" fillId="42" borderId="58" xfId="0" applyFont="1" applyFill="1" applyBorder="1" applyAlignment="1" applyProtection="1">
      <alignment horizontal="center" vertical="center"/>
      <protection locked="0"/>
    </xf>
    <xf numFmtId="166" fontId="41" fillId="42" borderId="61" xfId="42" applyNumberFormat="1" applyFont="1" applyFill="1" applyBorder="1" applyAlignment="1" applyProtection="1">
      <alignment horizontal="center" vertical="center"/>
      <protection locked="0"/>
    </xf>
    <xf numFmtId="0" fontId="41" fillId="41" borderId="60" xfId="0" applyFont="1" applyFill="1" applyBorder="1" applyAlignment="1" applyProtection="1">
      <alignment vertical="center"/>
      <protection locked="0"/>
    </xf>
    <xf numFmtId="0" fontId="41" fillId="41" borderId="58" xfId="0" applyFont="1" applyFill="1" applyBorder="1" applyAlignment="1" applyProtection="1">
      <alignment horizontal="center" vertical="center"/>
      <protection locked="0"/>
    </xf>
    <xf numFmtId="1" fontId="41" fillId="41" borderId="58" xfId="0" applyNumberFormat="1" applyFont="1" applyFill="1" applyBorder="1" applyAlignment="1" applyProtection="1">
      <alignment horizontal="center" vertical="center"/>
      <protection locked="0"/>
    </xf>
    <xf numFmtId="166" fontId="41" fillId="41" borderId="58" xfId="0" applyNumberFormat="1" applyFont="1" applyFill="1" applyBorder="1" applyAlignment="1" applyProtection="1">
      <alignment horizontal="center" vertical="center"/>
      <protection locked="0"/>
    </xf>
    <xf numFmtId="1" fontId="41" fillId="41" borderId="59" xfId="0" applyNumberFormat="1" applyFont="1" applyFill="1" applyBorder="1" applyAlignment="1">
      <alignment vertical="center"/>
    </xf>
    <xf numFmtId="1" fontId="41" fillId="33" borderId="60" xfId="0" applyNumberFormat="1" applyFont="1" applyFill="1" applyBorder="1" applyAlignment="1" applyProtection="1">
      <alignment horizontal="center" vertical="center"/>
      <protection locked="0"/>
    </xf>
    <xf numFmtId="1" fontId="41" fillId="33" borderId="58" xfId="0" applyNumberFormat="1" applyFont="1" applyFill="1" applyBorder="1" applyAlignment="1" applyProtection="1">
      <alignment horizontal="center" vertical="center"/>
      <protection locked="0"/>
    </xf>
    <xf numFmtId="166" fontId="41" fillId="33" borderId="58" xfId="0" applyNumberFormat="1" applyFont="1" applyFill="1" applyBorder="1" applyAlignment="1" applyProtection="1">
      <alignment horizontal="center" vertical="center"/>
      <protection locked="0"/>
    </xf>
    <xf numFmtId="0" fontId="41" fillId="33" borderId="58"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0" fillId="0" borderId="12" xfId="0" applyBorder="1" applyAlignment="1" applyProtection="1">
      <alignment vertical="center"/>
      <protection locked="0"/>
    </xf>
    <xf numFmtId="0" fontId="0" fillId="0" borderId="15" xfId="0" applyBorder="1" applyAlignment="1" applyProtection="1">
      <alignment vertical="center"/>
      <protection locked="0"/>
    </xf>
    <xf numFmtId="0" fontId="41" fillId="33" borderId="61" xfId="0" applyFont="1" applyFill="1" applyBorder="1" applyAlignment="1" applyProtection="1">
      <alignment vertical="center"/>
      <protection locked="0"/>
    </xf>
    <xf numFmtId="0" fontId="0" fillId="33" borderId="40" xfId="0" applyFill="1" applyBorder="1" applyAlignment="1" applyProtection="1">
      <alignment vertical="center"/>
      <protection locked="0"/>
    </xf>
    <xf numFmtId="0" fontId="41" fillId="33" borderId="41" xfId="0" applyFont="1" applyFill="1" applyBorder="1" applyAlignment="1" applyProtection="1">
      <alignment vertical="center"/>
      <protection locked="0"/>
    </xf>
    <xf numFmtId="0" fontId="0" fillId="0" borderId="14" xfId="0" applyBorder="1" applyAlignment="1" applyProtection="1">
      <alignment vertical="center"/>
      <protection locked="0"/>
    </xf>
    <xf numFmtId="0" fontId="0" fillId="0" borderId="13" xfId="0" applyBorder="1" applyAlignment="1" applyProtection="1">
      <alignment vertical="center"/>
      <protection locked="0"/>
    </xf>
    <xf numFmtId="0" fontId="0" fillId="0" borderId="23" xfId="0" applyBorder="1" applyAlignment="1" applyProtection="1">
      <alignment vertical="center"/>
      <protection locked="0"/>
    </xf>
    <xf numFmtId="0" fontId="0" fillId="0" borderId="24" xfId="0" applyBorder="1" applyAlignment="1" applyProtection="1">
      <alignment vertical="center"/>
      <protection locked="0"/>
    </xf>
    <xf numFmtId="0" fontId="0" fillId="0" borderId="36" xfId="0" applyBorder="1" applyAlignment="1" applyProtection="1">
      <alignment vertical="center"/>
      <protection locked="0"/>
    </xf>
    <xf numFmtId="0" fontId="0" fillId="0" borderId="20" xfId="0" applyBorder="1" applyAlignment="1" applyProtection="1">
      <alignment vertical="center"/>
      <protection locked="0"/>
    </xf>
    <xf numFmtId="0" fontId="0" fillId="0" borderId="11" xfId="0" applyBorder="1" applyAlignment="1" applyProtection="1">
      <alignment vertical="center"/>
      <protection locked="0"/>
    </xf>
    <xf numFmtId="0" fontId="0" fillId="0" borderId="15" xfId="0" applyBorder="1" applyAlignment="1" applyProtection="1">
      <alignment horizontal="left" vertical="center"/>
      <protection locked="0"/>
    </xf>
    <xf numFmtId="0" fontId="16" fillId="43" borderId="55" xfId="0" applyFont="1" applyFill="1" applyBorder="1" applyAlignment="1">
      <alignment horizontal="center"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11" xfId="0" applyFont="1" applyFill="1" applyBorder="1" applyAlignment="1" applyProtection="1">
      <alignment horizontal="center" vertical="center" wrapText="1"/>
      <protection locked="0"/>
    </xf>
    <xf numFmtId="0" fontId="39" fillId="51" borderId="12" xfId="0" applyFont="1" applyFill="1" applyBorder="1" applyAlignment="1" applyProtection="1">
      <alignment horizontal="center" vertical="center" wrapText="1"/>
      <protection locked="0"/>
    </xf>
    <xf numFmtId="0" fontId="39" fillId="51" borderId="4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41" fillId="40" borderId="55" xfId="0" applyFont="1" applyFill="1" applyBorder="1" applyAlignment="1" applyProtection="1">
      <alignment horizontal="center" vertical="center" wrapText="1"/>
      <protection locked="0"/>
    </xf>
    <xf numFmtId="0" fontId="41" fillId="40" borderId="75" xfId="0" applyFont="1" applyFill="1" applyBorder="1" applyAlignment="1" applyProtection="1">
      <alignment horizontal="center" vertical="center" wrapText="1"/>
      <protection locked="0"/>
    </xf>
    <xf numFmtId="0" fontId="41" fillId="40" borderId="72"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166" fontId="41" fillId="33" borderId="18" xfId="0" applyNumberFormat="1"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8"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2" fillId="0" borderId="10" xfId="0" applyFont="1" applyBorder="1" applyAlignment="1">
      <alignment horizontal="center" vertical="top"/>
    </xf>
    <xf numFmtId="0" fontId="0" fillId="0" borderId="0" xfId="0" applyFill="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nfluence.amd.com/Users/amitnegi/Documents/Office_current/Trackers_update_Format/Copy%20of%20MI300A_CCX_Diagnostics_Status%20Track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Feature Raw Data"/>
      <sheetName val="Diags Raw Data"/>
      <sheetName val="Sub-IP Block Summary"/>
      <sheetName val="Feature Summary"/>
      <sheetName val="Progress (WIP)"/>
      <sheetName val="Progress"/>
      <sheetName val="Lookup"/>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WK1</v>
          </cell>
        </row>
        <row r="3">
          <cell r="A3" t="str">
            <v>WK2</v>
          </cell>
        </row>
        <row r="4">
          <cell r="A4" t="str">
            <v>WK3</v>
          </cell>
        </row>
        <row r="5">
          <cell r="A5" t="str">
            <v>WK4</v>
          </cell>
        </row>
        <row r="6">
          <cell r="A6" t="str">
            <v>WK5</v>
          </cell>
        </row>
        <row r="7">
          <cell r="A7" t="str">
            <v>WK6</v>
          </cell>
        </row>
        <row r="8">
          <cell r="A8" t="str">
            <v>WK7</v>
          </cell>
        </row>
        <row r="9">
          <cell r="A9" t="str">
            <v>WK8</v>
          </cell>
        </row>
        <row r="10">
          <cell r="A10" t="str">
            <v>WK9</v>
          </cell>
        </row>
        <row r="11">
          <cell r="A11" t="str">
            <v>WK10</v>
          </cell>
        </row>
        <row r="12">
          <cell r="A12" t="str">
            <v>WK11</v>
          </cell>
        </row>
        <row r="13">
          <cell r="A13" t="str">
            <v>WK12</v>
          </cell>
        </row>
        <row r="14">
          <cell r="A14" t="str">
            <v>WK13</v>
          </cell>
        </row>
        <row r="15">
          <cell r="A15" t="str">
            <v>WK14</v>
          </cell>
        </row>
        <row r="16">
          <cell r="A16" t="str">
            <v>WK15</v>
          </cell>
        </row>
        <row r="17">
          <cell r="A17" t="str">
            <v>WK16</v>
          </cell>
        </row>
        <row r="18">
          <cell r="A18" t="str">
            <v>WK17</v>
          </cell>
        </row>
        <row r="19">
          <cell r="A19" t="str">
            <v>WK18</v>
          </cell>
        </row>
        <row r="20">
          <cell r="A20" t="str">
            <v>WK19</v>
          </cell>
        </row>
        <row r="21">
          <cell r="A21" t="str">
            <v>WK20</v>
          </cell>
        </row>
        <row r="22">
          <cell r="A22" t="str">
            <v>WK21</v>
          </cell>
        </row>
        <row r="23">
          <cell r="A23" t="str">
            <v>WK22</v>
          </cell>
        </row>
        <row r="24">
          <cell r="A24" t="str">
            <v>WK23</v>
          </cell>
        </row>
        <row r="25">
          <cell r="A25" t="str">
            <v>WK24</v>
          </cell>
        </row>
        <row r="26">
          <cell r="A26" t="str">
            <v>WK25</v>
          </cell>
        </row>
        <row r="27">
          <cell r="A27" t="str">
            <v>WK26</v>
          </cell>
        </row>
        <row r="28">
          <cell r="A28" t="str">
            <v>WK27</v>
          </cell>
        </row>
        <row r="29">
          <cell r="A29" t="str">
            <v>WK28</v>
          </cell>
        </row>
        <row r="30">
          <cell r="A30" t="str">
            <v>WK29</v>
          </cell>
        </row>
        <row r="31">
          <cell r="A31" t="str">
            <v>WK30</v>
          </cell>
        </row>
        <row r="32">
          <cell r="A32" t="str">
            <v>WK31</v>
          </cell>
        </row>
        <row r="33">
          <cell r="A33" t="str">
            <v>WK32</v>
          </cell>
        </row>
        <row r="34">
          <cell r="A34" t="str">
            <v>WK33</v>
          </cell>
        </row>
        <row r="35">
          <cell r="A35" t="str">
            <v>WK34</v>
          </cell>
        </row>
        <row r="36">
          <cell r="A36" t="str">
            <v>WK35</v>
          </cell>
        </row>
        <row r="37">
          <cell r="A37" t="str">
            <v>WK36</v>
          </cell>
        </row>
        <row r="38">
          <cell r="A38" t="str">
            <v>WK37</v>
          </cell>
        </row>
        <row r="39">
          <cell r="A39" t="str">
            <v>WK38</v>
          </cell>
        </row>
        <row r="40">
          <cell r="A40" t="str">
            <v>WK39</v>
          </cell>
        </row>
        <row r="41">
          <cell r="A41" t="str">
            <v>WK40</v>
          </cell>
        </row>
      </sheetData>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44" t="s">
        <v>54</v>
      </c>
      <c r="C1" s="545"/>
      <c r="D1" s="545"/>
      <c r="E1" s="167" t="s">
        <v>55</v>
      </c>
      <c r="F1" s="167" t="s">
        <v>56</v>
      </c>
      <c r="G1" s="110" t="s">
        <v>57</v>
      </c>
    </row>
    <row r="2" spans="1:7" x14ac:dyDescent="0.25">
      <c r="A2" s="116" t="s">
        <v>58</v>
      </c>
      <c r="B2" s="546" t="s">
        <v>59</v>
      </c>
      <c r="C2" s="547"/>
      <c r="D2" s="547"/>
      <c r="E2" s="293" t="s">
        <v>60</v>
      </c>
      <c r="F2" s="293" t="s">
        <v>61</v>
      </c>
      <c r="G2" s="323" t="s">
        <v>62</v>
      </c>
    </row>
    <row r="3" spans="1:7" s="81" customFormat="1" x14ac:dyDescent="0.25">
      <c r="A3" s="201" t="s">
        <v>63</v>
      </c>
      <c r="B3" s="553" t="s">
        <v>64</v>
      </c>
      <c r="C3" s="554"/>
      <c r="D3" s="555"/>
      <c r="E3" s="80" t="s">
        <v>60</v>
      </c>
      <c r="F3" s="80" t="s">
        <v>61</v>
      </c>
      <c r="G3" s="324" t="s">
        <v>62</v>
      </c>
    </row>
    <row r="4" spans="1:7" x14ac:dyDescent="0.25">
      <c r="A4" s="201" t="s">
        <v>65</v>
      </c>
      <c r="B4" s="550" t="s">
        <v>66</v>
      </c>
      <c r="C4" s="551"/>
      <c r="D4" s="552"/>
      <c r="E4" s="80" t="s">
        <v>67</v>
      </c>
      <c r="F4" s="80" t="s">
        <v>61</v>
      </c>
      <c r="G4" s="324" t="s">
        <v>62</v>
      </c>
    </row>
    <row r="5" spans="1:7" x14ac:dyDescent="0.25">
      <c r="A5" s="117" t="s">
        <v>68</v>
      </c>
      <c r="B5" s="550" t="s">
        <v>69</v>
      </c>
      <c r="C5" s="551"/>
      <c r="D5" s="552"/>
      <c r="E5" s="80" t="s">
        <v>67</v>
      </c>
      <c r="F5" s="80" t="s">
        <v>61</v>
      </c>
      <c r="G5" s="324" t="s">
        <v>62</v>
      </c>
    </row>
    <row r="6" spans="1:7" x14ac:dyDescent="0.25">
      <c r="A6" s="117" t="s">
        <v>70</v>
      </c>
      <c r="B6" s="550" t="s">
        <v>71</v>
      </c>
      <c r="C6" s="551"/>
      <c r="D6" s="552"/>
      <c r="E6" s="80" t="s">
        <v>72</v>
      </c>
      <c r="F6" s="80" t="s">
        <v>61</v>
      </c>
      <c r="G6" s="85"/>
    </row>
    <row r="7" spans="1:7" ht="15.75" thickBot="1" x14ac:dyDescent="0.3">
      <c r="A7" s="118" t="s">
        <v>73</v>
      </c>
      <c r="B7" s="548" t="s">
        <v>74</v>
      </c>
      <c r="C7" s="549"/>
      <c r="D7" s="549"/>
      <c r="E7" s="86" t="s">
        <v>72</v>
      </c>
      <c r="F7" s="86"/>
      <c r="G7" s="87"/>
    </row>
    <row r="8" spans="1:7" s="84" customFormat="1" ht="15.75" thickBot="1" x14ac:dyDescent="0.3">
      <c r="A8" s="115" t="s">
        <v>53</v>
      </c>
      <c r="B8" s="390" t="s">
        <v>1</v>
      </c>
      <c r="C8" s="167" t="s">
        <v>75</v>
      </c>
      <c r="D8" s="167" t="s">
        <v>54</v>
      </c>
      <c r="E8" s="167" t="s">
        <v>55</v>
      </c>
      <c r="F8" s="167" t="s">
        <v>56</v>
      </c>
      <c r="G8" s="110" t="s">
        <v>57</v>
      </c>
    </row>
    <row r="9" spans="1:7" ht="105" x14ac:dyDescent="0.25">
      <c r="A9" s="530" t="s">
        <v>58</v>
      </c>
      <c r="B9" s="533" t="s">
        <v>76</v>
      </c>
      <c r="C9" s="330" t="s">
        <v>77</v>
      </c>
      <c r="D9" s="94" t="s">
        <v>78</v>
      </c>
      <c r="E9" s="94" t="s">
        <v>60</v>
      </c>
      <c r="F9" s="94" t="s">
        <v>79</v>
      </c>
      <c r="G9" s="391" t="s">
        <v>80</v>
      </c>
    </row>
    <row r="10" spans="1:7" ht="75" x14ac:dyDescent="0.25">
      <c r="A10" s="531"/>
      <c r="B10" s="534"/>
      <c r="C10" s="326" t="s">
        <v>81</v>
      </c>
      <c r="D10" s="82" t="s">
        <v>82</v>
      </c>
      <c r="E10" s="82" t="s">
        <v>60</v>
      </c>
      <c r="F10" s="82" t="s">
        <v>79</v>
      </c>
      <c r="G10" s="320" t="s">
        <v>83</v>
      </c>
    </row>
    <row r="11" spans="1:7" ht="45" x14ac:dyDescent="0.25">
      <c r="A11" s="531"/>
      <c r="B11" s="534"/>
      <c r="C11" s="326" t="s">
        <v>84</v>
      </c>
      <c r="D11" s="82" t="s">
        <v>85</v>
      </c>
      <c r="E11" s="82" t="s">
        <v>86</v>
      </c>
      <c r="F11" s="82" t="s">
        <v>79</v>
      </c>
      <c r="G11" s="95" t="s">
        <v>87</v>
      </c>
    </row>
    <row r="12" spans="1:7" ht="120" x14ac:dyDescent="0.25">
      <c r="A12" s="531"/>
      <c r="B12" s="534"/>
      <c r="C12" s="326" t="s">
        <v>88</v>
      </c>
      <c r="D12" s="342" t="s">
        <v>89</v>
      </c>
      <c r="E12" s="82" t="s">
        <v>86</v>
      </c>
      <c r="F12" s="82" t="s">
        <v>79</v>
      </c>
      <c r="G12" s="320" t="s">
        <v>90</v>
      </c>
    </row>
    <row r="13" spans="1:7" ht="30" x14ac:dyDescent="0.25">
      <c r="A13" s="531"/>
      <c r="B13" s="534"/>
      <c r="C13" s="326" t="s">
        <v>91</v>
      </c>
      <c r="D13" s="82" t="s">
        <v>92</v>
      </c>
      <c r="E13" s="82" t="s">
        <v>86</v>
      </c>
      <c r="F13" s="82" t="s">
        <v>79</v>
      </c>
      <c r="G13" s="95" t="s">
        <v>93</v>
      </c>
    </row>
    <row r="14" spans="1:7" ht="30" x14ac:dyDescent="0.25">
      <c r="A14" s="531"/>
      <c r="B14" s="534"/>
      <c r="C14" s="326" t="s">
        <v>94</v>
      </c>
      <c r="D14" s="82" t="s">
        <v>95</v>
      </c>
      <c r="E14" s="82" t="s">
        <v>86</v>
      </c>
      <c r="F14" s="82" t="s">
        <v>79</v>
      </c>
      <c r="G14" s="95" t="s">
        <v>93</v>
      </c>
    </row>
    <row r="15" spans="1:7" ht="30" x14ac:dyDescent="0.25">
      <c r="A15" s="531"/>
      <c r="B15" s="534"/>
      <c r="C15" s="121" t="s">
        <v>96</v>
      </c>
      <c r="D15" s="82" t="s">
        <v>97</v>
      </c>
      <c r="E15" s="82" t="s">
        <v>60</v>
      </c>
      <c r="F15" s="82" t="s">
        <v>79</v>
      </c>
      <c r="G15" s="95" t="s">
        <v>98</v>
      </c>
    </row>
    <row r="16" spans="1:7" ht="60" x14ac:dyDescent="0.25">
      <c r="A16" s="531"/>
      <c r="B16" s="534"/>
      <c r="C16" s="326" t="s">
        <v>99</v>
      </c>
      <c r="D16" s="342" t="s">
        <v>100</v>
      </c>
      <c r="E16" s="82" t="s">
        <v>86</v>
      </c>
      <c r="F16" s="82" t="s">
        <v>79</v>
      </c>
      <c r="G16" s="320" t="s">
        <v>101</v>
      </c>
    </row>
    <row r="17" spans="1:7" ht="30" x14ac:dyDescent="0.25">
      <c r="A17" s="531"/>
      <c r="B17" s="534"/>
      <c r="C17" s="326" t="s">
        <v>102</v>
      </c>
      <c r="D17" s="82" t="s">
        <v>103</v>
      </c>
      <c r="E17" s="82" t="s">
        <v>86</v>
      </c>
      <c r="F17" s="82" t="s">
        <v>79</v>
      </c>
      <c r="G17" s="95" t="s">
        <v>104</v>
      </c>
    </row>
    <row r="18" spans="1:7" ht="45" x14ac:dyDescent="0.25">
      <c r="A18" s="531"/>
      <c r="B18" s="534"/>
      <c r="C18" s="326" t="s">
        <v>105</v>
      </c>
      <c r="D18" s="82" t="s">
        <v>106</v>
      </c>
      <c r="E18" s="82" t="s">
        <v>86</v>
      </c>
      <c r="F18" s="82" t="s">
        <v>79</v>
      </c>
      <c r="G18" s="95" t="s">
        <v>107</v>
      </c>
    </row>
    <row r="19" spans="1:7" x14ac:dyDescent="0.25">
      <c r="A19" s="531"/>
      <c r="B19" s="534"/>
      <c r="C19" s="326" t="s">
        <v>108</v>
      </c>
      <c r="D19" s="82" t="s">
        <v>109</v>
      </c>
      <c r="E19" s="82" t="s">
        <v>86</v>
      </c>
      <c r="F19" s="82" t="s">
        <v>79</v>
      </c>
      <c r="G19" s="95" t="s">
        <v>110</v>
      </c>
    </row>
    <row r="20" spans="1:7" ht="105.75" thickBot="1" x14ac:dyDescent="0.3">
      <c r="A20" s="531"/>
      <c r="B20" s="535"/>
      <c r="C20" s="392" t="s">
        <v>1</v>
      </c>
      <c r="D20" s="467" t="s">
        <v>111</v>
      </c>
      <c r="E20" s="364" t="s">
        <v>86</v>
      </c>
      <c r="F20" s="364" t="s">
        <v>79</v>
      </c>
      <c r="G20" s="393" t="s">
        <v>112</v>
      </c>
    </row>
    <row r="21" spans="1:7" ht="45" x14ac:dyDescent="0.25">
      <c r="A21" s="531"/>
      <c r="B21" s="567" t="s">
        <v>113</v>
      </c>
      <c r="C21" s="327" t="s">
        <v>114</v>
      </c>
      <c r="D21" s="105" t="s">
        <v>115</v>
      </c>
      <c r="E21" s="105" t="s">
        <v>86</v>
      </c>
      <c r="F21" s="105" t="s">
        <v>116</v>
      </c>
      <c r="G21" s="168" t="s">
        <v>117</v>
      </c>
    </row>
    <row r="22" spans="1:7" ht="30" x14ac:dyDescent="0.25">
      <c r="A22" s="531"/>
      <c r="B22" s="568"/>
      <c r="C22" s="328" t="s">
        <v>118</v>
      </c>
      <c r="D22" s="397" t="s">
        <v>119</v>
      </c>
      <c r="E22" s="397" t="s">
        <v>86</v>
      </c>
      <c r="F22" s="397" t="s">
        <v>116</v>
      </c>
      <c r="G22" s="398" t="s">
        <v>120</v>
      </c>
    </row>
    <row r="23" spans="1:7" ht="15.75" thickBot="1" x14ac:dyDescent="0.3">
      <c r="A23" s="531"/>
      <c r="B23" s="569"/>
      <c r="C23" s="399" t="s">
        <v>121</v>
      </c>
      <c r="D23" s="107" t="s">
        <v>122</v>
      </c>
      <c r="E23" s="107" t="s">
        <v>86</v>
      </c>
      <c r="F23" s="107" t="s">
        <v>116</v>
      </c>
      <c r="G23" s="108" t="s">
        <v>123</v>
      </c>
    </row>
    <row r="24" spans="1:7" ht="30" customHeight="1" x14ac:dyDescent="0.25">
      <c r="A24" s="531"/>
      <c r="B24" s="570" t="s">
        <v>124</v>
      </c>
      <c r="C24" s="394" t="s">
        <v>125</v>
      </c>
      <c r="D24" s="395" t="s">
        <v>126</v>
      </c>
      <c r="E24" s="395" t="s">
        <v>86</v>
      </c>
      <c r="F24" s="395" t="s">
        <v>79</v>
      </c>
      <c r="G24" s="396" t="s">
        <v>127</v>
      </c>
    </row>
    <row r="25" spans="1:7" ht="30" customHeight="1" x14ac:dyDescent="0.25">
      <c r="A25" s="531"/>
      <c r="B25" s="571"/>
      <c r="C25" s="328" t="s">
        <v>128</v>
      </c>
      <c r="D25" s="109" t="s">
        <v>129</v>
      </c>
      <c r="E25" s="109" t="s">
        <v>86</v>
      </c>
      <c r="F25" s="109" t="s">
        <v>130</v>
      </c>
      <c r="G25" s="524" t="s">
        <v>131</v>
      </c>
    </row>
    <row r="26" spans="1:7" ht="30" x14ac:dyDescent="0.25">
      <c r="A26" s="531"/>
      <c r="B26" s="571"/>
      <c r="C26" s="274" t="s">
        <v>132</v>
      </c>
      <c r="D26" s="109" t="s">
        <v>133</v>
      </c>
      <c r="E26" s="109" t="s">
        <v>86</v>
      </c>
      <c r="F26" s="109" t="s">
        <v>130</v>
      </c>
      <c r="G26" s="525"/>
    </row>
    <row r="27" spans="1:7" x14ac:dyDescent="0.25">
      <c r="A27" s="531"/>
      <c r="B27" s="571"/>
      <c r="C27" s="328" t="s">
        <v>30</v>
      </c>
      <c r="D27" s="109" t="s">
        <v>134</v>
      </c>
      <c r="E27" s="109" t="s">
        <v>86</v>
      </c>
      <c r="F27" s="109" t="s">
        <v>130</v>
      </c>
      <c r="G27" s="525"/>
    </row>
    <row r="28" spans="1:7" x14ac:dyDescent="0.25">
      <c r="A28" s="531"/>
      <c r="B28" s="571"/>
      <c r="C28" s="328" t="s">
        <v>135</v>
      </c>
      <c r="D28" s="109" t="s">
        <v>136</v>
      </c>
      <c r="E28" s="109" t="s">
        <v>86</v>
      </c>
      <c r="F28" s="109" t="s">
        <v>130</v>
      </c>
      <c r="G28" s="525"/>
    </row>
    <row r="29" spans="1:7" x14ac:dyDescent="0.25">
      <c r="A29" s="531"/>
      <c r="B29" s="571"/>
      <c r="C29" s="328" t="s">
        <v>36</v>
      </c>
      <c r="D29" s="109" t="s">
        <v>137</v>
      </c>
      <c r="E29" s="109" t="s">
        <v>86</v>
      </c>
      <c r="F29" s="109" t="s">
        <v>130</v>
      </c>
      <c r="G29" s="525"/>
    </row>
    <row r="30" spans="1:7" x14ac:dyDescent="0.25">
      <c r="A30" s="531"/>
      <c r="B30" s="571"/>
      <c r="C30" s="328" t="s">
        <v>138</v>
      </c>
      <c r="D30" s="109" t="s">
        <v>139</v>
      </c>
      <c r="E30" s="109" t="s">
        <v>86</v>
      </c>
      <c r="F30" s="109" t="s">
        <v>130</v>
      </c>
      <c r="G30" s="525"/>
    </row>
    <row r="31" spans="1:7" x14ac:dyDescent="0.25">
      <c r="A31" s="531"/>
      <c r="B31" s="571"/>
      <c r="C31" s="274" t="s">
        <v>140</v>
      </c>
      <c r="D31" s="109" t="s">
        <v>141</v>
      </c>
      <c r="E31" s="109" t="s">
        <v>86</v>
      </c>
      <c r="F31" s="109" t="s">
        <v>130</v>
      </c>
      <c r="G31" s="525"/>
    </row>
    <row r="32" spans="1:7" ht="30.75" thickBot="1" x14ac:dyDescent="0.3">
      <c r="A32" s="531"/>
      <c r="B32" s="572"/>
      <c r="C32" s="329" t="s">
        <v>142</v>
      </c>
      <c r="D32" s="104" t="s">
        <v>143</v>
      </c>
      <c r="E32" s="104" t="s">
        <v>86</v>
      </c>
      <c r="F32" s="104" t="s">
        <v>130</v>
      </c>
      <c r="G32" s="526"/>
    </row>
    <row r="33" spans="1:7" ht="30" x14ac:dyDescent="0.25">
      <c r="A33" s="531"/>
      <c r="B33" s="573" t="s">
        <v>144</v>
      </c>
      <c r="C33" s="309" t="s">
        <v>132</v>
      </c>
      <c r="D33" s="272" t="s">
        <v>145</v>
      </c>
      <c r="E33" s="272" t="s">
        <v>86</v>
      </c>
      <c r="F33" s="272" t="s">
        <v>146</v>
      </c>
      <c r="G33" s="273" t="s">
        <v>147</v>
      </c>
    </row>
    <row r="34" spans="1:7" x14ac:dyDescent="0.25">
      <c r="A34" s="531"/>
      <c r="B34" s="574"/>
      <c r="C34" s="326" t="s">
        <v>30</v>
      </c>
      <c r="D34" s="83" t="s">
        <v>148</v>
      </c>
      <c r="E34" s="83" t="s">
        <v>86</v>
      </c>
      <c r="F34" s="83" t="s">
        <v>146</v>
      </c>
      <c r="G34" s="99"/>
    </row>
    <row r="35" spans="1:7" x14ac:dyDescent="0.25">
      <c r="A35" s="531"/>
      <c r="B35" s="574"/>
      <c r="C35" s="326" t="s">
        <v>135</v>
      </c>
      <c r="D35" s="83" t="s">
        <v>149</v>
      </c>
      <c r="E35" s="83" t="s">
        <v>86</v>
      </c>
      <c r="F35" s="83" t="s">
        <v>146</v>
      </c>
      <c r="G35" s="99" t="s">
        <v>150</v>
      </c>
    </row>
    <row r="36" spans="1:7" x14ac:dyDescent="0.25">
      <c r="A36" s="531"/>
      <c r="B36" s="574"/>
      <c r="C36" s="326" t="s">
        <v>36</v>
      </c>
      <c r="D36" s="83" t="s">
        <v>151</v>
      </c>
      <c r="E36" s="83" t="s">
        <v>86</v>
      </c>
      <c r="F36" s="83" t="s">
        <v>146</v>
      </c>
      <c r="G36" s="113"/>
    </row>
    <row r="37" spans="1:7" x14ac:dyDescent="0.25">
      <c r="A37" s="531"/>
      <c r="B37" s="574"/>
      <c r="C37" s="326" t="s">
        <v>138</v>
      </c>
      <c r="D37" s="83" t="s">
        <v>152</v>
      </c>
      <c r="E37" s="83" t="s">
        <v>86</v>
      </c>
      <c r="F37" s="83" t="s">
        <v>146</v>
      </c>
      <c r="G37" s="99" t="s">
        <v>153</v>
      </c>
    </row>
    <row r="38" spans="1:7" x14ac:dyDescent="0.25">
      <c r="A38" s="531"/>
      <c r="B38" s="574"/>
      <c r="C38" s="275" t="s">
        <v>140</v>
      </c>
      <c r="D38" s="83" t="s">
        <v>154</v>
      </c>
      <c r="E38" s="83" t="s">
        <v>86</v>
      </c>
      <c r="F38" s="83" t="s">
        <v>146</v>
      </c>
      <c r="G38" s="99"/>
    </row>
    <row r="39" spans="1:7" ht="30" x14ac:dyDescent="0.25">
      <c r="A39" s="531"/>
      <c r="B39" s="574"/>
      <c r="C39" s="328" t="s">
        <v>155</v>
      </c>
      <c r="D39" s="83" t="s">
        <v>156</v>
      </c>
      <c r="E39" s="83" t="s">
        <v>86</v>
      </c>
      <c r="F39" s="83" t="s">
        <v>146</v>
      </c>
      <c r="G39" s="99"/>
    </row>
    <row r="40" spans="1:7" ht="30" x14ac:dyDescent="0.25">
      <c r="A40" s="531"/>
      <c r="B40" s="574"/>
      <c r="C40" s="275" t="s">
        <v>157</v>
      </c>
      <c r="D40" s="83" t="s">
        <v>158</v>
      </c>
      <c r="E40" s="83" t="s">
        <v>60</v>
      </c>
      <c r="F40" s="83" t="s">
        <v>146</v>
      </c>
      <c r="G40" s="99" t="s">
        <v>159</v>
      </c>
    </row>
    <row r="41" spans="1:7" ht="45.75" thickBot="1" x14ac:dyDescent="0.3">
      <c r="A41" s="531"/>
      <c r="B41" s="575"/>
      <c r="C41" s="325" t="s">
        <v>160</v>
      </c>
      <c r="D41" s="100" t="s">
        <v>161</v>
      </c>
      <c r="E41" s="100" t="s">
        <v>86</v>
      </c>
      <c r="F41" s="100" t="s">
        <v>146</v>
      </c>
      <c r="G41" s="101" t="s">
        <v>162</v>
      </c>
    </row>
    <row r="42" spans="1:7" ht="135.75" thickBot="1" x14ac:dyDescent="0.3">
      <c r="A42" s="530" t="s">
        <v>63</v>
      </c>
      <c r="B42" s="400" t="s">
        <v>163</v>
      </c>
      <c r="C42" s="330" t="s">
        <v>88</v>
      </c>
      <c r="D42" s="401" t="s">
        <v>164</v>
      </c>
      <c r="E42" s="401" t="s">
        <v>86</v>
      </c>
      <c r="F42" s="401" t="s">
        <v>79</v>
      </c>
      <c r="G42" s="402" t="s">
        <v>165</v>
      </c>
    </row>
    <row r="43" spans="1:7" ht="15" customHeight="1" x14ac:dyDescent="0.25">
      <c r="A43" s="531"/>
      <c r="B43" s="559" t="s">
        <v>166</v>
      </c>
      <c r="C43" s="306" t="s">
        <v>167</v>
      </c>
      <c r="D43" s="294" t="s">
        <v>168</v>
      </c>
      <c r="E43" s="294" t="s">
        <v>67</v>
      </c>
      <c r="F43" s="294" t="s">
        <v>79</v>
      </c>
      <c r="G43" s="277" t="s">
        <v>169</v>
      </c>
    </row>
    <row r="44" spans="1:7" ht="30" x14ac:dyDescent="0.25">
      <c r="A44" s="531"/>
      <c r="B44" s="560"/>
      <c r="C44" s="307" t="s">
        <v>128</v>
      </c>
      <c r="D44" s="295" t="s">
        <v>170</v>
      </c>
      <c r="E44" s="295" t="s">
        <v>67</v>
      </c>
      <c r="F44" s="295" t="s">
        <v>79</v>
      </c>
      <c r="G44" s="278" t="s">
        <v>169</v>
      </c>
    </row>
    <row r="45" spans="1:7" ht="30" x14ac:dyDescent="0.25">
      <c r="A45" s="531"/>
      <c r="B45" s="560"/>
      <c r="C45" s="307" t="s">
        <v>105</v>
      </c>
      <c r="D45" s="295" t="s">
        <v>171</v>
      </c>
      <c r="E45" s="295" t="s">
        <v>67</v>
      </c>
      <c r="F45" s="295" t="s">
        <v>79</v>
      </c>
      <c r="G45" s="278" t="s">
        <v>172</v>
      </c>
    </row>
    <row r="46" spans="1:7" x14ac:dyDescent="0.25">
      <c r="A46" s="531"/>
      <c r="B46" s="560"/>
      <c r="C46" s="307" t="s">
        <v>173</v>
      </c>
      <c r="D46" s="295" t="s">
        <v>174</v>
      </c>
      <c r="E46" s="295" t="s">
        <v>67</v>
      </c>
      <c r="F46" s="295" t="s">
        <v>79</v>
      </c>
      <c r="G46" s="278" t="s">
        <v>169</v>
      </c>
    </row>
    <row r="47" spans="1:7" ht="15.75" thickBot="1" x14ac:dyDescent="0.3">
      <c r="A47" s="531"/>
      <c r="B47" s="561"/>
      <c r="C47" s="308" t="s">
        <v>175</v>
      </c>
      <c r="D47" s="296" t="s">
        <v>176</v>
      </c>
      <c r="E47" s="295" t="s">
        <v>67</v>
      </c>
      <c r="F47" s="296" t="s">
        <v>79</v>
      </c>
      <c r="G47" s="279" t="s">
        <v>169</v>
      </c>
    </row>
    <row r="48" spans="1:7" ht="30" x14ac:dyDescent="0.25">
      <c r="A48" s="531"/>
      <c r="B48" s="562" t="s">
        <v>177</v>
      </c>
      <c r="C48" s="303" t="s">
        <v>132</v>
      </c>
      <c r="D48" s="297" t="s">
        <v>178</v>
      </c>
      <c r="E48" s="297" t="s">
        <v>67</v>
      </c>
      <c r="F48" s="297" t="s">
        <v>130</v>
      </c>
      <c r="G48" s="527" t="s">
        <v>179</v>
      </c>
    </row>
    <row r="49" spans="1:7" ht="30" x14ac:dyDescent="0.25">
      <c r="A49" s="531"/>
      <c r="B49" s="562"/>
      <c r="C49" s="304" t="s">
        <v>30</v>
      </c>
      <c r="D49" s="280" t="s">
        <v>180</v>
      </c>
      <c r="E49" s="280" t="s">
        <v>67</v>
      </c>
      <c r="F49" s="280" t="s">
        <v>130</v>
      </c>
      <c r="G49" s="528"/>
    </row>
    <row r="50" spans="1:7" ht="30" x14ac:dyDescent="0.25">
      <c r="A50" s="531"/>
      <c r="B50" s="562"/>
      <c r="C50" s="304" t="s">
        <v>135</v>
      </c>
      <c r="D50" s="280" t="s">
        <v>181</v>
      </c>
      <c r="E50" s="280" t="s">
        <v>67</v>
      </c>
      <c r="F50" s="280" t="s">
        <v>130</v>
      </c>
      <c r="G50" s="528"/>
    </row>
    <row r="51" spans="1:7" ht="30" x14ac:dyDescent="0.25">
      <c r="A51" s="531"/>
      <c r="B51" s="562"/>
      <c r="C51" s="304" t="s">
        <v>36</v>
      </c>
      <c r="D51" s="280" t="s">
        <v>182</v>
      </c>
      <c r="E51" s="280" t="s">
        <v>67</v>
      </c>
      <c r="F51" s="280" t="s">
        <v>130</v>
      </c>
      <c r="G51" s="528"/>
    </row>
    <row r="52" spans="1:7" ht="30" x14ac:dyDescent="0.25">
      <c r="A52" s="531"/>
      <c r="B52" s="562"/>
      <c r="C52" s="304" t="s">
        <v>138</v>
      </c>
      <c r="D52" s="280" t="s">
        <v>183</v>
      </c>
      <c r="E52" s="280" t="s">
        <v>67</v>
      </c>
      <c r="F52" s="280" t="s">
        <v>130</v>
      </c>
      <c r="G52" s="528"/>
    </row>
    <row r="53" spans="1:7" ht="30" x14ac:dyDescent="0.25">
      <c r="A53" s="531"/>
      <c r="B53" s="562"/>
      <c r="C53" s="304" t="s">
        <v>184</v>
      </c>
      <c r="D53" s="280" t="s">
        <v>185</v>
      </c>
      <c r="E53" s="280" t="s">
        <v>67</v>
      </c>
      <c r="F53" s="280" t="s">
        <v>130</v>
      </c>
      <c r="G53" s="528"/>
    </row>
    <row r="54" spans="1:7" x14ac:dyDescent="0.25">
      <c r="A54" s="531"/>
      <c r="B54" s="562"/>
      <c r="C54" s="304" t="s">
        <v>140</v>
      </c>
      <c r="D54" s="280" t="s">
        <v>186</v>
      </c>
      <c r="E54" s="280" t="s">
        <v>67</v>
      </c>
      <c r="F54" s="280" t="s">
        <v>130</v>
      </c>
      <c r="G54" s="528"/>
    </row>
    <row r="55" spans="1:7" ht="30.75" thickBot="1" x14ac:dyDescent="0.3">
      <c r="A55" s="531"/>
      <c r="B55" s="563"/>
      <c r="C55" s="305" t="s">
        <v>187</v>
      </c>
      <c r="D55" s="298" t="s">
        <v>188</v>
      </c>
      <c r="E55" s="298" t="s">
        <v>67</v>
      </c>
      <c r="F55" s="298" t="s">
        <v>130</v>
      </c>
      <c r="G55" s="529"/>
    </row>
    <row r="56" spans="1:7" ht="30" x14ac:dyDescent="0.25">
      <c r="A56" s="531"/>
      <c r="B56" s="564" t="s">
        <v>144</v>
      </c>
      <c r="C56" s="387" t="s">
        <v>132</v>
      </c>
      <c r="D56" s="388" t="s">
        <v>189</v>
      </c>
      <c r="E56" s="388" t="s">
        <v>67</v>
      </c>
      <c r="F56" s="388" t="s">
        <v>146</v>
      </c>
      <c r="G56" s="389" t="s">
        <v>169</v>
      </c>
    </row>
    <row r="57" spans="1:7" ht="30" x14ac:dyDescent="0.25">
      <c r="A57" s="531"/>
      <c r="B57" s="565"/>
      <c r="C57" s="301" t="s">
        <v>30</v>
      </c>
      <c r="D57" s="299" t="s">
        <v>190</v>
      </c>
      <c r="E57" s="299" t="s">
        <v>67</v>
      </c>
      <c r="F57" s="299" t="s">
        <v>146</v>
      </c>
      <c r="G57" s="276" t="s">
        <v>169</v>
      </c>
    </row>
    <row r="58" spans="1:7" ht="30" x14ac:dyDescent="0.25">
      <c r="A58" s="531"/>
      <c r="B58" s="565"/>
      <c r="C58" s="301" t="s">
        <v>135</v>
      </c>
      <c r="D58" s="299" t="s">
        <v>191</v>
      </c>
      <c r="E58" s="299" t="s">
        <v>67</v>
      </c>
      <c r="F58" s="299" t="s">
        <v>146</v>
      </c>
      <c r="G58" s="276" t="s">
        <v>169</v>
      </c>
    </row>
    <row r="59" spans="1:7" x14ac:dyDescent="0.25">
      <c r="A59" s="531"/>
      <c r="B59" s="565"/>
      <c r="C59" s="301" t="s">
        <v>36</v>
      </c>
      <c r="D59" s="299" t="s">
        <v>192</v>
      </c>
      <c r="E59" s="299" t="s">
        <v>67</v>
      </c>
      <c r="F59" s="299" t="s">
        <v>146</v>
      </c>
      <c r="G59" s="276" t="s">
        <v>169</v>
      </c>
    </row>
    <row r="60" spans="1:7" ht="30" x14ac:dyDescent="0.25">
      <c r="A60" s="531"/>
      <c r="B60" s="565"/>
      <c r="C60" s="301" t="s">
        <v>138</v>
      </c>
      <c r="D60" s="299" t="s">
        <v>193</v>
      </c>
      <c r="E60" s="299" t="s">
        <v>67</v>
      </c>
      <c r="F60" s="299" t="s">
        <v>146</v>
      </c>
      <c r="G60" s="276" t="s">
        <v>169</v>
      </c>
    </row>
    <row r="61" spans="1:7" x14ac:dyDescent="0.25">
      <c r="A61" s="531"/>
      <c r="B61" s="565"/>
      <c r="C61" s="301" t="s">
        <v>184</v>
      </c>
      <c r="D61" s="299" t="s">
        <v>194</v>
      </c>
      <c r="E61" s="299" t="s">
        <v>67</v>
      </c>
      <c r="F61" s="299" t="s">
        <v>146</v>
      </c>
      <c r="G61" s="276" t="s">
        <v>169</v>
      </c>
    </row>
    <row r="62" spans="1:7" x14ac:dyDescent="0.25">
      <c r="A62" s="531"/>
      <c r="B62" s="565"/>
      <c r="C62" s="301" t="s">
        <v>140</v>
      </c>
      <c r="D62" s="299" t="s">
        <v>195</v>
      </c>
      <c r="E62" s="299" t="s">
        <v>67</v>
      </c>
      <c r="F62" s="299" t="s">
        <v>146</v>
      </c>
      <c r="G62" s="276" t="s">
        <v>169</v>
      </c>
    </row>
    <row r="63" spans="1:7" ht="15.75" thickBot="1" x14ac:dyDescent="0.3">
      <c r="A63" s="532"/>
      <c r="B63" s="566"/>
      <c r="C63" s="302" t="s">
        <v>187</v>
      </c>
      <c r="D63" s="300" t="s">
        <v>196</v>
      </c>
      <c r="E63" s="300" t="s">
        <v>67</v>
      </c>
      <c r="F63" s="300" t="s">
        <v>146</v>
      </c>
      <c r="G63" s="281" t="s">
        <v>169</v>
      </c>
    </row>
    <row r="64" spans="1:7" ht="120" x14ac:dyDescent="0.25">
      <c r="A64" s="531" t="s">
        <v>65</v>
      </c>
      <c r="B64" s="556" t="s">
        <v>197</v>
      </c>
      <c r="C64" s="327" t="s">
        <v>77</v>
      </c>
      <c r="D64" s="283" t="s">
        <v>198</v>
      </c>
      <c r="E64" s="283" t="s">
        <v>60</v>
      </c>
      <c r="F64" s="283" t="s">
        <v>79</v>
      </c>
      <c r="G64" s="403" t="s">
        <v>199</v>
      </c>
    </row>
    <row r="65" spans="1:7" ht="60" x14ac:dyDescent="0.25">
      <c r="A65" s="531"/>
      <c r="B65" s="557"/>
      <c r="C65" s="328" t="s">
        <v>81</v>
      </c>
      <c r="D65" s="284" t="s">
        <v>82</v>
      </c>
      <c r="E65" s="284" t="s">
        <v>60</v>
      </c>
      <c r="F65" s="284" t="s">
        <v>79</v>
      </c>
      <c r="G65" s="405" t="s">
        <v>200</v>
      </c>
    </row>
    <row r="66" spans="1:7" ht="30" x14ac:dyDescent="0.25">
      <c r="A66" s="531"/>
      <c r="B66" s="557"/>
      <c r="C66" s="328" t="s">
        <v>96</v>
      </c>
      <c r="D66" s="284" t="s">
        <v>97</v>
      </c>
      <c r="E66" s="284" t="s">
        <v>60</v>
      </c>
      <c r="F66" s="284" t="s">
        <v>79</v>
      </c>
      <c r="G66" s="285" t="s">
        <v>201</v>
      </c>
    </row>
    <row r="67" spans="1:7" ht="30" x14ac:dyDescent="0.25">
      <c r="A67" s="531"/>
      <c r="B67" s="557"/>
      <c r="C67" s="328" t="s">
        <v>202</v>
      </c>
      <c r="D67" s="284" t="s">
        <v>203</v>
      </c>
      <c r="E67" s="284" t="s">
        <v>60</v>
      </c>
      <c r="F67" s="284" t="s">
        <v>79</v>
      </c>
      <c r="G67" s="285" t="s">
        <v>204</v>
      </c>
    </row>
    <row r="68" spans="1:7" x14ac:dyDescent="0.25">
      <c r="A68" s="531"/>
      <c r="B68" s="557"/>
      <c r="C68" s="328" t="s">
        <v>1</v>
      </c>
      <c r="D68" s="284" t="s">
        <v>205</v>
      </c>
      <c r="E68" s="284" t="s">
        <v>60</v>
      </c>
      <c r="F68" s="284" t="s">
        <v>79</v>
      </c>
      <c r="G68" s="285" t="s">
        <v>206</v>
      </c>
    </row>
    <row r="69" spans="1:7" ht="15.75" thickBot="1" x14ac:dyDescent="0.3">
      <c r="A69" s="531"/>
      <c r="B69" s="558"/>
      <c r="C69" s="329" t="s">
        <v>207</v>
      </c>
      <c r="D69" s="286" t="s">
        <v>208</v>
      </c>
      <c r="E69" s="286" t="s">
        <v>60</v>
      </c>
      <c r="F69" s="286" t="s">
        <v>79</v>
      </c>
      <c r="G69" s="287"/>
    </row>
    <row r="70" spans="1:7" ht="150" x14ac:dyDescent="0.25">
      <c r="A70" s="530" t="s">
        <v>68</v>
      </c>
      <c r="B70" s="533" t="s">
        <v>76</v>
      </c>
      <c r="C70" s="334" t="s">
        <v>77</v>
      </c>
      <c r="D70" s="282" t="s">
        <v>209</v>
      </c>
      <c r="E70" s="282" t="s">
        <v>60</v>
      </c>
      <c r="F70" s="282" t="s">
        <v>79</v>
      </c>
      <c r="G70" s="404" t="s">
        <v>210</v>
      </c>
    </row>
    <row r="71" spans="1:7" x14ac:dyDescent="0.25">
      <c r="A71" s="531"/>
      <c r="B71" s="534"/>
      <c r="C71" s="121" t="s">
        <v>81</v>
      </c>
      <c r="D71" s="82" t="s">
        <v>82</v>
      </c>
      <c r="E71" s="82" t="s">
        <v>60</v>
      </c>
      <c r="F71" s="82" t="s">
        <v>79</v>
      </c>
      <c r="G71" s="95" t="s">
        <v>169</v>
      </c>
    </row>
    <row r="72" spans="1:7" ht="30" x14ac:dyDescent="0.25">
      <c r="A72" s="531"/>
      <c r="B72" s="534"/>
      <c r="C72" s="121" t="s">
        <v>96</v>
      </c>
      <c r="D72" s="82" t="s">
        <v>97</v>
      </c>
      <c r="E72" s="82" t="s">
        <v>60</v>
      </c>
      <c r="F72" s="82" t="s">
        <v>79</v>
      </c>
      <c r="G72" s="95" t="s">
        <v>211</v>
      </c>
    </row>
    <row r="73" spans="1:7" x14ac:dyDescent="0.25">
      <c r="A73" s="531"/>
      <c r="B73" s="534"/>
      <c r="C73" s="121" t="s">
        <v>212</v>
      </c>
      <c r="D73" s="82" t="s">
        <v>213</v>
      </c>
      <c r="E73" s="82" t="s">
        <v>86</v>
      </c>
      <c r="F73" s="82" t="s">
        <v>79</v>
      </c>
      <c r="G73" s="95" t="s">
        <v>169</v>
      </c>
    </row>
    <row r="74" spans="1:7" ht="60" customHeight="1" x14ac:dyDescent="0.25">
      <c r="A74" s="531"/>
      <c r="B74" s="534"/>
      <c r="C74" s="121" t="s">
        <v>88</v>
      </c>
      <c r="D74" s="82" t="s">
        <v>214</v>
      </c>
      <c r="E74" s="82" t="s">
        <v>86</v>
      </c>
      <c r="F74" s="82" t="s">
        <v>79</v>
      </c>
      <c r="G74" s="95" t="s">
        <v>169</v>
      </c>
    </row>
    <row r="75" spans="1:7" x14ac:dyDescent="0.25">
      <c r="A75" s="531"/>
      <c r="B75" s="534"/>
      <c r="C75" s="121" t="s">
        <v>1</v>
      </c>
      <c r="D75" s="82" t="s">
        <v>205</v>
      </c>
      <c r="E75" s="82" t="s">
        <v>86</v>
      </c>
      <c r="F75" s="82" t="s">
        <v>79</v>
      </c>
      <c r="G75" s="95" t="s">
        <v>169</v>
      </c>
    </row>
    <row r="76" spans="1:7" ht="90" x14ac:dyDescent="0.25">
      <c r="A76" s="531"/>
      <c r="B76" s="534"/>
      <c r="C76" s="121" t="s">
        <v>215</v>
      </c>
      <c r="D76" s="82" t="s">
        <v>216</v>
      </c>
      <c r="E76" s="82" t="s">
        <v>60</v>
      </c>
      <c r="F76" s="82" t="s">
        <v>79</v>
      </c>
      <c r="G76" s="320" t="s">
        <v>217</v>
      </c>
    </row>
    <row r="77" spans="1:7" ht="90" x14ac:dyDescent="0.25">
      <c r="A77" s="531"/>
      <c r="B77" s="534"/>
      <c r="C77" s="121" t="s">
        <v>218</v>
      </c>
      <c r="D77" s="82" t="s">
        <v>219</v>
      </c>
      <c r="E77" s="82" t="s">
        <v>60</v>
      </c>
      <c r="F77" s="82" t="s">
        <v>79</v>
      </c>
      <c r="G77" s="320" t="s">
        <v>220</v>
      </c>
    </row>
    <row r="78" spans="1:7" ht="30" x14ac:dyDescent="0.25">
      <c r="A78" s="531"/>
      <c r="B78" s="534"/>
      <c r="C78" s="121" t="s">
        <v>105</v>
      </c>
      <c r="D78" s="82" t="s">
        <v>171</v>
      </c>
      <c r="E78" s="82" t="s">
        <v>86</v>
      </c>
      <c r="F78" s="82" t="s">
        <v>79</v>
      </c>
      <c r="G78" s="95" t="s">
        <v>172</v>
      </c>
    </row>
    <row r="79" spans="1:7" ht="30.75" thickBot="1" x14ac:dyDescent="0.3">
      <c r="A79" s="531"/>
      <c r="B79" s="535"/>
      <c r="C79" s="122" t="s">
        <v>221</v>
      </c>
      <c r="D79" s="96" t="s">
        <v>222</v>
      </c>
      <c r="E79" s="96" t="s">
        <v>60</v>
      </c>
      <c r="F79" s="96" t="s">
        <v>79</v>
      </c>
      <c r="G79" s="97" t="s">
        <v>223</v>
      </c>
    </row>
    <row r="80" spans="1:7" ht="30" x14ac:dyDescent="0.25">
      <c r="A80" s="531"/>
      <c r="B80" s="536" t="s">
        <v>113</v>
      </c>
      <c r="C80" s="123" t="s">
        <v>114</v>
      </c>
      <c r="D80" s="105" t="s">
        <v>224</v>
      </c>
      <c r="E80" s="105" t="s">
        <v>60</v>
      </c>
      <c r="F80" s="105" t="s">
        <v>225</v>
      </c>
      <c r="G80" s="106" t="s">
        <v>223</v>
      </c>
    </row>
    <row r="81" spans="1:7" ht="30.75" thickBot="1" x14ac:dyDescent="0.3">
      <c r="A81" s="531"/>
      <c r="B81" s="537"/>
      <c r="C81" s="124" t="s">
        <v>121</v>
      </c>
      <c r="D81" s="107" t="s">
        <v>226</v>
      </c>
      <c r="E81" s="107" t="s">
        <v>60</v>
      </c>
      <c r="F81" s="107" t="s">
        <v>225</v>
      </c>
      <c r="G81" s="108" t="s">
        <v>223</v>
      </c>
    </row>
    <row r="82" spans="1:7" ht="30" x14ac:dyDescent="0.25">
      <c r="A82" s="531"/>
      <c r="B82" s="538" t="s">
        <v>124</v>
      </c>
      <c r="C82" s="125" t="s">
        <v>227</v>
      </c>
      <c r="D82" s="102" t="s">
        <v>228</v>
      </c>
      <c r="E82" s="102" t="s">
        <v>60</v>
      </c>
      <c r="F82" s="102" t="s">
        <v>79</v>
      </c>
      <c r="G82" s="103" t="s">
        <v>223</v>
      </c>
    </row>
    <row r="83" spans="1:7" ht="30" x14ac:dyDescent="0.25">
      <c r="A83" s="531"/>
      <c r="B83" s="539"/>
      <c r="C83" s="127" t="s">
        <v>229</v>
      </c>
      <c r="D83" s="109" t="s">
        <v>230</v>
      </c>
      <c r="E83" s="109" t="s">
        <v>60</v>
      </c>
      <c r="F83" s="109" t="s">
        <v>225</v>
      </c>
      <c r="G83" s="114" t="s">
        <v>223</v>
      </c>
    </row>
    <row r="84" spans="1:7" ht="30.75" thickBot="1" x14ac:dyDescent="0.3">
      <c r="A84" s="531"/>
      <c r="B84" s="540"/>
      <c r="C84" s="128" t="s">
        <v>187</v>
      </c>
      <c r="D84" s="119" t="s">
        <v>231</v>
      </c>
      <c r="E84" s="119" t="s">
        <v>60</v>
      </c>
      <c r="F84" s="119" t="s">
        <v>225</v>
      </c>
      <c r="G84" s="120" t="s">
        <v>223</v>
      </c>
    </row>
    <row r="85" spans="1:7" ht="30" x14ac:dyDescent="0.25">
      <c r="A85" s="531"/>
      <c r="B85" s="541" t="s">
        <v>144</v>
      </c>
      <c r="C85" s="126" t="s">
        <v>232</v>
      </c>
      <c r="D85" s="111" t="s">
        <v>233</v>
      </c>
      <c r="E85" s="111" t="s">
        <v>60</v>
      </c>
      <c r="F85" s="111" t="s">
        <v>225</v>
      </c>
      <c r="G85" s="112" t="s">
        <v>223</v>
      </c>
    </row>
    <row r="86" spans="1:7" ht="30" x14ac:dyDescent="0.25">
      <c r="A86" s="531"/>
      <c r="B86" s="542"/>
      <c r="C86" s="98" t="s">
        <v>229</v>
      </c>
      <c r="D86" s="83" t="s">
        <v>234</v>
      </c>
      <c r="E86" s="83" t="s">
        <v>60</v>
      </c>
      <c r="F86" s="83" t="s">
        <v>225</v>
      </c>
      <c r="G86" s="99" t="s">
        <v>223</v>
      </c>
    </row>
    <row r="87" spans="1:7" ht="30" x14ac:dyDescent="0.25">
      <c r="A87" s="531"/>
      <c r="B87" s="542"/>
      <c r="C87" s="98" t="s">
        <v>184</v>
      </c>
      <c r="D87" s="83" t="s">
        <v>235</v>
      </c>
      <c r="E87" s="83" t="s">
        <v>60</v>
      </c>
      <c r="F87" s="83" t="s">
        <v>225</v>
      </c>
      <c r="G87" s="99" t="s">
        <v>223</v>
      </c>
    </row>
    <row r="88" spans="1:7" ht="30" x14ac:dyDescent="0.25">
      <c r="A88" s="531"/>
      <c r="B88" s="542"/>
      <c r="C88" s="98" t="s">
        <v>140</v>
      </c>
      <c r="D88" s="83" t="s">
        <v>236</v>
      </c>
      <c r="E88" s="83" t="s">
        <v>60</v>
      </c>
      <c r="F88" s="83" t="s">
        <v>225</v>
      </c>
      <c r="G88" s="99" t="s">
        <v>223</v>
      </c>
    </row>
    <row r="89" spans="1:7" ht="45" customHeight="1" x14ac:dyDescent="0.25">
      <c r="A89" s="531"/>
      <c r="B89" s="542"/>
      <c r="C89" s="98" t="s">
        <v>187</v>
      </c>
      <c r="D89" s="83" t="s">
        <v>237</v>
      </c>
      <c r="E89" s="83" t="s">
        <v>60</v>
      </c>
      <c r="F89" s="83" t="s">
        <v>225</v>
      </c>
      <c r="G89" s="99" t="s">
        <v>223</v>
      </c>
    </row>
    <row r="90" spans="1:7" ht="30.75" thickBot="1" x14ac:dyDescent="0.3">
      <c r="A90" s="532"/>
      <c r="B90" s="543"/>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76" t="s">
        <v>240</v>
      </c>
      <c r="B2" s="576"/>
      <c r="C2" s="576"/>
      <c r="D2" s="576"/>
      <c r="E2" s="576"/>
      <c r="F2" s="89"/>
      <c r="G2" s="89"/>
      <c r="H2" s="89"/>
      <c r="I2" s="89"/>
      <c r="J2" s="89"/>
      <c r="K2" s="89"/>
      <c r="L2" s="89"/>
      <c r="M2" s="89"/>
      <c r="N2" s="89"/>
      <c r="O2" s="89"/>
      <c r="P2" s="89"/>
      <c r="Q2" s="89"/>
      <c r="R2" s="89"/>
    </row>
    <row r="3" spans="1:19" ht="45" x14ac:dyDescent="0.25">
      <c r="A3" s="468" t="s">
        <v>241</v>
      </c>
      <c r="B3" s="468" t="s">
        <v>242</v>
      </c>
      <c r="C3" s="468" t="s">
        <v>243</v>
      </c>
      <c r="D3" s="468" t="s">
        <v>244</v>
      </c>
      <c r="E3" s="468" t="s">
        <v>245</v>
      </c>
    </row>
    <row r="4" spans="1:19" x14ac:dyDescent="0.25">
      <c r="A4" s="469" t="s">
        <v>246</v>
      </c>
      <c r="B4" s="469" t="s">
        <v>247</v>
      </c>
      <c r="C4" s="469" t="s">
        <v>248</v>
      </c>
      <c r="D4" s="469" t="s">
        <v>249</v>
      </c>
      <c r="E4" s="469" t="s">
        <v>248</v>
      </c>
    </row>
    <row r="5" spans="1:19" x14ac:dyDescent="0.25">
      <c r="A5" s="469" t="s">
        <v>250</v>
      </c>
      <c r="B5" s="469" t="s">
        <v>251</v>
      </c>
      <c r="C5" s="469" t="s">
        <v>252</v>
      </c>
      <c r="D5" s="469" t="s">
        <v>249</v>
      </c>
      <c r="E5" s="469" t="s">
        <v>248</v>
      </c>
    </row>
    <row r="6" spans="1:19" x14ac:dyDescent="0.25">
      <c r="A6" s="81"/>
    </row>
    <row r="7" spans="1:19" ht="59.25" customHeight="1" x14ac:dyDescent="0.25">
      <c r="A7" s="576" t="s">
        <v>253</v>
      </c>
      <c r="B7" s="577"/>
      <c r="C7" s="577"/>
      <c r="D7" s="577"/>
      <c r="E7" s="577"/>
      <c r="F7" s="577"/>
      <c r="G7" s="577"/>
      <c r="H7" s="577"/>
      <c r="I7" s="577"/>
      <c r="J7" s="577"/>
      <c r="K7" s="577"/>
      <c r="L7" s="577"/>
      <c r="M7" s="89"/>
      <c r="N7" s="89"/>
      <c r="O7" s="89"/>
      <c r="P7" s="89"/>
      <c r="Q7" s="89"/>
      <c r="R7" s="89"/>
      <c r="S7" s="89"/>
    </row>
    <row r="8" spans="1:19" x14ac:dyDescent="0.25">
      <c r="A8" s="470" t="s">
        <v>254</v>
      </c>
      <c r="B8" s="471"/>
      <c r="C8" s="471"/>
      <c r="D8" s="471"/>
      <c r="E8" s="471"/>
      <c r="F8" s="471"/>
      <c r="G8" s="471"/>
      <c r="H8" s="471"/>
      <c r="I8" s="471"/>
      <c r="J8" s="471"/>
      <c r="K8" s="471"/>
      <c r="L8" s="471"/>
      <c r="M8" s="89"/>
      <c r="N8" s="89"/>
      <c r="O8" s="89"/>
      <c r="P8" s="89"/>
      <c r="Q8" s="89"/>
      <c r="R8" s="89"/>
      <c r="S8" s="89"/>
    </row>
    <row r="9" spans="1:19" x14ac:dyDescent="0.25">
      <c r="A9" s="472" t="s">
        <v>77</v>
      </c>
      <c r="B9" s="473" t="s">
        <v>81</v>
      </c>
      <c r="C9" s="473" t="s">
        <v>84</v>
      </c>
      <c r="D9" s="474" t="s">
        <v>88</v>
      </c>
      <c r="E9" s="473" t="s">
        <v>91</v>
      </c>
      <c r="F9" s="473" t="s">
        <v>94</v>
      </c>
      <c r="G9" s="473" t="s">
        <v>96</v>
      </c>
      <c r="H9" s="473" t="s">
        <v>99</v>
      </c>
      <c r="I9" s="473" t="s">
        <v>102</v>
      </c>
      <c r="J9" s="475" t="s">
        <v>105</v>
      </c>
      <c r="K9" s="475" t="s">
        <v>108</v>
      </c>
      <c r="L9" s="476" t="s">
        <v>1</v>
      </c>
    </row>
    <row r="10" spans="1:19" x14ac:dyDescent="0.25">
      <c r="A10" s="477" t="s">
        <v>255</v>
      </c>
      <c r="B10" s="478" t="s">
        <v>256</v>
      </c>
      <c r="C10" s="478"/>
      <c r="D10" s="479" t="s">
        <v>257</v>
      </c>
      <c r="E10" s="480"/>
      <c r="F10" s="478" t="s">
        <v>258</v>
      </c>
      <c r="G10" s="479" t="s">
        <v>259</v>
      </c>
      <c r="H10" s="478" t="s">
        <v>260</v>
      </c>
      <c r="I10" s="478"/>
      <c r="J10" s="479">
        <v>1</v>
      </c>
      <c r="K10" s="479">
        <v>1</v>
      </c>
      <c r="L10" s="479" t="s">
        <v>261</v>
      </c>
    </row>
    <row r="11" spans="1:19" x14ac:dyDescent="0.25">
      <c r="A11" s="477" t="s">
        <v>262</v>
      </c>
      <c r="B11" s="478" t="s">
        <v>263</v>
      </c>
      <c r="C11" s="478"/>
      <c r="D11" s="479" t="s">
        <v>264</v>
      </c>
      <c r="E11" s="480"/>
      <c r="F11" s="478" t="s">
        <v>265</v>
      </c>
      <c r="G11" s="479" t="s">
        <v>259</v>
      </c>
      <c r="H11" s="478" t="s">
        <v>266</v>
      </c>
      <c r="I11" s="478"/>
      <c r="J11" s="479">
        <v>1</v>
      </c>
      <c r="K11" s="479">
        <v>1</v>
      </c>
      <c r="L11" s="479" t="s">
        <v>267</v>
      </c>
    </row>
    <row r="12" spans="1:19" ht="30" x14ac:dyDescent="0.25">
      <c r="A12" s="477" t="s">
        <v>268</v>
      </c>
      <c r="B12" s="477" t="s">
        <v>269</v>
      </c>
      <c r="C12" s="478"/>
      <c r="D12" s="479" t="s">
        <v>247</v>
      </c>
      <c r="E12" s="480"/>
      <c r="F12" s="478" t="s">
        <v>270</v>
      </c>
      <c r="G12" s="479" t="e">
        <v>#N/A</v>
      </c>
      <c r="H12" s="478" t="s">
        <v>249</v>
      </c>
      <c r="I12" s="478"/>
      <c r="J12" s="479">
        <v>1</v>
      </c>
      <c r="K12" s="479">
        <v>1</v>
      </c>
      <c r="L12" s="479" t="s">
        <v>261</v>
      </c>
    </row>
    <row r="13" spans="1:19" x14ac:dyDescent="0.25">
      <c r="A13" s="481" t="s">
        <v>271</v>
      </c>
    </row>
    <row r="14" spans="1:19" x14ac:dyDescent="0.25">
      <c r="A14" s="472" t="s">
        <v>77</v>
      </c>
      <c r="B14" s="473" t="s">
        <v>81</v>
      </c>
      <c r="C14" s="473" t="s">
        <v>84</v>
      </c>
      <c r="D14" s="474" t="s">
        <v>88</v>
      </c>
      <c r="E14" s="473" t="s">
        <v>91</v>
      </c>
      <c r="F14" s="473" t="s">
        <v>94</v>
      </c>
      <c r="G14" s="473" t="s">
        <v>96</v>
      </c>
      <c r="H14" s="473" t="s">
        <v>99</v>
      </c>
      <c r="I14" s="473" t="s">
        <v>102</v>
      </c>
      <c r="J14" s="475" t="s">
        <v>105</v>
      </c>
      <c r="K14" s="475" t="s">
        <v>108</v>
      </c>
      <c r="L14" s="482" t="s">
        <v>1</v>
      </c>
      <c r="M14" s="475" t="s">
        <v>114</v>
      </c>
      <c r="N14" s="475" t="s">
        <v>118</v>
      </c>
      <c r="O14" s="475" t="s">
        <v>121</v>
      </c>
      <c r="P14" s="475" t="s">
        <v>125</v>
      </c>
      <c r="Q14" s="475" t="s">
        <v>128</v>
      </c>
      <c r="R14" s="475" t="s">
        <v>132</v>
      </c>
      <c r="S14" s="475" t="s">
        <v>157</v>
      </c>
    </row>
    <row r="15" spans="1:19" x14ac:dyDescent="0.25">
      <c r="A15" s="477" t="s">
        <v>272</v>
      </c>
      <c r="B15" s="478" t="s">
        <v>273</v>
      </c>
      <c r="C15" s="478"/>
      <c r="D15" s="479" t="s">
        <v>252</v>
      </c>
      <c r="E15" s="478"/>
      <c r="F15" s="478" t="s">
        <v>274</v>
      </c>
      <c r="G15" s="479" t="s">
        <v>259</v>
      </c>
      <c r="H15" s="478" t="s">
        <v>275</v>
      </c>
      <c r="I15" s="478"/>
      <c r="J15" s="479">
        <v>1</v>
      </c>
      <c r="K15" s="479">
        <v>1</v>
      </c>
      <c r="L15" s="479" t="s">
        <v>276</v>
      </c>
      <c r="M15" s="483">
        <v>0</v>
      </c>
      <c r="N15" s="479"/>
      <c r="O15" s="483">
        <v>0</v>
      </c>
      <c r="P15" s="478" t="s">
        <v>48</v>
      </c>
      <c r="Q15" s="479">
        <v>1</v>
      </c>
      <c r="R15" s="479">
        <v>0</v>
      </c>
      <c r="S15" s="478" t="s">
        <v>277</v>
      </c>
    </row>
    <row r="16" spans="1:19" x14ac:dyDescent="0.25">
      <c r="A16" s="477" t="s">
        <v>250</v>
      </c>
      <c r="B16" s="478" t="s">
        <v>278</v>
      </c>
      <c r="C16" s="478"/>
      <c r="D16" s="484" t="s">
        <v>247</v>
      </c>
      <c r="E16" s="478"/>
      <c r="F16" s="478" t="s">
        <v>279</v>
      </c>
      <c r="G16" s="479" t="s">
        <v>280</v>
      </c>
      <c r="H16" s="485" t="s">
        <v>249</v>
      </c>
      <c r="I16" s="478"/>
      <c r="J16" s="479">
        <v>1</v>
      </c>
      <c r="K16" s="479">
        <v>1</v>
      </c>
      <c r="L16" s="479" t="s">
        <v>261</v>
      </c>
      <c r="M16" s="483">
        <v>0</v>
      </c>
      <c r="N16" s="479"/>
      <c r="O16" s="483">
        <v>0</v>
      </c>
      <c r="P16" s="478" t="s">
        <v>48</v>
      </c>
      <c r="Q16" s="479">
        <v>1</v>
      </c>
      <c r="R16" s="479">
        <v>0</v>
      </c>
      <c r="S16" s="478" t="s">
        <v>277</v>
      </c>
    </row>
    <row r="17" spans="1:19" x14ac:dyDescent="0.25">
      <c r="A17" s="477" t="s">
        <v>281</v>
      </c>
      <c r="B17" s="478" t="s">
        <v>282</v>
      </c>
      <c r="C17" s="478"/>
      <c r="D17" s="479" t="s">
        <v>252</v>
      </c>
      <c r="E17" s="478"/>
      <c r="F17" s="478" t="s">
        <v>283</v>
      </c>
      <c r="G17" s="479" t="s">
        <v>284</v>
      </c>
      <c r="H17" s="478" t="s">
        <v>285</v>
      </c>
      <c r="I17" s="478"/>
      <c r="J17" s="479">
        <v>1</v>
      </c>
      <c r="K17" s="479">
        <v>1</v>
      </c>
      <c r="L17" s="479" t="s">
        <v>276</v>
      </c>
      <c r="M17" s="483">
        <v>0</v>
      </c>
      <c r="N17" s="479"/>
      <c r="O17" s="483">
        <v>0</v>
      </c>
      <c r="P17" s="478" t="s">
        <v>48</v>
      </c>
      <c r="Q17" s="479">
        <v>1</v>
      </c>
      <c r="R17" s="479">
        <v>0</v>
      </c>
      <c r="S17" s="478"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86" t="s">
        <v>0</v>
      </c>
      <c r="B1" s="487" t="s">
        <v>287</v>
      </c>
      <c r="C1" s="487" t="s">
        <v>288</v>
      </c>
    </row>
    <row r="2" spans="1:3" x14ac:dyDescent="0.25">
      <c r="A2" s="488">
        <v>43807</v>
      </c>
      <c r="B2" s="489" t="s">
        <v>289</v>
      </c>
      <c r="C2" s="489" t="s">
        <v>11</v>
      </c>
    </row>
    <row r="3" spans="1:3" ht="30" x14ac:dyDescent="0.25">
      <c r="A3" s="488">
        <v>43937</v>
      </c>
      <c r="B3" s="80" t="s">
        <v>290</v>
      </c>
      <c r="C3" s="489" t="s">
        <v>11</v>
      </c>
    </row>
    <row r="4" spans="1:3" x14ac:dyDescent="0.25">
      <c r="A4" s="488">
        <v>43941</v>
      </c>
      <c r="B4" s="489" t="s">
        <v>291</v>
      </c>
      <c r="C4" s="489" t="s">
        <v>11</v>
      </c>
    </row>
    <row r="5" spans="1:3" x14ac:dyDescent="0.25">
      <c r="A5" s="488">
        <v>43942</v>
      </c>
      <c r="B5" s="489" t="s">
        <v>292</v>
      </c>
      <c r="C5" s="489" t="s">
        <v>11</v>
      </c>
    </row>
    <row r="6" spans="1:3" x14ac:dyDescent="0.25">
      <c r="A6" s="488">
        <v>43963</v>
      </c>
      <c r="B6" s="489" t="s">
        <v>293</v>
      </c>
      <c r="C6" s="489" t="s">
        <v>11</v>
      </c>
    </row>
    <row r="7" spans="1:3" x14ac:dyDescent="0.25">
      <c r="A7" s="488">
        <v>43990</v>
      </c>
      <c r="B7" s="489" t="s">
        <v>294</v>
      </c>
      <c r="C7" s="489" t="s">
        <v>11</v>
      </c>
    </row>
    <row r="8" spans="1:3" ht="30" x14ac:dyDescent="0.25">
      <c r="A8" s="488">
        <v>44104</v>
      </c>
      <c r="B8" s="80" t="s">
        <v>295</v>
      </c>
      <c r="C8" s="489" t="s">
        <v>296</v>
      </c>
    </row>
    <row r="9" spans="1:3" ht="150" x14ac:dyDescent="0.25">
      <c r="A9" s="488">
        <v>44128</v>
      </c>
      <c r="B9" s="80" t="s">
        <v>297</v>
      </c>
      <c r="C9" s="489" t="s">
        <v>296</v>
      </c>
    </row>
    <row r="10" spans="1:3" x14ac:dyDescent="0.25">
      <c r="A10" s="488">
        <v>44361</v>
      </c>
      <c r="B10" s="489" t="s">
        <v>298</v>
      </c>
      <c r="C10" s="489" t="s">
        <v>299</v>
      </c>
    </row>
    <row r="11" spans="1:3" x14ac:dyDescent="0.25">
      <c r="A11" s="488">
        <v>44813</v>
      </c>
      <c r="B11" s="489" t="s">
        <v>300</v>
      </c>
      <c r="C11" s="489"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P433"/>
  <sheetViews>
    <sheetView tabSelected="1" zoomScale="115" zoomScaleNormal="115" workbookViewId="0">
      <pane xSplit="2" ySplit="5" topLeftCell="H6" activePane="bottomRight" state="frozen"/>
      <selection pane="topRight" activeCell="C1" sqref="C1"/>
      <selection pane="bottomLeft" activeCell="A4" sqref="A4"/>
      <selection pane="bottomRight" activeCell="H25" sqref="H25"/>
    </sheetView>
  </sheetViews>
  <sheetFormatPr defaultColWidth="9.140625" defaultRowHeight="15" x14ac:dyDescent="0.25"/>
  <cols>
    <col min="1" max="1" width="26" style="172" bestFit="1" customWidth="1"/>
    <col min="2" max="2" width="39" style="170" customWidth="1"/>
    <col min="3" max="3" width="15.42578125" style="170" bestFit="1" customWidth="1"/>
    <col min="4" max="4" width="23.42578125" style="173" bestFit="1" customWidth="1"/>
    <col min="5" max="5" width="33.42578125" style="170" bestFit="1" customWidth="1"/>
    <col min="6" max="6" width="35.7109375" style="170" bestFit="1" customWidth="1"/>
    <col min="7" max="7" width="16.28515625" style="170" bestFit="1" customWidth="1"/>
    <col min="8" max="8" width="255.5703125" style="173" customWidth="1"/>
    <col min="9" max="9" width="20.28515625" style="173" bestFit="1" customWidth="1"/>
    <col min="10" max="10" width="57.5703125" style="170" customWidth="1"/>
    <col min="11" max="11" width="14.42578125" style="170" bestFit="1" customWidth="1"/>
    <col min="12" max="12" width="26.28515625" style="170" bestFit="1" customWidth="1"/>
    <col min="13" max="13" width="18.5703125" style="170" customWidth="1"/>
    <col min="14" max="14" width="20.5703125" style="170" bestFit="1" customWidth="1"/>
    <col min="15" max="15" width="18.28515625" style="170" bestFit="1" customWidth="1"/>
    <col min="16" max="16" width="23.5703125" style="170" bestFit="1" customWidth="1"/>
    <col min="17" max="17" width="17.85546875" style="170" bestFit="1" customWidth="1"/>
    <col min="18" max="18" width="44.5703125" style="175" bestFit="1" customWidth="1"/>
    <col min="19" max="19" width="19.140625" style="175" bestFit="1" customWidth="1"/>
    <col min="20" max="20" width="13.85546875" style="174" bestFit="1" customWidth="1"/>
    <col min="21" max="21" width="16.42578125" style="174" bestFit="1" customWidth="1"/>
    <col min="22" max="22" width="12.42578125" style="174" bestFit="1" customWidth="1"/>
    <col min="23" max="23" width="13.140625" style="174" bestFit="1" customWidth="1"/>
    <col min="24" max="24" width="22.42578125" style="174" bestFit="1" customWidth="1"/>
    <col min="25" max="25" width="53.140625" style="175" bestFit="1" customWidth="1"/>
    <col min="26" max="26" width="21" style="175" bestFit="1" customWidth="1"/>
    <col min="27" max="27" width="15.7109375" style="174" bestFit="1" customWidth="1"/>
    <col min="28" max="28" width="18.28515625" style="174" bestFit="1" customWidth="1"/>
    <col min="29" max="29" width="14.28515625" style="174" bestFit="1" customWidth="1"/>
    <col min="30" max="30" width="15" style="174" bestFit="1" customWidth="1"/>
    <col min="31" max="31" width="24.42578125" style="174" bestFit="1" customWidth="1"/>
    <col min="32" max="32" width="51.5703125" style="170" bestFit="1" customWidth="1"/>
    <col min="33" max="33" width="12.85546875" style="170" bestFit="1" customWidth="1"/>
    <col min="34" max="34" width="70" style="170" bestFit="1" customWidth="1"/>
    <col min="35" max="35" width="35.42578125" style="170" bestFit="1" customWidth="1"/>
    <col min="36" max="36" width="26.85546875" style="170" bestFit="1" customWidth="1"/>
    <col min="37" max="37" width="18.28515625" style="170" bestFit="1" customWidth="1"/>
    <col min="38" max="38" width="43" style="170" bestFit="1" customWidth="1"/>
    <col min="39" max="39" width="37.42578125" style="170" bestFit="1" customWidth="1"/>
    <col min="40" max="40" width="41" style="170" bestFit="1" customWidth="1"/>
    <col min="41" max="41" width="37.85546875" style="170" bestFit="1" customWidth="1"/>
    <col min="42" max="16384" width="9.140625" style="170"/>
  </cols>
  <sheetData>
    <row r="1" spans="1:42" ht="19.5" thickBot="1" x14ac:dyDescent="0.3">
      <c r="A1" s="582" t="s">
        <v>301</v>
      </c>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3"/>
      <c r="AB1" s="583"/>
      <c r="AC1" s="583"/>
      <c r="AD1" s="583"/>
      <c r="AE1" s="583"/>
      <c r="AF1" s="583"/>
      <c r="AG1" s="583"/>
      <c r="AH1" s="584"/>
      <c r="AI1" s="521"/>
      <c r="AJ1" s="510"/>
      <c r="AK1" s="510"/>
      <c r="AL1" s="510"/>
      <c r="AM1" s="510"/>
      <c r="AN1" s="510"/>
      <c r="AO1" s="510"/>
      <c r="AP1" s="511"/>
    </row>
    <row r="2" spans="1:42" ht="19.5" thickBot="1" x14ac:dyDescent="0.3">
      <c r="A2" s="587" t="s">
        <v>302</v>
      </c>
      <c r="B2" s="588"/>
      <c r="C2" s="588"/>
      <c r="D2" s="588"/>
      <c r="E2" s="588"/>
      <c r="F2" s="588"/>
      <c r="G2" s="588"/>
      <c r="H2" s="588"/>
      <c r="I2" s="588"/>
      <c r="J2" s="589"/>
      <c r="K2" s="495">
        <f>SUM(K6:K149)</f>
        <v>170</v>
      </c>
      <c r="L2" s="495">
        <f>SUM(L6:L149)</f>
        <v>141</v>
      </c>
      <c r="M2" s="496"/>
      <c r="N2" s="497">
        <f>SUMPRODUCT(K6:K149,N6:N149)/K152</f>
        <v>1</v>
      </c>
      <c r="O2" s="498">
        <f>SUM(O6:O149)</f>
        <v>88747</v>
      </c>
      <c r="P2" s="499">
        <f>SUMPRODUCT(K6:K149,P6:P149)/K152</f>
        <v>1</v>
      </c>
      <c r="Q2" s="500"/>
      <c r="R2" s="501">
        <f t="shared" ref="R2:W2" si="0">SUM(R6:R149)</f>
        <v>48458</v>
      </c>
      <c r="S2" s="502">
        <f t="shared" si="0"/>
        <v>48748</v>
      </c>
      <c r="T2" s="502">
        <f t="shared" si="0"/>
        <v>48586</v>
      </c>
      <c r="U2" s="502">
        <f t="shared" si="0"/>
        <v>2</v>
      </c>
      <c r="V2" s="502">
        <f t="shared" si="0"/>
        <v>154</v>
      </c>
      <c r="W2" s="502">
        <f t="shared" si="0"/>
        <v>6</v>
      </c>
      <c r="X2" s="503">
        <f>IF((S152=0),0,((T152+U152)/S152*100%))</f>
        <v>0.99671781406416671</v>
      </c>
      <c r="Y2" s="504"/>
      <c r="Z2" s="505">
        <f>SUM(Z6:Z149)</f>
        <v>88733</v>
      </c>
      <c r="AA2" s="506">
        <f>SUM(AA6:AA149)</f>
        <v>88725</v>
      </c>
      <c r="AB2" s="506">
        <f>SUM(AB6:AB149)</f>
        <v>8</v>
      </c>
      <c r="AC2" s="506">
        <f>SUM(AC6:AC149)</f>
        <v>0</v>
      </c>
      <c r="AD2" s="506">
        <f>SUM(AD6:AD149)</f>
        <v>0</v>
      </c>
      <c r="AE2" s="507">
        <f>IF((Z152=0),0,((AA152+AB152)/Z152*100%))</f>
        <v>1</v>
      </c>
      <c r="AF2" s="508"/>
      <c r="AG2" s="508"/>
      <c r="AH2" s="512"/>
      <c r="AI2" s="521">
        <f>COUNTIF(AB6:AB148,"&lt; &gt;0")</f>
        <v>135</v>
      </c>
      <c r="AJ2" s="510">
        <f>(SUMIF(AB6:AB148, "=0", AE6:AE148)/(COUNTA(AE6:AE148) - AI2))</f>
        <v>0</v>
      </c>
      <c r="AK2" s="510"/>
      <c r="AL2" s="510"/>
      <c r="AM2" s="510"/>
      <c r="AN2" s="510"/>
      <c r="AO2" s="510"/>
      <c r="AP2" s="511"/>
    </row>
    <row r="3" spans="1:42" ht="19.5" customHeight="1" thickBot="1" x14ac:dyDescent="0.3">
      <c r="A3" s="585" t="s">
        <v>303</v>
      </c>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21"/>
      <c r="AJ3" s="510"/>
      <c r="AK3" s="510"/>
      <c r="AL3" s="510"/>
      <c r="AM3" s="510"/>
      <c r="AN3" s="510"/>
      <c r="AO3" s="510"/>
      <c r="AP3" s="511"/>
    </row>
    <row r="4" spans="1:42" ht="31.5" customHeight="1" thickBot="1" x14ac:dyDescent="0.3">
      <c r="A4" s="593" t="s">
        <v>76</v>
      </c>
      <c r="B4" s="594"/>
      <c r="C4" s="594"/>
      <c r="D4" s="594"/>
      <c r="E4" s="594"/>
      <c r="F4" s="594"/>
      <c r="G4" s="594"/>
      <c r="H4" s="594"/>
      <c r="I4" s="594"/>
      <c r="J4" s="594"/>
      <c r="K4" s="594"/>
      <c r="L4" s="594"/>
      <c r="M4" s="595"/>
      <c r="N4" s="596" t="s">
        <v>304</v>
      </c>
      <c r="O4" s="597"/>
      <c r="P4" s="598"/>
      <c r="Q4" s="602" t="s">
        <v>305</v>
      </c>
      <c r="R4" s="603"/>
      <c r="S4" s="603"/>
      <c r="T4" s="603"/>
      <c r="U4" s="603"/>
      <c r="V4" s="603"/>
      <c r="W4" s="603"/>
      <c r="X4" s="603"/>
      <c r="Y4" s="604"/>
      <c r="Z4" s="599" t="s">
        <v>306</v>
      </c>
      <c r="AA4" s="600"/>
      <c r="AB4" s="600"/>
      <c r="AC4" s="600"/>
      <c r="AD4" s="600"/>
      <c r="AE4" s="601"/>
      <c r="AF4" s="601"/>
      <c r="AG4" s="601"/>
      <c r="AH4" s="601"/>
      <c r="AI4" s="521"/>
      <c r="AJ4" s="510"/>
      <c r="AK4" s="510"/>
      <c r="AL4" s="510"/>
      <c r="AM4" s="510"/>
      <c r="AN4" s="510"/>
      <c r="AO4" s="510"/>
      <c r="AP4" s="511"/>
    </row>
    <row r="5" spans="1:42" s="171" customFormat="1" ht="15.75" thickBot="1" x14ac:dyDescent="0.3">
      <c r="A5" s="692" t="s">
        <v>77</v>
      </c>
      <c r="B5" s="692" t="s">
        <v>81</v>
      </c>
      <c r="C5" s="692" t="s">
        <v>84</v>
      </c>
      <c r="D5" s="692" t="s">
        <v>88</v>
      </c>
      <c r="E5" s="692" t="s">
        <v>91</v>
      </c>
      <c r="F5" s="692" t="s">
        <v>94</v>
      </c>
      <c r="G5" s="692" t="s">
        <v>96</v>
      </c>
      <c r="H5" s="692" t="s">
        <v>99</v>
      </c>
      <c r="I5" s="692" t="s">
        <v>307</v>
      </c>
      <c r="J5" s="692" t="s">
        <v>102</v>
      </c>
      <c r="K5" s="692" t="s">
        <v>105</v>
      </c>
      <c r="L5" s="692" t="s">
        <v>108</v>
      </c>
      <c r="M5" s="692" t="s">
        <v>1</v>
      </c>
      <c r="N5" s="692" t="s">
        <v>114</v>
      </c>
      <c r="O5" s="692" t="s">
        <v>118</v>
      </c>
      <c r="P5" s="692" t="s">
        <v>121</v>
      </c>
      <c r="Q5" s="692" t="s">
        <v>125</v>
      </c>
      <c r="R5" s="692" t="s">
        <v>128</v>
      </c>
      <c r="S5" s="692" t="s">
        <v>132</v>
      </c>
      <c r="T5" s="692" t="s">
        <v>30</v>
      </c>
      <c r="U5" s="692" t="s">
        <v>135</v>
      </c>
      <c r="V5" s="692" t="s">
        <v>36</v>
      </c>
      <c r="W5" s="692" t="s">
        <v>138</v>
      </c>
      <c r="X5" s="692" t="s">
        <v>140</v>
      </c>
      <c r="Y5" s="692" t="s">
        <v>142</v>
      </c>
      <c r="Z5" s="692" t="s">
        <v>1141</v>
      </c>
      <c r="AA5" s="692" t="s">
        <v>1142</v>
      </c>
      <c r="AB5" s="692" t="s">
        <v>1143</v>
      </c>
      <c r="AC5" s="692" t="s">
        <v>1144</v>
      </c>
      <c r="AD5" s="692" t="s">
        <v>1145</v>
      </c>
      <c r="AE5" s="692" t="s">
        <v>1146</v>
      </c>
      <c r="AF5" s="692" t="s">
        <v>155</v>
      </c>
      <c r="AG5" s="692" t="s">
        <v>157</v>
      </c>
      <c r="AH5" s="692" t="s">
        <v>160</v>
      </c>
      <c r="AI5" s="692" t="s">
        <v>308</v>
      </c>
      <c r="AJ5" s="692" t="s">
        <v>309</v>
      </c>
      <c r="AK5" s="692" t="s">
        <v>310</v>
      </c>
      <c r="AL5" s="692" t="s">
        <v>311</v>
      </c>
      <c r="AM5" s="692" t="s">
        <v>312</v>
      </c>
      <c r="AN5" s="692" t="s">
        <v>313</v>
      </c>
      <c r="AO5" s="692" t="s">
        <v>314</v>
      </c>
      <c r="AP5" s="522"/>
    </row>
    <row r="6" spans="1:42" x14ac:dyDescent="0.25">
      <c r="A6" t="s">
        <v>315</v>
      </c>
      <c r="B6" t="s">
        <v>316</v>
      </c>
      <c r="C6" t="s">
        <v>317</v>
      </c>
      <c r="D6" t="s">
        <v>318</v>
      </c>
      <c r="E6" t="s">
        <v>319</v>
      </c>
      <c r="F6" t="s">
        <v>320</v>
      </c>
      <c r="G6" t="s">
        <v>970</v>
      </c>
      <c r="H6" t="s">
        <v>1157</v>
      </c>
      <c r="I6" t="s">
        <v>321</v>
      </c>
      <c r="J6" t="s">
        <v>1147</v>
      </c>
      <c r="K6">
        <v>1</v>
      </c>
      <c r="L6">
        <v>1</v>
      </c>
      <c r="M6" t="s">
        <v>322</v>
      </c>
      <c r="N6">
        <v>1</v>
      </c>
      <c r="O6">
        <v>2000</v>
      </c>
      <c r="P6">
        <v>1</v>
      </c>
      <c r="Q6" t="s">
        <v>48</v>
      </c>
      <c r="R6">
        <v>1000</v>
      </c>
      <c r="S6">
        <v>2000</v>
      </c>
      <c r="T6">
        <v>2000</v>
      </c>
      <c r="U6" t="s">
        <v>1147</v>
      </c>
      <c r="V6">
        <v>0</v>
      </c>
      <c r="W6" t="s">
        <v>1147</v>
      </c>
      <c r="X6">
        <v>1</v>
      </c>
      <c r="Y6" t="s">
        <v>1147</v>
      </c>
      <c r="Z6">
        <v>6000</v>
      </c>
      <c r="AA6">
        <v>6000</v>
      </c>
      <c r="AB6" t="s">
        <v>1147</v>
      </c>
      <c r="AC6" t="s">
        <v>1147</v>
      </c>
      <c r="AD6" t="s">
        <v>1147</v>
      </c>
      <c r="AE6">
        <v>1</v>
      </c>
      <c r="AF6" t="s">
        <v>1147</v>
      </c>
      <c r="AG6" t="s">
        <v>1147</v>
      </c>
      <c r="AH6" t="s">
        <v>1147</v>
      </c>
      <c r="AI6" t="s">
        <v>321</v>
      </c>
      <c r="AJ6" t="s">
        <v>323</v>
      </c>
      <c r="AK6" t="s">
        <v>37</v>
      </c>
      <c r="AL6" t="s">
        <v>1147</v>
      </c>
      <c r="AM6" t="s">
        <v>1147</v>
      </c>
      <c r="AN6" t="s">
        <v>1147</v>
      </c>
      <c r="AO6" t="s">
        <v>324</v>
      </c>
      <c r="AP6" s="520"/>
    </row>
    <row r="7" spans="1:42" x14ac:dyDescent="0.25">
      <c r="A7" t="s">
        <v>325</v>
      </c>
      <c r="B7" t="s">
        <v>326</v>
      </c>
      <c r="C7" t="s">
        <v>327</v>
      </c>
      <c r="D7" t="s">
        <v>318</v>
      </c>
      <c r="E7" t="s">
        <v>328</v>
      </c>
      <c r="F7" t="s">
        <v>320</v>
      </c>
      <c r="G7" t="s">
        <v>970</v>
      </c>
      <c r="H7" t="s">
        <v>1158</v>
      </c>
      <c r="I7" t="s">
        <v>321</v>
      </c>
      <c r="J7" t="s">
        <v>1147</v>
      </c>
      <c r="K7">
        <v>1</v>
      </c>
      <c r="L7">
        <v>1</v>
      </c>
      <c r="M7" t="s">
        <v>322</v>
      </c>
      <c r="N7">
        <v>1</v>
      </c>
      <c r="O7">
        <v>500</v>
      </c>
      <c r="P7">
        <v>1</v>
      </c>
      <c r="Q7" t="s">
        <v>48</v>
      </c>
      <c r="R7">
        <v>500</v>
      </c>
      <c r="S7">
        <v>2173</v>
      </c>
      <c r="T7">
        <v>2173</v>
      </c>
      <c r="U7">
        <v>0</v>
      </c>
      <c r="V7">
        <v>0</v>
      </c>
      <c r="W7" t="s">
        <v>1147</v>
      </c>
      <c r="X7">
        <v>1</v>
      </c>
      <c r="Y7" t="s">
        <v>1147</v>
      </c>
      <c r="Z7">
        <v>1000</v>
      </c>
      <c r="AA7">
        <v>1000</v>
      </c>
      <c r="AB7" t="s">
        <v>1147</v>
      </c>
      <c r="AC7" t="s">
        <v>1147</v>
      </c>
      <c r="AD7" t="s">
        <v>1147</v>
      </c>
      <c r="AE7">
        <v>1</v>
      </c>
      <c r="AF7" t="s">
        <v>1147</v>
      </c>
      <c r="AG7" t="s">
        <v>1147</v>
      </c>
      <c r="AH7" t="s">
        <v>1147</v>
      </c>
      <c r="AI7" t="s">
        <v>321</v>
      </c>
      <c r="AJ7" t="s">
        <v>323</v>
      </c>
      <c r="AK7" t="s">
        <v>37</v>
      </c>
      <c r="AL7" t="s">
        <v>1147</v>
      </c>
      <c r="AM7" t="s">
        <v>1147</v>
      </c>
      <c r="AN7" t="s">
        <v>1147</v>
      </c>
      <c r="AO7" t="s">
        <v>1147</v>
      </c>
      <c r="AP7" s="515"/>
    </row>
    <row r="8" spans="1:42" x14ac:dyDescent="0.25">
      <c r="A8" t="s">
        <v>329</v>
      </c>
      <c r="B8" t="s">
        <v>330</v>
      </c>
      <c r="C8" t="s">
        <v>317</v>
      </c>
      <c r="D8" t="s">
        <v>318</v>
      </c>
      <c r="E8" t="s">
        <v>331</v>
      </c>
      <c r="F8" t="s">
        <v>320</v>
      </c>
      <c r="G8" t="s">
        <v>970</v>
      </c>
      <c r="H8" t="s">
        <v>332</v>
      </c>
      <c r="I8" t="s">
        <v>321</v>
      </c>
      <c r="J8" t="s">
        <v>1147</v>
      </c>
      <c r="K8">
        <v>1</v>
      </c>
      <c r="L8">
        <v>1</v>
      </c>
      <c r="M8" t="s">
        <v>322</v>
      </c>
      <c r="N8">
        <v>1</v>
      </c>
      <c r="O8">
        <v>5000</v>
      </c>
      <c r="P8">
        <v>1</v>
      </c>
      <c r="Q8" t="s">
        <v>48</v>
      </c>
      <c r="R8">
        <v>5000</v>
      </c>
      <c r="S8">
        <v>1000</v>
      </c>
      <c r="T8">
        <v>1000</v>
      </c>
      <c r="U8" t="s">
        <v>1147</v>
      </c>
      <c r="V8" t="s">
        <v>1147</v>
      </c>
      <c r="W8" t="s">
        <v>1147</v>
      </c>
      <c r="X8">
        <v>1</v>
      </c>
      <c r="Y8" t="s">
        <v>1147</v>
      </c>
      <c r="Z8">
        <v>2000</v>
      </c>
      <c r="AA8">
        <v>2000</v>
      </c>
      <c r="AB8" t="s">
        <v>1147</v>
      </c>
      <c r="AC8" t="s">
        <v>1147</v>
      </c>
      <c r="AD8" t="s">
        <v>1147</v>
      </c>
      <c r="AE8">
        <v>1</v>
      </c>
      <c r="AF8" t="s">
        <v>1147</v>
      </c>
      <c r="AG8" t="s">
        <v>1147</v>
      </c>
      <c r="AH8" t="s">
        <v>1147</v>
      </c>
      <c r="AI8" t="s">
        <v>321</v>
      </c>
      <c r="AJ8" t="s">
        <v>323</v>
      </c>
      <c r="AK8" t="s">
        <v>37</v>
      </c>
      <c r="AL8" t="s">
        <v>1147</v>
      </c>
      <c r="AM8" t="s">
        <v>1147</v>
      </c>
      <c r="AN8" t="s">
        <v>1147</v>
      </c>
      <c r="AO8" t="s">
        <v>1147</v>
      </c>
      <c r="AP8" s="515"/>
    </row>
    <row r="9" spans="1:42" x14ac:dyDescent="0.25">
      <c r="A9" t="s">
        <v>333</v>
      </c>
      <c r="B9" t="s">
        <v>334</v>
      </c>
      <c r="C9" t="s">
        <v>317</v>
      </c>
      <c r="D9" t="s">
        <v>318</v>
      </c>
      <c r="E9" t="s">
        <v>335</v>
      </c>
      <c r="F9" t="s">
        <v>336</v>
      </c>
      <c r="G9" t="s">
        <v>970</v>
      </c>
      <c r="H9" t="s">
        <v>337</v>
      </c>
      <c r="I9" t="s">
        <v>321</v>
      </c>
      <c r="J9" t="s">
        <v>1147</v>
      </c>
      <c r="K9">
        <v>1</v>
      </c>
      <c r="L9">
        <v>1</v>
      </c>
      <c r="M9" t="s">
        <v>338</v>
      </c>
      <c r="N9">
        <v>1</v>
      </c>
      <c r="O9">
        <v>1000</v>
      </c>
      <c r="P9">
        <v>1</v>
      </c>
      <c r="Q9" t="s">
        <v>48</v>
      </c>
      <c r="R9">
        <v>1000</v>
      </c>
      <c r="S9">
        <v>1816</v>
      </c>
      <c r="T9">
        <v>1816</v>
      </c>
      <c r="U9" t="s">
        <v>1147</v>
      </c>
      <c r="V9" t="s">
        <v>1147</v>
      </c>
      <c r="W9" t="s">
        <v>1147</v>
      </c>
      <c r="X9">
        <v>1</v>
      </c>
      <c r="Y9" t="s">
        <v>1147</v>
      </c>
      <c r="Z9">
        <v>1000</v>
      </c>
      <c r="AA9">
        <v>1000</v>
      </c>
      <c r="AB9" t="s">
        <v>1147</v>
      </c>
      <c r="AC9" t="s">
        <v>1147</v>
      </c>
      <c r="AD9" t="s">
        <v>1147</v>
      </c>
      <c r="AE9">
        <v>1</v>
      </c>
      <c r="AF9" t="s">
        <v>1147</v>
      </c>
      <c r="AG9" t="s">
        <v>1147</v>
      </c>
      <c r="AH9" t="s">
        <v>1147</v>
      </c>
      <c r="AI9" t="s">
        <v>321</v>
      </c>
      <c r="AJ9" t="s">
        <v>323</v>
      </c>
      <c r="AK9" t="s">
        <v>37</v>
      </c>
      <c r="AL9" t="s">
        <v>1147</v>
      </c>
      <c r="AM9" t="s">
        <v>1147</v>
      </c>
      <c r="AN9" t="s">
        <v>1147</v>
      </c>
      <c r="AO9" t="s">
        <v>1147</v>
      </c>
      <c r="AP9" s="515"/>
    </row>
    <row r="10" spans="1:42" x14ac:dyDescent="0.25">
      <c r="A10" t="s">
        <v>339</v>
      </c>
      <c r="B10" t="s">
        <v>340</v>
      </c>
      <c r="C10" t="s">
        <v>317</v>
      </c>
      <c r="D10" t="s">
        <v>318</v>
      </c>
      <c r="E10" t="s">
        <v>341</v>
      </c>
      <c r="F10" t="s">
        <v>320</v>
      </c>
      <c r="G10" t="s">
        <v>970</v>
      </c>
      <c r="H10" t="s">
        <v>342</v>
      </c>
      <c r="I10" t="s">
        <v>321</v>
      </c>
      <c r="J10" t="s">
        <v>1147</v>
      </c>
      <c r="K10">
        <v>1</v>
      </c>
      <c r="L10">
        <v>1</v>
      </c>
      <c r="M10" t="s">
        <v>322</v>
      </c>
      <c r="N10">
        <v>1</v>
      </c>
      <c r="O10">
        <v>1000</v>
      </c>
      <c r="P10">
        <v>1</v>
      </c>
      <c r="Q10" t="s">
        <v>48</v>
      </c>
      <c r="R10">
        <v>1000</v>
      </c>
      <c r="S10">
        <v>1782</v>
      </c>
      <c r="T10">
        <v>1782</v>
      </c>
      <c r="U10" t="s">
        <v>1147</v>
      </c>
      <c r="V10" t="s">
        <v>1147</v>
      </c>
      <c r="W10" t="s">
        <v>1147</v>
      </c>
      <c r="X10">
        <v>1</v>
      </c>
      <c r="Y10" t="s">
        <v>1147</v>
      </c>
      <c r="Z10">
        <v>3000</v>
      </c>
      <c r="AA10">
        <v>3000</v>
      </c>
      <c r="AB10" t="s">
        <v>1147</v>
      </c>
      <c r="AC10" t="s">
        <v>1147</v>
      </c>
      <c r="AD10" t="s">
        <v>1147</v>
      </c>
      <c r="AE10">
        <v>1</v>
      </c>
      <c r="AF10" t="s">
        <v>1147</v>
      </c>
      <c r="AG10" t="s">
        <v>1147</v>
      </c>
      <c r="AH10" t="s">
        <v>1147</v>
      </c>
      <c r="AI10" t="s">
        <v>321</v>
      </c>
      <c r="AJ10" t="s">
        <v>323</v>
      </c>
      <c r="AK10" t="s">
        <v>37</v>
      </c>
      <c r="AL10" t="s">
        <v>1147</v>
      </c>
      <c r="AM10" t="s">
        <v>1147</v>
      </c>
      <c r="AN10" t="s">
        <v>1147</v>
      </c>
      <c r="AO10" t="s">
        <v>1147</v>
      </c>
      <c r="AP10" s="515"/>
    </row>
    <row r="11" spans="1:42" x14ac:dyDescent="0.25">
      <c r="A11" t="s">
        <v>343</v>
      </c>
      <c r="B11" t="s">
        <v>344</v>
      </c>
      <c r="C11" t="s">
        <v>317</v>
      </c>
      <c r="D11" t="s">
        <v>318</v>
      </c>
      <c r="E11" t="s">
        <v>341</v>
      </c>
      <c r="F11" t="s">
        <v>320</v>
      </c>
      <c r="G11" t="s">
        <v>970</v>
      </c>
      <c r="H11" t="s">
        <v>345</v>
      </c>
      <c r="I11" t="s">
        <v>321</v>
      </c>
      <c r="J11" t="s">
        <v>1147</v>
      </c>
      <c r="K11">
        <v>1</v>
      </c>
      <c r="L11">
        <v>1</v>
      </c>
      <c r="M11" t="s">
        <v>322</v>
      </c>
      <c r="N11">
        <v>1</v>
      </c>
      <c r="O11">
        <v>200</v>
      </c>
      <c r="P11">
        <v>1</v>
      </c>
      <c r="Q11" t="s">
        <v>48</v>
      </c>
      <c r="R11">
        <v>200</v>
      </c>
      <c r="S11">
        <v>2000</v>
      </c>
      <c r="T11">
        <v>2000</v>
      </c>
      <c r="U11" t="s">
        <v>1147</v>
      </c>
      <c r="V11" t="s">
        <v>1147</v>
      </c>
      <c r="W11" t="s">
        <v>1147</v>
      </c>
      <c r="X11">
        <v>1</v>
      </c>
      <c r="Y11" t="s">
        <v>1147</v>
      </c>
      <c r="Z11">
        <v>2000</v>
      </c>
      <c r="AA11">
        <v>2000</v>
      </c>
      <c r="AB11" t="s">
        <v>1147</v>
      </c>
      <c r="AC11" t="s">
        <v>1147</v>
      </c>
      <c r="AD11" t="s">
        <v>1147</v>
      </c>
      <c r="AE11">
        <v>1</v>
      </c>
      <c r="AF11" t="s">
        <v>1147</v>
      </c>
      <c r="AG11" t="s">
        <v>1147</v>
      </c>
      <c r="AH11" t="s">
        <v>1147</v>
      </c>
      <c r="AI11" t="s">
        <v>321</v>
      </c>
      <c r="AJ11" t="s">
        <v>323</v>
      </c>
      <c r="AK11" t="s">
        <v>37</v>
      </c>
      <c r="AL11" t="s">
        <v>1147</v>
      </c>
      <c r="AM11" t="s">
        <v>1147</v>
      </c>
      <c r="AN11" t="s">
        <v>1147</v>
      </c>
      <c r="AO11" t="s">
        <v>1147</v>
      </c>
      <c r="AP11" s="515"/>
    </row>
    <row r="12" spans="1:42" x14ac:dyDescent="0.25">
      <c r="A12" t="s">
        <v>346</v>
      </c>
      <c r="B12" t="s">
        <v>347</v>
      </c>
      <c r="C12" t="s">
        <v>327</v>
      </c>
      <c r="D12" t="s">
        <v>318</v>
      </c>
      <c r="E12" t="s">
        <v>341</v>
      </c>
      <c r="F12" t="s">
        <v>348</v>
      </c>
      <c r="G12" t="s">
        <v>970</v>
      </c>
      <c r="H12" t="s">
        <v>349</v>
      </c>
      <c r="I12" t="s">
        <v>321</v>
      </c>
      <c r="J12" t="s">
        <v>1147</v>
      </c>
      <c r="K12">
        <v>3</v>
      </c>
      <c r="L12">
        <v>1</v>
      </c>
      <c r="M12" t="s">
        <v>322</v>
      </c>
      <c r="N12">
        <v>1</v>
      </c>
      <c r="O12">
        <v>5000</v>
      </c>
      <c r="P12">
        <v>1</v>
      </c>
      <c r="Q12" t="s">
        <v>48</v>
      </c>
      <c r="R12">
        <v>1000</v>
      </c>
      <c r="S12">
        <v>4000</v>
      </c>
      <c r="T12">
        <v>4000</v>
      </c>
      <c r="U12" t="s">
        <v>1147</v>
      </c>
      <c r="V12" t="s">
        <v>1147</v>
      </c>
      <c r="W12" t="s">
        <v>1147</v>
      </c>
      <c r="X12">
        <v>1</v>
      </c>
      <c r="Y12" t="s">
        <v>1147</v>
      </c>
      <c r="Z12">
        <v>5000</v>
      </c>
      <c r="AA12">
        <v>5000</v>
      </c>
      <c r="AB12" t="s">
        <v>1147</v>
      </c>
      <c r="AC12" t="s">
        <v>1147</v>
      </c>
      <c r="AD12" t="s">
        <v>1147</v>
      </c>
      <c r="AE12">
        <v>1</v>
      </c>
      <c r="AF12" t="s">
        <v>1147</v>
      </c>
      <c r="AG12" t="s">
        <v>1147</v>
      </c>
      <c r="AH12" t="s">
        <v>1147</v>
      </c>
      <c r="AI12" t="s">
        <v>321</v>
      </c>
      <c r="AJ12" t="s">
        <v>323</v>
      </c>
      <c r="AK12" t="s">
        <v>37</v>
      </c>
      <c r="AL12" t="s">
        <v>1147</v>
      </c>
      <c r="AM12" t="s">
        <v>1147</v>
      </c>
      <c r="AN12" t="s">
        <v>1147</v>
      </c>
      <c r="AO12" t="s">
        <v>1147</v>
      </c>
      <c r="AP12" s="515"/>
    </row>
    <row r="13" spans="1:42" x14ac:dyDescent="0.25">
      <c r="A13" t="s">
        <v>350</v>
      </c>
      <c r="B13" t="s">
        <v>351</v>
      </c>
      <c r="C13" t="s">
        <v>327</v>
      </c>
      <c r="D13" t="s">
        <v>318</v>
      </c>
      <c r="E13" t="s">
        <v>341</v>
      </c>
      <c r="F13" t="s">
        <v>348</v>
      </c>
      <c r="G13" t="s">
        <v>970</v>
      </c>
      <c r="H13" t="s">
        <v>352</v>
      </c>
      <c r="I13" t="s">
        <v>321</v>
      </c>
      <c r="J13" t="s">
        <v>1147</v>
      </c>
      <c r="K13">
        <v>1</v>
      </c>
      <c r="L13">
        <v>1</v>
      </c>
      <c r="M13" t="s">
        <v>322</v>
      </c>
      <c r="N13">
        <v>1</v>
      </c>
      <c r="O13">
        <v>1000</v>
      </c>
      <c r="P13">
        <v>1</v>
      </c>
      <c r="Q13" t="s">
        <v>48</v>
      </c>
      <c r="R13">
        <v>1000</v>
      </c>
      <c r="S13">
        <v>1000</v>
      </c>
      <c r="T13">
        <v>1000</v>
      </c>
      <c r="U13" t="s">
        <v>1147</v>
      </c>
      <c r="V13" t="s">
        <v>1147</v>
      </c>
      <c r="W13" t="s">
        <v>1147</v>
      </c>
      <c r="X13">
        <v>1</v>
      </c>
      <c r="Y13" t="s">
        <v>1147</v>
      </c>
      <c r="Z13">
        <v>1000</v>
      </c>
      <c r="AA13">
        <v>1000</v>
      </c>
      <c r="AB13" t="s">
        <v>1147</v>
      </c>
      <c r="AC13" t="s">
        <v>1147</v>
      </c>
      <c r="AD13" t="s">
        <v>1147</v>
      </c>
      <c r="AE13">
        <v>1</v>
      </c>
      <c r="AF13" t="s">
        <v>1147</v>
      </c>
      <c r="AG13" t="s">
        <v>1147</v>
      </c>
      <c r="AH13" t="s">
        <v>1147</v>
      </c>
      <c r="AI13" t="s">
        <v>321</v>
      </c>
      <c r="AJ13" t="s">
        <v>323</v>
      </c>
      <c r="AK13" t="s">
        <v>37</v>
      </c>
      <c r="AL13" t="s">
        <v>1147</v>
      </c>
      <c r="AM13" t="s">
        <v>1147</v>
      </c>
      <c r="AN13" t="s">
        <v>1147</v>
      </c>
      <c r="AO13" t="s">
        <v>1147</v>
      </c>
      <c r="AP13" s="515"/>
    </row>
    <row r="14" spans="1:42" x14ac:dyDescent="0.25">
      <c r="A14" t="s">
        <v>353</v>
      </c>
      <c r="B14" t="s">
        <v>354</v>
      </c>
      <c r="C14" t="s">
        <v>327</v>
      </c>
      <c r="D14" t="s">
        <v>318</v>
      </c>
      <c r="E14" t="s">
        <v>341</v>
      </c>
      <c r="F14" t="s">
        <v>355</v>
      </c>
      <c r="G14" t="s">
        <v>970</v>
      </c>
      <c r="H14" t="s">
        <v>356</v>
      </c>
      <c r="I14" t="s">
        <v>321</v>
      </c>
      <c r="J14" t="s">
        <v>1147</v>
      </c>
      <c r="K14">
        <v>10</v>
      </c>
      <c r="L14">
        <v>1</v>
      </c>
      <c r="M14" t="s">
        <v>322</v>
      </c>
      <c r="N14">
        <v>1</v>
      </c>
      <c r="O14">
        <v>20000</v>
      </c>
      <c r="P14">
        <v>1</v>
      </c>
      <c r="Q14" t="s">
        <v>48</v>
      </c>
      <c r="R14">
        <v>2000</v>
      </c>
      <c r="S14">
        <v>827</v>
      </c>
      <c r="T14">
        <v>827</v>
      </c>
      <c r="U14" t="s">
        <v>1147</v>
      </c>
      <c r="V14" t="s">
        <v>1147</v>
      </c>
      <c r="W14" t="s">
        <v>1147</v>
      </c>
      <c r="X14">
        <v>1</v>
      </c>
      <c r="Y14" t="s">
        <v>1147</v>
      </c>
      <c r="Z14">
        <v>10000</v>
      </c>
      <c r="AA14">
        <v>10000</v>
      </c>
      <c r="AB14" t="s">
        <v>1147</v>
      </c>
      <c r="AC14" t="s">
        <v>1147</v>
      </c>
      <c r="AD14" t="s">
        <v>1147</v>
      </c>
      <c r="AE14">
        <v>1</v>
      </c>
      <c r="AF14" t="s">
        <v>1147</v>
      </c>
      <c r="AG14" t="s">
        <v>1147</v>
      </c>
      <c r="AH14" t="s">
        <v>1147</v>
      </c>
      <c r="AI14" t="s">
        <v>321</v>
      </c>
      <c r="AJ14" t="s">
        <v>323</v>
      </c>
      <c r="AK14" t="s">
        <v>37</v>
      </c>
      <c r="AL14" t="s">
        <v>1147</v>
      </c>
      <c r="AM14" t="s">
        <v>1147</v>
      </c>
      <c r="AN14" t="s">
        <v>1147</v>
      </c>
      <c r="AO14" t="s">
        <v>1147</v>
      </c>
      <c r="AP14" s="515"/>
    </row>
    <row r="15" spans="1:42" x14ac:dyDescent="0.25">
      <c r="A15" t="s">
        <v>357</v>
      </c>
      <c r="B15" t="s">
        <v>358</v>
      </c>
      <c r="C15" t="s">
        <v>327</v>
      </c>
      <c r="D15" t="s">
        <v>318</v>
      </c>
      <c r="E15" t="s">
        <v>341</v>
      </c>
      <c r="F15" t="s">
        <v>359</v>
      </c>
      <c r="G15" t="s">
        <v>970</v>
      </c>
      <c r="H15" t="s">
        <v>360</v>
      </c>
      <c r="I15" t="s">
        <v>321</v>
      </c>
      <c r="J15" t="s">
        <v>1147</v>
      </c>
      <c r="K15">
        <v>10</v>
      </c>
      <c r="L15">
        <v>1</v>
      </c>
      <c r="M15" t="s">
        <v>322</v>
      </c>
      <c r="N15">
        <v>1</v>
      </c>
      <c r="O15">
        <v>10000</v>
      </c>
      <c r="P15">
        <v>1</v>
      </c>
      <c r="Q15" t="s">
        <v>48</v>
      </c>
      <c r="R15">
        <v>1000</v>
      </c>
      <c r="S15">
        <v>520</v>
      </c>
      <c r="T15">
        <v>520</v>
      </c>
      <c r="U15" t="s">
        <v>1147</v>
      </c>
      <c r="V15" t="s">
        <v>1147</v>
      </c>
      <c r="W15" t="s">
        <v>1147</v>
      </c>
      <c r="X15">
        <v>1</v>
      </c>
      <c r="Y15" t="s">
        <v>1147</v>
      </c>
      <c r="Z15">
        <v>10000</v>
      </c>
      <c r="AA15">
        <v>10000</v>
      </c>
      <c r="AB15" t="s">
        <v>1147</v>
      </c>
      <c r="AC15" t="s">
        <v>1147</v>
      </c>
      <c r="AD15" t="s">
        <v>1147</v>
      </c>
      <c r="AE15">
        <v>1</v>
      </c>
      <c r="AF15" t="s">
        <v>1147</v>
      </c>
      <c r="AG15" t="s">
        <v>1147</v>
      </c>
      <c r="AH15" t="s">
        <v>1147</v>
      </c>
      <c r="AI15" t="s">
        <v>321</v>
      </c>
      <c r="AJ15" t="s">
        <v>323</v>
      </c>
      <c r="AK15" t="s">
        <v>37</v>
      </c>
      <c r="AL15" t="s">
        <v>1147</v>
      </c>
      <c r="AM15" t="s">
        <v>1147</v>
      </c>
      <c r="AN15" t="s">
        <v>1147</v>
      </c>
      <c r="AO15" t="s">
        <v>1147</v>
      </c>
      <c r="AP15" s="515"/>
    </row>
    <row r="16" spans="1:42" x14ac:dyDescent="0.25">
      <c r="A16" t="s">
        <v>361</v>
      </c>
      <c r="B16" t="s">
        <v>362</v>
      </c>
      <c r="C16" t="s">
        <v>327</v>
      </c>
      <c r="D16" t="s">
        <v>318</v>
      </c>
      <c r="E16" t="s">
        <v>341</v>
      </c>
      <c r="F16" t="s">
        <v>355</v>
      </c>
      <c r="G16" t="s">
        <v>970</v>
      </c>
      <c r="H16" t="s">
        <v>363</v>
      </c>
      <c r="I16" t="s">
        <v>321</v>
      </c>
      <c r="J16" t="s">
        <v>1147</v>
      </c>
      <c r="K16">
        <v>3</v>
      </c>
      <c r="L16">
        <v>1</v>
      </c>
      <c r="M16" t="s">
        <v>322</v>
      </c>
      <c r="N16">
        <v>1</v>
      </c>
      <c r="O16">
        <v>5000</v>
      </c>
      <c r="P16">
        <v>1</v>
      </c>
      <c r="Q16" t="s">
        <v>48</v>
      </c>
      <c r="R16">
        <v>5000</v>
      </c>
      <c r="S16">
        <v>0</v>
      </c>
      <c r="T16" t="s">
        <v>1147</v>
      </c>
      <c r="U16" t="s">
        <v>1147</v>
      </c>
      <c r="V16" t="s">
        <v>1147</v>
      </c>
      <c r="W16" t="s">
        <v>1147</v>
      </c>
      <c r="X16">
        <v>0</v>
      </c>
      <c r="Y16" t="s">
        <v>1147</v>
      </c>
      <c r="Z16">
        <v>0</v>
      </c>
      <c r="AA16" t="s">
        <v>1147</v>
      </c>
      <c r="AB16" t="s">
        <v>1147</v>
      </c>
      <c r="AC16" t="s">
        <v>1147</v>
      </c>
      <c r="AD16" t="s">
        <v>1147</v>
      </c>
      <c r="AE16">
        <v>0</v>
      </c>
      <c r="AF16" t="s">
        <v>1147</v>
      </c>
      <c r="AG16" t="s">
        <v>1147</v>
      </c>
      <c r="AH16" t="s">
        <v>1147</v>
      </c>
      <c r="AI16" t="s">
        <v>321</v>
      </c>
      <c r="AJ16" t="s">
        <v>323</v>
      </c>
      <c r="AK16" t="s">
        <v>37</v>
      </c>
      <c r="AL16" t="s">
        <v>1147</v>
      </c>
      <c r="AM16" t="s">
        <v>1147</v>
      </c>
      <c r="AN16" t="s">
        <v>1147</v>
      </c>
      <c r="AO16" t="s">
        <v>1147</v>
      </c>
      <c r="AP16" s="515"/>
    </row>
    <row r="17" spans="1:42" x14ac:dyDescent="0.25">
      <c r="A17" t="s">
        <v>364</v>
      </c>
      <c r="B17" t="s">
        <v>365</v>
      </c>
      <c r="C17" t="s">
        <v>327</v>
      </c>
      <c r="D17" t="s">
        <v>318</v>
      </c>
      <c r="E17" t="s">
        <v>341</v>
      </c>
      <c r="F17" t="s">
        <v>355</v>
      </c>
      <c r="G17" t="s">
        <v>970</v>
      </c>
      <c r="H17" t="s">
        <v>366</v>
      </c>
      <c r="I17" t="s">
        <v>321</v>
      </c>
      <c r="J17" t="s">
        <v>1147</v>
      </c>
      <c r="K17">
        <v>3</v>
      </c>
      <c r="L17">
        <v>1</v>
      </c>
      <c r="M17" t="s">
        <v>322</v>
      </c>
      <c r="N17">
        <v>1</v>
      </c>
      <c r="O17">
        <v>5000</v>
      </c>
      <c r="P17">
        <v>1</v>
      </c>
      <c r="Q17" t="s">
        <v>48</v>
      </c>
      <c r="R17">
        <v>1000</v>
      </c>
      <c r="S17">
        <v>135</v>
      </c>
      <c r="T17">
        <v>135</v>
      </c>
      <c r="U17" t="s">
        <v>1147</v>
      </c>
      <c r="V17" t="s">
        <v>1147</v>
      </c>
      <c r="W17" t="s">
        <v>1147</v>
      </c>
      <c r="X17">
        <v>1</v>
      </c>
      <c r="Y17" t="s">
        <v>1147</v>
      </c>
      <c r="Z17">
        <v>4000</v>
      </c>
      <c r="AA17">
        <v>4000</v>
      </c>
      <c r="AB17" t="s">
        <v>1147</v>
      </c>
      <c r="AC17" t="s">
        <v>1147</v>
      </c>
      <c r="AD17" t="s">
        <v>1147</v>
      </c>
      <c r="AE17">
        <v>1</v>
      </c>
      <c r="AF17" t="s">
        <v>1147</v>
      </c>
      <c r="AG17" t="s">
        <v>1147</v>
      </c>
      <c r="AH17" t="s">
        <v>1147</v>
      </c>
      <c r="AI17" t="s">
        <v>321</v>
      </c>
      <c r="AJ17" t="s">
        <v>323</v>
      </c>
      <c r="AK17" t="s">
        <v>37</v>
      </c>
      <c r="AL17" t="s">
        <v>1147</v>
      </c>
      <c r="AM17" t="s">
        <v>1147</v>
      </c>
      <c r="AN17" t="s">
        <v>1147</v>
      </c>
      <c r="AO17" t="s">
        <v>1147</v>
      </c>
      <c r="AP17" s="515"/>
    </row>
    <row r="18" spans="1:42" x14ac:dyDescent="0.25">
      <c r="A18" t="s">
        <v>367</v>
      </c>
      <c r="B18" t="s">
        <v>368</v>
      </c>
      <c r="C18" t="s">
        <v>317</v>
      </c>
      <c r="D18" t="s">
        <v>318</v>
      </c>
      <c r="E18" t="s">
        <v>369</v>
      </c>
      <c r="F18" t="s">
        <v>370</v>
      </c>
      <c r="G18" t="s">
        <v>970</v>
      </c>
      <c r="H18" t="s">
        <v>371</v>
      </c>
      <c r="I18" t="s">
        <v>321</v>
      </c>
      <c r="J18" t="s">
        <v>1147</v>
      </c>
      <c r="K18">
        <v>1</v>
      </c>
      <c r="L18">
        <v>1</v>
      </c>
      <c r="M18" t="s">
        <v>322</v>
      </c>
      <c r="N18">
        <v>1</v>
      </c>
      <c r="O18">
        <v>500</v>
      </c>
      <c r="P18">
        <v>1</v>
      </c>
      <c r="Q18" t="s">
        <v>48</v>
      </c>
      <c r="R18">
        <v>500</v>
      </c>
      <c r="S18">
        <v>1076</v>
      </c>
      <c r="T18">
        <v>1076</v>
      </c>
      <c r="U18" t="s">
        <v>1147</v>
      </c>
      <c r="V18" t="s">
        <v>1147</v>
      </c>
      <c r="W18" t="s">
        <v>1147</v>
      </c>
      <c r="X18">
        <v>1</v>
      </c>
      <c r="Y18" t="s">
        <v>1147</v>
      </c>
      <c r="Z18">
        <v>1000</v>
      </c>
      <c r="AA18">
        <v>1000</v>
      </c>
      <c r="AB18" t="s">
        <v>1147</v>
      </c>
      <c r="AC18" t="s">
        <v>1147</v>
      </c>
      <c r="AD18" t="s">
        <v>1147</v>
      </c>
      <c r="AE18">
        <v>1</v>
      </c>
      <c r="AF18" t="s">
        <v>1147</v>
      </c>
      <c r="AG18" t="s">
        <v>1147</v>
      </c>
      <c r="AH18" t="s">
        <v>1147</v>
      </c>
      <c r="AI18" t="s">
        <v>321</v>
      </c>
      <c r="AJ18" t="s">
        <v>323</v>
      </c>
      <c r="AK18" t="s">
        <v>37</v>
      </c>
      <c r="AL18" t="s">
        <v>1147</v>
      </c>
      <c r="AM18" t="s">
        <v>1147</v>
      </c>
      <c r="AN18" t="s">
        <v>1147</v>
      </c>
      <c r="AO18" t="s">
        <v>1147</v>
      </c>
      <c r="AP18" s="515"/>
    </row>
    <row r="19" spans="1:42" ht="75" x14ac:dyDescent="0.25">
      <c r="A19" t="s">
        <v>372</v>
      </c>
      <c r="B19" t="s">
        <v>373</v>
      </c>
      <c r="C19" t="s">
        <v>374</v>
      </c>
      <c r="D19" t="s">
        <v>318</v>
      </c>
      <c r="E19" t="s">
        <v>375</v>
      </c>
      <c r="F19" t="s">
        <v>376</v>
      </c>
      <c r="G19" t="s">
        <v>259</v>
      </c>
      <c r="H19" s="249" t="s">
        <v>1183</v>
      </c>
      <c r="I19" t="s">
        <v>46</v>
      </c>
      <c r="J19" t="s">
        <v>1147</v>
      </c>
      <c r="K19">
        <v>1</v>
      </c>
      <c r="L19">
        <v>1</v>
      </c>
      <c r="M19" t="s">
        <v>322</v>
      </c>
      <c r="N19">
        <v>1</v>
      </c>
      <c r="O19">
        <v>5</v>
      </c>
      <c r="P19">
        <v>1</v>
      </c>
      <c r="Q19" t="s">
        <v>48</v>
      </c>
      <c r="R19">
        <v>5</v>
      </c>
      <c r="S19">
        <v>5</v>
      </c>
      <c r="T19">
        <v>5</v>
      </c>
      <c r="U19" t="s">
        <v>1147</v>
      </c>
      <c r="V19" t="s">
        <v>1147</v>
      </c>
      <c r="W19" t="s">
        <v>1147</v>
      </c>
      <c r="X19">
        <v>1</v>
      </c>
      <c r="Y19" t="s">
        <v>1147</v>
      </c>
      <c r="Z19">
        <v>5</v>
      </c>
      <c r="AA19">
        <v>5</v>
      </c>
      <c r="AB19" t="s">
        <v>1147</v>
      </c>
      <c r="AC19" t="s">
        <v>1147</v>
      </c>
      <c r="AD19" t="s">
        <v>1147</v>
      </c>
      <c r="AE19">
        <v>1</v>
      </c>
      <c r="AF19" t="s">
        <v>1147</v>
      </c>
      <c r="AG19">
        <v>0</v>
      </c>
      <c r="AH19" t="s">
        <v>1147</v>
      </c>
      <c r="AI19" t="s">
        <v>46</v>
      </c>
      <c r="AJ19" t="s">
        <v>323</v>
      </c>
      <c r="AK19" t="s">
        <v>37</v>
      </c>
      <c r="AL19">
        <v>30</v>
      </c>
      <c r="AM19">
        <v>20</v>
      </c>
      <c r="AN19">
        <v>50</v>
      </c>
      <c r="AO19" t="s">
        <v>1147</v>
      </c>
      <c r="AP19" s="515"/>
    </row>
    <row r="20" spans="1:42" ht="90" x14ac:dyDescent="0.25">
      <c r="A20" t="s">
        <v>377</v>
      </c>
      <c r="B20" t="s">
        <v>378</v>
      </c>
      <c r="C20" t="s">
        <v>374</v>
      </c>
      <c r="D20" t="s">
        <v>318</v>
      </c>
      <c r="E20" t="s">
        <v>375</v>
      </c>
      <c r="F20" t="s">
        <v>376</v>
      </c>
      <c r="G20" t="s">
        <v>259</v>
      </c>
      <c r="H20" s="249" t="s">
        <v>1188</v>
      </c>
      <c r="I20" t="s">
        <v>46</v>
      </c>
      <c r="J20" t="s">
        <v>1147</v>
      </c>
      <c r="K20">
        <v>1</v>
      </c>
      <c r="L20">
        <v>1</v>
      </c>
      <c r="M20" t="s">
        <v>322</v>
      </c>
      <c r="N20">
        <v>1</v>
      </c>
      <c r="O20">
        <v>5</v>
      </c>
      <c r="P20">
        <v>1</v>
      </c>
      <c r="Q20" t="s">
        <v>48</v>
      </c>
      <c r="R20">
        <v>5</v>
      </c>
      <c r="S20">
        <v>5</v>
      </c>
      <c r="T20">
        <v>5</v>
      </c>
      <c r="U20" t="s">
        <v>1147</v>
      </c>
      <c r="V20" t="s">
        <v>1147</v>
      </c>
      <c r="W20" t="s">
        <v>1147</v>
      </c>
      <c r="X20">
        <v>1</v>
      </c>
      <c r="Y20" t="s">
        <v>1147</v>
      </c>
      <c r="Z20">
        <v>5</v>
      </c>
      <c r="AA20">
        <v>5</v>
      </c>
      <c r="AB20" t="s">
        <v>1147</v>
      </c>
      <c r="AC20" t="s">
        <v>1147</v>
      </c>
      <c r="AD20" t="s">
        <v>1147</v>
      </c>
      <c r="AE20">
        <v>1</v>
      </c>
      <c r="AF20" t="s">
        <v>1147</v>
      </c>
      <c r="AG20">
        <v>0</v>
      </c>
      <c r="AH20" t="s">
        <v>1147</v>
      </c>
      <c r="AI20" t="s">
        <v>46</v>
      </c>
      <c r="AJ20" t="s">
        <v>323</v>
      </c>
      <c r="AK20" t="s">
        <v>37</v>
      </c>
      <c r="AL20">
        <v>18</v>
      </c>
      <c r="AM20">
        <v>12</v>
      </c>
      <c r="AN20">
        <v>50</v>
      </c>
      <c r="AO20" t="s">
        <v>1147</v>
      </c>
      <c r="AP20" s="515"/>
    </row>
    <row r="21" spans="1:42" ht="30" x14ac:dyDescent="0.25">
      <c r="A21" t="s">
        <v>379</v>
      </c>
      <c r="B21" t="s">
        <v>380</v>
      </c>
      <c r="C21" t="s">
        <v>374</v>
      </c>
      <c r="D21" t="s">
        <v>318</v>
      </c>
      <c r="E21" t="s">
        <v>375</v>
      </c>
      <c r="F21" t="s">
        <v>376</v>
      </c>
      <c r="G21" t="s">
        <v>259</v>
      </c>
      <c r="H21" s="249" t="s">
        <v>381</v>
      </c>
      <c r="I21" t="s">
        <v>46</v>
      </c>
      <c r="J21" t="s">
        <v>1147</v>
      </c>
      <c r="K21">
        <v>1</v>
      </c>
      <c r="L21">
        <v>1</v>
      </c>
      <c r="M21" t="s">
        <v>322</v>
      </c>
      <c r="N21">
        <v>1</v>
      </c>
      <c r="O21">
        <v>2</v>
      </c>
      <c r="P21">
        <v>1</v>
      </c>
      <c r="Q21" t="s">
        <v>48</v>
      </c>
      <c r="R21">
        <v>2</v>
      </c>
      <c r="S21">
        <v>2</v>
      </c>
      <c r="T21">
        <v>2</v>
      </c>
      <c r="U21" t="s">
        <v>1147</v>
      </c>
      <c r="V21" t="s">
        <v>1147</v>
      </c>
      <c r="W21" t="s">
        <v>1147</v>
      </c>
      <c r="X21">
        <v>1</v>
      </c>
      <c r="Y21" t="s">
        <v>1147</v>
      </c>
      <c r="Z21">
        <v>2</v>
      </c>
      <c r="AA21">
        <v>2</v>
      </c>
      <c r="AB21" t="s">
        <v>1147</v>
      </c>
      <c r="AC21" t="s">
        <v>1147</v>
      </c>
      <c r="AD21" t="s">
        <v>1147</v>
      </c>
      <c r="AE21">
        <v>1</v>
      </c>
      <c r="AF21" t="s">
        <v>1147</v>
      </c>
      <c r="AG21">
        <v>0</v>
      </c>
      <c r="AH21" t="s">
        <v>1147</v>
      </c>
      <c r="AI21" t="s">
        <v>46</v>
      </c>
      <c r="AJ21" t="s">
        <v>323</v>
      </c>
      <c r="AK21" t="s">
        <v>37</v>
      </c>
      <c r="AL21">
        <v>12</v>
      </c>
      <c r="AM21">
        <v>8</v>
      </c>
      <c r="AN21">
        <v>50</v>
      </c>
      <c r="AO21" t="s">
        <v>1147</v>
      </c>
      <c r="AP21" s="515"/>
    </row>
    <row r="22" spans="1:42" x14ac:dyDescent="0.25">
      <c r="A22" t="s">
        <v>382</v>
      </c>
      <c r="B22" t="s">
        <v>383</v>
      </c>
      <c r="C22" t="s">
        <v>374</v>
      </c>
      <c r="D22" t="s">
        <v>318</v>
      </c>
      <c r="E22" t="s">
        <v>384</v>
      </c>
      <c r="F22" t="s">
        <v>385</v>
      </c>
      <c r="G22" t="s">
        <v>284</v>
      </c>
      <c r="H22" t="s">
        <v>386</v>
      </c>
      <c r="I22" t="s">
        <v>1147</v>
      </c>
      <c r="J22" t="s">
        <v>1147</v>
      </c>
      <c r="K22">
        <v>1</v>
      </c>
      <c r="L22">
        <v>1</v>
      </c>
      <c r="M22" t="s">
        <v>322</v>
      </c>
      <c r="N22">
        <v>1</v>
      </c>
      <c r="O22">
        <v>1</v>
      </c>
      <c r="P22">
        <v>1</v>
      </c>
      <c r="Q22" t="s">
        <v>48</v>
      </c>
      <c r="R22">
        <v>1</v>
      </c>
      <c r="S22">
        <v>1</v>
      </c>
      <c r="T22">
        <v>0</v>
      </c>
      <c r="U22" t="s">
        <v>1147</v>
      </c>
      <c r="V22" t="s">
        <v>1147</v>
      </c>
      <c r="W22">
        <v>1</v>
      </c>
      <c r="X22">
        <v>0</v>
      </c>
      <c r="Y22" t="s">
        <v>1147</v>
      </c>
      <c r="Z22">
        <v>1</v>
      </c>
      <c r="AA22" t="s">
        <v>1147</v>
      </c>
      <c r="AB22">
        <v>1</v>
      </c>
      <c r="AC22" t="s">
        <v>1147</v>
      </c>
      <c r="AD22" t="s">
        <v>1147</v>
      </c>
      <c r="AE22">
        <v>1</v>
      </c>
      <c r="AF22" t="s">
        <v>1147</v>
      </c>
      <c r="AG22">
        <v>0</v>
      </c>
      <c r="AH22" t="s">
        <v>1147</v>
      </c>
      <c r="AI22" t="s">
        <v>46</v>
      </c>
      <c r="AJ22" t="s">
        <v>323</v>
      </c>
      <c r="AK22" t="s">
        <v>37</v>
      </c>
      <c r="AL22" t="s">
        <v>1147</v>
      </c>
      <c r="AM22" t="s">
        <v>1147</v>
      </c>
      <c r="AN22" t="s">
        <v>1147</v>
      </c>
      <c r="AO22" t="s">
        <v>1147</v>
      </c>
      <c r="AP22" s="515"/>
    </row>
    <row r="23" spans="1:42" x14ac:dyDescent="0.25">
      <c r="A23" t="s">
        <v>387</v>
      </c>
      <c r="B23" t="s">
        <v>388</v>
      </c>
      <c r="C23" t="s">
        <v>327</v>
      </c>
      <c r="D23" t="s">
        <v>318</v>
      </c>
      <c r="E23" t="s">
        <v>389</v>
      </c>
      <c r="F23" t="s">
        <v>390</v>
      </c>
      <c r="G23" t="s">
        <v>970</v>
      </c>
      <c r="H23" t="s">
        <v>391</v>
      </c>
      <c r="I23" t="s">
        <v>321</v>
      </c>
      <c r="J23" t="s">
        <v>1147</v>
      </c>
      <c r="K23">
        <v>1</v>
      </c>
      <c r="L23">
        <v>1</v>
      </c>
      <c r="M23" t="s">
        <v>322</v>
      </c>
      <c r="N23">
        <v>1</v>
      </c>
      <c r="O23">
        <v>1000</v>
      </c>
      <c r="P23">
        <v>1</v>
      </c>
      <c r="Q23" t="s">
        <v>48</v>
      </c>
      <c r="R23">
        <v>1000</v>
      </c>
      <c r="S23">
        <v>3400</v>
      </c>
      <c r="T23">
        <v>3400</v>
      </c>
      <c r="U23" t="s">
        <v>1147</v>
      </c>
      <c r="V23" t="s">
        <v>1147</v>
      </c>
      <c r="W23" t="s">
        <v>1147</v>
      </c>
      <c r="X23">
        <v>1</v>
      </c>
      <c r="Y23" t="s">
        <v>1147</v>
      </c>
      <c r="Z23">
        <v>3000</v>
      </c>
      <c r="AA23">
        <v>3000</v>
      </c>
      <c r="AB23" t="s">
        <v>1147</v>
      </c>
      <c r="AC23" t="s">
        <v>1147</v>
      </c>
      <c r="AD23" t="s">
        <v>1147</v>
      </c>
      <c r="AE23">
        <v>1</v>
      </c>
      <c r="AF23" t="s">
        <v>1147</v>
      </c>
      <c r="AG23" t="s">
        <v>1147</v>
      </c>
      <c r="AH23" t="s">
        <v>1147</v>
      </c>
      <c r="AI23" t="s">
        <v>321</v>
      </c>
      <c r="AJ23" t="s">
        <v>323</v>
      </c>
      <c r="AK23" t="s">
        <v>37</v>
      </c>
      <c r="AL23" t="s">
        <v>1147</v>
      </c>
      <c r="AM23" t="s">
        <v>1147</v>
      </c>
      <c r="AN23" t="s">
        <v>1147</v>
      </c>
      <c r="AO23" t="s">
        <v>1147</v>
      </c>
      <c r="AP23" s="515"/>
    </row>
    <row r="24" spans="1:42" x14ac:dyDescent="0.25">
      <c r="A24" t="s">
        <v>392</v>
      </c>
      <c r="B24" t="s">
        <v>393</v>
      </c>
      <c r="C24" t="s">
        <v>394</v>
      </c>
      <c r="D24" t="s">
        <v>318</v>
      </c>
      <c r="E24" t="s">
        <v>395</v>
      </c>
      <c r="F24" t="s">
        <v>396</v>
      </c>
      <c r="G24" t="s">
        <v>970</v>
      </c>
      <c r="H24" t="s">
        <v>397</v>
      </c>
      <c r="I24" t="s">
        <v>46</v>
      </c>
      <c r="J24" t="s">
        <v>1147</v>
      </c>
      <c r="K24">
        <v>1</v>
      </c>
      <c r="L24">
        <v>0</v>
      </c>
      <c r="M24" t="s">
        <v>398</v>
      </c>
      <c r="N24">
        <v>1</v>
      </c>
      <c r="O24">
        <v>0</v>
      </c>
      <c r="P24">
        <v>1</v>
      </c>
      <c r="Q24" t="s">
        <v>48</v>
      </c>
      <c r="R24">
        <v>0</v>
      </c>
      <c r="S24">
        <v>1</v>
      </c>
      <c r="T24">
        <v>0</v>
      </c>
      <c r="U24" t="s">
        <v>1147</v>
      </c>
      <c r="V24" t="s">
        <v>1147</v>
      </c>
      <c r="W24">
        <v>1</v>
      </c>
      <c r="X24">
        <v>0</v>
      </c>
      <c r="Y24" t="s">
        <v>1147</v>
      </c>
      <c r="Z24">
        <v>1</v>
      </c>
      <c r="AA24" t="s">
        <v>1147</v>
      </c>
      <c r="AB24">
        <v>1</v>
      </c>
      <c r="AC24" t="s">
        <v>1147</v>
      </c>
      <c r="AD24" t="s">
        <v>1147</v>
      </c>
      <c r="AE24">
        <v>1</v>
      </c>
      <c r="AF24" t="s">
        <v>1147</v>
      </c>
      <c r="AG24" t="s">
        <v>1147</v>
      </c>
      <c r="AH24" t="s">
        <v>1147</v>
      </c>
      <c r="AI24" t="s">
        <v>46</v>
      </c>
      <c r="AJ24" t="s">
        <v>323</v>
      </c>
      <c r="AK24" t="s">
        <v>37</v>
      </c>
      <c r="AL24" t="s">
        <v>1147</v>
      </c>
      <c r="AM24" t="s">
        <v>1147</v>
      </c>
      <c r="AN24" t="s">
        <v>1147</v>
      </c>
      <c r="AO24" t="s">
        <v>1147</v>
      </c>
      <c r="AP24" s="515"/>
    </row>
    <row r="25" spans="1:42" x14ac:dyDescent="0.25">
      <c r="A25" t="s">
        <v>399</v>
      </c>
      <c r="B25" t="s">
        <v>982</v>
      </c>
      <c r="C25" t="s">
        <v>394</v>
      </c>
      <c r="D25" t="s">
        <v>318</v>
      </c>
      <c r="E25" t="s">
        <v>400</v>
      </c>
      <c r="F25" t="s">
        <v>401</v>
      </c>
      <c r="G25" t="s">
        <v>280</v>
      </c>
      <c r="H25" t="s">
        <v>1189</v>
      </c>
      <c r="I25" t="s">
        <v>46</v>
      </c>
      <c r="J25" t="s">
        <v>1147</v>
      </c>
      <c r="K25">
        <v>1</v>
      </c>
      <c r="L25">
        <v>1</v>
      </c>
      <c r="M25" t="s">
        <v>322</v>
      </c>
      <c r="N25">
        <v>1</v>
      </c>
      <c r="O25">
        <v>1</v>
      </c>
      <c r="P25">
        <v>1</v>
      </c>
      <c r="Q25" t="s">
        <v>48</v>
      </c>
      <c r="R25">
        <v>1</v>
      </c>
      <c r="S25">
        <v>1</v>
      </c>
      <c r="T25">
        <v>1</v>
      </c>
      <c r="U25" t="s">
        <v>1147</v>
      </c>
      <c r="V25" t="s">
        <v>1147</v>
      </c>
      <c r="W25" t="s">
        <v>1147</v>
      </c>
      <c r="X25">
        <v>1</v>
      </c>
      <c r="Y25" t="s">
        <v>1147</v>
      </c>
      <c r="Z25">
        <v>1</v>
      </c>
      <c r="AA25">
        <v>1</v>
      </c>
      <c r="AB25" t="s">
        <v>1147</v>
      </c>
      <c r="AC25" t="s">
        <v>1147</v>
      </c>
      <c r="AD25" t="s">
        <v>1147</v>
      </c>
      <c r="AE25">
        <v>1</v>
      </c>
      <c r="AF25" t="s">
        <v>1147</v>
      </c>
      <c r="AG25" t="s">
        <v>1018</v>
      </c>
      <c r="AH25" t="s">
        <v>1147</v>
      </c>
      <c r="AI25" t="s">
        <v>46</v>
      </c>
      <c r="AJ25" t="s">
        <v>323</v>
      </c>
      <c r="AK25" t="s">
        <v>37</v>
      </c>
      <c r="AL25" t="s">
        <v>1147</v>
      </c>
      <c r="AM25" t="s">
        <v>1147</v>
      </c>
      <c r="AN25" t="s">
        <v>1147</v>
      </c>
      <c r="AO25" t="s">
        <v>1147</v>
      </c>
      <c r="AP25" s="515"/>
    </row>
    <row r="26" spans="1:42" x14ac:dyDescent="0.25">
      <c r="A26" t="s">
        <v>402</v>
      </c>
      <c r="B26" t="s">
        <v>403</v>
      </c>
      <c r="C26" t="s">
        <v>394</v>
      </c>
      <c r="D26" t="s">
        <v>318</v>
      </c>
      <c r="E26" t="s">
        <v>404</v>
      </c>
      <c r="F26" t="s">
        <v>405</v>
      </c>
      <c r="G26" t="s">
        <v>970</v>
      </c>
      <c r="H26" t="s">
        <v>1159</v>
      </c>
      <c r="I26" t="s">
        <v>321</v>
      </c>
      <c r="J26" t="s">
        <v>1147</v>
      </c>
      <c r="K26">
        <v>1</v>
      </c>
      <c r="L26">
        <v>1</v>
      </c>
      <c r="M26" t="s">
        <v>322</v>
      </c>
      <c r="N26">
        <v>1</v>
      </c>
      <c r="O26">
        <v>1000</v>
      </c>
      <c r="P26">
        <v>1</v>
      </c>
      <c r="Q26" t="s">
        <v>48</v>
      </c>
      <c r="R26">
        <v>1000</v>
      </c>
      <c r="S26">
        <v>1000</v>
      </c>
      <c r="T26">
        <v>1000</v>
      </c>
      <c r="U26" t="s">
        <v>1147</v>
      </c>
      <c r="V26" t="s">
        <v>1147</v>
      </c>
      <c r="W26" t="s">
        <v>1147</v>
      </c>
      <c r="X26">
        <v>1</v>
      </c>
      <c r="Y26" t="s">
        <v>1147</v>
      </c>
      <c r="Z26">
        <v>2000</v>
      </c>
      <c r="AA26">
        <v>2000</v>
      </c>
      <c r="AB26" t="s">
        <v>1147</v>
      </c>
      <c r="AC26" t="s">
        <v>1147</v>
      </c>
      <c r="AD26" t="s">
        <v>1147</v>
      </c>
      <c r="AE26">
        <v>1</v>
      </c>
      <c r="AF26" t="s">
        <v>1147</v>
      </c>
      <c r="AG26">
        <v>0</v>
      </c>
      <c r="AH26" t="s">
        <v>1147</v>
      </c>
      <c r="AI26" t="s">
        <v>321</v>
      </c>
      <c r="AJ26" t="s">
        <v>323</v>
      </c>
      <c r="AK26" t="s">
        <v>37</v>
      </c>
      <c r="AL26" t="s">
        <v>1147</v>
      </c>
      <c r="AM26" t="s">
        <v>1147</v>
      </c>
      <c r="AN26" t="s">
        <v>1147</v>
      </c>
      <c r="AO26" t="s">
        <v>1147</v>
      </c>
      <c r="AP26" s="515"/>
    </row>
    <row r="27" spans="1:42" x14ac:dyDescent="0.25">
      <c r="A27" t="s">
        <v>406</v>
      </c>
      <c r="B27" t="s">
        <v>407</v>
      </c>
      <c r="C27" t="s">
        <v>394</v>
      </c>
      <c r="D27" t="s">
        <v>318</v>
      </c>
      <c r="E27" t="s">
        <v>408</v>
      </c>
      <c r="F27" t="s">
        <v>409</v>
      </c>
      <c r="G27" t="s">
        <v>970</v>
      </c>
      <c r="H27" t="s">
        <v>410</v>
      </c>
      <c r="I27" t="s">
        <v>46</v>
      </c>
      <c r="J27" t="s">
        <v>1147</v>
      </c>
      <c r="K27">
        <v>1</v>
      </c>
      <c r="L27">
        <v>1</v>
      </c>
      <c r="M27" t="s">
        <v>322</v>
      </c>
      <c r="N27">
        <v>1</v>
      </c>
      <c r="O27">
        <v>1</v>
      </c>
      <c r="P27">
        <v>1</v>
      </c>
      <c r="Q27" t="s">
        <v>48</v>
      </c>
      <c r="R27">
        <v>1</v>
      </c>
      <c r="S27">
        <v>1</v>
      </c>
      <c r="T27">
        <v>1</v>
      </c>
      <c r="U27" t="s">
        <v>1147</v>
      </c>
      <c r="V27" t="s">
        <v>1147</v>
      </c>
      <c r="W27" t="s">
        <v>1147</v>
      </c>
      <c r="X27">
        <v>1</v>
      </c>
      <c r="Y27" t="s">
        <v>1147</v>
      </c>
      <c r="Z27">
        <v>1</v>
      </c>
      <c r="AA27">
        <v>1</v>
      </c>
      <c r="AB27" t="s">
        <v>1147</v>
      </c>
      <c r="AC27" t="s">
        <v>1147</v>
      </c>
      <c r="AD27" t="s">
        <v>1147</v>
      </c>
      <c r="AE27">
        <v>1</v>
      </c>
      <c r="AF27" t="s">
        <v>1147</v>
      </c>
      <c r="AG27" t="s">
        <v>1147</v>
      </c>
      <c r="AH27" t="s">
        <v>1147</v>
      </c>
      <c r="AI27" t="s">
        <v>46</v>
      </c>
      <c r="AJ27" t="s">
        <v>323</v>
      </c>
      <c r="AK27" t="s">
        <v>37</v>
      </c>
      <c r="AL27" t="s">
        <v>1147</v>
      </c>
      <c r="AM27" t="s">
        <v>1147</v>
      </c>
      <c r="AN27" t="s">
        <v>1147</v>
      </c>
      <c r="AO27" t="s">
        <v>1147</v>
      </c>
      <c r="AP27" s="515"/>
    </row>
    <row r="28" spans="1:42" x14ac:dyDescent="0.25">
      <c r="A28" t="s">
        <v>411</v>
      </c>
      <c r="B28" t="s">
        <v>412</v>
      </c>
      <c r="C28" t="s">
        <v>394</v>
      </c>
      <c r="D28" t="s">
        <v>318</v>
      </c>
      <c r="E28" t="s">
        <v>413</v>
      </c>
      <c r="F28" t="s">
        <v>414</v>
      </c>
      <c r="G28" t="s">
        <v>280</v>
      </c>
      <c r="H28" t="s">
        <v>386</v>
      </c>
      <c r="I28" t="s">
        <v>415</v>
      </c>
      <c r="J28" t="s">
        <v>1147</v>
      </c>
      <c r="K28">
        <v>1</v>
      </c>
      <c r="L28">
        <v>1</v>
      </c>
      <c r="M28" t="s">
        <v>322</v>
      </c>
      <c r="N28">
        <v>1</v>
      </c>
      <c r="O28">
        <v>1</v>
      </c>
      <c r="P28">
        <v>1</v>
      </c>
      <c r="Q28" t="s">
        <v>48</v>
      </c>
      <c r="R28">
        <v>1</v>
      </c>
      <c r="S28">
        <v>1</v>
      </c>
      <c r="T28">
        <v>1</v>
      </c>
      <c r="U28" t="s">
        <v>1147</v>
      </c>
      <c r="V28" t="s">
        <v>1147</v>
      </c>
      <c r="W28" t="s">
        <v>1147</v>
      </c>
      <c r="X28">
        <v>1</v>
      </c>
      <c r="Y28" t="s">
        <v>1147</v>
      </c>
      <c r="Z28">
        <v>1</v>
      </c>
      <c r="AA28">
        <v>1</v>
      </c>
      <c r="AB28" t="s">
        <v>1147</v>
      </c>
      <c r="AC28" t="s">
        <v>1147</v>
      </c>
      <c r="AD28" t="s">
        <v>1147</v>
      </c>
      <c r="AE28">
        <v>1</v>
      </c>
      <c r="AF28" t="s">
        <v>1147</v>
      </c>
      <c r="AG28" t="s">
        <v>1147</v>
      </c>
      <c r="AH28" t="s">
        <v>1147</v>
      </c>
      <c r="AI28" t="s">
        <v>46</v>
      </c>
      <c r="AJ28" t="s">
        <v>323</v>
      </c>
      <c r="AK28" t="s">
        <v>37</v>
      </c>
      <c r="AL28" t="s">
        <v>1147</v>
      </c>
      <c r="AM28" t="s">
        <v>1147</v>
      </c>
      <c r="AN28" t="s">
        <v>1147</v>
      </c>
      <c r="AO28" t="s">
        <v>1147</v>
      </c>
      <c r="AP28" s="515"/>
    </row>
    <row r="29" spans="1:42" ht="90" x14ac:dyDescent="0.25">
      <c r="A29" t="s">
        <v>416</v>
      </c>
      <c r="B29" t="s">
        <v>417</v>
      </c>
      <c r="C29" t="s">
        <v>418</v>
      </c>
      <c r="D29" t="s">
        <v>318</v>
      </c>
      <c r="E29" t="s">
        <v>419</v>
      </c>
      <c r="F29" t="s">
        <v>420</v>
      </c>
      <c r="G29" t="s">
        <v>259</v>
      </c>
      <c r="H29" s="249" t="s">
        <v>1184</v>
      </c>
      <c r="I29" t="s">
        <v>46</v>
      </c>
      <c r="J29" t="s">
        <v>1147</v>
      </c>
      <c r="K29">
        <v>1</v>
      </c>
      <c r="L29">
        <v>1</v>
      </c>
      <c r="M29" t="s">
        <v>322</v>
      </c>
      <c r="N29">
        <v>1</v>
      </c>
      <c r="O29">
        <v>5</v>
      </c>
      <c r="P29">
        <v>1</v>
      </c>
      <c r="Q29" t="s">
        <v>48</v>
      </c>
      <c r="R29">
        <v>5</v>
      </c>
      <c r="S29">
        <v>5</v>
      </c>
      <c r="T29">
        <v>5</v>
      </c>
      <c r="U29" t="s">
        <v>1147</v>
      </c>
      <c r="V29" t="s">
        <v>1147</v>
      </c>
      <c r="W29" t="s">
        <v>1147</v>
      </c>
      <c r="X29">
        <v>1</v>
      </c>
      <c r="Y29" t="s">
        <v>1147</v>
      </c>
      <c r="Z29">
        <v>8</v>
      </c>
      <c r="AA29">
        <v>8</v>
      </c>
      <c r="AB29" t="s">
        <v>1147</v>
      </c>
      <c r="AC29" t="s">
        <v>1147</v>
      </c>
      <c r="AD29" t="s">
        <v>1147</v>
      </c>
      <c r="AE29">
        <v>1</v>
      </c>
      <c r="AF29" t="s">
        <v>1147</v>
      </c>
      <c r="AG29">
        <v>0</v>
      </c>
      <c r="AH29" t="s">
        <v>1147</v>
      </c>
      <c r="AI29" t="s">
        <v>46</v>
      </c>
      <c r="AJ29" t="s">
        <v>323</v>
      </c>
      <c r="AK29" t="s">
        <v>31</v>
      </c>
      <c r="AL29">
        <v>18</v>
      </c>
      <c r="AM29">
        <v>20</v>
      </c>
      <c r="AN29">
        <v>100</v>
      </c>
      <c r="AO29" t="s">
        <v>1147</v>
      </c>
      <c r="AP29" s="515"/>
    </row>
    <row r="30" spans="1:42" x14ac:dyDescent="0.25">
      <c r="A30" t="s">
        <v>421</v>
      </c>
      <c r="B30" t="s">
        <v>422</v>
      </c>
      <c r="C30" t="s">
        <v>317</v>
      </c>
      <c r="D30" t="s">
        <v>423</v>
      </c>
      <c r="E30" t="s">
        <v>424</v>
      </c>
      <c r="F30" t="s">
        <v>425</v>
      </c>
      <c r="G30" t="s">
        <v>970</v>
      </c>
      <c r="H30" t="s">
        <v>426</v>
      </c>
      <c r="I30" t="s">
        <v>321</v>
      </c>
      <c r="J30" t="s">
        <v>1147</v>
      </c>
      <c r="K30">
        <v>1</v>
      </c>
      <c r="L30">
        <v>1</v>
      </c>
      <c r="M30" t="s">
        <v>322</v>
      </c>
      <c r="N30">
        <v>1</v>
      </c>
      <c r="O30">
        <v>1000</v>
      </c>
      <c r="P30">
        <v>1</v>
      </c>
      <c r="Q30" t="s">
        <v>48</v>
      </c>
      <c r="R30">
        <v>1000</v>
      </c>
      <c r="S30">
        <v>948</v>
      </c>
      <c r="T30">
        <v>948</v>
      </c>
      <c r="U30" t="s">
        <v>1147</v>
      </c>
      <c r="V30" t="s">
        <v>1147</v>
      </c>
      <c r="W30" t="s">
        <v>1147</v>
      </c>
      <c r="X30">
        <v>1</v>
      </c>
      <c r="Y30" t="s">
        <v>1147</v>
      </c>
      <c r="Z30">
        <v>2500</v>
      </c>
      <c r="AA30">
        <v>2500</v>
      </c>
      <c r="AB30" t="s">
        <v>1147</v>
      </c>
      <c r="AC30" t="s">
        <v>1147</v>
      </c>
      <c r="AD30" t="s">
        <v>1147</v>
      </c>
      <c r="AE30">
        <v>1</v>
      </c>
      <c r="AF30" t="s">
        <v>1147</v>
      </c>
      <c r="AG30" t="s">
        <v>1147</v>
      </c>
      <c r="AH30" t="s">
        <v>1147</v>
      </c>
      <c r="AI30" t="s">
        <v>321</v>
      </c>
      <c r="AJ30" t="s">
        <v>427</v>
      </c>
      <c r="AK30" t="s">
        <v>37</v>
      </c>
      <c r="AL30" t="s">
        <v>1147</v>
      </c>
      <c r="AM30" t="s">
        <v>1147</v>
      </c>
      <c r="AN30" t="s">
        <v>1147</v>
      </c>
      <c r="AO30" t="s">
        <v>1147</v>
      </c>
      <c r="AP30" s="515"/>
    </row>
    <row r="31" spans="1:42" x14ac:dyDescent="0.25">
      <c r="A31" t="s">
        <v>428</v>
      </c>
      <c r="B31" t="s">
        <v>429</v>
      </c>
      <c r="C31" t="s">
        <v>317</v>
      </c>
      <c r="D31" t="s">
        <v>423</v>
      </c>
      <c r="E31" t="s">
        <v>430</v>
      </c>
      <c r="F31" t="s">
        <v>431</v>
      </c>
      <c r="G31" t="s">
        <v>970</v>
      </c>
      <c r="H31" t="s">
        <v>432</v>
      </c>
      <c r="I31" t="s">
        <v>321</v>
      </c>
      <c r="J31" t="s">
        <v>1147</v>
      </c>
      <c r="K31">
        <v>1</v>
      </c>
      <c r="L31">
        <v>1</v>
      </c>
      <c r="M31" t="s">
        <v>322</v>
      </c>
      <c r="N31">
        <v>1</v>
      </c>
      <c r="O31">
        <v>1000</v>
      </c>
      <c r="P31">
        <v>1</v>
      </c>
      <c r="Q31" t="s">
        <v>48</v>
      </c>
      <c r="R31">
        <v>1000</v>
      </c>
      <c r="S31">
        <v>2640</v>
      </c>
      <c r="T31">
        <v>2640</v>
      </c>
      <c r="U31" t="s">
        <v>1147</v>
      </c>
      <c r="V31" t="s">
        <v>1147</v>
      </c>
      <c r="W31" t="s">
        <v>1147</v>
      </c>
      <c r="X31">
        <v>1</v>
      </c>
      <c r="Y31" t="s">
        <v>1147</v>
      </c>
      <c r="Z31">
        <v>2500</v>
      </c>
      <c r="AA31">
        <v>2500</v>
      </c>
      <c r="AB31" t="s">
        <v>1147</v>
      </c>
      <c r="AC31" t="s">
        <v>1147</v>
      </c>
      <c r="AD31" t="s">
        <v>1147</v>
      </c>
      <c r="AE31">
        <v>1</v>
      </c>
      <c r="AF31" t="s">
        <v>1147</v>
      </c>
      <c r="AG31" t="s">
        <v>1147</v>
      </c>
      <c r="AH31" t="s">
        <v>1147</v>
      </c>
      <c r="AI31" t="s">
        <v>321</v>
      </c>
      <c r="AJ31" t="s">
        <v>427</v>
      </c>
      <c r="AK31" t="s">
        <v>37</v>
      </c>
      <c r="AL31" t="s">
        <v>1147</v>
      </c>
      <c r="AM31" t="s">
        <v>1147</v>
      </c>
      <c r="AN31" t="s">
        <v>1147</v>
      </c>
      <c r="AO31" t="s">
        <v>1147</v>
      </c>
      <c r="AP31" s="515"/>
    </row>
    <row r="32" spans="1:42" x14ac:dyDescent="0.25">
      <c r="A32" t="s">
        <v>433</v>
      </c>
      <c r="B32" t="s">
        <v>434</v>
      </c>
      <c r="C32" t="s">
        <v>374</v>
      </c>
      <c r="D32" t="s">
        <v>423</v>
      </c>
      <c r="E32" t="s">
        <v>435</v>
      </c>
      <c r="F32" t="s">
        <v>436</v>
      </c>
      <c r="G32" t="s">
        <v>259</v>
      </c>
      <c r="H32" t="s">
        <v>437</v>
      </c>
      <c r="I32" t="s">
        <v>46</v>
      </c>
      <c r="J32" t="s">
        <v>1147</v>
      </c>
      <c r="K32">
        <v>1</v>
      </c>
      <c r="L32">
        <v>1</v>
      </c>
      <c r="M32" t="s">
        <v>322</v>
      </c>
      <c r="N32">
        <v>1</v>
      </c>
      <c r="O32">
        <v>1</v>
      </c>
      <c r="P32">
        <v>1</v>
      </c>
      <c r="Q32" t="s">
        <v>48</v>
      </c>
      <c r="R32">
        <v>1</v>
      </c>
      <c r="S32">
        <v>1</v>
      </c>
      <c r="T32">
        <v>1</v>
      </c>
      <c r="U32" t="s">
        <v>1147</v>
      </c>
      <c r="V32" t="s">
        <v>1147</v>
      </c>
      <c r="W32" t="s">
        <v>1147</v>
      </c>
      <c r="X32">
        <v>1</v>
      </c>
      <c r="Y32" t="s">
        <v>1147</v>
      </c>
      <c r="Z32">
        <v>1</v>
      </c>
      <c r="AA32">
        <v>1</v>
      </c>
      <c r="AB32" t="s">
        <v>1147</v>
      </c>
      <c r="AC32" t="s">
        <v>1147</v>
      </c>
      <c r="AD32" t="s">
        <v>1147</v>
      </c>
      <c r="AE32">
        <v>1</v>
      </c>
      <c r="AF32" t="s">
        <v>1147</v>
      </c>
      <c r="AG32">
        <v>0</v>
      </c>
      <c r="AH32" t="s">
        <v>1147</v>
      </c>
      <c r="AI32" t="s">
        <v>46</v>
      </c>
      <c r="AJ32" t="s">
        <v>427</v>
      </c>
      <c r="AK32" t="s">
        <v>37</v>
      </c>
      <c r="AL32" t="s">
        <v>1147</v>
      </c>
      <c r="AM32" t="s">
        <v>1147</v>
      </c>
      <c r="AN32" t="s">
        <v>1147</v>
      </c>
      <c r="AO32" t="s">
        <v>1147</v>
      </c>
      <c r="AP32" s="515"/>
    </row>
    <row r="33" spans="1:42" x14ac:dyDescent="0.25">
      <c r="A33" t="s">
        <v>438</v>
      </c>
      <c r="B33" t="s">
        <v>439</v>
      </c>
      <c r="C33" t="s">
        <v>317</v>
      </c>
      <c r="D33" t="s">
        <v>423</v>
      </c>
      <c r="E33" t="s">
        <v>440</v>
      </c>
      <c r="F33" t="s">
        <v>441</v>
      </c>
      <c r="G33" t="s">
        <v>970</v>
      </c>
      <c r="H33" t="s">
        <v>442</v>
      </c>
      <c r="I33" t="s">
        <v>321</v>
      </c>
      <c r="J33" t="s">
        <v>1147</v>
      </c>
      <c r="K33">
        <v>1</v>
      </c>
      <c r="L33">
        <v>1</v>
      </c>
      <c r="M33" t="s">
        <v>322</v>
      </c>
      <c r="N33">
        <v>1</v>
      </c>
      <c r="O33">
        <v>1000</v>
      </c>
      <c r="P33">
        <v>1</v>
      </c>
      <c r="Q33" t="s">
        <v>48</v>
      </c>
      <c r="R33">
        <v>1000</v>
      </c>
      <c r="S33">
        <v>1000</v>
      </c>
      <c r="T33">
        <v>1000</v>
      </c>
      <c r="U33" t="s">
        <v>1147</v>
      </c>
      <c r="V33" t="s">
        <v>1147</v>
      </c>
      <c r="W33" t="s">
        <v>1147</v>
      </c>
      <c r="X33">
        <v>1</v>
      </c>
      <c r="Y33" t="s">
        <v>1147</v>
      </c>
      <c r="Z33">
        <v>1000</v>
      </c>
      <c r="AA33">
        <v>1000</v>
      </c>
      <c r="AB33" t="s">
        <v>1147</v>
      </c>
      <c r="AC33" t="s">
        <v>1147</v>
      </c>
      <c r="AD33" t="s">
        <v>1147</v>
      </c>
      <c r="AE33">
        <v>1</v>
      </c>
      <c r="AF33" t="s">
        <v>1147</v>
      </c>
      <c r="AG33" t="s">
        <v>1147</v>
      </c>
      <c r="AH33" t="s">
        <v>1147</v>
      </c>
      <c r="AI33" t="s">
        <v>321</v>
      </c>
      <c r="AJ33" t="s">
        <v>427</v>
      </c>
      <c r="AK33" t="s">
        <v>37</v>
      </c>
      <c r="AL33" t="s">
        <v>1147</v>
      </c>
      <c r="AM33" t="s">
        <v>1147</v>
      </c>
      <c r="AN33" t="s">
        <v>1147</v>
      </c>
      <c r="AO33" t="s">
        <v>1147</v>
      </c>
      <c r="AP33" s="515"/>
    </row>
    <row r="34" spans="1:42" x14ac:dyDescent="0.25">
      <c r="A34" t="s">
        <v>443</v>
      </c>
      <c r="B34" t="s">
        <v>444</v>
      </c>
      <c r="C34" t="s">
        <v>418</v>
      </c>
      <c r="D34" t="s">
        <v>445</v>
      </c>
      <c r="E34" t="s">
        <v>446</v>
      </c>
      <c r="F34" t="s">
        <v>447</v>
      </c>
      <c r="G34" t="s">
        <v>259</v>
      </c>
      <c r="H34" t="s">
        <v>1148</v>
      </c>
      <c r="I34" t="s">
        <v>46</v>
      </c>
      <c r="J34" t="s">
        <v>1147</v>
      </c>
      <c r="K34">
        <v>1</v>
      </c>
      <c r="L34">
        <v>1</v>
      </c>
      <c r="M34" t="s">
        <v>322</v>
      </c>
      <c r="N34">
        <v>1</v>
      </c>
      <c r="O34">
        <v>1</v>
      </c>
      <c r="P34">
        <v>1</v>
      </c>
      <c r="Q34" t="s">
        <v>48</v>
      </c>
      <c r="R34">
        <v>1</v>
      </c>
      <c r="S34">
        <v>1</v>
      </c>
      <c r="T34">
        <v>1</v>
      </c>
      <c r="U34" t="s">
        <v>1147</v>
      </c>
      <c r="V34" t="s">
        <v>1147</v>
      </c>
      <c r="W34" t="s">
        <v>1147</v>
      </c>
      <c r="X34">
        <v>1</v>
      </c>
      <c r="Y34" t="s">
        <v>448</v>
      </c>
      <c r="Z34">
        <v>1</v>
      </c>
      <c r="AA34">
        <v>1</v>
      </c>
      <c r="AB34" t="s">
        <v>1147</v>
      </c>
      <c r="AC34" t="s">
        <v>1147</v>
      </c>
      <c r="AD34" t="s">
        <v>1147</v>
      </c>
      <c r="AE34">
        <v>1</v>
      </c>
      <c r="AF34" t="s">
        <v>1147</v>
      </c>
      <c r="AG34">
        <v>0</v>
      </c>
      <c r="AH34" t="s">
        <v>1147</v>
      </c>
      <c r="AI34" t="s">
        <v>46</v>
      </c>
      <c r="AJ34" t="s">
        <v>449</v>
      </c>
      <c r="AK34" t="s">
        <v>37</v>
      </c>
      <c r="AL34">
        <v>6</v>
      </c>
      <c r="AM34">
        <v>4</v>
      </c>
      <c r="AN34">
        <v>50</v>
      </c>
      <c r="AO34" t="s">
        <v>1147</v>
      </c>
      <c r="AP34" s="515"/>
    </row>
    <row r="35" spans="1:42" ht="75" x14ac:dyDescent="0.25">
      <c r="A35" t="s">
        <v>450</v>
      </c>
      <c r="B35" t="s">
        <v>451</v>
      </c>
      <c r="C35" t="s">
        <v>418</v>
      </c>
      <c r="D35" t="s">
        <v>445</v>
      </c>
      <c r="E35" t="s">
        <v>452</v>
      </c>
      <c r="F35" t="s">
        <v>453</v>
      </c>
      <c r="G35" t="s">
        <v>284</v>
      </c>
      <c r="H35" s="249" t="s">
        <v>454</v>
      </c>
      <c r="I35" t="s">
        <v>46</v>
      </c>
      <c r="J35" t="s">
        <v>455</v>
      </c>
      <c r="K35">
        <v>1</v>
      </c>
      <c r="L35">
        <v>1</v>
      </c>
      <c r="M35" t="s">
        <v>322</v>
      </c>
      <c r="N35">
        <v>1</v>
      </c>
      <c r="O35">
        <v>5</v>
      </c>
      <c r="P35">
        <v>1</v>
      </c>
      <c r="Q35" t="s">
        <v>48</v>
      </c>
      <c r="R35">
        <v>5</v>
      </c>
      <c r="S35">
        <v>5</v>
      </c>
      <c r="T35">
        <v>5</v>
      </c>
      <c r="U35" t="s">
        <v>1147</v>
      </c>
      <c r="V35" t="s">
        <v>1147</v>
      </c>
      <c r="W35" t="s">
        <v>1147</v>
      </c>
      <c r="X35">
        <v>1</v>
      </c>
      <c r="Y35" t="s">
        <v>1147</v>
      </c>
      <c r="Z35">
        <v>6</v>
      </c>
      <c r="AA35">
        <v>6</v>
      </c>
      <c r="AB35" t="s">
        <v>1147</v>
      </c>
      <c r="AC35" t="s">
        <v>1147</v>
      </c>
      <c r="AD35" t="s">
        <v>1147</v>
      </c>
      <c r="AE35">
        <v>1</v>
      </c>
      <c r="AF35" t="s">
        <v>1147</v>
      </c>
      <c r="AG35" t="s">
        <v>1147</v>
      </c>
      <c r="AH35" t="s">
        <v>1147</v>
      </c>
      <c r="AI35" t="s">
        <v>46</v>
      </c>
      <c r="AJ35" t="s">
        <v>449</v>
      </c>
      <c r="AK35" t="s">
        <v>37</v>
      </c>
      <c r="AL35" t="s">
        <v>1147</v>
      </c>
      <c r="AM35" t="s">
        <v>1147</v>
      </c>
      <c r="AN35" t="s">
        <v>1147</v>
      </c>
      <c r="AO35" t="s">
        <v>1147</v>
      </c>
      <c r="AP35" s="515"/>
    </row>
    <row r="36" spans="1:42" x14ac:dyDescent="0.25">
      <c r="A36" t="s">
        <v>456</v>
      </c>
      <c r="B36" t="s">
        <v>457</v>
      </c>
      <c r="C36" t="s">
        <v>418</v>
      </c>
      <c r="D36" t="s">
        <v>445</v>
      </c>
      <c r="E36" t="s">
        <v>458</v>
      </c>
      <c r="F36" t="s">
        <v>459</v>
      </c>
      <c r="G36" t="s">
        <v>284</v>
      </c>
      <c r="H36" t="s">
        <v>1160</v>
      </c>
      <c r="I36" t="s">
        <v>46</v>
      </c>
      <c r="J36" t="s">
        <v>1147</v>
      </c>
      <c r="K36">
        <v>1</v>
      </c>
      <c r="L36">
        <v>1</v>
      </c>
      <c r="M36" t="s">
        <v>322</v>
      </c>
      <c r="N36">
        <v>1</v>
      </c>
      <c r="O36">
        <v>4</v>
      </c>
      <c r="P36">
        <v>1</v>
      </c>
      <c r="Q36" t="s">
        <v>48</v>
      </c>
      <c r="R36">
        <v>2</v>
      </c>
      <c r="S36">
        <v>5</v>
      </c>
      <c r="T36">
        <v>5</v>
      </c>
      <c r="U36" t="s">
        <v>1147</v>
      </c>
      <c r="V36" t="s">
        <v>1147</v>
      </c>
      <c r="W36" t="s">
        <v>1147</v>
      </c>
      <c r="X36">
        <v>1</v>
      </c>
      <c r="Y36" t="s">
        <v>1147</v>
      </c>
      <c r="Z36">
        <v>5</v>
      </c>
      <c r="AA36">
        <v>5</v>
      </c>
      <c r="AB36" t="s">
        <v>1147</v>
      </c>
      <c r="AC36" t="s">
        <v>1147</v>
      </c>
      <c r="AD36" t="s">
        <v>1147</v>
      </c>
      <c r="AE36">
        <v>1</v>
      </c>
      <c r="AF36" t="s">
        <v>1147</v>
      </c>
      <c r="AG36" t="s">
        <v>1147</v>
      </c>
      <c r="AH36" t="s">
        <v>1147</v>
      </c>
      <c r="AI36" t="s">
        <v>46</v>
      </c>
      <c r="AJ36" t="s">
        <v>449</v>
      </c>
      <c r="AK36" t="s">
        <v>37</v>
      </c>
      <c r="AL36" t="s">
        <v>1147</v>
      </c>
      <c r="AM36" t="s">
        <v>1147</v>
      </c>
      <c r="AN36" t="s">
        <v>1147</v>
      </c>
      <c r="AO36" t="s">
        <v>1147</v>
      </c>
      <c r="AP36" s="515"/>
    </row>
    <row r="37" spans="1:42" x14ac:dyDescent="0.25">
      <c r="A37" t="s">
        <v>460</v>
      </c>
      <c r="B37" t="s">
        <v>461</v>
      </c>
      <c r="C37" t="s">
        <v>327</v>
      </c>
      <c r="D37" t="s">
        <v>445</v>
      </c>
      <c r="E37" t="s">
        <v>462</v>
      </c>
      <c r="F37" t="s">
        <v>463</v>
      </c>
      <c r="G37" t="s">
        <v>970</v>
      </c>
      <c r="H37" t="s">
        <v>464</v>
      </c>
      <c r="I37" t="s">
        <v>321</v>
      </c>
      <c r="J37" t="s">
        <v>1147</v>
      </c>
      <c r="K37">
        <v>1</v>
      </c>
      <c r="L37">
        <v>1</v>
      </c>
      <c r="M37" t="s">
        <v>322</v>
      </c>
      <c r="N37">
        <v>1</v>
      </c>
      <c r="O37">
        <v>500</v>
      </c>
      <c r="P37">
        <v>1</v>
      </c>
      <c r="Q37" t="s">
        <v>48</v>
      </c>
      <c r="R37">
        <v>500</v>
      </c>
      <c r="S37">
        <v>500</v>
      </c>
      <c r="T37">
        <v>500</v>
      </c>
      <c r="U37" t="s">
        <v>1147</v>
      </c>
      <c r="V37" t="s">
        <v>1147</v>
      </c>
      <c r="W37" t="s">
        <v>1147</v>
      </c>
      <c r="X37">
        <v>1</v>
      </c>
      <c r="Y37" t="s">
        <v>1147</v>
      </c>
      <c r="Z37">
        <v>500</v>
      </c>
      <c r="AA37">
        <v>500</v>
      </c>
      <c r="AB37" t="s">
        <v>1147</v>
      </c>
      <c r="AC37" t="s">
        <v>1147</v>
      </c>
      <c r="AD37" t="s">
        <v>1147</v>
      </c>
      <c r="AE37">
        <v>1</v>
      </c>
      <c r="AF37" t="s">
        <v>1147</v>
      </c>
      <c r="AG37" t="s">
        <v>1147</v>
      </c>
      <c r="AH37" t="s">
        <v>1147</v>
      </c>
      <c r="AI37" t="s">
        <v>321</v>
      </c>
      <c r="AJ37" t="s">
        <v>449</v>
      </c>
      <c r="AK37" t="s">
        <v>37</v>
      </c>
      <c r="AL37" t="s">
        <v>1147</v>
      </c>
      <c r="AM37" t="s">
        <v>1147</v>
      </c>
      <c r="AN37" t="s">
        <v>1147</v>
      </c>
      <c r="AO37" t="s">
        <v>1147</v>
      </c>
      <c r="AP37" s="515"/>
    </row>
    <row r="38" spans="1:42" x14ac:dyDescent="0.25">
      <c r="A38" t="s">
        <v>465</v>
      </c>
      <c r="B38" t="s">
        <v>466</v>
      </c>
      <c r="C38" t="s">
        <v>327</v>
      </c>
      <c r="D38" t="s">
        <v>445</v>
      </c>
      <c r="E38" t="s">
        <v>467</v>
      </c>
      <c r="F38" t="s">
        <v>468</v>
      </c>
      <c r="G38" t="s">
        <v>970</v>
      </c>
      <c r="H38" t="s">
        <v>469</v>
      </c>
      <c r="I38" t="s">
        <v>321</v>
      </c>
      <c r="J38" t="s">
        <v>1147</v>
      </c>
      <c r="K38">
        <v>1</v>
      </c>
      <c r="L38">
        <v>1</v>
      </c>
      <c r="M38" t="s">
        <v>322</v>
      </c>
      <c r="N38">
        <v>1</v>
      </c>
      <c r="O38">
        <v>500</v>
      </c>
      <c r="P38">
        <v>1</v>
      </c>
      <c r="Q38" t="s">
        <v>48</v>
      </c>
      <c r="R38">
        <v>500</v>
      </c>
      <c r="S38">
        <v>500</v>
      </c>
      <c r="T38">
        <v>500</v>
      </c>
      <c r="U38" t="s">
        <v>1147</v>
      </c>
      <c r="V38" t="s">
        <v>1147</v>
      </c>
      <c r="W38" t="s">
        <v>1147</v>
      </c>
      <c r="X38">
        <v>1</v>
      </c>
      <c r="Y38" t="s">
        <v>1147</v>
      </c>
      <c r="Z38">
        <v>500</v>
      </c>
      <c r="AA38">
        <v>500</v>
      </c>
      <c r="AB38" t="s">
        <v>1147</v>
      </c>
      <c r="AC38" t="s">
        <v>1147</v>
      </c>
      <c r="AD38" t="s">
        <v>1147</v>
      </c>
      <c r="AE38">
        <v>1</v>
      </c>
      <c r="AF38" t="s">
        <v>1147</v>
      </c>
      <c r="AG38" t="s">
        <v>1147</v>
      </c>
      <c r="AH38" t="s">
        <v>1147</v>
      </c>
      <c r="AI38" t="s">
        <v>321</v>
      </c>
      <c r="AJ38" t="s">
        <v>449</v>
      </c>
      <c r="AK38" t="s">
        <v>37</v>
      </c>
      <c r="AL38" t="s">
        <v>1147</v>
      </c>
      <c r="AM38" t="s">
        <v>1147</v>
      </c>
      <c r="AN38" t="s">
        <v>1147</v>
      </c>
      <c r="AO38" t="s">
        <v>1147</v>
      </c>
      <c r="AP38" s="515"/>
    </row>
    <row r="39" spans="1:42" ht="30" x14ac:dyDescent="0.25">
      <c r="A39" t="s">
        <v>470</v>
      </c>
      <c r="B39" t="s">
        <v>471</v>
      </c>
      <c r="C39" t="s">
        <v>418</v>
      </c>
      <c r="D39" t="s">
        <v>445</v>
      </c>
      <c r="E39" t="s">
        <v>472</v>
      </c>
      <c r="F39" t="s">
        <v>473</v>
      </c>
      <c r="G39" t="s">
        <v>259</v>
      </c>
      <c r="H39" s="249" t="s">
        <v>474</v>
      </c>
      <c r="I39" t="s">
        <v>46</v>
      </c>
      <c r="J39" t="s">
        <v>1147</v>
      </c>
      <c r="K39">
        <v>1</v>
      </c>
      <c r="L39">
        <v>1</v>
      </c>
      <c r="M39" t="s">
        <v>322</v>
      </c>
      <c r="N39">
        <v>1</v>
      </c>
      <c r="O39">
        <v>1</v>
      </c>
      <c r="P39">
        <v>1</v>
      </c>
      <c r="Q39" t="s">
        <v>48</v>
      </c>
      <c r="R39">
        <v>2</v>
      </c>
      <c r="S39">
        <v>2</v>
      </c>
      <c r="T39">
        <v>2</v>
      </c>
      <c r="U39" t="s">
        <v>1147</v>
      </c>
      <c r="V39" t="s">
        <v>1147</v>
      </c>
      <c r="W39" t="s">
        <v>1147</v>
      </c>
      <c r="X39">
        <v>1</v>
      </c>
      <c r="Y39" t="s">
        <v>1147</v>
      </c>
      <c r="Z39">
        <v>2</v>
      </c>
      <c r="AA39">
        <v>2</v>
      </c>
      <c r="AB39" t="s">
        <v>1147</v>
      </c>
      <c r="AC39" t="s">
        <v>1147</v>
      </c>
      <c r="AD39" t="s">
        <v>1147</v>
      </c>
      <c r="AE39">
        <v>1</v>
      </c>
      <c r="AF39" t="s">
        <v>1147</v>
      </c>
      <c r="AG39">
        <v>0</v>
      </c>
      <c r="AH39" t="s">
        <v>1147</v>
      </c>
      <c r="AI39" t="s">
        <v>46</v>
      </c>
      <c r="AJ39" t="s">
        <v>449</v>
      </c>
      <c r="AK39" t="s">
        <v>37</v>
      </c>
      <c r="AL39" t="s">
        <v>1147</v>
      </c>
      <c r="AM39" t="s">
        <v>1147</v>
      </c>
      <c r="AN39" t="s">
        <v>1147</v>
      </c>
      <c r="AO39" t="s">
        <v>1147</v>
      </c>
      <c r="AP39" s="515"/>
    </row>
    <row r="40" spans="1:42" x14ac:dyDescent="0.25">
      <c r="A40" t="s">
        <v>475</v>
      </c>
      <c r="B40" t="s">
        <v>476</v>
      </c>
      <c r="C40" t="s">
        <v>418</v>
      </c>
      <c r="D40" t="s">
        <v>445</v>
      </c>
      <c r="E40" t="s">
        <v>477</v>
      </c>
      <c r="F40" t="s">
        <v>478</v>
      </c>
      <c r="G40" t="s">
        <v>284</v>
      </c>
      <c r="H40" t="s">
        <v>479</v>
      </c>
      <c r="I40" t="s">
        <v>46</v>
      </c>
      <c r="J40" t="s">
        <v>1147</v>
      </c>
      <c r="K40">
        <v>1</v>
      </c>
      <c r="L40">
        <v>1</v>
      </c>
      <c r="M40" t="s">
        <v>322</v>
      </c>
      <c r="N40">
        <v>1</v>
      </c>
      <c r="O40">
        <v>0</v>
      </c>
      <c r="P40">
        <v>1</v>
      </c>
      <c r="Q40" t="s">
        <v>48</v>
      </c>
      <c r="R40">
        <v>1</v>
      </c>
      <c r="S40">
        <v>1</v>
      </c>
      <c r="T40">
        <v>1</v>
      </c>
      <c r="U40" t="s">
        <v>1147</v>
      </c>
      <c r="V40" t="s">
        <v>1147</v>
      </c>
      <c r="W40" t="s">
        <v>1147</v>
      </c>
      <c r="X40">
        <v>1</v>
      </c>
      <c r="Y40" t="s">
        <v>1147</v>
      </c>
      <c r="Z40">
        <v>1</v>
      </c>
      <c r="AA40">
        <v>1</v>
      </c>
      <c r="AB40" t="s">
        <v>1147</v>
      </c>
      <c r="AC40" t="s">
        <v>1147</v>
      </c>
      <c r="AD40" t="s">
        <v>1147</v>
      </c>
      <c r="AE40">
        <v>1</v>
      </c>
      <c r="AF40" t="s">
        <v>1147</v>
      </c>
      <c r="AG40" t="s">
        <v>1147</v>
      </c>
      <c r="AH40" t="s">
        <v>1147</v>
      </c>
      <c r="AI40" t="s">
        <v>46</v>
      </c>
      <c r="AJ40" t="s">
        <v>449</v>
      </c>
      <c r="AK40" t="s">
        <v>37</v>
      </c>
      <c r="AL40" t="s">
        <v>1147</v>
      </c>
      <c r="AM40" t="s">
        <v>1147</v>
      </c>
      <c r="AN40" t="s">
        <v>1147</v>
      </c>
      <c r="AO40" t="s">
        <v>1147</v>
      </c>
      <c r="AP40" s="515"/>
    </row>
    <row r="41" spans="1:42" x14ac:dyDescent="0.25">
      <c r="A41" t="s">
        <v>480</v>
      </c>
      <c r="B41" t="s">
        <v>481</v>
      </c>
      <c r="C41" t="s">
        <v>418</v>
      </c>
      <c r="D41" t="s">
        <v>445</v>
      </c>
      <c r="E41" t="s">
        <v>482</v>
      </c>
      <c r="F41" t="s">
        <v>483</v>
      </c>
      <c r="G41" t="s">
        <v>970</v>
      </c>
      <c r="H41" t="s">
        <v>484</v>
      </c>
      <c r="I41" t="s">
        <v>46</v>
      </c>
      <c r="J41" t="s">
        <v>1147</v>
      </c>
      <c r="K41">
        <v>1</v>
      </c>
      <c r="L41">
        <v>1</v>
      </c>
      <c r="M41" t="s">
        <v>322</v>
      </c>
      <c r="N41">
        <v>1</v>
      </c>
      <c r="O41">
        <v>0</v>
      </c>
      <c r="P41">
        <v>1</v>
      </c>
      <c r="Q41" t="s">
        <v>48</v>
      </c>
      <c r="R41">
        <v>1</v>
      </c>
      <c r="S41">
        <v>1</v>
      </c>
      <c r="T41">
        <v>0</v>
      </c>
      <c r="U41" t="s">
        <v>1147</v>
      </c>
      <c r="V41" t="s">
        <v>1147</v>
      </c>
      <c r="W41">
        <v>1</v>
      </c>
      <c r="X41">
        <v>0</v>
      </c>
      <c r="Y41" t="s">
        <v>1147</v>
      </c>
      <c r="Z41">
        <v>1</v>
      </c>
      <c r="AA41" t="s">
        <v>1147</v>
      </c>
      <c r="AB41">
        <v>1</v>
      </c>
      <c r="AC41" t="s">
        <v>1147</v>
      </c>
      <c r="AD41" t="s">
        <v>1147</v>
      </c>
      <c r="AE41">
        <v>1</v>
      </c>
      <c r="AF41" t="s">
        <v>1147</v>
      </c>
      <c r="AG41" t="s">
        <v>1147</v>
      </c>
      <c r="AH41" t="s">
        <v>1147</v>
      </c>
      <c r="AI41" t="s">
        <v>46</v>
      </c>
      <c r="AJ41" t="s">
        <v>449</v>
      </c>
      <c r="AK41" t="s">
        <v>37</v>
      </c>
      <c r="AL41" t="s">
        <v>1147</v>
      </c>
      <c r="AM41" t="s">
        <v>1147</v>
      </c>
      <c r="AN41" t="s">
        <v>1147</v>
      </c>
      <c r="AO41" t="s">
        <v>1147</v>
      </c>
      <c r="AP41" s="515"/>
    </row>
    <row r="42" spans="1:42" ht="60" x14ac:dyDescent="0.25">
      <c r="A42" t="s">
        <v>485</v>
      </c>
      <c r="B42" t="s">
        <v>486</v>
      </c>
      <c r="C42" t="s">
        <v>418</v>
      </c>
      <c r="D42" t="s">
        <v>445</v>
      </c>
      <c r="E42" t="s">
        <v>487</v>
      </c>
      <c r="F42" t="s">
        <v>488</v>
      </c>
      <c r="G42" t="s">
        <v>970</v>
      </c>
      <c r="H42" s="249" t="s">
        <v>1186</v>
      </c>
      <c r="I42" t="s">
        <v>46</v>
      </c>
      <c r="J42" t="s">
        <v>489</v>
      </c>
      <c r="K42">
        <v>1</v>
      </c>
      <c r="L42">
        <v>1</v>
      </c>
      <c r="M42" t="s">
        <v>322</v>
      </c>
      <c r="N42">
        <v>1</v>
      </c>
      <c r="O42">
        <v>11</v>
      </c>
      <c r="P42">
        <v>1</v>
      </c>
      <c r="Q42" t="s">
        <v>48</v>
      </c>
      <c r="R42">
        <v>11</v>
      </c>
      <c r="S42">
        <v>1</v>
      </c>
      <c r="T42">
        <v>1</v>
      </c>
      <c r="U42" t="s">
        <v>1147</v>
      </c>
      <c r="V42" t="s">
        <v>1147</v>
      </c>
      <c r="W42" t="s">
        <v>1147</v>
      </c>
      <c r="X42">
        <v>1</v>
      </c>
      <c r="Y42" t="s">
        <v>1147</v>
      </c>
      <c r="Z42">
        <v>1</v>
      </c>
      <c r="AA42">
        <v>1</v>
      </c>
      <c r="AB42" t="s">
        <v>1147</v>
      </c>
      <c r="AC42" t="s">
        <v>1147</v>
      </c>
      <c r="AD42" t="s">
        <v>1147</v>
      </c>
      <c r="AE42">
        <v>1</v>
      </c>
      <c r="AF42" t="s">
        <v>1147</v>
      </c>
      <c r="AG42" t="s">
        <v>1147</v>
      </c>
      <c r="AH42" t="s">
        <v>1147</v>
      </c>
      <c r="AI42" t="s">
        <v>46</v>
      </c>
      <c r="AJ42" t="s">
        <v>449</v>
      </c>
      <c r="AK42" t="s">
        <v>37</v>
      </c>
      <c r="AL42" t="s">
        <v>1147</v>
      </c>
      <c r="AM42" t="s">
        <v>1147</v>
      </c>
      <c r="AN42" t="s">
        <v>1147</v>
      </c>
      <c r="AO42" t="s">
        <v>1147</v>
      </c>
      <c r="AP42" s="515"/>
    </row>
    <row r="43" spans="1:42" x14ac:dyDescent="0.25">
      <c r="A43" t="s">
        <v>490</v>
      </c>
      <c r="B43" t="s">
        <v>491</v>
      </c>
      <c r="C43" t="s">
        <v>418</v>
      </c>
      <c r="D43" t="s">
        <v>445</v>
      </c>
      <c r="E43" t="s">
        <v>492</v>
      </c>
      <c r="F43" t="s">
        <v>493</v>
      </c>
      <c r="G43" t="s">
        <v>259</v>
      </c>
      <c r="H43" t="s">
        <v>494</v>
      </c>
      <c r="I43" t="s">
        <v>46</v>
      </c>
      <c r="J43" t="s">
        <v>495</v>
      </c>
      <c r="K43">
        <v>1</v>
      </c>
      <c r="L43">
        <v>1</v>
      </c>
      <c r="M43" t="s">
        <v>322</v>
      </c>
      <c r="N43">
        <v>1</v>
      </c>
      <c r="O43">
        <v>0</v>
      </c>
      <c r="P43">
        <v>1</v>
      </c>
      <c r="Q43" t="s">
        <v>48</v>
      </c>
      <c r="R43">
        <v>1</v>
      </c>
      <c r="S43">
        <v>1</v>
      </c>
      <c r="T43">
        <v>1</v>
      </c>
      <c r="U43" t="s">
        <v>1147</v>
      </c>
      <c r="V43" t="s">
        <v>1147</v>
      </c>
      <c r="W43" t="s">
        <v>1147</v>
      </c>
      <c r="X43">
        <v>1</v>
      </c>
      <c r="Y43" t="s">
        <v>1147</v>
      </c>
      <c r="Z43">
        <v>1</v>
      </c>
      <c r="AA43">
        <v>1</v>
      </c>
      <c r="AB43" t="s">
        <v>1147</v>
      </c>
      <c r="AC43" t="s">
        <v>1147</v>
      </c>
      <c r="AD43" t="s">
        <v>1147</v>
      </c>
      <c r="AE43">
        <v>1</v>
      </c>
      <c r="AF43" t="s">
        <v>1147</v>
      </c>
      <c r="AG43">
        <v>0</v>
      </c>
      <c r="AH43" t="s">
        <v>1147</v>
      </c>
      <c r="AI43" t="s">
        <v>46</v>
      </c>
      <c r="AJ43" t="s">
        <v>449</v>
      </c>
      <c r="AK43" t="s">
        <v>37</v>
      </c>
      <c r="AL43" t="s">
        <v>496</v>
      </c>
      <c r="AM43" t="s">
        <v>497</v>
      </c>
      <c r="AN43" t="s">
        <v>498</v>
      </c>
      <c r="AO43" t="s">
        <v>1147</v>
      </c>
      <c r="AP43" s="515"/>
    </row>
    <row r="44" spans="1:42" x14ac:dyDescent="0.25">
      <c r="A44" t="s">
        <v>499</v>
      </c>
      <c r="B44" t="s">
        <v>500</v>
      </c>
      <c r="C44" t="s">
        <v>327</v>
      </c>
      <c r="D44" t="s">
        <v>445</v>
      </c>
      <c r="E44" t="s">
        <v>501</v>
      </c>
      <c r="F44" t="s">
        <v>502</v>
      </c>
      <c r="G44" t="s">
        <v>970</v>
      </c>
      <c r="H44" t="s">
        <v>1161</v>
      </c>
      <c r="I44" t="s">
        <v>321</v>
      </c>
      <c r="J44" t="s">
        <v>503</v>
      </c>
      <c r="K44">
        <v>1</v>
      </c>
      <c r="L44">
        <v>1</v>
      </c>
      <c r="M44" t="s">
        <v>322</v>
      </c>
      <c r="N44">
        <v>1</v>
      </c>
      <c r="O44">
        <v>1000</v>
      </c>
      <c r="P44">
        <v>1</v>
      </c>
      <c r="Q44" t="s">
        <v>48</v>
      </c>
      <c r="R44">
        <v>1000</v>
      </c>
      <c r="S44">
        <v>2000</v>
      </c>
      <c r="T44">
        <v>2000</v>
      </c>
      <c r="U44" t="s">
        <v>1147</v>
      </c>
      <c r="V44" t="s">
        <v>1147</v>
      </c>
      <c r="W44" t="s">
        <v>1147</v>
      </c>
      <c r="X44">
        <v>1</v>
      </c>
      <c r="Y44" t="s">
        <v>1147</v>
      </c>
      <c r="Z44">
        <v>3500</v>
      </c>
      <c r="AA44">
        <v>3500</v>
      </c>
      <c r="AB44" t="s">
        <v>1147</v>
      </c>
      <c r="AC44" t="s">
        <v>1147</v>
      </c>
      <c r="AD44" t="s">
        <v>1147</v>
      </c>
      <c r="AE44">
        <v>1</v>
      </c>
      <c r="AF44" t="s">
        <v>1147</v>
      </c>
      <c r="AG44" t="s">
        <v>1147</v>
      </c>
      <c r="AH44" t="s">
        <v>1147</v>
      </c>
      <c r="AI44" t="s">
        <v>321</v>
      </c>
      <c r="AJ44" t="s">
        <v>449</v>
      </c>
      <c r="AK44" t="s">
        <v>37</v>
      </c>
      <c r="AL44" t="s">
        <v>1147</v>
      </c>
      <c r="AM44" t="s">
        <v>1147</v>
      </c>
      <c r="AN44" t="s">
        <v>1147</v>
      </c>
      <c r="AO44" t="s">
        <v>1147</v>
      </c>
      <c r="AP44" s="515"/>
    </row>
    <row r="45" spans="1:42" ht="90" x14ac:dyDescent="0.25">
      <c r="A45" t="s">
        <v>504</v>
      </c>
      <c r="B45" t="s">
        <v>505</v>
      </c>
      <c r="C45" t="s">
        <v>418</v>
      </c>
      <c r="D45" t="s">
        <v>445</v>
      </c>
      <c r="E45" t="s">
        <v>506</v>
      </c>
      <c r="F45" t="s">
        <v>507</v>
      </c>
      <c r="G45" t="s">
        <v>284</v>
      </c>
      <c r="H45" s="249" t="s">
        <v>1185</v>
      </c>
      <c r="I45" t="s">
        <v>46</v>
      </c>
      <c r="J45" t="s">
        <v>508</v>
      </c>
      <c r="K45">
        <v>1</v>
      </c>
      <c r="L45">
        <v>1</v>
      </c>
      <c r="M45" t="s">
        <v>322</v>
      </c>
      <c r="N45">
        <v>1</v>
      </c>
      <c r="O45">
        <v>5</v>
      </c>
      <c r="P45">
        <v>1</v>
      </c>
      <c r="Q45" t="s">
        <v>48</v>
      </c>
      <c r="R45">
        <v>5</v>
      </c>
      <c r="S45">
        <v>5</v>
      </c>
      <c r="T45">
        <v>5</v>
      </c>
      <c r="U45" t="s">
        <v>1147</v>
      </c>
      <c r="V45" t="s">
        <v>1147</v>
      </c>
      <c r="W45" t="s">
        <v>1147</v>
      </c>
      <c r="X45">
        <v>1</v>
      </c>
      <c r="Y45" t="s">
        <v>1147</v>
      </c>
      <c r="Z45">
        <v>5</v>
      </c>
      <c r="AA45">
        <v>5</v>
      </c>
      <c r="AB45" t="s">
        <v>1147</v>
      </c>
      <c r="AC45" t="s">
        <v>1147</v>
      </c>
      <c r="AD45" t="s">
        <v>1147</v>
      </c>
      <c r="AE45">
        <v>1</v>
      </c>
      <c r="AF45" t="s">
        <v>1147</v>
      </c>
      <c r="AG45" t="s">
        <v>1147</v>
      </c>
      <c r="AH45" t="s">
        <v>1147</v>
      </c>
      <c r="AI45" t="s">
        <v>46</v>
      </c>
      <c r="AJ45" t="s">
        <v>449</v>
      </c>
      <c r="AK45" t="s">
        <v>37</v>
      </c>
      <c r="AL45" t="s">
        <v>1147</v>
      </c>
      <c r="AM45" t="s">
        <v>1147</v>
      </c>
      <c r="AN45" t="s">
        <v>1147</v>
      </c>
      <c r="AO45" t="s">
        <v>1147</v>
      </c>
      <c r="AP45" s="515"/>
    </row>
    <row r="46" spans="1:42" x14ac:dyDescent="0.25">
      <c r="A46" t="s">
        <v>509</v>
      </c>
      <c r="B46" t="s">
        <v>510</v>
      </c>
      <c r="C46" t="s">
        <v>418</v>
      </c>
      <c r="D46" t="s">
        <v>445</v>
      </c>
      <c r="E46" t="s">
        <v>511</v>
      </c>
      <c r="F46" t="s">
        <v>512</v>
      </c>
      <c r="G46" t="s">
        <v>970</v>
      </c>
      <c r="H46" t="s">
        <v>513</v>
      </c>
      <c r="I46" t="s">
        <v>321</v>
      </c>
      <c r="J46" t="s">
        <v>1147</v>
      </c>
      <c r="K46">
        <v>1</v>
      </c>
      <c r="L46">
        <v>1</v>
      </c>
      <c r="M46" t="s">
        <v>322</v>
      </c>
      <c r="N46">
        <v>1</v>
      </c>
      <c r="O46">
        <v>1000</v>
      </c>
      <c r="P46">
        <v>1</v>
      </c>
      <c r="Q46" t="s">
        <v>48</v>
      </c>
      <c r="R46">
        <v>1000</v>
      </c>
      <c r="S46">
        <v>3000</v>
      </c>
      <c r="T46">
        <v>3000</v>
      </c>
      <c r="U46" t="s">
        <v>1147</v>
      </c>
      <c r="V46" t="s">
        <v>1147</v>
      </c>
      <c r="W46" t="s">
        <v>1147</v>
      </c>
      <c r="X46">
        <v>1</v>
      </c>
      <c r="Y46" t="s">
        <v>1147</v>
      </c>
      <c r="Z46">
        <v>3500</v>
      </c>
      <c r="AA46">
        <v>3500</v>
      </c>
      <c r="AB46" t="s">
        <v>1147</v>
      </c>
      <c r="AC46" t="s">
        <v>1147</v>
      </c>
      <c r="AD46" t="s">
        <v>1147</v>
      </c>
      <c r="AE46">
        <v>1</v>
      </c>
      <c r="AF46" t="s">
        <v>1147</v>
      </c>
      <c r="AG46" t="s">
        <v>1147</v>
      </c>
      <c r="AH46" t="s">
        <v>1147</v>
      </c>
      <c r="AI46" t="s">
        <v>321</v>
      </c>
      <c r="AJ46" t="s">
        <v>449</v>
      </c>
      <c r="AK46" t="s">
        <v>37</v>
      </c>
      <c r="AL46" t="s">
        <v>1147</v>
      </c>
      <c r="AM46" t="s">
        <v>1147</v>
      </c>
      <c r="AN46" t="s">
        <v>1147</v>
      </c>
      <c r="AO46" t="s">
        <v>1147</v>
      </c>
      <c r="AP46" s="515"/>
    </row>
    <row r="47" spans="1:42" x14ac:dyDescent="0.25">
      <c r="A47" t="s">
        <v>514</v>
      </c>
      <c r="B47" t="s">
        <v>515</v>
      </c>
      <c r="C47" t="s">
        <v>418</v>
      </c>
      <c r="D47" t="s">
        <v>445</v>
      </c>
      <c r="E47" t="s">
        <v>511</v>
      </c>
      <c r="F47" t="s">
        <v>516</v>
      </c>
      <c r="G47" t="s">
        <v>970</v>
      </c>
      <c r="H47" t="s">
        <v>517</v>
      </c>
      <c r="I47" t="s">
        <v>517</v>
      </c>
      <c r="J47" t="s">
        <v>518</v>
      </c>
      <c r="K47">
        <v>1</v>
      </c>
      <c r="L47">
        <v>1</v>
      </c>
      <c r="M47" t="s">
        <v>322</v>
      </c>
      <c r="N47">
        <v>1</v>
      </c>
      <c r="O47">
        <v>1</v>
      </c>
      <c r="P47">
        <v>1</v>
      </c>
      <c r="Q47" t="s">
        <v>48</v>
      </c>
      <c r="R47">
        <v>1</v>
      </c>
      <c r="S47">
        <v>0</v>
      </c>
      <c r="T47" t="s">
        <v>1147</v>
      </c>
      <c r="U47" t="s">
        <v>1147</v>
      </c>
      <c r="V47" t="s">
        <v>1147</v>
      </c>
      <c r="W47" t="s">
        <v>1147</v>
      </c>
      <c r="X47">
        <v>0</v>
      </c>
      <c r="Y47" t="s">
        <v>1147</v>
      </c>
      <c r="Z47">
        <v>1</v>
      </c>
      <c r="AA47">
        <v>1</v>
      </c>
      <c r="AB47" t="s">
        <v>1147</v>
      </c>
      <c r="AC47" t="s">
        <v>1147</v>
      </c>
      <c r="AD47" t="s">
        <v>1147</v>
      </c>
      <c r="AE47">
        <v>1</v>
      </c>
      <c r="AF47" t="s">
        <v>1147</v>
      </c>
      <c r="AG47" t="s">
        <v>1147</v>
      </c>
      <c r="AH47" t="s">
        <v>1147</v>
      </c>
      <c r="AI47" t="s">
        <v>46</v>
      </c>
      <c r="AJ47" t="s">
        <v>449</v>
      </c>
      <c r="AK47" t="s">
        <v>37</v>
      </c>
      <c r="AL47" t="s">
        <v>1147</v>
      </c>
      <c r="AM47" t="s">
        <v>1147</v>
      </c>
      <c r="AN47" t="s">
        <v>1147</v>
      </c>
      <c r="AO47" t="s">
        <v>1147</v>
      </c>
      <c r="AP47" s="515"/>
    </row>
    <row r="48" spans="1:42" x14ac:dyDescent="0.25">
      <c r="A48" t="s">
        <v>519</v>
      </c>
      <c r="B48" t="s">
        <v>520</v>
      </c>
      <c r="C48" t="s">
        <v>418</v>
      </c>
      <c r="D48" t="s">
        <v>445</v>
      </c>
      <c r="E48" t="s">
        <v>521</v>
      </c>
      <c r="F48" t="s">
        <v>522</v>
      </c>
      <c r="G48" t="s">
        <v>970</v>
      </c>
      <c r="H48" t="s">
        <v>523</v>
      </c>
      <c r="I48" t="s">
        <v>321</v>
      </c>
      <c r="J48" t="s">
        <v>1147</v>
      </c>
      <c r="K48">
        <v>1</v>
      </c>
      <c r="L48">
        <v>1</v>
      </c>
      <c r="M48" t="s">
        <v>322</v>
      </c>
      <c r="N48">
        <v>1</v>
      </c>
      <c r="O48">
        <v>500</v>
      </c>
      <c r="P48">
        <v>1</v>
      </c>
      <c r="Q48" t="s">
        <v>48</v>
      </c>
      <c r="R48">
        <v>500</v>
      </c>
      <c r="S48">
        <v>2000</v>
      </c>
      <c r="T48">
        <v>2000</v>
      </c>
      <c r="U48" t="s">
        <v>1147</v>
      </c>
      <c r="V48" t="s">
        <v>1147</v>
      </c>
      <c r="W48" t="s">
        <v>1147</v>
      </c>
      <c r="X48">
        <v>1</v>
      </c>
      <c r="Y48" t="s">
        <v>1147</v>
      </c>
      <c r="Z48">
        <v>500</v>
      </c>
      <c r="AA48">
        <v>500</v>
      </c>
      <c r="AB48" t="s">
        <v>1147</v>
      </c>
      <c r="AC48" t="s">
        <v>1147</v>
      </c>
      <c r="AD48" t="s">
        <v>1147</v>
      </c>
      <c r="AE48">
        <v>1</v>
      </c>
      <c r="AF48" t="s">
        <v>1147</v>
      </c>
      <c r="AG48" t="s">
        <v>1147</v>
      </c>
      <c r="AH48" t="s">
        <v>1147</v>
      </c>
      <c r="AI48" t="s">
        <v>321</v>
      </c>
      <c r="AJ48" t="s">
        <v>449</v>
      </c>
      <c r="AK48" t="s">
        <v>37</v>
      </c>
      <c r="AL48" t="s">
        <v>1147</v>
      </c>
      <c r="AM48" t="s">
        <v>1147</v>
      </c>
      <c r="AN48" t="s">
        <v>1147</v>
      </c>
      <c r="AO48" t="s">
        <v>1147</v>
      </c>
      <c r="AP48" s="515"/>
    </row>
    <row r="49" spans="1:42" x14ac:dyDescent="0.25">
      <c r="A49" t="s">
        <v>524</v>
      </c>
      <c r="B49" t="s">
        <v>525</v>
      </c>
      <c r="C49" t="s">
        <v>526</v>
      </c>
      <c r="D49" t="s">
        <v>445</v>
      </c>
      <c r="E49" t="s">
        <v>527</v>
      </c>
      <c r="F49" t="s">
        <v>528</v>
      </c>
      <c r="G49" t="s">
        <v>259</v>
      </c>
      <c r="H49" t="s">
        <v>529</v>
      </c>
      <c r="I49" t="s">
        <v>46</v>
      </c>
      <c r="J49" t="s">
        <v>1147</v>
      </c>
      <c r="K49">
        <v>1</v>
      </c>
      <c r="L49">
        <v>1</v>
      </c>
      <c r="M49" t="s">
        <v>322</v>
      </c>
      <c r="N49">
        <v>1</v>
      </c>
      <c r="O49">
        <v>2</v>
      </c>
      <c r="P49">
        <v>1</v>
      </c>
      <c r="Q49" t="s">
        <v>48</v>
      </c>
      <c r="R49">
        <v>2</v>
      </c>
      <c r="S49">
        <v>2</v>
      </c>
      <c r="T49">
        <v>2</v>
      </c>
      <c r="U49" t="s">
        <v>1147</v>
      </c>
      <c r="V49" t="s">
        <v>1147</v>
      </c>
      <c r="W49" t="s">
        <v>1147</v>
      </c>
      <c r="X49">
        <v>1</v>
      </c>
      <c r="Y49" t="s">
        <v>1147</v>
      </c>
      <c r="Z49">
        <v>5</v>
      </c>
      <c r="AA49">
        <v>5</v>
      </c>
      <c r="AB49" t="s">
        <v>1147</v>
      </c>
      <c r="AC49" t="s">
        <v>1147</v>
      </c>
      <c r="AD49" t="s">
        <v>1147</v>
      </c>
      <c r="AE49">
        <v>1</v>
      </c>
      <c r="AF49" t="s">
        <v>1147</v>
      </c>
      <c r="AG49">
        <v>0</v>
      </c>
      <c r="AH49" t="s">
        <v>1147</v>
      </c>
      <c r="AI49" t="s">
        <v>46</v>
      </c>
      <c r="AJ49" t="s">
        <v>449</v>
      </c>
      <c r="AK49" t="s">
        <v>37</v>
      </c>
      <c r="AL49">
        <v>6</v>
      </c>
      <c r="AM49">
        <v>4</v>
      </c>
      <c r="AN49">
        <v>50</v>
      </c>
      <c r="AO49" t="s">
        <v>1147</v>
      </c>
      <c r="AP49" s="515"/>
    </row>
    <row r="50" spans="1:42" x14ac:dyDescent="0.25">
      <c r="A50" t="s">
        <v>530</v>
      </c>
      <c r="B50" t="s">
        <v>531</v>
      </c>
      <c r="C50" t="s">
        <v>418</v>
      </c>
      <c r="D50" t="s">
        <v>445</v>
      </c>
      <c r="E50" t="s">
        <v>532</v>
      </c>
      <c r="F50" t="s">
        <v>533</v>
      </c>
      <c r="G50" t="s">
        <v>970</v>
      </c>
      <c r="H50" s="249" t="s">
        <v>1162</v>
      </c>
      <c r="I50" t="s">
        <v>321</v>
      </c>
      <c r="J50" t="s">
        <v>1147</v>
      </c>
      <c r="K50">
        <v>1</v>
      </c>
      <c r="L50">
        <v>1</v>
      </c>
      <c r="M50" t="s">
        <v>322</v>
      </c>
      <c r="N50">
        <v>1</v>
      </c>
      <c r="O50">
        <v>1000</v>
      </c>
      <c r="P50">
        <v>1</v>
      </c>
      <c r="Q50" t="s">
        <v>48</v>
      </c>
      <c r="R50">
        <v>1000</v>
      </c>
      <c r="S50">
        <v>1</v>
      </c>
      <c r="T50" t="s">
        <v>1147</v>
      </c>
      <c r="U50">
        <v>1</v>
      </c>
      <c r="V50" t="s">
        <v>1147</v>
      </c>
      <c r="W50" t="s">
        <v>1147</v>
      </c>
      <c r="X50">
        <v>1</v>
      </c>
      <c r="Y50" t="s">
        <v>1147</v>
      </c>
      <c r="Z50">
        <v>1</v>
      </c>
      <c r="AA50" t="s">
        <v>1147</v>
      </c>
      <c r="AB50">
        <v>1</v>
      </c>
      <c r="AC50" t="s">
        <v>1147</v>
      </c>
      <c r="AD50" t="s">
        <v>1147</v>
      </c>
      <c r="AE50">
        <v>1</v>
      </c>
      <c r="AF50" t="s">
        <v>1147</v>
      </c>
      <c r="AG50" t="s">
        <v>1147</v>
      </c>
      <c r="AH50" t="s">
        <v>1147</v>
      </c>
      <c r="AI50" t="s">
        <v>321</v>
      </c>
      <c r="AJ50" t="s">
        <v>449</v>
      </c>
      <c r="AK50" t="s">
        <v>37</v>
      </c>
      <c r="AL50" t="s">
        <v>1147</v>
      </c>
      <c r="AM50" t="s">
        <v>1147</v>
      </c>
      <c r="AN50" t="s">
        <v>1147</v>
      </c>
      <c r="AO50" t="s">
        <v>1147</v>
      </c>
      <c r="AP50" s="515"/>
    </row>
    <row r="51" spans="1:42" x14ac:dyDescent="0.25">
      <c r="A51" t="s">
        <v>534</v>
      </c>
      <c r="B51" t="s">
        <v>535</v>
      </c>
      <c r="C51" t="s">
        <v>418</v>
      </c>
      <c r="D51" t="s">
        <v>445</v>
      </c>
      <c r="E51" t="s">
        <v>536</v>
      </c>
      <c r="F51" t="s">
        <v>537</v>
      </c>
      <c r="G51" t="s">
        <v>970</v>
      </c>
      <c r="H51" s="249" t="s">
        <v>1163</v>
      </c>
      <c r="I51" t="s">
        <v>321</v>
      </c>
      <c r="J51" t="s">
        <v>1147</v>
      </c>
      <c r="K51">
        <v>1</v>
      </c>
      <c r="L51">
        <v>1</v>
      </c>
      <c r="M51" t="s">
        <v>322</v>
      </c>
      <c r="N51">
        <v>1</v>
      </c>
      <c r="O51">
        <v>1000</v>
      </c>
      <c r="P51">
        <v>1</v>
      </c>
      <c r="Q51" t="s">
        <v>48</v>
      </c>
      <c r="R51">
        <v>1000</v>
      </c>
      <c r="S51">
        <v>1900</v>
      </c>
      <c r="T51">
        <v>1900</v>
      </c>
      <c r="U51" t="s">
        <v>1147</v>
      </c>
      <c r="V51" t="s">
        <v>1147</v>
      </c>
      <c r="W51" t="s">
        <v>1147</v>
      </c>
      <c r="X51">
        <v>1</v>
      </c>
      <c r="Y51" t="s">
        <v>1147</v>
      </c>
      <c r="Z51">
        <v>4400</v>
      </c>
      <c r="AA51">
        <v>4400</v>
      </c>
      <c r="AB51" t="s">
        <v>1147</v>
      </c>
      <c r="AC51" t="s">
        <v>1147</v>
      </c>
      <c r="AD51" t="s">
        <v>1147</v>
      </c>
      <c r="AE51">
        <v>1</v>
      </c>
      <c r="AF51" t="s">
        <v>1147</v>
      </c>
      <c r="AG51" t="s">
        <v>1147</v>
      </c>
      <c r="AH51" t="s">
        <v>1147</v>
      </c>
      <c r="AI51" t="s">
        <v>321</v>
      </c>
      <c r="AJ51" t="s">
        <v>449</v>
      </c>
      <c r="AK51" t="s">
        <v>37</v>
      </c>
      <c r="AL51" t="s">
        <v>1147</v>
      </c>
      <c r="AM51" t="s">
        <v>1147</v>
      </c>
      <c r="AN51" t="s">
        <v>1147</v>
      </c>
      <c r="AO51" t="s">
        <v>1147</v>
      </c>
      <c r="AP51" s="515"/>
    </row>
    <row r="52" spans="1:42" x14ac:dyDescent="0.25">
      <c r="A52" t="s">
        <v>538</v>
      </c>
      <c r="B52" t="s">
        <v>539</v>
      </c>
      <c r="C52" t="s">
        <v>418</v>
      </c>
      <c r="D52" t="s">
        <v>445</v>
      </c>
      <c r="E52" t="s">
        <v>540</v>
      </c>
      <c r="F52" t="s">
        <v>541</v>
      </c>
      <c r="G52" t="s">
        <v>970</v>
      </c>
      <c r="H52" s="249" t="s">
        <v>1187</v>
      </c>
      <c r="I52" t="s">
        <v>46</v>
      </c>
      <c r="J52" t="s">
        <v>1147</v>
      </c>
      <c r="K52">
        <v>1</v>
      </c>
      <c r="L52">
        <v>1</v>
      </c>
      <c r="M52" t="s">
        <v>322</v>
      </c>
      <c r="N52">
        <v>1</v>
      </c>
      <c r="O52">
        <v>2</v>
      </c>
      <c r="P52">
        <v>1</v>
      </c>
      <c r="Q52" t="s">
        <v>48</v>
      </c>
      <c r="R52">
        <v>3</v>
      </c>
      <c r="S52">
        <v>3</v>
      </c>
      <c r="T52">
        <v>3</v>
      </c>
      <c r="U52" t="s">
        <v>1147</v>
      </c>
      <c r="V52" t="s">
        <v>1147</v>
      </c>
      <c r="W52" t="s">
        <v>1147</v>
      </c>
      <c r="X52">
        <v>1</v>
      </c>
      <c r="Y52" t="s">
        <v>542</v>
      </c>
      <c r="Z52">
        <v>3</v>
      </c>
      <c r="AA52">
        <v>3</v>
      </c>
      <c r="AB52" t="s">
        <v>1147</v>
      </c>
      <c r="AC52" t="s">
        <v>1147</v>
      </c>
      <c r="AD52" t="s">
        <v>1147</v>
      </c>
      <c r="AE52">
        <v>1</v>
      </c>
      <c r="AF52" t="s">
        <v>1147</v>
      </c>
      <c r="AG52" t="s">
        <v>1147</v>
      </c>
      <c r="AH52" t="s">
        <v>1147</v>
      </c>
      <c r="AI52" t="s">
        <v>46</v>
      </c>
      <c r="AJ52" t="s">
        <v>449</v>
      </c>
      <c r="AK52" t="s">
        <v>37</v>
      </c>
      <c r="AL52" t="s">
        <v>1147</v>
      </c>
      <c r="AM52" t="s">
        <v>1147</v>
      </c>
      <c r="AN52" t="s">
        <v>1147</v>
      </c>
      <c r="AO52" t="s">
        <v>1147</v>
      </c>
      <c r="AP52" s="515"/>
    </row>
    <row r="53" spans="1:42" x14ac:dyDescent="0.25">
      <c r="A53" t="s">
        <v>543</v>
      </c>
      <c r="B53" t="s">
        <v>544</v>
      </c>
      <c r="C53" t="s">
        <v>418</v>
      </c>
      <c r="D53" t="s">
        <v>445</v>
      </c>
      <c r="E53" t="s">
        <v>545</v>
      </c>
      <c r="F53" t="s">
        <v>546</v>
      </c>
      <c r="G53" t="s">
        <v>970</v>
      </c>
      <c r="H53" t="s">
        <v>547</v>
      </c>
      <c r="I53" t="s">
        <v>46</v>
      </c>
      <c r="J53" t="s">
        <v>1147</v>
      </c>
      <c r="K53">
        <v>1</v>
      </c>
      <c r="L53">
        <v>1</v>
      </c>
      <c r="M53" t="s">
        <v>322</v>
      </c>
      <c r="N53">
        <v>1</v>
      </c>
      <c r="O53">
        <v>2</v>
      </c>
      <c r="P53">
        <v>1</v>
      </c>
      <c r="Q53" t="s">
        <v>48</v>
      </c>
      <c r="R53">
        <v>2</v>
      </c>
      <c r="S53">
        <v>2</v>
      </c>
      <c r="T53">
        <v>2</v>
      </c>
      <c r="U53" t="s">
        <v>1147</v>
      </c>
      <c r="V53" t="s">
        <v>1147</v>
      </c>
      <c r="W53" t="s">
        <v>1147</v>
      </c>
      <c r="X53">
        <v>1</v>
      </c>
      <c r="Y53" t="s">
        <v>1147</v>
      </c>
      <c r="Z53">
        <v>2</v>
      </c>
      <c r="AA53">
        <v>2</v>
      </c>
      <c r="AB53" t="s">
        <v>1147</v>
      </c>
      <c r="AC53" t="s">
        <v>1147</v>
      </c>
      <c r="AD53" t="s">
        <v>1147</v>
      </c>
      <c r="AE53">
        <v>1</v>
      </c>
      <c r="AF53" t="s">
        <v>1147</v>
      </c>
      <c r="AG53" t="s">
        <v>1147</v>
      </c>
      <c r="AH53" t="s">
        <v>1147</v>
      </c>
      <c r="AI53" t="s">
        <v>46</v>
      </c>
      <c r="AJ53" t="s">
        <v>449</v>
      </c>
      <c r="AK53" t="s">
        <v>37</v>
      </c>
      <c r="AL53" t="s">
        <v>1147</v>
      </c>
      <c r="AM53" t="s">
        <v>1147</v>
      </c>
      <c r="AN53" t="s">
        <v>1147</v>
      </c>
      <c r="AO53" t="s">
        <v>1147</v>
      </c>
      <c r="AP53" s="515"/>
    </row>
    <row r="54" spans="1:42" x14ac:dyDescent="0.25">
      <c r="A54" t="s">
        <v>548</v>
      </c>
      <c r="B54" t="s">
        <v>549</v>
      </c>
      <c r="C54" t="s">
        <v>550</v>
      </c>
      <c r="D54" t="s">
        <v>551</v>
      </c>
      <c r="E54" t="s">
        <v>552</v>
      </c>
      <c r="F54" t="s">
        <v>553</v>
      </c>
      <c r="G54" t="s">
        <v>970</v>
      </c>
      <c r="H54" t="s">
        <v>1164</v>
      </c>
      <c r="I54" t="s">
        <v>321</v>
      </c>
      <c r="J54" t="s">
        <v>1147</v>
      </c>
      <c r="K54">
        <v>1</v>
      </c>
      <c r="L54">
        <v>1</v>
      </c>
      <c r="M54" t="s">
        <v>322</v>
      </c>
      <c r="N54">
        <v>1</v>
      </c>
      <c r="O54">
        <v>500</v>
      </c>
      <c r="P54">
        <v>1</v>
      </c>
      <c r="Q54" t="s">
        <v>48</v>
      </c>
      <c r="R54">
        <v>500</v>
      </c>
      <c r="S54">
        <v>2628</v>
      </c>
      <c r="T54">
        <v>2628</v>
      </c>
      <c r="U54" t="s">
        <v>1147</v>
      </c>
      <c r="V54" t="s">
        <v>1147</v>
      </c>
      <c r="W54" t="s">
        <v>1147</v>
      </c>
      <c r="X54">
        <v>1</v>
      </c>
      <c r="Y54" t="s">
        <v>1147</v>
      </c>
      <c r="Z54">
        <v>2000</v>
      </c>
      <c r="AA54">
        <v>2000</v>
      </c>
      <c r="AB54" t="s">
        <v>1147</v>
      </c>
      <c r="AC54" t="s">
        <v>1147</v>
      </c>
      <c r="AD54" t="s">
        <v>1147</v>
      </c>
      <c r="AE54">
        <v>1</v>
      </c>
      <c r="AF54" t="s">
        <v>1147</v>
      </c>
      <c r="AG54" t="s">
        <v>1147</v>
      </c>
      <c r="AH54" t="s">
        <v>1147</v>
      </c>
      <c r="AI54" t="s">
        <v>321</v>
      </c>
      <c r="AJ54" t="s">
        <v>554</v>
      </c>
      <c r="AK54" t="s">
        <v>37</v>
      </c>
      <c r="AL54" t="s">
        <v>1147</v>
      </c>
      <c r="AM54" t="s">
        <v>1147</v>
      </c>
      <c r="AN54" t="s">
        <v>1147</v>
      </c>
      <c r="AO54" t="s">
        <v>1147</v>
      </c>
      <c r="AP54" s="515"/>
    </row>
    <row r="55" spans="1:42" ht="90" x14ac:dyDescent="0.25">
      <c r="A55" t="s">
        <v>555</v>
      </c>
      <c r="B55" t="s">
        <v>556</v>
      </c>
      <c r="C55" t="s">
        <v>550</v>
      </c>
      <c r="D55" t="s">
        <v>551</v>
      </c>
      <c r="E55" t="s">
        <v>557</v>
      </c>
      <c r="F55" t="s">
        <v>558</v>
      </c>
      <c r="G55" t="s">
        <v>259</v>
      </c>
      <c r="H55" s="249" t="s">
        <v>1165</v>
      </c>
      <c r="I55" t="s">
        <v>46</v>
      </c>
      <c r="J55" t="s">
        <v>1147</v>
      </c>
      <c r="K55">
        <v>1</v>
      </c>
      <c r="L55">
        <v>1</v>
      </c>
      <c r="M55" t="s">
        <v>322</v>
      </c>
      <c r="N55">
        <v>1</v>
      </c>
      <c r="O55">
        <v>11</v>
      </c>
      <c r="P55">
        <v>1</v>
      </c>
      <c r="Q55" t="s">
        <v>48</v>
      </c>
      <c r="R55">
        <v>11</v>
      </c>
      <c r="S55">
        <v>11</v>
      </c>
      <c r="T55">
        <v>11</v>
      </c>
      <c r="U55" t="s">
        <v>1147</v>
      </c>
      <c r="V55" t="s">
        <v>1147</v>
      </c>
      <c r="W55" t="s">
        <v>1147</v>
      </c>
      <c r="X55">
        <v>1</v>
      </c>
      <c r="Y55" t="s">
        <v>1147</v>
      </c>
      <c r="Z55">
        <v>11</v>
      </c>
      <c r="AA55">
        <v>11</v>
      </c>
      <c r="AB55" t="s">
        <v>1147</v>
      </c>
      <c r="AC55" t="s">
        <v>1147</v>
      </c>
      <c r="AD55" t="s">
        <v>1147</v>
      </c>
      <c r="AE55">
        <v>1</v>
      </c>
      <c r="AF55" t="s">
        <v>1147</v>
      </c>
      <c r="AG55">
        <v>0</v>
      </c>
      <c r="AH55" t="s">
        <v>1147</v>
      </c>
      <c r="AI55" t="s">
        <v>46</v>
      </c>
      <c r="AJ55" t="s">
        <v>554</v>
      </c>
      <c r="AK55" t="s">
        <v>31</v>
      </c>
      <c r="AL55">
        <v>50</v>
      </c>
      <c r="AM55">
        <v>44</v>
      </c>
      <c r="AN55">
        <v>100</v>
      </c>
      <c r="AO55" t="s">
        <v>1147</v>
      </c>
      <c r="AP55" s="515"/>
    </row>
    <row r="56" spans="1:42" x14ac:dyDescent="0.25">
      <c r="A56" t="s">
        <v>559</v>
      </c>
      <c r="B56" t="s">
        <v>560</v>
      </c>
      <c r="C56" t="s">
        <v>317</v>
      </c>
      <c r="D56" t="s">
        <v>551</v>
      </c>
      <c r="E56" t="s">
        <v>561</v>
      </c>
      <c r="F56" t="s">
        <v>562</v>
      </c>
      <c r="G56" t="s">
        <v>284</v>
      </c>
      <c r="H56" t="s">
        <v>1149</v>
      </c>
      <c r="I56" t="s">
        <v>46</v>
      </c>
      <c r="J56" t="s">
        <v>1147</v>
      </c>
      <c r="K56">
        <v>1</v>
      </c>
      <c r="L56">
        <v>1</v>
      </c>
      <c r="M56" t="s">
        <v>322</v>
      </c>
      <c r="N56">
        <v>1</v>
      </c>
      <c r="O56">
        <v>1</v>
      </c>
      <c r="P56">
        <v>1</v>
      </c>
      <c r="Q56" t="s">
        <v>48</v>
      </c>
      <c r="R56">
        <v>1</v>
      </c>
      <c r="S56">
        <v>1</v>
      </c>
      <c r="T56">
        <v>1</v>
      </c>
      <c r="U56" t="s">
        <v>1147</v>
      </c>
      <c r="V56" t="s">
        <v>1147</v>
      </c>
      <c r="W56" t="s">
        <v>1147</v>
      </c>
      <c r="X56">
        <v>1</v>
      </c>
      <c r="Y56" t="s">
        <v>1147</v>
      </c>
      <c r="Z56">
        <v>1</v>
      </c>
      <c r="AA56">
        <v>1</v>
      </c>
      <c r="AB56" t="s">
        <v>1147</v>
      </c>
      <c r="AC56" t="s">
        <v>1147</v>
      </c>
      <c r="AD56" t="s">
        <v>1147</v>
      </c>
      <c r="AE56">
        <v>1</v>
      </c>
      <c r="AF56" t="s">
        <v>1147</v>
      </c>
      <c r="AG56">
        <v>0</v>
      </c>
      <c r="AH56" t="s">
        <v>1147</v>
      </c>
      <c r="AI56" t="s">
        <v>46</v>
      </c>
      <c r="AJ56" t="s">
        <v>554</v>
      </c>
      <c r="AK56" t="s">
        <v>37</v>
      </c>
      <c r="AL56" t="s">
        <v>1147</v>
      </c>
      <c r="AM56" t="s">
        <v>1147</v>
      </c>
      <c r="AN56" t="s">
        <v>1147</v>
      </c>
      <c r="AO56" t="s">
        <v>1147</v>
      </c>
      <c r="AP56" s="515"/>
    </row>
    <row r="57" spans="1:42" x14ac:dyDescent="0.25">
      <c r="A57" t="s">
        <v>563</v>
      </c>
      <c r="B57" t="s">
        <v>564</v>
      </c>
      <c r="C57" t="s">
        <v>327</v>
      </c>
      <c r="D57" t="s">
        <v>551</v>
      </c>
      <c r="E57" t="s">
        <v>565</v>
      </c>
      <c r="F57" t="s">
        <v>566</v>
      </c>
      <c r="G57" t="s">
        <v>259</v>
      </c>
      <c r="H57" t="s">
        <v>1166</v>
      </c>
      <c r="I57" t="s">
        <v>46</v>
      </c>
      <c r="J57" t="s">
        <v>1147</v>
      </c>
      <c r="K57">
        <v>1</v>
      </c>
      <c r="L57">
        <v>1</v>
      </c>
      <c r="M57" t="s">
        <v>322</v>
      </c>
      <c r="N57">
        <v>1</v>
      </c>
      <c r="O57">
        <v>1</v>
      </c>
      <c r="P57">
        <v>1</v>
      </c>
      <c r="Q57" t="s">
        <v>48</v>
      </c>
      <c r="R57">
        <v>1</v>
      </c>
      <c r="S57">
        <v>0</v>
      </c>
      <c r="T57" t="s">
        <v>1147</v>
      </c>
      <c r="U57" t="s">
        <v>1147</v>
      </c>
      <c r="V57" t="s">
        <v>1147</v>
      </c>
      <c r="W57" t="s">
        <v>1147</v>
      </c>
      <c r="X57">
        <v>0</v>
      </c>
      <c r="Y57" t="s">
        <v>1147</v>
      </c>
      <c r="Z57">
        <v>2</v>
      </c>
      <c r="AA57">
        <v>2</v>
      </c>
      <c r="AB57" t="s">
        <v>1147</v>
      </c>
      <c r="AC57" t="s">
        <v>1147</v>
      </c>
      <c r="AD57" t="s">
        <v>1147</v>
      </c>
      <c r="AE57">
        <v>1</v>
      </c>
      <c r="AF57" t="s">
        <v>1147</v>
      </c>
      <c r="AG57">
        <v>0</v>
      </c>
      <c r="AH57" t="s">
        <v>1147</v>
      </c>
      <c r="AI57" t="s">
        <v>46</v>
      </c>
      <c r="AJ57" t="s">
        <v>554</v>
      </c>
      <c r="AK57" t="s">
        <v>37</v>
      </c>
      <c r="AL57">
        <v>6</v>
      </c>
      <c r="AM57">
        <v>4</v>
      </c>
      <c r="AN57">
        <v>50</v>
      </c>
      <c r="AO57" t="s">
        <v>1147</v>
      </c>
      <c r="AP57" s="515"/>
    </row>
    <row r="58" spans="1:42" x14ac:dyDescent="0.25">
      <c r="A58" t="s">
        <v>567</v>
      </c>
      <c r="B58" t="s">
        <v>568</v>
      </c>
      <c r="C58" t="s">
        <v>569</v>
      </c>
      <c r="D58" t="s">
        <v>570</v>
      </c>
      <c r="E58" t="s">
        <v>571</v>
      </c>
      <c r="F58" t="s">
        <v>572</v>
      </c>
      <c r="G58" t="s">
        <v>970</v>
      </c>
      <c r="H58" t="s">
        <v>1167</v>
      </c>
      <c r="I58" t="s">
        <v>321</v>
      </c>
      <c r="J58" t="s">
        <v>1147</v>
      </c>
      <c r="K58">
        <v>1</v>
      </c>
      <c r="L58">
        <v>1</v>
      </c>
      <c r="M58" t="s">
        <v>322</v>
      </c>
      <c r="N58">
        <v>1</v>
      </c>
      <c r="O58">
        <v>1000</v>
      </c>
      <c r="P58">
        <v>1</v>
      </c>
      <c r="Q58" t="s">
        <v>48</v>
      </c>
      <c r="R58">
        <v>1000</v>
      </c>
      <c r="S58">
        <v>0</v>
      </c>
      <c r="T58" t="s">
        <v>1147</v>
      </c>
      <c r="U58" t="s">
        <v>1147</v>
      </c>
      <c r="V58" t="s">
        <v>1147</v>
      </c>
      <c r="W58" t="s">
        <v>1147</v>
      </c>
      <c r="X58">
        <v>0</v>
      </c>
      <c r="Y58" t="s">
        <v>1147</v>
      </c>
      <c r="Z58">
        <v>2000</v>
      </c>
      <c r="AA58">
        <v>2000</v>
      </c>
      <c r="AB58" t="s">
        <v>1147</v>
      </c>
      <c r="AC58" t="s">
        <v>1147</v>
      </c>
      <c r="AD58" t="s">
        <v>1147</v>
      </c>
      <c r="AE58">
        <v>1</v>
      </c>
      <c r="AF58" t="s">
        <v>1147</v>
      </c>
      <c r="AG58" t="s">
        <v>1147</v>
      </c>
      <c r="AH58" t="s">
        <v>1147</v>
      </c>
      <c r="AI58" t="s">
        <v>321</v>
      </c>
      <c r="AJ58" t="s">
        <v>573</v>
      </c>
      <c r="AK58" t="s">
        <v>37</v>
      </c>
      <c r="AL58" t="s">
        <v>1147</v>
      </c>
      <c r="AM58" t="s">
        <v>1147</v>
      </c>
      <c r="AN58" t="s">
        <v>1147</v>
      </c>
      <c r="AO58" t="s">
        <v>1147</v>
      </c>
      <c r="AP58" s="515"/>
    </row>
    <row r="59" spans="1:42" x14ac:dyDescent="0.25">
      <c r="A59" t="s">
        <v>574</v>
      </c>
      <c r="B59" t="s">
        <v>575</v>
      </c>
      <c r="C59" t="s">
        <v>569</v>
      </c>
      <c r="D59" t="s">
        <v>570</v>
      </c>
      <c r="E59" t="s">
        <v>571</v>
      </c>
      <c r="F59" t="s">
        <v>572</v>
      </c>
      <c r="G59" t="s">
        <v>970</v>
      </c>
      <c r="H59" t="s">
        <v>1168</v>
      </c>
      <c r="I59" t="s">
        <v>321</v>
      </c>
      <c r="J59" t="s">
        <v>1147</v>
      </c>
      <c r="K59">
        <v>1</v>
      </c>
      <c r="L59">
        <v>1</v>
      </c>
      <c r="M59" t="s">
        <v>338</v>
      </c>
      <c r="N59">
        <v>1</v>
      </c>
      <c r="O59">
        <v>5000</v>
      </c>
      <c r="P59">
        <v>1</v>
      </c>
      <c r="Q59" t="s">
        <v>48</v>
      </c>
      <c r="R59">
        <v>5000</v>
      </c>
      <c r="S59">
        <v>1731</v>
      </c>
      <c r="T59">
        <v>1712</v>
      </c>
      <c r="U59" t="s">
        <v>1147</v>
      </c>
      <c r="V59">
        <v>19</v>
      </c>
      <c r="W59" t="s">
        <v>1147</v>
      </c>
      <c r="X59">
        <v>0.98902368573079147</v>
      </c>
      <c r="Y59" t="s">
        <v>1147</v>
      </c>
      <c r="Z59">
        <v>2000</v>
      </c>
      <c r="AA59">
        <v>2000</v>
      </c>
      <c r="AB59" t="s">
        <v>1147</v>
      </c>
      <c r="AC59" t="s">
        <v>1147</v>
      </c>
      <c r="AD59" t="s">
        <v>1147</v>
      </c>
      <c r="AE59">
        <v>1</v>
      </c>
      <c r="AF59" t="s">
        <v>1147</v>
      </c>
      <c r="AG59" t="s">
        <v>1147</v>
      </c>
      <c r="AH59" t="s">
        <v>1147</v>
      </c>
      <c r="AI59" t="s">
        <v>321</v>
      </c>
      <c r="AJ59" t="s">
        <v>573</v>
      </c>
      <c r="AK59" t="s">
        <v>37</v>
      </c>
      <c r="AL59" t="s">
        <v>1147</v>
      </c>
      <c r="AM59" t="s">
        <v>1147</v>
      </c>
      <c r="AN59" t="s">
        <v>1147</v>
      </c>
      <c r="AO59" t="s">
        <v>1147</v>
      </c>
      <c r="AP59" s="515"/>
    </row>
    <row r="60" spans="1:42" x14ac:dyDescent="0.25">
      <c r="A60" t="s">
        <v>576</v>
      </c>
      <c r="B60" t="s">
        <v>577</v>
      </c>
      <c r="C60" t="s">
        <v>569</v>
      </c>
      <c r="D60" t="s">
        <v>570</v>
      </c>
      <c r="E60" t="s">
        <v>571</v>
      </c>
      <c r="F60" t="s">
        <v>572</v>
      </c>
      <c r="G60" t="s">
        <v>970</v>
      </c>
      <c r="H60" t="s">
        <v>1169</v>
      </c>
      <c r="I60" t="s">
        <v>321</v>
      </c>
      <c r="J60" t="s">
        <v>1147</v>
      </c>
      <c r="K60">
        <v>1</v>
      </c>
      <c r="L60">
        <v>1</v>
      </c>
      <c r="M60" t="s">
        <v>322</v>
      </c>
      <c r="N60">
        <v>1</v>
      </c>
      <c r="O60">
        <v>5000</v>
      </c>
      <c r="P60">
        <v>1</v>
      </c>
      <c r="Q60" t="s">
        <v>48</v>
      </c>
      <c r="R60">
        <v>5000</v>
      </c>
      <c r="S60">
        <v>500</v>
      </c>
      <c r="T60">
        <v>500</v>
      </c>
      <c r="U60" t="s">
        <v>1147</v>
      </c>
      <c r="V60" t="s">
        <v>1147</v>
      </c>
      <c r="W60" t="s">
        <v>1147</v>
      </c>
      <c r="X60">
        <v>1</v>
      </c>
      <c r="Y60" t="s">
        <v>1147</v>
      </c>
      <c r="Z60">
        <v>1000</v>
      </c>
      <c r="AA60">
        <v>1000</v>
      </c>
      <c r="AB60" t="s">
        <v>1147</v>
      </c>
      <c r="AC60" t="s">
        <v>1147</v>
      </c>
      <c r="AD60" t="s">
        <v>1147</v>
      </c>
      <c r="AE60">
        <v>1</v>
      </c>
      <c r="AF60" t="s">
        <v>1147</v>
      </c>
      <c r="AG60" t="s">
        <v>1147</v>
      </c>
      <c r="AH60" t="s">
        <v>1147</v>
      </c>
      <c r="AI60" t="s">
        <v>321</v>
      </c>
      <c r="AJ60" t="s">
        <v>573</v>
      </c>
      <c r="AK60" t="s">
        <v>37</v>
      </c>
      <c r="AL60" t="s">
        <v>1147</v>
      </c>
      <c r="AM60" t="s">
        <v>1147</v>
      </c>
      <c r="AN60" t="s">
        <v>1147</v>
      </c>
      <c r="AO60" t="s">
        <v>1147</v>
      </c>
      <c r="AP60" s="515"/>
    </row>
    <row r="61" spans="1:42" ht="210" x14ac:dyDescent="0.25">
      <c r="A61" t="s">
        <v>578</v>
      </c>
      <c r="B61" t="s">
        <v>579</v>
      </c>
      <c r="C61" t="s">
        <v>569</v>
      </c>
      <c r="D61" t="s">
        <v>570</v>
      </c>
      <c r="E61" t="s">
        <v>580</v>
      </c>
      <c r="F61" t="s">
        <v>581</v>
      </c>
      <c r="G61" t="s">
        <v>259</v>
      </c>
      <c r="H61" s="249" t="s">
        <v>1170</v>
      </c>
      <c r="I61" t="s">
        <v>46</v>
      </c>
      <c r="J61" t="s">
        <v>1147</v>
      </c>
      <c r="K61">
        <v>1</v>
      </c>
      <c r="L61">
        <v>1</v>
      </c>
      <c r="M61" t="s">
        <v>322</v>
      </c>
      <c r="N61">
        <v>1</v>
      </c>
      <c r="O61">
        <v>20</v>
      </c>
      <c r="P61">
        <v>1</v>
      </c>
      <c r="Q61" t="s">
        <v>48</v>
      </c>
      <c r="R61">
        <v>20</v>
      </c>
      <c r="S61">
        <v>7</v>
      </c>
      <c r="T61">
        <v>7</v>
      </c>
      <c r="U61" t="s">
        <v>1147</v>
      </c>
      <c r="V61" t="s">
        <v>1147</v>
      </c>
      <c r="W61" t="s">
        <v>1147</v>
      </c>
      <c r="X61">
        <v>1</v>
      </c>
      <c r="Y61" t="s">
        <v>1147</v>
      </c>
      <c r="Z61">
        <v>7</v>
      </c>
      <c r="AA61">
        <v>7</v>
      </c>
      <c r="AB61" t="s">
        <v>1147</v>
      </c>
      <c r="AC61" t="s">
        <v>1147</v>
      </c>
      <c r="AD61" t="s">
        <v>1147</v>
      </c>
      <c r="AE61">
        <v>1</v>
      </c>
      <c r="AF61" t="s">
        <v>1147</v>
      </c>
      <c r="AG61">
        <v>0</v>
      </c>
      <c r="AH61" t="s">
        <v>1147</v>
      </c>
      <c r="AI61" t="s">
        <v>46</v>
      </c>
      <c r="AJ61" t="s">
        <v>573</v>
      </c>
      <c r="AK61" t="s">
        <v>31</v>
      </c>
      <c r="AL61">
        <v>50</v>
      </c>
      <c r="AM61">
        <v>100</v>
      </c>
      <c r="AN61">
        <v>200</v>
      </c>
      <c r="AO61" t="s">
        <v>1147</v>
      </c>
      <c r="AP61" s="515"/>
    </row>
    <row r="62" spans="1:42" ht="45" x14ac:dyDescent="0.25">
      <c r="A62" t="s">
        <v>582</v>
      </c>
      <c r="B62" t="s">
        <v>583</v>
      </c>
      <c r="C62" t="s">
        <v>569</v>
      </c>
      <c r="D62" t="s">
        <v>584</v>
      </c>
      <c r="E62" t="s">
        <v>585</v>
      </c>
      <c r="F62" t="s">
        <v>586</v>
      </c>
      <c r="G62" t="s">
        <v>284</v>
      </c>
      <c r="H62" s="249" t="s">
        <v>1171</v>
      </c>
      <c r="I62" t="s">
        <v>46</v>
      </c>
      <c r="J62" t="s">
        <v>1147</v>
      </c>
      <c r="K62">
        <v>1</v>
      </c>
      <c r="L62">
        <v>1</v>
      </c>
      <c r="M62" t="s">
        <v>322</v>
      </c>
      <c r="N62">
        <v>1</v>
      </c>
      <c r="O62">
        <v>2</v>
      </c>
      <c r="P62">
        <v>1</v>
      </c>
      <c r="Q62" t="s">
        <v>48</v>
      </c>
      <c r="R62">
        <v>2</v>
      </c>
      <c r="S62">
        <v>2</v>
      </c>
      <c r="T62">
        <v>2</v>
      </c>
      <c r="U62" t="s">
        <v>1147</v>
      </c>
      <c r="V62" t="s">
        <v>1147</v>
      </c>
      <c r="W62" t="s">
        <v>1147</v>
      </c>
      <c r="X62">
        <v>1</v>
      </c>
      <c r="Y62" t="s">
        <v>1147</v>
      </c>
      <c r="Z62">
        <v>3</v>
      </c>
      <c r="AA62">
        <v>3</v>
      </c>
      <c r="AB62" t="s">
        <v>1147</v>
      </c>
      <c r="AC62" t="s">
        <v>1147</v>
      </c>
      <c r="AD62" t="s">
        <v>1147</v>
      </c>
      <c r="AE62">
        <v>1</v>
      </c>
      <c r="AF62" t="s">
        <v>1147</v>
      </c>
      <c r="AG62" t="s">
        <v>1147</v>
      </c>
      <c r="AH62" t="s">
        <v>1147</v>
      </c>
      <c r="AI62" t="s">
        <v>46</v>
      </c>
      <c r="AJ62" t="s">
        <v>587</v>
      </c>
      <c r="AK62" t="s">
        <v>37</v>
      </c>
      <c r="AL62">
        <v>4</v>
      </c>
      <c r="AM62">
        <v>4</v>
      </c>
      <c r="AN62">
        <v>20</v>
      </c>
      <c r="AO62" t="s">
        <v>1147</v>
      </c>
      <c r="AP62" s="515"/>
    </row>
    <row r="63" spans="1:42" x14ac:dyDescent="0.25">
      <c r="A63" t="s">
        <v>588</v>
      </c>
      <c r="B63" t="s">
        <v>589</v>
      </c>
      <c r="C63" t="s">
        <v>569</v>
      </c>
      <c r="D63" t="s">
        <v>584</v>
      </c>
      <c r="E63" t="s">
        <v>585</v>
      </c>
      <c r="F63" t="s">
        <v>586</v>
      </c>
      <c r="G63" t="s">
        <v>970</v>
      </c>
      <c r="H63" t="s">
        <v>590</v>
      </c>
      <c r="I63" t="s">
        <v>321</v>
      </c>
      <c r="J63" t="s">
        <v>1147</v>
      </c>
      <c r="K63">
        <v>1</v>
      </c>
      <c r="L63">
        <v>1</v>
      </c>
      <c r="M63" t="s">
        <v>322</v>
      </c>
      <c r="N63">
        <v>1</v>
      </c>
      <c r="O63">
        <v>500</v>
      </c>
      <c r="P63">
        <v>1</v>
      </c>
      <c r="Q63" t="s">
        <v>48</v>
      </c>
      <c r="R63">
        <v>500</v>
      </c>
      <c r="S63">
        <v>500</v>
      </c>
      <c r="T63">
        <v>500</v>
      </c>
      <c r="U63" t="s">
        <v>1147</v>
      </c>
      <c r="V63" t="s">
        <v>1147</v>
      </c>
      <c r="W63" t="s">
        <v>1147</v>
      </c>
      <c r="X63">
        <v>1</v>
      </c>
      <c r="Y63" t="s">
        <v>1147</v>
      </c>
      <c r="Z63">
        <v>2000</v>
      </c>
      <c r="AA63">
        <v>2000</v>
      </c>
      <c r="AB63" t="s">
        <v>1147</v>
      </c>
      <c r="AC63" t="s">
        <v>1147</v>
      </c>
      <c r="AD63" t="s">
        <v>1147</v>
      </c>
      <c r="AE63">
        <v>1</v>
      </c>
      <c r="AF63" t="s">
        <v>1147</v>
      </c>
      <c r="AG63" t="s">
        <v>1147</v>
      </c>
      <c r="AH63" t="s">
        <v>1147</v>
      </c>
      <c r="AI63" t="s">
        <v>49</v>
      </c>
      <c r="AJ63" t="s">
        <v>587</v>
      </c>
      <c r="AK63" t="s">
        <v>37</v>
      </c>
      <c r="AL63" t="s">
        <v>1147</v>
      </c>
      <c r="AM63" t="s">
        <v>1147</v>
      </c>
      <c r="AN63" t="s">
        <v>1147</v>
      </c>
      <c r="AO63" t="s">
        <v>1147</v>
      </c>
      <c r="AP63" s="515"/>
    </row>
    <row r="64" spans="1:42" ht="30" x14ac:dyDescent="0.25">
      <c r="A64" t="s">
        <v>591</v>
      </c>
      <c r="B64" t="s">
        <v>983</v>
      </c>
      <c r="C64" t="s">
        <v>569</v>
      </c>
      <c r="D64" t="s">
        <v>584</v>
      </c>
      <c r="E64" t="s">
        <v>592</v>
      </c>
      <c r="F64" t="s">
        <v>593</v>
      </c>
      <c r="G64" t="s">
        <v>970</v>
      </c>
      <c r="H64" s="249" t="s">
        <v>1172</v>
      </c>
      <c r="I64" t="s">
        <v>46</v>
      </c>
      <c r="J64" t="s">
        <v>1147</v>
      </c>
      <c r="K64">
        <v>1</v>
      </c>
      <c r="L64">
        <v>1</v>
      </c>
      <c r="M64" t="s">
        <v>322</v>
      </c>
      <c r="N64">
        <v>1</v>
      </c>
      <c r="O64">
        <v>2</v>
      </c>
      <c r="P64">
        <v>1</v>
      </c>
      <c r="Q64" t="s">
        <v>48</v>
      </c>
      <c r="R64">
        <v>2</v>
      </c>
      <c r="S64">
        <v>0</v>
      </c>
      <c r="T64" t="s">
        <v>1147</v>
      </c>
      <c r="U64" t="s">
        <v>1147</v>
      </c>
      <c r="V64" t="s">
        <v>1147</v>
      </c>
      <c r="W64" t="s">
        <v>1147</v>
      </c>
      <c r="X64">
        <v>0</v>
      </c>
      <c r="Y64" t="s">
        <v>1147</v>
      </c>
      <c r="Z64">
        <v>0</v>
      </c>
      <c r="AA64" t="s">
        <v>1147</v>
      </c>
      <c r="AB64" t="s">
        <v>1147</v>
      </c>
      <c r="AC64" t="s">
        <v>1147</v>
      </c>
      <c r="AD64" t="s">
        <v>1147</v>
      </c>
      <c r="AE64">
        <v>0</v>
      </c>
      <c r="AF64" t="s">
        <v>1147</v>
      </c>
      <c r="AG64" t="s">
        <v>1147</v>
      </c>
      <c r="AH64" t="s">
        <v>1147</v>
      </c>
      <c r="AI64" t="s">
        <v>49</v>
      </c>
      <c r="AJ64" t="s">
        <v>587</v>
      </c>
      <c r="AK64" t="s">
        <v>37</v>
      </c>
      <c r="AL64" t="s">
        <v>1147</v>
      </c>
      <c r="AM64" t="s">
        <v>1147</v>
      </c>
      <c r="AN64" t="s">
        <v>1147</v>
      </c>
      <c r="AO64" t="s">
        <v>1147</v>
      </c>
      <c r="AP64" s="515"/>
    </row>
    <row r="65" spans="1:42" x14ac:dyDescent="0.25">
      <c r="A65" t="s">
        <v>594</v>
      </c>
      <c r="B65" t="s">
        <v>595</v>
      </c>
      <c r="C65" t="s">
        <v>418</v>
      </c>
      <c r="D65" t="s">
        <v>584</v>
      </c>
      <c r="E65" t="s">
        <v>596</v>
      </c>
      <c r="F65" t="s">
        <v>597</v>
      </c>
      <c r="G65" t="s">
        <v>970</v>
      </c>
      <c r="H65" t="s">
        <v>598</v>
      </c>
      <c r="I65" t="s">
        <v>46</v>
      </c>
      <c r="J65" t="s">
        <v>1147</v>
      </c>
      <c r="K65">
        <v>1</v>
      </c>
      <c r="L65">
        <v>1</v>
      </c>
      <c r="M65" t="s">
        <v>322</v>
      </c>
      <c r="N65">
        <v>1</v>
      </c>
      <c r="O65">
        <v>0</v>
      </c>
      <c r="P65">
        <v>1</v>
      </c>
      <c r="Q65" t="s">
        <v>48</v>
      </c>
      <c r="R65">
        <v>0</v>
      </c>
      <c r="S65">
        <v>0</v>
      </c>
      <c r="T65" t="s">
        <v>1147</v>
      </c>
      <c r="U65" t="s">
        <v>1147</v>
      </c>
      <c r="V65" t="s">
        <v>1147</v>
      </c>
      <c r="W65" t="s">
        <v>1147</v>
      </c>
      <c r="X65">
        <v>0</v>
      </c>
      <c r="Y65" t="s">
        <v>1147</v>
      </c>
      <c r="Z65">
        <v>0</v>
      </c>
      <c r="AA65" t="s">
        <v>1147</v>
      </c>
      <c r="AB65" t="s">
        <v>1147</v>
      </c>
      <c r="AC65" t="s">
        <v>1147</v>
      </c>
      <c r="AD65" t="s">
        <v>1147</v>
      </c>
      <c r="AE65">
        <v>0</v>
      </c>
      <c r="AF65" t="s">
        <v>1147</v>
      </c>
      <c r="AG65" t="s">
        <v>1147</v>
      </c>
      <c r="AH65" t="s">
        <v>1147</v>
      </c>
      <c r="AI65" t="s">
        <v>46</v>
      </c>
      <c r="AJ65" t="s">
        <v>587</v>
      </c>
      <c r="AK65" t="s">
        <v>37</v>
      </c>
      <c r="AL65" t="s">
        <v>1147</v>
      </c>
      <c r="AM65" t="s">
        <v>1147</v>
      </c>
      <c r="AN65" t="s">
        <v>1147</v>
      </c>
      <c r="AO65" t="s">
        <v>1147</v>
      </c>
      <c r="AP65" s="515"/>
    </row>
    <row r="66" spans="1:42" x14ac:dyDescent="0.25">
      <c r="A66" t="s">
        <v>599</v>
      </c>
      <c r="B66" t="s">
        <v>600</v>
      </c>
      <c r="C66" t="s">
        <v>601</v>
      </c>
      <c r="D66" t="s">
        <v>602</v>
      </c>
      <c r="E66" t="s">
        <v>603</v>
      </c>
      <c r="F66" t="s">
        <v>604</v>
      </c>
      <c r="G66" t="s">
        <v>284</v>
      </c>
      <c r="H66" t="s">
        <v>605</v>
      </c>
      <c r="I66" t="s">
        <v>321</v>
      </c>
      <c r="J66" t="s">
        <v>1147</v>
      </c>
      <c r="K66">
        <v>1</v>
      </c>
      <c r="L66">
        <v>1</v>
      </c>
      <c r="M66" t="s">
        <v>322</v>
      </c>
      <c r="N66">
        <v>1</v>
      </c>
      <c r="O66">
        <v>200</v>
      </c>
      <c r="P66">
        <v>1</v>
      </c>
      <c r="Q66" t="s">
        <v>48</v>
      </c>
      <c r="R66">
        <v>200</v>
      </c>
      <c r="S66">
        <v>312</v>
      </c>
      <c r="T66">
        <v>234</v>
      </c>
      <c r="U66" t="s">
        <v>1147</v>
      </c>
      <c r="V66">
        <v>78</v>
      </c>
      <c r="W66" t="s">
        <v>1147</v>
      </c>
      <c r="X66">
        <v>0.75</v>
      </c>
      <c r="Y66" t="s">
        <v>1147</v>
      </c>
      <c r="Z66">
        <v>500</v>
      </c>
      <c r="AA66">
        <v>500</v>
      </c>
      <c r="AB66" t="s">
        <v>1147</v>
      </c>
      <c r="AC66" t="s">
        <v>1147</v>
      </c>
      <c r="AD66" t="s">
        <v>1147</v>
      </c>
      <c r="AE66">
        <v>1</v>
      </c>
      <c r="AF66" t="s">
        <v>1147</v>
      </c>
      <c r="AG66" t="s">
        <v>1147</v>
      </c>
      <c r="AH66" t="s">
        <v>1147</v>
      </c>
      <c r="AI66" t="s">
        <v>321</v>
      </c>
      <c r="AJ66" t="s">
        <v>606</v>
      </c>
      <c r="AK66" t="s">
        <v>37</v>
      </c>
      <c r="AL66" t="s">
        <v>1147</v>
      </c>
      <c r="AM66" t="s">
        <v>1147</v>
      </c>
      <c r="AN66" t="s">
        <v>1147</v>
      </c>
      <c r="AO66" t="s">
        <v>1147</v>
      </c>
      <c r="AP66" s="515"/>
    </row>
    <row r="67" spans="1:42" x14ac:dyDescent="0.25">
      <c r="A67" t="s">
        <v>607</v>
      </c>
      <c r="B67" t="s">
        <v>608</v>
      </c>
      <c r="C67" t="s">
        <v>601</v>
      </c>
      <c r="D67" t="s">
        <v>602</v>
      </c>
      <c r="E67" t="s">
        <v>609</v>
      </c>
      <c r="F67" t="s">
        <v>610</v>
      </c>
      <c r="G67" t="s">
        <v>284</v>
      </c>
      <c r="H67" t="s">
        <v>611</v>
      </c>
      <c r="I67" t="s">
        <v>46</v>
      </c>
      <c r="J67" t="s">
        <v>612</v>
      </c>
      <c r="K67">
        <v>1</v>
      </c>
      <c r="L67">
        <v>1</v>
      </c>
      <c r="M67" t="s">
        <v>322</v>
      </c>
      <c r="N67">
        <v>1</v>
      </c>
      <c r="O67">
        <v>1</v>
      </c>
      <c r="P67">
        <v>1</v>
      </c>
      <c r="Q67" t="s">
        <v>48</v>
      </c>
      <c r="R67">
        <v>1</v>
      </c>
      <c r="S67">
        <v>1</v>
      </c>
      <c r="T67">
        <v>1</v>
      </c>
      <c r="U67" t="s">
        <v>1147</v>
      </c>
      <c r="V67" t="s">
        <v>1147</v>
      </c>
      <c r="W67" t="s">
        <v>1147</v>
      </c>
      <c r="X67">
        <v>1</v>
      </c>
      <c r="Y67" t="s">
        <v>1147</v>
      </c>
      <c r="Z67">
        <v>1</v>
      </c>
      <c r="AA67">
        <v>1</v>
      </c>
      <c r="AB67" t="s">
        <v>1147</v>
      </c>
      <c r="AC67" t="s">
        <v>1147</v>
      </c>
      <c r="AD67" t="s">
        <v>1147</v>
      </c>
      <c r="AE67">
        <v>1</v>
      </c>
      <c r="AF67" t="s">
        <v>1147</v>
      </c>
      <c r="AG67" t="s">
        <v>1147</v>
      </c>
      <c r="AH67" t="s">
        <v>1147</v>
      </c>
      <c r="AI67" t="s">
        <v>46</v>
      </c>
      <c r="AJ67" t="s">
        <v>606</v>
      </c>
      <c r="AK67" t="s">
        <v>37</v>
      </c>
      <c r="AL67" t="s">
        <v>1147</v>
      </c>
      <c r="AM67" t="s">
        <v>1147</v>
      </c>
      <c r="AN67" t="s">
        <v>1147</v>
      </c>
      <c r="AO67" t="s">
        <v>1147</v>
      </c>
      <c r="AP67" s="515"/>
    </row>
    <row r="68" spans="1:42" x14ac:dyDescent="0.25">
      <c r="A68" t="s">
        <v>613</v>
      </c>
      <c r="B68" t="s">
        <v>614</v>
      </c>
      <c r="C68" t="s">
        <v>601</v>
      </c>
      <c r="D68" t="s">
        <v>602</v>
      </c>
      <c r="E68" t="s">
        <v>615</v>
      </c>
      <c r="F68" t="s">
        <v>616</v>
      </c>
      <c r="G68" t="s">
        <v>280</v>
      </c>
      <c r="H68" t="s">
        <v>617</v>
      </c>
      <c r="I68" t="s">
        <v>321</v>
      </c>
      <c r="J68" t="s">
        <v>1147</v>
      </c>
      <c r="K68">
        <v>1</v>
      </c>
      <c r="L68">
        <v>1</v>
      </c>
      <c r="M68" t="s">
        <v>322</v>
      </c>
      <c r="N68">
        <v>1</v>
      </c>
      <c r="O68">
        <v>500</v>
      </c>
      <c r="P68">
        <v>1</v>
      </c>
      <c r="Q68" t="s">
        <v>48</v>
      </c>
      <c r="R68">
        <v>500</v>
      </c>
      <c r="S68">
        <v>0</v>
      </c>
      <c r="T68" t="s">
        <v>1147</v>
      </c>
      <c r="U68" t="s">
        <v>1147</v>
      </c>
      <c r="V68" t="s">
        <v>1147</v>
      </c>
      <c r="W68" t="s">
        <v>1147</v>
      </c>
      <c r="X68">
        <v>0</v>
      </c>
      <c r="Y68" t="s">
        <v>1147</v>
      </c>
      <c r="Z68">
        <v>1000</v>
      </c>
      <c r="AA68">
        <v>1000</v>
      </c>
      <c r="AB68" t="s">
        <v>1147</v>
      </c>
      <c r="AC68" t="s">
        <v>1147</v>
      </c>
      <c r="AD68" t="s">
        <v>1147</v>
      </c>
      <c r="AE68">
        <v>1</v>
      </c>
      <c r="AF68" t="s">
        <v>1147</v>
      </c>
      <c r="AG68" t="s">
        <v>1147</v>
      </c>
      <c r="AH68" t="s">
        <v>1147</v>
      </c>
      <c r="AI68" t="s">
        <v>321</v>
      </c>
      <c r="AJ68" t="s">
        <v>606</v>
      </c>
      <c r="AK68" t="s">
        <v>37</v>
      </c>
      <c r="AL68" t="s">
        <v>1147</v>
      </c>
      <c r="AM68" t="s">
        <v>1147</v>
      </c>
      <c r="AN68" t="s">
        <v>1147</v>
      </c>
      <c r="AO68" t="s">
        <v>1147</v>
      </c>
      <c r="AP68" s="515"/>
    </row>
    <row r="69" spans="1:42" x14ac:dyDescent="0.25">
      <c r="A69" t="s">
        <v>618</v>
      </c>
      <c r="B69" t="s">
        <v>619</v>
      </c>
      <c r="C69" t="s">
        <v>418</v>
      </c>
      <c r="D69" t="s">
        <v>620</v>
      </c>
      <c r="E69" t="s">
        <v>621</v>
      </c>
      <c r="F69" t="s">
        <v>622</v>
      </c>
      <c r="G69" t="s">
        <v>259</v>
      </c>
      <c r="H69" t="s">
        <v>1150</v>
      </c>
      <c r="I69" t="s">
        <v>46</v>
      </c>
      <c r="J69" t="s">
        <v>1147</v>
      </c>
      <c r="K69">
        <v>1</v>
      </c>
      <c r="L69">
        <v>1</v>
      </c>
      <c r="M69" t="s">
        <v>322</v>
      </c>
      <c r="N69">
        <v>1</v>
      </c>
      <c r="O69">
        <v>1</v>
      </c>
      <c r="P69">
        <v>1</v>
      </c>
      <c r="Q69" t="s">
        <v>48</v>
      </c>
      <c r="R69">
        <v>1</v>
      </c>
      <c r="S69">
        <v>1</v>
      </c>
      <c r="T69">
        <v>1</v>
      </c>
      <c r="U69" t="s">
        <v>1147</v>
      </c>
      <c r="V69" t="s">
        <v>1147</v>
      </c>
      <c r="W69" t="s">
        <v>1147</v>
      </c>
      <c r="X69">
        <v>1</v>
      </c>
      <c r="Y69" t="s">
        <v>1147</v>
      </c>
      <c r="Z69">
        <v>1</v>
      </c>
      <c r="AA69">
        <v>1</v>
      </c>
      <c r="AB69" t="s">
        <v>1147</v>
      </c>
      <c r="AC69" t="s">
        <v>1147</v>
      </c>
      <c r="AD69" t="s">
        <v>1147</v>
      </c>
      <c r="AE69">
        <v>1</v>
      </c>
      <c r="AF69" t="s">
        <v>1147</v>
      </c>
      <c r="AG69">
        <v>0</v>
      </c>
      <c r="AH69" t="s">
        <v>1147</v>
      </c>
      <c r="AI69" t="s">
        <v>46</v>
      </c>
      <c r="AJ69" t="s">
        <v>623</v>
      </c>
      <c r="AK69" t="s">
        <v>37</v>
      </c>
      <c r="AL69">
        <v>4</v>
      </c>
      <c r="AM69">
        <v>4</v>
      </c>
      <c r="AN69">
        <v>50</v>
      </c>
      <c r="AO69" t="s">
        <v>1147</v>
      </c>
      <c r="AP69" s="515"/>
    </row>
    <row r="70" spans="1:42" x14ac:dyDescent="0.25">
      <c r="A70" t="s">
        <v>624</v>
      </c>
      <c r="B70" t="s">
        <v>625</v>
      </c>
      <c r="C70" t="s">
        <v>418</v>
      </c>
      <c r="D70" t="s">
        <v>620</v>
      </c>
      <c r="E70" t="s">
        <v>621</v>
      </c>
      <c r="F70" t="s">
        <v>622</v>
      </c>
      <c r="G70" t="s">
        <v>284</v>
      </c>
      <c r="H70" t="s">
        <v>1151</v>
      </c>
      <c r="I70" t="s">
        <v>46</v>
      </c>
      <c r="J70" t="s">
        <v>1147</v>
      </c>
      <c r="K70">
        <v>1</v>
      </c>
      <c r="L70">
        <v>1</v>
      </c>
      <c r="M70" t="s">
        <v>322</v>
      </c>
      <c r="N70">
        <v>1</v>
      </c>
      <c r="O70">
        <v>1</v>
      </c>
      <c r="P70">
        <v>1</v>
      </c>
      <c r="Q70" t="s">
        <v>48</v>
      </c>
      <c r="R70">
        <v>1</v>
      </c>
      <c r="S70">
        <v>1</v>
      </c>
      <c r="T70">
        <v>1</v>
      </c>
      <c r="U70" t="s">
        <v>1147</v>
      </c>
      <c r="V70" t="s">
        <v>1147</v>
      </c>
      <c r="W70" t="s">
        <v>1147</v>
      </c>
      <c r="X70">
        <v>1</v>
      </c>
      <c r="Y70" t="s">
        <v>1147</v>
      </c>
      <c r="Z70">
        <v>1</v>
      </c>
      <c r="AA70">
        <v>1</v>
      </c>
      <c r="AB70" t="s">
        <v>1147</v>
      </c>
      <c r="AC70" t="s">
        <v>1147</v>
      </c>
      <c r="AD70" t="s">
        <v>1147</v>
      </c>
      <c r="AE70">
        <v>1</v>
      </c>
      <c r="AF70" t="s">
        <v>1147</v>
      </c>
      <c r="AG70" t="s">
        <v>1147</v>
      </c>
      <c r="AH70" t="s">
        <v>1147</v>
      </c>
      <c r="AI70" t="s">
        <v>46</v>
      </c>
      <c r="AJ70" t="s">
        <v>623</v>
      </c>
      <c r="AK70" t="s">
        <v>37</v>
      </c>
      <c r="AL70" t="s">
        <v>1147</v>
      </c>
      <c r="AM70" t="s">
        <v>1147</v>
      </c>
      <c r="AN70" t="s">
        <v>1147</v>
      </c>
      <c r="AO70" t="s">
        <v>1147</v>
      </c>
      <c r="AP70" s="515"/>
    </row>
    <row r="71" spans="1:42" x14ac:dyDescent="0.25">
      <c r="A71" t="s">
        <v>626</v>
      </c>
      <c r="B71" t="s">
        <v>627</v>
      </c>
      <c r="C71" t="s">
        <v>418</v>
      </c>
      <c r="D71" t="s">
        <v>620</v>
      </c>
      <c r="E71" t="s">
        <v>621</v>
      </c>
      <c r="F71" t="s">
        <v>628</v>
      </c>
      <c r="G71" t="s">
        <v>259</v>
      </c>
      <c r="H71" t="s">
        <v>629</v>
      </c>
      <c r="I71" t="s">
        <v>46</v>
      </c>
      <c r="J71" t="s">
        <v>1147</v>
      </c>
      <c r="K71">
        <v>1</v>
      </c>
      <c r="L71">
        <v>1</v>
      </c>
      <c r="M71" t="s">
        <v>322</v>
      </c>
      <c r="N71">
        <v>1</v>
      </c>
      <c r="O71">
        <v>1</v>
      </c>
      <c r="P71">
        <v>1</v>
      </c>
      <c r="Q71" t="s">
        <v>48</v>
      </c>
      <c r="R71">
        <v>1</v>
      </c>
      <c r="S71">
        <v>1</v>
      </c>
      <c r="T71">
        <v>1</v>
      </c>
      <c r="U71" t="s">
        <v>1147</v>
      </c>
      <c r="V71" t="s">
        <v>1147</v>
      </c>
      <c r="W71" t="s">
        <v>1147</v>
      </c>
      <c r="X71">
        <v>1</v>
      </c>
      <c r="Y71" t="s">
        <v>1147</v>
      </c>
      <c r="Z71">
        <v>1</v>
      </c>
      <c r="AA71">
        <v>1</v>
      </c>
      <c r="AB71" t="s">
        <v>1147</v>
      </c>
      <c r="AC71" t="s">
        <v>1147</v>
      </c>
      <c r="AD71" t="s">
        <v>1147</v>
      </c>
      <c r="AE71">
        <v>1</v>
      </c>
      <c r="AF71" t="s">
        <v>1147</v>
      </c>
      <c r="AG71">
        <v>0</v>
      </c>
      <c r="AH71" t="s">
        <v>1147</v>
      </c>
      <c r="AI71" t="s">
        <v>46</v>
      </c>
      <c r="AJ71" t="s">
        <v>623</v>
      </c>
      <c r="AK71" t="s">
        <v>37</v>
      </c>
      <c r="AL71">
        <v>6</v>
      </c>
      <c r="AM71">
        <v>4</v>
      </c>
      <c r="AN71">
        <v>50</v>
      </c>
      <c r="AO71" t="s">
        <v>1147</v>
      </c>
      <c r="AP71" s="515"/>
    </row>
    <row r="72" spans="1:42" x14ac:dyDescent="0.25">
      <c r="A72" t="s">
        <v>630</v>
      </c>
      <c r="B72" t="s">
        <v>631</v>
      </c>
      <c r="C72" t="s">
        <v>418</v>
      </c>
      <c r="D72" t="s">
        <v>620</v>
      </c>
      <c r="E72" t="s">
        <v>632</v>
      </c>
      <c r="F72" t="s">
        <v>633</v>
      </c>
      <c r="G72" t="s">
        <v>970</v>
      </c>
      <c r="H72" t="s">
        <v>634</v>
      </c>
      <c r="I72" t="s">
        <v>46</v>
      </c>
      <c r="J72" t="s">
        <v>1147</v>
      </c>
      <c r="K72">
        <v>0</v>
      </c>
      <c r="L72">
        <v>0</v>
      </c>
      <c r="M72" t="s">
        <v>322</v>
      </c>
      <c r="N72">
        <v>1</v>
      </c>
      <c r="O72">
        <v>0</v>
      </c>
      <c r="P72">
        <v>1</v>
      </c>
      <c r="Q72" t="s">
        <v>48</v>
      </c>
      <c r="R72">
        <v>0</v>
      </c>
      <c r="S72">
        <v>1</v>
      </c>
      <c r="T72" t="s">
        <v>1147</v>
      </c>
      <c r="U72">
        <v>1</v>
      </c>
      <c r="V72" t="s">
        <v>1147</v>
      </c>
      <c r="W72" t="s">
        <v>1147</v>
      </c>
      <c r="X72">
        <v>1</v>
      </c>
      <c r="Y72" t="s">
        <v>1147</v>
      </c>
      <c r="Z72">
        <v>1</v>
      </c>
      <c r="AA72" t="s">
        <v>1147</v>
      </c>
      <c r="AB72">
        <v>1</v>
      </c>
      <c r="AC72" t="s">
        <v>1147</v>
      </c>
      <c r="AD72" t="s">
        <v>1147</v>
      </c>
      <c r="AE72">
        <v>1</v>
      </c>
      <c r="AF72" t="s">
        <v>1147</v>
      </c>
      <c r="AG72" t="s">
        <v>1147</v>
      </c>
      <c r="AH72" t="s">
        <v>1147</v>
      </c>
      <c r="AI72" t="s">
        <v>46</v>
      </c>
      <c r="AJ72" t="s">
        <v>623</v>
      </c>
      <c r="AK72" t="s">
        <v>37</v>
      </c>
      <c r="AL72" t="s">
        <v>1147</v>
      </c>
      <c r="AM72" t="s">
        <v>1147</v>
      </c>
      <c r="AN72" t="s">
        <v>1147</v>
      </c>
      <c r="AO72" t="s">
        <v>1147</v>
      </c>
      <c r="AP72" s="515"/>
    </row>
    <row r="73" spans="1:42" x14ac:dyDescent="0.25">
      <c r="A73" t="s">
        <v>635</v>
      </c>
      <c r="B73" t="s">
        <v>636</v>
      </c>
      <c r="C73" t="s">
        <v>418</v>
      </c>
      <c r="D73" t="s">
        <v>620</v>
      </c>
      <c r="E73" t="s">
        <v>637</v>
      </c>
      <c r="F73" t="s">
        <v>638</v>
      </c>
      <c r="G73" t="s">
        <v>284</v>
      </c>
      <c r="H73" t="s">
        <v>639</v>
      </c>
      <c r="I73" t="s">
        <v>46</v>
      </c>
      <c r="J73" t="s">
        <v>640</v>
      </c>
      <c r="K73">
        <v>1</v>
      </c>
      <c r="L73">
        <v>1</v>
      </c>
      <c r="M73" t="s">
        <v>322</v>
      </c>
      <c r="N73">
        <v>1</v>
      </c>
      <c r="O73">
        <v>1</v>
      </c>
      <c r="P73">
        <v>1</v>
      </c>
      <c r="Q73" t="s">
        <v>48</v>
      </c>
      <c r="R73">
        <v>1</v>
      </c>
      <c r="S73">
        <v>0</v>
      </c>
      <c r="T73" t="s">
        <v>1147</v>
      </c>
      <c r="U73" t="s">
        <v>1147</v>
      </c>
      <c r="V73" t="s">
        <v>1147</v>
      </c>
      <c r="W73" t="s">
        <v>1147</v>
      </c>
      <c r="X73">
        <v>0</v>
      </c>
      <c r="Y73" t="s">
        <v>1147</v>
      </c>
      <c r="Z73">
        <v>0</v>
      </c>
      <c r="AA73" t="s">
        <v>1147</v>
      </c>
      <c r="AB73" t="s">
        <v>1147</v>
      </c>
      <c r="AC73" t="s">
        <v>1147</v>
      </c>
      <c r="AD73" t="s">
        <v>1147</v>
      </c>
      <c r="AE73">
        <v>0</v>
      </c>
      <c r="AF73" t="s">
        <v>1147</v>
      </c>
      <c r="AG73" t="s">
        <v>1147</v>
      </c>
      <c r="AH73" t="s">
        <v>1147</v>
      </c>
      <c r="AI73" t="s">
        <v>46</v>
      </c>
      <c r="AJ73" t="s">
        <v>623</v>
      </c>
      <c r="AK73" t="s">
        <v>37</v>
      </c>
      <c r="AL73" t="s">
        <v>1147</v>
      </c>
      <c r="AM73" t="s">
        <v>1147</v>
      </c>
      <c r="AN73" t="s">
        <v>1147</v>
      </c>
      <c r="AO73" t="s">
        <v>1147</v>
      </c>
      <c r="AP73" s="515"/>
    </row>
    <row r="74" spans="1:42" x14ac:dyDescent="0.25">
      <c r="A74" t="s">
        <v>641</v>
      </c>
      <c r="B74" t="s">
        <v>642</v>
      </c>
      <c r="C74" t="s">
        <v>418</v>
      </c>
      <c r="D74" t="s">
        <v>620</v>
      </c>
      <c r="E74" t="s">
        <v>643</v>
      </c>
      <c r="F74" t="s">
        <v>644</v>
      </c>
      <c r="G74" t="s">
        <v>259</v>
      </c>
      <c r="H74" t="s">
        <v>1152</v>
      </c>
      <c r="I74" t="s">
        <v>46</v>
      </c>
      <c r="J74" t="s">
        <v>645</v>
      </c>
      <c r="K74">
        <v>1</v>
      </c>
      <c r="L74">
        <v>1</v>
      </c>
      <c r="M74" t="s">
        <v>322</v>
      </c>
      <c r="N74">
        <v>1</v>
      </c>
      <c r="O74">
        <v>1</v>
      </c>
      <c r="P74">
        <v>1</v>
      </c>
      <c r="Q74" t="s">
        <v>48</v>
      </c>
      <c r="R74">
        <v>1</v>
      </c>
      <c r="S74">
        <v>1</v>
      </c>
      <c r="T74">
        <v>1</v>
      </c>
      <c r="U74" t="s">
        <v>1147</v>
      </c>
      <c r="V74" t="s">
        <v>1147</v>
      </c>
      <c r="W74" t="s">
        <v>1147</v>
      </c>
      <c r="X74">
        <v>1</v>
      </c>
      <c r="Y74" t="s">
        <v>1147</v>
      </c>
      <c r="Z74">
        <v>1</v>
      </c>
      <c r="AA74">
        <v>1</v>
      </c>
      <c r="AB74" t="s">
        <v>1147</v>
      </c>
      <c r="AC74" t="s">
        <v>1147</v>
      </c>
      <c r="AD74" t="s">
        <v>1147</v>
      </c>
      <c r="AE74">
        <v>1</v>
      </c>
      <c r="AF74" t="s">
        <v>1147</v>
      </c>
      <c r="AG74">
        <v>0</v>
      </c>
      <c r="AH74" t="s">
        <v>1147</v>
      </c>
      <c r="AI74" t="s">
        <v>46</v>
      </c>
      <c r="AJ74" t="s">
        <v>623</v>
      </c>
      <c r="AK74" t="s">
        <v>37</v>
      </c>
      <c r="AL74">
        <v>6</v>
      </c>
      <c r="AM74">
        <v>6</v>
      </c>
      <c r="AN74">
        <v>50</v>
      </c>
      <c r="AO74" t="s">
        <v>1147</v>
      </c>
      <c r="AP74" s="515"/>
    </row>
    <row r="75" spans="1:42" ht="105" x14ac:dyDescent="0.25">
      <c r="A75" t="s">
        <v>646</v>
      </c>
      <c r="B75" t="s">
        <v>642</v>
      </c>
      <c r="C75" t="s">
        <v>418</v>
      </c>
      <c r="D75" t="s">
        <v>620</v>
      </c>
      <c r="E75" t="s">
        <v>647</v>
      </c>
      <c r="F75" t="s">
        <v>644</v>
      </c>
      <c r="G75" t="s">
        <v>259</v>
      </c>
      <c r="H75" s="249" t="s">
        <v>1178</v>
      </c>
      <c r="I75" t="s">
        <v>46</v>
      </c>
      <c r="J75" t="s">
        <v>645</v>
      </c>
      <c r="K75">
        <v>1</v>
      </c>
      <c r="L75">
        <v>1</v>
      </c>
      <c r="M75" t="s">
        <v>322</v>
      </c>
      <c r="N75">
        <v>1</v>
      </c>
      <c r="O75">
        <v>6</v>
      </c>
      <c r="P75">
        <v>1</v>
      </c>
      <c r="Q75" t="s">
        <v>48</v>
      </c>
      <c r="R75">
        <v>6</v>
      </c>
      <c r="S75">
        <v>1</v>
      </c>
      <c r="T75">
        <v>1</v>
      </c>
      <c r="U75" t="s">
        <v>1147</v>
      </c>
      <c r="V75" t="s">
        <v>1147</v>
      </c>
      <c r="W75" t="s">
        <v>1147</v>
      </c>
      <c r="X75">
        <v>1</v>
      </c>
      <c r="Y75" t="s">
        <v>1147</v>
      </c>
      <c r="Z75">
        <v>1</v>
      </c>
      <c r="AA75">
        <v>1</v>
      </c>
      <c r="AB75" t="s">
        <v>1147</v>
      </c>
      <c r="AC75" t="s">
        <v>1147</v>
      </c>
      <c r="AD75" t="s">
        <v>1147</v>
      </c>
      <c r="AE75">
        <v>1</v>
      </c>
      <c r="AF75" t="s">
        <v>1147</v>
      </c>
      <c r="AG75">
        <v>0</v>
      </c>
      <c r="AH75" t="s">
        <v>1147</v>
      </c>
      <c r="AI75" t="s">
        <v>46</v>
      </c>
      <c r="AJ75" t="s">
        <v>623</v>
      </c>
      <c r="AK75" t="s">
        <v>37</v>
      </c>
      <c r="AL75">
        <v>30</v>
      </c>
      <c r="AM75">
        <v>24</v>
      </c>
      <c r="AN75">
        <v>100</v>
      </c>
      <c r="AO75" t="s">
        <v>1147</v>
      </c>
      <c r="AP75" s="515"/>
    </row>
    <row r="76" spans="1:42" x14ac:dyDescent="0.25">
      <c r="A76" t="s">
        <v>648</v>
      </c>
      <c r="B76" t="s">
        <v>984</v>
      </c>
      <c r="C76" t="s">
        <v>327</v>
      </c>
      <c r="D76" t="s">
        <v>620</v>
      </c>
      <c r="E76" t="s">
        <v>649</v>
      </c>
      <c r="F76" t="s">
        <v>650</v>
      </c>
      <c r="G76" t="s">
        <v>280</v>
      </c>
      <c r="H76" t="s">
        <v>651</v>
      </c>
      <c r="I76" t="s">
        <v>46</v>
      </c>
      <c r="J76" t="s">
        <v>1147</v>
      </c>
      <c r="K76">
        <v>3</v>
      </c>
      <c r="L76">
        <v>1</v>
      </c>
      <c r="M76" t="s">
        <v>322</v>
      </c>
      <c r="N76">
        <v>1</v>
      </c>
      <c r="O76">
        <v>5000</v>
      </c>
      <c r="P76">
        <v>1</v>
      </c>
      <c r="Q76" t="s">
        <v>48</v>
      </c>
      <c r="R76">
        <v>500</v>
      </c>
      <c r="S76">
        <v>25</v>
      </c>
      <c r="T76">
        <v>25</v>
      </c>
      <c r="U76" t="s">
        <v>1147</v>
      </c>
      <c r="V76" t="s">
        <v>1147</v>
      </c>
      <c r="W76" t="s">
        <v>1147</v>
      </c>
      <c r="X76">
        <v>1</v>
      </c>
      <c r="Y76" t="s">
        <v>1147</v>
      </c>
      <c r="Z76">
        <v>3000</v>
      </c>
      <c r="AA76">
        <v>3000</v>
      </c>
      <c r="AB76" t="s">
        <v>1147</v>
      </c>
      <c r="AC76" t="s">
        <v>1147</v>
      </c>
      <c r="AD76" t="s">
        <v>1147</v>
      </c>
      <c r="AE76">
        <v>1</v>
      </c>
      <c r="AF76" t="s">
        <v>1147</v>
      </c>
      <c r="AG76" t="s">
        <v>1147</v>
      </c>
      <c r="AH76" t="s">
        <v>1147</v>
      </c>
      <c r="AI76" t="s">
        <v>321</v>
      </c>
      <c r="AJ76" t="s">
        <v>623</v>
      </c>
      <c r="AK76" t="s">
        <v>37</v>
      </c>
      <c r="AL76" t="s">
        <v>1147</v>
      </c>
      <c r="AM76" t="s">
        <v>1147</v>
      </c>
      <c r="AN76" t="s">
        <v>1147</v>
      </c>
      <c r="AO76" t="s">
        <v>1147</v>
      </c>
      <c r="AP76" s="515"/>
    </row>
    <row r="77" spans="1:42" x14ac:dyDescent="0.25">
      <c r="A77" t="s">
        <v>652</v>
      </c>
      <c r="B77" t="s">
        <v>653</v>
      </c>
      <c r="C77" t="s">
        <v>418</v>
      </c>
      <c r="D77" t="s">
        <v>620</v>
      </c>
      <c r="E77" t="s">
        <v>654</v>
      </c>
      <c r="F77" t="s">
        <v>655</v>
      </c>
      <c r="G77" t="s">
        <v>284</v>
      </c>
      <c r="H77" t="s">
        <v>656</v>
      </c>
      <c r="I77" t="s">
        <v>46</v>
      </c>
      <c r="J77" t="s">
        <v>657</v>
      </c>
      <c r="K77">
        <v>1</v>
      </c>
      <c r="L77">
        <v>1</v>
      </c>
      <c r="M77" t="s">
        <v>322</v>
      </c>
      <c r="N77">
        <v>1</v>
      </c>
      <c r="O77">
        <v>0</v>
      </c>
      <c r="P77">
        <v>1</v>
      </c>
      <c r="Q77" t="s">
        <v>48</v>
      </c>
      <c r="R77">
        <v>1</v>
      </c>
      <c r="S77">
        <v>0</v>
      </c>
      <c r="T77" t="s">
        <v>1147</v>
      </c>
      <c r="U77" t="s">
        <v>1147</v>
      </c>
      <c r="V77" t="s">
        <v>1147</v>
      </c>
      <c r="W77" t="s">
        <v>1147</v>
      </c>
      <c r="X77">
        <v>0</v>
      </c>
      <c r="Y77" t="s">
        <v>1147</v>
      </c>
      <c r="Z77">
        <v>1</v>
      </c>
      <c r="AA77">
        <v>1</v>
      </c>
      <c r="AB77" t="s">
        <v>1147</v>
      </c>
      <c r="AC77" t="s">
        <v>1147</v>
      </c>
      <c r="AD77" t="s">
        <v>1147</v>
      </c>
      <c r="AE77">
        <v>1</v>
      </c>
      <c r="AF77" t="s">
        <v>1147</v>
      </c>
      <c r="AG77" t="s">
        <v>1147</v>
      </c>
      <c r="AH77" t="s">
        <v>1147</v>
      </c>
      <c r="AI77" t="s">
        <v>46</v>
      </c>
      <c r="AJ77" t="s">
        <v>623</v>
      </c>
      <c r="AK77" t="s">
        <v>37</v>
      </c>
      <c r="AL77" t="s">
        <v>1147</v>
      </c>
      <c r="AM77" t="s">
        <v>1147</v>
      </c>
      <c r="AN77" t="s">
        <v>1147</v>
      </c>
      <c r="AO77" t="s">
        <v>1147</v>
      </c>
      <c r="AP77" s="515"/>
    </row>
    <row r="78" spans="1:42" x14ac:dyDescent="0.25">
      <c r="A78" t="s">
        <v>658</v>
      </c>
      <c r="B78" t="s">
        <v>659</v>
      </c>
      <c r="C78" t="s">
        <v>418</v>
      </c>
      <c r="D78" t="s">
        <v>620</v>
      </c>
      <c r="E78" t="s">
        <v>660</v>
      </c>
      <c r="F78" t="s">
        <v>661</v>
      </c>
      <c r="G78" t="s">
        <v>284</v>
      </c>
      <c r="H78" t="s">
        <v>1173</v>
      </c>
      <c r="I78" t="s">
        <v>321</v>
      </c>
      <c r="J78" t="s">
        <v>1147</v>
      </c>
      <c r="K78">
        <v>1</v>
      </c>
      <c r="L78">
        <v>1</v>
      </c>
      <c r="M78" t="s">
        <v>322</v>
      </c>
      <c r="N78">
        <v>1</v>
      </c>
      <c r="O78">
        <v>1000</v>
      </c>
      <c r="P78">
        <v>1</v>
      </c>
      <c r="Q78" t="s">
        <v>48</v>
      </c>
      <c r="R78">
        <v>1000</v>
      </c>
      <c r="S78">
        <v>2580</v>
      </c>
      <c r="T78">
        <v>2523</v>
      </c>
      <c r="U78" t="s">
        <v>1147</v>
      </c>
      <c r="V78">
        <v>57</v>
      </c>
      <c r="W78" t="s">
        <v>1147</v>
      </c>
      <c r="X78">
        <v>0.97790697674418603</v>
      </c>
      <c r="Y78" t="s">
        <v>1147</v>
      </c>
      <c r="Z78">
        <v>1000</v>
      </c>
      <c r="AA78">
        <v>1000</v>
      </c>
      <c r="AB78" t="s">
        <v>1147</v>
      </c>
      <c r="AC78" t="s">
        <v>1147</v>
      </c>
      <c r="AD78" t="s">
        <v>1147</v>
      </c>
      <c r="AE78">
        <v>1</v>
      </c>
      <c r="AF78" t="s">
        <v>1147</v>
      </c>
      <c r="AG78" t="s">
        <v>1147</v>
      </c>
      <c r="AH78" t="s">
        <v>1147</v>
      </c>
      <c r="AI78" t="s">
        <v>321</v>
      </c>
      <c r="AJ78" t="s">
        <v>623</v>
      </c>
      <c r="AK78" t="s">
        <v>37</v>
      </c>
      <c r="AL78" t="s">
        <v>1147</v>
      </c>
      <c r="AM78" t="s">
        <v>1147</v>
      </c>
      <c r="AN78" t="s">
        <v>1147</v>
      </c>
      <c r="AO78" t="s">
        <v>1147</v>
      </c>
      <c r="AP78" s="515"/>
    </row>
    <row r="79" spans="1:42" x14ac:dyDescent="0.25">
      <c r="A79" t="s">
        <v>662</v>
      </c>
      <c r="B79" t="s">
        <v>663</v>
      </c>
      <c r="C79" t="s">
        <v>418</v>
      </c>
      <c r="D79" t="s">
        <v>620</v>
      </c>
      <c r="E79" t="s">
        <v>660</v>
      </c>
      <c r="F79" t="s">
        <v>661</v>
      </c>
      <c r="G79" t="s">
        <v>284</v>
      </c>
      <c r="H79" t="s">
        <v>1174</v>
      </c>
      <c r="I79" t="s">
        <v>321</v>
      </c>
      <c r="J79" t="s">
        <v>1147</v>
      </c>
      <c r="K79">
        <v>1</v>
      </c>
      <c r="L79">
        <v>1</v>
      </c>
      <c r="M79" t="s">
        <v>322</v>
      </c>
      <c r="N79">
        <v>1</v>
      </c>
      <c r="O79">
        <v>500</v>
      </c>
      <c r="P79">
        <v>1</v>
      </c>
      <c r="Q79" t="s">
        <v>48</v>
      </c>
      <c r="R79">
        <v>500</v>
      </c>
      <c r="S79">
        <v>0</v>
      </c>
      <c r="T79" t="s">
        <v>1147</v>
      </c>
      <c r="U79" t="s">
        <v>1147</v>
      </c>
      <c r="V79" t="s">
        <v>1147</v>
      </c>
      <c r="W79" t="s">
        <v>1147</v>
      </c>
      <c r="X79">
        <v>0</v>
      </c>
      <c r="Y79" t="s">
        <v>1147</v>
      </c>
      <c r="Z79">
        <v>0</v>
      </c>
      <c r="AA79" t="s">
        <v>1147</v>
      </c>
      <c r="AB79" t="s">
        <v>1147</v>
      </c>
      <c r="AC79" t="s">
        <v>1147</v>
      </c>
      <c r="AD79" t="s">
        <v>1147</v>
      </c>
      <c r="AE79">
        <v>0</v>
      </c>
      <c r="AF79" t="s">
        <v>1147</v>
      </c>
      <c r="AG79" t="s">
        <v>1147</v>
      </c>
      <c r="AH79" t="s">
        <v>1147</v>
      </c>
      <c r="AI79" t="s">
        <v>321</v>
      </c>
      <c r="AJ79" t="s">
        <v>623</v>
      </c>
      <c r="AK79" t="s">
        <v>37</v>
      </c>
      <c r="AL79" t="s">
        <v>1147</v>
      </c>
      <c r="AM79" t="s">
        <v>1147</v>
      </c>
      <c r="AN79" t="s">
        <v>1147</v>
      </c>
      <c r="AO79" t="s">
        <v>1147</v>
      </c>
      <c r="AP79" s="515"/>
    </row>
    <row r="80" spans="1:42" x14ac:dyDescent="0.25">
      <c r="A80" t="s">
        <v>664</v>
      </c>
      <c r="B80" t="s">
        <v>665</v>
      </c>
      <c r="C80" t="s">
        <v>327</v>
      </c>
      <c r="D80" t="s">
        <v>620</v>
      </c>
      <c r="E80" t="s">
        <v>666</v>
      </c>
      <c r="F80" t="s">
        <v>667</v>
      </c>
      <c r="G80" t="s">
        <v>970</v>
      </c>
      <c r="H80" t="s">
        <v>668</v>
      </c>
      <c r="I80" t="s">
        <v>321</v>
      </c>
      <c r="J80" t="s">
        <v>1147</v>
      </c>
      <c r="K80">
        <v>0</v>
      </c>
      <c r="L80">
        <v>1</v>
      </c>
      <c r="M80" t="s">
        <v>322</v>
      </c>
      <c r="N80">
        <v>1</v>
      </c>
      <c r="O80">
        <v>0</v>
      </c>
      <c r="P80">
        <v>1</v>
      </c>
      <c r="Q80" t="s">
        <v>48</v>
      </c>
      <c r="R80">
        <v>0</v>
      </c>
      <c r="S80">
        <v>0</v>
      </c>
      <c r="T80" t="s">
        <v>1147</v>
      </c>
      <c r="U80" t="s">
        <v>1147</v>
      </c>
      <c r="V80" t="s">
        <v>1147</v>
      </c>
      <c r="W80" t="s">
        <v>1147</v>
      </c>
      <c r="X80">
        <v>0</v>
      </c>
      <c r="Y80" t="s">
        <v>1147</v>
      </c>
      <c r="Z80">
        <v>0</v>
      </c>
      <c r="AA80" t="s">
        <v>1147</v>
      </c>
      <c r="AB80" t="s">
        <v>1147</v>
      </c>
      <c r="AC80" t="s">
        <v>1147</v>
      </c>
      <c r="AD80" t="s">
        <v>1147</v>
      </c>
      <c r="AE80">
        <v>0</v>
      </c>
      <c r="AF80" t="s">
        <v>1147</v>
      </c>
      <c r="AG80" t="s">
        <v>1147</v>
      </c>
      <c r="AH80" t="s">
        <v>1147</v>
      </c>
      <c r="AI80" t="s">
        <v>321</v>
      </c>
      <c r="AJ80" t="s">
        <v>623</v>
      </c>
      <c r="AK80" t="s">
        <v>37</v>
      </c>
      <c r="AL80" t="s">
        <v>1147</v>
      </c>
      <c r="AM80" t="s">
        <v>1147</v>
      </c>
      <c r="AN80" t="s">
        <v>1147</v>
      </c>
      <c r="AO80" t="s">
        <v>1147</v>
      </c>
      <c r="AP80" s="515"/>
    </row>
    <row r="81" spans="1:42" x14ac:dyDescent="0.25">
      <c r="A81" t="s">
        <v>669</v>
      </c>
      <c r="B81" t="s">
        <v>985</v>
      </c>
      <c r="C81" t="s">
        <v>418</v>
      </c>
      <c r="D81" t="s">
        <v>620</v>
      </c>
      <c r="E81" t="s">
        <v>670</v>
      </c>
      <c r="F81" t="s">
        <v>671</v>
      </c>
      <c r="G81" t="s">
        <v>970</v>
      </c>
      <c r="H81" t="s">
        <v>1153</v>
      </c>
      <c r="I81" t="s">
        <v>321</v>
      </c>
      <c r="J81" t="s">
        <v>1147</v>
      </c>
      <c r="K81">
        <v>1</v>
      </c>
      <c r="L81">
        <v>1</v>
      </c>
      <c r="M81" t="s">
        <v>322</v>
      </c>
      <c r="N81">
        <v>1</v>
      </c>
      <c r="O81">
        <v>0</v>
      </c>
      <c r="P81">
        <v>1</v>
      </c>
      <c r="Q81" t="s">
        <v>48</v>
      </c>
      <c r="R81">
        <v>0</v>
      </c>
      <c r="S81">
        <v>0</v>
      </c>
      <c r="T81" t="s">
        <v>1147</v>
      </c>
      <c r="U81" t="s">
        <v>1147</v>
      </c>
      <c r="V81" t="s">
        <v>1147</v>
      </c>
      <c r="W81" t="s">
        <v>1147</v>
      </c>
      <c r="X81">
        <v>0</v>
      </c>
      <c r="Y81" t="s">
        <v>1147</v>
      </c>
      <c r="Z81">
        <v>0</v>
      </c>
      <c r="AA81" t="s">
        <v>1147</v>
      </c>
      <c r="AB81" t="s">
        <v>1147</v>
      </c>
      <c r="AC81" t="s">
        <v>1147</v>
      </c>
      <c r="AD81" t="s">
        <v>1147</v>
      </c>
      <c r="AE81">
        <v>0</v>
      </c>
      <c r="AF81" t="s">
        <v>1147</v>
      </c>
      <c r="AG81" t="s">
        <v>1147</v>
      </c>
      <c r="AH81" t="s">
        <v>1147</v>
      </c>
      <c r="AI81" t="s">
        <v>46</v>
      </c>
      <c r="AJ81" t="s">
        <v>623</v>
      </c>
      <c r="AK81" t="s">
        <v>37</v>
      </c>
      <c r="AL81" t="s">
        <v>1147</v>
      </c>
      <c r="AM81" t="s">
        <v>1147</v>
      </c>
      <c r="AN81" t="s">
        <v>1147</v>
      </c>
      <c r="AO81" t="s">
        <v>1147</v>
      </c>
      <c r="AP81" s="515"/>
    </row>
    <row r="82" spans="1:42" ht="60" x14ac:dyDescent="0.25">
      <c r="A82" t="s">
        <v>672</v>
      </c>
      <c r="B82" t="s">
        <v>673</v>
      </c>
      <c r="C82" t="s">
        <v>418</v>
      </c>
      <c r="D82" t="s">
        <v>620</v>
      </c>
      <c r="E82" t="s">
        <v>674</v>
      </c>
      <c r="F82" t="s">
        <v>675</v>
      </c>
      <c r="G82" t="s">
        <v>284</v>
      </c>
      <c r="H82" s="249" t="s">
        <v>676</v>
      </c>
      <c r="I82" t="s">
        <v>46</v>
      </c>
      <c r="J82" t="s">
        <v>677</v>
      </c>
      <c r="K82">
        <v>1</v>
      </c>
      <c r="L82">
        <v>1</v>
      </c>
      <c r="M82" t="s">
        <v>322</v>
      </c>
      <c r="N82">
        <v>1</v>
      </c>
      <c r="O82">
        <v>4</v>
      </c>
      <c r="P82">
        <v>1</v>
      </c>
      <c r="Q82" t="s">
        <v>48</v>
      </c>
      <c r="R82">
        <v>4</v>
      </c>
      <c r="S82">
        <v>4</v>
      </c>
      <c r="T82">
        <v>4</v>
      </c>
      <c r="U82" t="s">
        <v>1147</v>
      </c>
      <c r="V82" t="s">
        <v>1147</v>
      </c>
      <c r="W82" t="s">
        <v>1147</v>
      </c>
      <c r="X82">
        <v>1</v>
      </c>
      <c r="Y82" t="s">
        <v>1147</v>
      </c>
      <c r="Z82">
        <v>4</v>
      </c>
      <c r="AA82">
        <v>4</v>
      </c>
      <c r="AB82" t="s">
        <v>1147</v>
      </c>
      <c r="AC82" t="s">
        <v>1147</v>
      </c>
      <c r="AD82" t="s">
        <v>1147</v>
      </c>
      <c r="AE82">
        <v>1</v>
      </c>
      <c r="AF82" t="s">
        <v>1147</v>
      </c>
      <c r="AG82">
        <v>0</v>
      </c>
      <c r="AH82" t="s">
        <v>1147</v>
      </c>
      <c r="AI82" t="s">
        <v>46</v>
      </c>
      <c r="AJ82" t="s">
        <v>623</v>
      </c>
      <c r="AK82" t="s">
        <v>31</v>
      </c>
      <c r="AL82" t="s">
        <v>1147</v>
      </c>
      <c r="AM82" t="s">
        <v>1147</v>
      </c>
      <c r="AN82" t="s">
        <v>1147</v>
      </c>
      <c r="AO82" t="s">
        <v>1147</v>
      </c>
      <c r="AP82" s="515"/>
    </row>
    <row r="83" spans="1:42" x14ac:dyDescent="0.25">
      <c r="A83" t="s">
        <v>678</v>
      </c>
      <c r="B83" t="s">
        <v>679</v>
      </c>
      <c r="C83" t="s">
        <v>418</v>
      </c>
      <c r="D83" t="s">
        <v>620</v>
      </c>
      <c r="E83" t="s">
        <v>680</v>
      </c>
      <c r="F83" t="s">
        <v>681</v>
      </c>
      <c r="G83" t="s">
        <v>970</v>
      </c>
      <c r="H83" t="s">
        <v>1154</v>
      </c>
      <c r="I83" t="s">
        <v>682</v>
      </c>
      <c r="J83" t="s">
        <v>1147</v>
      </c>
      <c r="K83">
        <v>0</v>
      </c>
      <c r="L83">
        <v>1</v>
      </c>
      <c r="M83" t="s">
        <v>322</v>
      </c>
      <c r="N83">
        <v>1</v>
      </c>
      <c r="O83">
        <v>0</v>
      </c>
      <c r="P83">
        <v>1</v>
      </c>
      <c r="Q83" t="s">
        <v>48</v>
      </c>
      <c r="R83">
        <v>0</v>
      </c>
      <c r="S83">
        <v>0</v>
      </c>
      <c r="T83" t="s">
        <v>1147</v>
      </c>
      <c r="U83" t="s">
        <v>1147</v>
      </c>
      <c r="V83" t="s">
        <v>1147</v>
      </c>
      <c r="W83" t="s">
        <v>1147</v>
      </c>
      <c r="X83">
        <v>0</v>
      </c>
      <c r="Y83" t="s">
        <v>1147</v>
      </c>
      <c r="Z83">
        <v>0</v>
      </c>
      <c r="AA83" t="s">
        <v>1147</v>
      </c>
      <c r="AB83" t="s">
        <v>1147</v>
      </c>
      <c r="AC83" t="s">
        <v>1147</v>
      </c>
      <c r="AD83" t="s">
        <v>1147</v>
      </c>
      <c r="AE83">
        <v>0</v>
      </c>
      <c r="AF83" t="s">
        <v>1147</v>
      </c>
      <c r="AG83" t="s">
        <v>1147</v>
      </c>
      <c r="AH83" t="s">
        <v>1147</v>
      </c>
      <c r="AI83" t="s">
        <v>46</v>
      </c>
      <c r="AJ83" t="s">
        <v>623</v>
      </c>
      <c r="AK83" t="s">
        <v>37</v>
      </c>
      <c r="AL83" t="s">
        <v>1147</v>
      </c>
      <c r="AM83" t="s">
        <v>1147</v>
      </c>
      <c r="AN83" t="s">
        <v>1147</v>
      </c>
      <c r="AO83" t="s">
        <v>1147</v>
      </c>
      <c r="AP83" s="515"/>
    </row>
    <row r="84" spans="1:42" x14ac:dyDescent="0.25">
      <c r="A84" t="s">
        <v>683</v>
      </c>
      <c r="B84" t="s">
        <v>684</v>
      </c>
      <c r="C84" t="s">
        <v>685</v>
      </c>
      <c r="D84" t="s">
        <v>686</v>
      </c>
      <c r="E84" t="s">
        <v>687</v>
      </c>
      <c r="F84" t="s">
        <v>688</v>
      </c>
      <c r="G84" t="s">
        <v>970</v>
      </c>
      <c r="H84" t="s">
        <v>689</v>
      </c>
      <c r="I84" t="s">
        <v>46</v>
      </c>
      <c r="J84" t="s">
        <v>690</v>
      </c>
      <c r="K84">
        <v>1</v>
      </c>
      <c r="L84">
        <v>1</v>
      </c>
      <c r="M84" t="s">
        <v>322</v>
      </c>
      <c r="N84">
        <v>1</v>
      </c>
      <c r="O84">
        <v>1</v>
      </c>
      <c r="P84">
        <v>1</v>
      </c>
      <c r="Q84" t="s">
        <v>48</v>
      </c>
      <c r="R84">
        <v>0</v>
      </c>
      <c r="S84">
        <v>0</v>
      </c>
      <c r="T84" t="s">
        <v>1147</v>
      </c>
      <c r="U84" t="s">
        <v>1147</v>
      </c>
      <c r="V84" t="s">
        <v>1147</v>
      </c>
      <c r="W84" t="s">
        <v>1147</v>
      </c>
      <c r="X84">
        <v>0</v>
      </c>
      <c r="Y84" t="s">
        <v>1147</v>
      </c>
      <c r="Z84">
        <v>0</v>
      </c>
      <c r="AA84" t="s">
        <v>1147</v>
      </c>
      <c r="AB84" t="s">
        <v>1147</v>
      </c>
      <c r="AC84" t="s">
        <v>1147</v>
      </c>
      <c r="AD84" t="s">
        <v>1147</v>
      </c>
      <c r="AE84">
        <v>0</v>
      </c>
      <c r="AF84" t="s">
        <v>1147</v>
      </c>
      <c r="AG84" t="s">
        <v>1147</v>
      </c>
      <c r="AH84" t="s">
        <v>1147</v>
      </c>
      <c r="AI84" t="s">
        <v>46</v>
      </c>
      <c r="AJ84" t="s">
        <v>691</v>
      </c>
      <c r="AK84" t="s">
        <v>37</v>
      </c>
      <c r="AL84" t="s">
        <v>1147</v>
      </c>
      <c r="AM84" t="s">
        <v>1147</v>
      </c>
      <c r="AN84" t="s">
        <v>1147</v>
      </c>
      <c r="AO84" t="s">
        <v>1147</v>
      </c>
      <c r="AP84" s="515"/>
    </row>
    <row r="85" spans="1:42" x14ac:dyDescent="0.25">
      <c r="A85" t="s">
        <v>692</v>
      </c>
      <c r="B85" t="s">
        <v>986</v>
      </c>
      <c r="C85" t="s">
        <v>685</v>
      </c>
      <c r="D85" t="s">
        <v>686</v>
      </c>
      <c r="E85" t="s">
        <v>693</v>
      </c>
      <c r="F85" t="s">
        <v>694</v>
      </c>
      <c r="G85" t="s">
        <v>970</v>
      </c>
      <c r="H85" t="s">
        <v>1155</v>
      </c>
      <c r="I85" t="s">
        <v>321</v>
      </c>
      <c r="J85" t="s">
        <v>1147</v>
      </c>
      <c r="K85">
        <v>1</v>
      </c>
      <c r="L85">
        <v>1</v>
      </c>
      <c r="M85" t="s">
        <v>322</v>
      </c>
      <c r="N85">
        <v>1</v>
      </c>
      <c r="O85">
        <v>500</v>
      </c>
      <c r="P85">
        <v>1</v>
      </c>
      <c r="Q85" t="s">
        <v>48</v>
      </c>
      <c r="R85">
        <v>500</v>
      </c>
      <c r="S85">
        <v>0</v>
      </c>
      <c r="T85" t="s">
        <v>1147</v>
      </c>
      <c r="U85" t="s">
        <v>1147</v>
      </c>
      <c r="V85" t="s">
        <v>1147</v>
      </c>
      <c r="W85" t="s">
        <v>1147</v>
      </c>
      <c r="X85">
        <v>0</v>
      </c>
      <c r="Y85" t="s">
        <v>1147</v>
      </c>
      <c r="Z85">
        <v>0</v>
      </c>
      <c r="AA85" t="s">
        <v>1147</v>
      </c>
      <c r="AB85" t="s">
        <v>1147</v>
      </c>
      <c r="AC85" t="s">
        <v>1147</v>
      </c>
      <c r="AD85" t="s">
        <v>1147</v>
      </c>
      <c r="AE85">
        <v>0</v>
      </c>
      <c r="AF85" t="s">
        <v>1147</v>
      </c>
      <c r="AG85" t="s">
        <v>1147</v>
      </c>
      <c r="AH85" t="s">
        <v>1147</v>
      </c>
      <c r="AI85" t="s">
        <v>321</v>
      </c>
      <c r="AJ85" t="s">
        <v>691</v>
      </c>
      <c r="AK85" t="s">
        <v>37</v>
      </c>
      <c r="AL85" t="s">
        <v>1147</v>
      </c>
      <c r="AM85" t="s">
        <v>1147</v>
      </c>
      <c r="AN85" t="s">
        <v>1147</v>
      </c>
      <c r="AO85" t="s">
        <v>1147</v>
      </c>
      <c r="AP85" s="515"/>
    </row>
    <row r="86" spans="1:42" x14ac:dyDescent="0.25">
      <c r="A86" t="s">
        <v>695</v>
      </c>
      <c r="B86" t="s">
        <v>696</v>
      </c>
      <c r="C86" t="s">
        <v>685</v>
      </c>
      <c r="D86" t="s">
        <v>686</v>
      </c>
      <c r="E86" t="s">
        <v>697</v>
      </c>
      <c r="F86" t="s">
        <v>698</v>
      </c>
      <c r="G86" t="s">
        <v>970</v>
      </c>
      <c r="H86" t="s">
        <v>699</v>
      </c>
      <c r="I86" t="s">
        <v>700</v>
      </c>
      <c r="J86" t="s">
        <v>1147</v>
      </c>
      <c r="K86">
        <v>1</v>
      </c>
      <c r="L86">
        <v>1</v>
      </c>
      <c r="M86" t="s">
        <v>322</v>
      </c>
      <c r="N86">
        <v>1</v>
      </c>
      <c r="O86">
        <v>1</v>
      </c>
      <c r="P86">
        <v>1</v>
      </c>
      <c r="Q86" t="s">
        <v>48</v>
      </c>
      <c r="R86">
        <v>1</v>
      </c>
      <c r="S86">
        <v>1</v>
      </c>
      <c r="T86">
        <v>1</v>
      </c>
      <c r="U86" t="s">
        <v>1147</v>
      </c>
      <c r="V86" t="s">
        <v>1147</v>
      </c>
      <c r="W86" t="s">
        <v>1147</v>
      </c>
      <c r="X86">
        <v>1</v>
      </c>
      <c r="Y86" t="s">
        <v>1147</v>
      </c>
      <c r="Z86">
        <v>1</v>
      </c>
      <c r="AA86">
        <v>1</v>
      </c>
      <c r="AB86" t="s">
        <v>1147</v>
      </c>
      <c r="AC86" t="s">
        <v>1147</v>
      </c>
      <c r="AD86" t="s">
        <v>1147</v>
      </c>
      <c r="AE86">
        <v>1</v>
      </c>
      <c r="AF86" t="s">
        <v>1147</v>
      </c>
      <c r="AG86" t="s">
        <v>1147</v>
      </c>
      <c r="AH86" t="s">
        <v>1147</v>
      </c>
      <c r="AI86" t="s">
        <v>46</v>
      </c>
      <c r="AJ86" t="s">
        <v>691</v>
      </c>
      <c r="AK86" t="s">
        <v>37</v>
      </c>
      <c r="AL86" t="s">
        <v>1147</v>
      </c>
      <c r="AM86" t="s">
        <v>1147</v>
      </c>
      <c r="AN86" t="s">
        <v>1147</v>
      </c>
      <c r="AO86" t="s">
        <v>1147</v>
      </c>
      <c r="AP86" s="515"/>
    </row>
    <row r="87" spans="1:42" ht="45" x14ac:dyDescent="0.25">
      <c r="A87" t="s">
        <v>701</v>
      </c>
      <c r="B87" t="s">
        <v>702</v>
      </c>
      <c r="C87" t="s">
        <v>685</v>
      </c>
      <c r="D87" t="s">
        <v>686</v>
      </c>
      <c r="E87" t="s">
        <v>703</v>
      </c>
      <c r="F87" t="s">
        <v>704</v>
      </c>
      <c r="G87" t="s">
        <v>259</v>
      </c>
      <c r="H87" s="249" t="s">
        <v>1156</v>
      </c>
      <c r="I87" t="s">
        <v>46</v>
      </c>
      <c r="J87" t="s">
        <v>1147</v>
      </c>
      <c r="K87">
        <v>1</v>
      </c>
      <c r="L87">
        <v>1</v>
      </c>
      <c r="M87" t="s">
        <v>322</v>
      </c>
      <c r="N87">
        <v>1</v>
      </c>
      <c r="O87">
        <v>2</v>
      </c>
      <c r="P87">
        <v>1</v>
      </c>
      <c r="Q87" t="s">
        <v>48</v>
      </c>
      <c r="R87">
        <v>2</v>
      </c>
      <c r="S87">
        <v>2</v>
      </c>
      <c r="T87">
        <v>2</v>
      </c>
      <c r="U87" t="s">
        <v>1147</v>
      </c>
      <c r="V87" t="s">
        <v>1147</v>
      </c>
      <c r="W87" t="s">
        <v>1147</v>
      </c>
      <c r="X87">
        <v>1</v>
      </c>
      <c r="Y87" t="s">
        <v>1147</v>
      </c>
      <c r="Z87">
        <v>2</v>
      </c>
      <c r="AA87">
        <v>2</v>
      </c>
      <c r="AB87" t="s">
        <v>1147</v>
      </c>
      <c r="AC87" t="s">
        <v>1147</v>
      </c>
      <c r="AD87" t="s">
        <v>1147</v>
      </c>
      <c r="AE87">
        <v>1</v>
      </c>
      <c r="AF87" t="s">
        <v>1147</v>
      </c>
      <c r="AG87">
        <v>0</v>
      </c>
      <c r="AH87" t="s">
        <v>1147</v>
      </c>
      <c r="AI87" t="s">
        <v>46</v>
      </c>
      <c r="AJ87" t="s">
        <v>691</v>
      </c>
      <c r="AK87" t="s">
        <v>37</v>
      </c>
      <c r="AL87">
        <v>12</v>
      </c>
      <c r="AM87">
        <v>8</v>
      </c>
      <c r="AN87">
        <v>50</v>
      </c>
      <c r="AO87" t="s">
        <v>1147</v>
      </c>
      <c r="AP87" s="515"/>
    </row>
    <row r="88" spans="1:42" x14ac:dyDescent="0.25">
      <c r="A88" t="s">
        <v>705</v>
      </c>
      <c r="B88" t="s">
        <v>706</v>
      </c>
      <c r="C88" t="s">
        <v>418</v>
      </c>
      <c r="D88" t="s">
        <v>707</v>
      </c>
      <c r="E88" t="s">
        <v>708</v>
      </c>
      <c r="F88" t="s">
        <v>709</v>
      </c>
      <c r="G88" t="s">
        <v>259</v>
      </c>
      <c r="H88" t="s">
        <v>710</v>
      </c>
      <c r="I88" t="s">
        <v>46</v>
      </c>
      <c r="J88" t="s">
        <v>1147</v>
      </c>
      <c r="K88">
        <v>1</v>
      </c>
      <c r="L88">
        <v>1</v>
      </c>
      <c r="M88" t="s">
        <v>322</v>
      </c>
      <c r="N88">
        <v>1</v>
      </c>
      <c r="O88">
        <v>1</v>
      </c>
      <c r="P88">
        <v>1</v>
      </c>
      <c r="Q88" t="s">
        <v>48</v>
      </c>
      <c r="R88">
        <v>1</v>
      </c>
      <c r="S88">
        <v>1</v>
      </c>
      <c r="T88">
        <v>1</v>
      </c>
      <c r="U88" t="s">
        <v>1147</v>
      </c>
      <c r="V88" t="s">
        <v>1147</v>
      </c>
      <c r="W88" t="s">
        <v>1147</v>
      </c>
      <c r="X88">
        <v>1</v>
      </c>
      <c r="Y88" t="s">
        <v>1147</v>
      </c>
      <c r="Z88">
        <v>1</v>
      </c>
      <c r="AA88">
        <v>1</v>
      </c>
      <c r="AB88" t="s">
        <v>1147</v>
      </c>
      <c r="AC88" t="s">
        <v>1147</v>
      </c>
      <c r="AD88" t="s">
        <v>1147</v>
      </c>
      <c r="AE88">
        <v>1</v>
      </c>
      <c r="AF88" t="s">
        <v>1147</v>
      </c>
      <c r="AG88">
        <v>0</v>
      </c>
      <c r="AH88" t="s">
        <v>1147</v>
      </c>
      <c r="AI88" t="s">
        <v>46</v>
      </c>
      <c r="AJ88" t="s">
        <v>711</v>
      </c>
      <c r="AK88" t="s">
        <v>37</v>
      </c>
      <c r="AL88">
        <v>6</v>
      </c>
      <c r="AM88">
        <v>6</v>
      </c>
      <c r="AN88" t="s">
        <v>1147</v>
      </c>
      <c r="AO88" t="s">
        <v>1147</v>
      </c>
      <c r="AP88" s="515"/>
    </row>
    <row r="89" spans="1:42" x14ac:dyDescent="0.25">
      <c r="A89" t="s">
        <v>712</v>
      </c>
      <c r="B89" t="s">
        <v>713</v>
      </c>
      <c r="C89" t="s">
        <v>418</v>
      </c>
      <c r="D89" t="s">
        <v>707</v>
      </c>
      <c r="E89" t="s">
        <v>714</v>
      </c>
      <c r="F89" t="s">
        <v>715</v>
      </c>
      <c r="G89" t="s">
        <v>280</v>
      </c>
      <c r="H89" t="s">
        <v>716</v>
      </c>
      <c r="I89" t="s">
        <v>46</v>
      </c>
      <c r="J89" t="s">
        <v>717</v>
      </c>
      <c r="K89">
        <v>1</v>
      </c>
      <c r="L89">
        <v>1</v>
      </c>
      <c r="M89" t="s">
        <v>322</v>
      </c>
      <c r="N89">
        <v>1</v>
      </c>
      <c r="O89">
        <v>1</v>
      </c>
      <c r="P89">
        <v>1</v>
      </c>
      <c r="Q89" t="s">
        <v>48</v>
      </c>
      <c r="R89">
        <v>0</v>
      </c>
      <c r="S89">
        <v>0</v>
      </c>
      <c r="T89">
        <v>0</v>
      </c>
      <c r="U89" t="s">
        <v>1147</v>
      </c>
      <c r="V89" t="s">
        <v>1147</v>
      </c>
      <c r="W89" t="s">
        <v>1147</v>
      </c>
      <c r="X89">
        <v>0</v>
      </c>
      <c r="Y89" t="s">
        <v>1147</v>
      </c>
      <c r="Z89">
        <v>0</v>
      </c>
      <c r="AA89">
        <v>0</v>
      </c>
      <c r="AB89" t="s">
        <v>1147</v>
      </c>
      <c r="AC89" t="s">
        <v>1147</v>
      </c>
      <c r="AD89" t="s">
        <v>1147</v>
      </c>
      <c r="AE89">
        <v>0</v>
      </c>
      <c r="AF89" t="s">
        <v>1147</v>
      </c>
      <c r="AG89" t="s">
        <v>1147</v>
      </c>
      <c r="AH89" t="s">
        <v>1147</v>
      </c>
      <c r="AI89" t="s">
        <v>46</v>
      </c>
      <c r="AJ89" t="s">
        <v>711</v>
      </c>
      <c r="AK89" t="s">
        <v>37</v>
      </c>
      <c r="AL89" t="s">
        <v>1147</v>
      </c>
      <c r="AM89" t="s">
        <v>1147</v>
      </c>
      <c r="AN89" t="s">
        <v>1147</v>
      </c>
      <c r="AO89" t="s">
        <v>1147</v>
      </c>
      <c r="AP89" s="515"/>
    </row>
    <row r="90" spans="1:42" x14ac:dyDescent="0.25">
      <c r="A90" t="s">
        <v>718</v>
      </c>
      <c r="B90" t="s">
        <v>719</v>
      </c>
      <c r="C90" t="s">
        <v>418</v>
      </c>
      <c r="D90" t="s">
        <v>707</v>
      </c>
      <c r="E90" t="s">
        <v>720</v>
      </c>
      <c r="F90" t="s">
        <v>721</v>
      </c>
      <c r="G90" t="s">
        <v>259</v>
      </c>
      <c r="H90" t="s">
        <v>722</v>
      </c>
      <c r="I90" t="s">
        <v>46</v>
      </c>
      <c r="J90" t="s">
        <v>723</v>
      </c>
      <c r="K90">
        <v>1</v>
      </c>
      <c r="L90">
        <v>1</v>
      </c>
      <c r="M90" t="s">
        <v>322</v>
      </c>
      <c r="N90">
        <v>1</v>
      </c>
      <c r="O90">
        <v>1</v>
      </c>
      <c r="P90">
        <v>1</v>
      </c>
      <c r="Q90" t="s">
        <v>48</v>
      </c>
      <c r="R90">
        <v>1</v>
      </c>
      <c r="S90">
        <v>1</v>
      </c>
      <c r="T90">
        <v>1</v>
      </c>
      <c r="U90" t="s">
        <v>1147</v>
      </c>
      <c r="V90" t="s">
        <v>1147</v>
      </c>
      <c r="W90" t="s">
        <v>1147</v>
      </c>
      <c r="X90">
        <v>1</v>
      </c>
      <c r="Y90" t="s">
        <v>1147</v>
      </c>
      <c r="Z90">
        <v>1</v>
      </c>
      <c r="AA90">
        <v>1</v>
      </c>
      <c r="AB90" t="s">
        <v>1147</v>
      </c>
      <c r="AC90" t="s">
        <v>1147</v>
      </c>
      <c r="AD90" t="s">
        <v>1147</v>
      </c>
      <c r="AE90">
        <v>1</v>
      </c>
      <c r="AF90" t="s">
        <v>1147</v>
      </c>
      <c r="AG90">
        <v>0</v>
      </c>
      <c r="AH90" t="s">
        <v>1147</v>
      </c>
      <c r="AI90" t="s">
        <v>46</v>
      </c>
      <c r="AJ90" t="s">
        <v>711</v>
      </c>
      <c r="AK90" t="s">
        <v>37</v>
      </c>
      <c r="AL90">
        <v>6</v>
      </c>
      <c r="AM90">
        <v>6</v>
      </c>
      <c r="AN90" t="s">
        <v>1147</v>
      </c>
      <c r="AO90" t="s">
        <v>1147</v>
      </c>
      <c r="AP90" s="515"/>
    </row>
    <row r="91" spans="1:42" x14ac:dyDescent="0.25">
      <c r="A91" t="s">
        <v>724</v>
      </c>
      <c r="B91" t="s">
        <v>725</v>
      </c>
      <c r="C91" t="s">
        <v>418</v>
      </c>
      <c r="D91" t="s">
        <v>707</v>
      </c>
      <c r="E91" t="s">
        <v>726</v>
      </c>
      <c r="F91" t="s">
        <v>727</v>
      </c>
      <c r="G91" t="s">
        <v>259</v>
      </c>
      <c r="H91" t="s">
        <v>728</v>
      </c>
      <c r="I91" t="s">
        <v>46</v>
      </c>
      <c r="J91" t="s">
        <v>729</v>
      </c>
      <c r="K91">
        <v>1</v>
      </c>
      <c r="L91">
        <v>1</v>
      </c>
      <c r="M91" t="s">
        <v>322</v>
      </c>
      <c r="N91">
        <v>1</v>
      </c>
      <c r="O91">
        <v>1</v>
      </c>
      <c r="P91">
        <v>1</v>
      </c>
      <c r="Q91" t="s">
        <v>48</v>
      </c>
      <c r="R91">
        <v>1</v>
      </c>
      <c r="S91">
        <v>1</v>
      </c>
      <c r="T91">
        <v>1</v>
      </c>
      <c r="U91" t="s">
        <v>1147</v>
      </c>
      <c r="V91" t="s">
        <v>1147</v>
      </c>
      <c r="W91" t="s">
        <v>1147</v>
      </c>
      <c r="X91">
        <v>1</v>
      </c>
      <c r="Y91" t="s">
        <v>1147</v>
      </c>
      <c r="Z91">
        <v>1</v>
      </c>
      <c r="AA91">
        <v>1</v>
      </c>
      <c r="AB91" t="s">
        <v>1147</v>
      </c>
      <c r="AC91" t="s">
        <v>1147</v>
      </c>
      <c r="AD91" t="s">
        <v>1147</v>
      </c>
      <c r="AE91">
        <v>1</v>
      </c>
      <c r="AF91" t="s">
        <v>1147</v>
      </c>
      <c r="AG91">
        <v>0</v>
      </c>
      <c r="AH91" t="s">
        <v>1147</v>
      </c>
      <c r="AI91" t="s">
        <v>46</v>
      </c>
      <c r="AJ91" t="s">
        <v>711</v>
      </c>
      <c r="AK91" t="s">
        <v>37</v>
      </c>
      <c r="AL91">
        <v>6</v>
      </c>
      <c r="AM91">
        <v>6</v>
      </c>
      <c r="AN91" t="s">
        <v>1147</v>
      </c>
      <c r="AO91" t="s">
        <v>1147</v>
      </c>
      <c r="AP91" s="515"/>
    </row>
    <row r="92" spans="1:42" x14ac:dyDescent="0.25">
      <c r="A92" t="s">
        <v>730</v>
      </c>
      <c r="B92" t="s">
        <v>731</v>
      </c>
      <c r="C92" t="s">
        <v>418</v>
      </c>
      <c r="D92" t="s">
        <v>707</v>
      </c>
      <c r="E92" t="s">
        <v>732</v>
      </c>
      <c r="F92" t="s">
        <v>733</v>
      </c>
      <c r="G92" t="s">
        <v>280</v>
      </c>
      <c r="H92" t="s">
        <v>734</v>
      </c>
      <c r="I92" t="s">
        <v>46</v>
      </c>
      <c r="J92" t="s">
        <v>735</v>
      </c>
      <c r="K92">
        <v>1</v>
      </c>
      <c r="L92">
        <v>1</v>
      </c>
      <c r="M92" t="s">
        <v>322</v>
      </c>
      <c r="N92">
        <v>1</v>
      </c>
      <c r="O92">
        <v>1</v>
      </c>
      <c r="P92">
        <v>1</v>
      </c>
      <c r="Q92" t="s">
        <v>48</v>
      </c>
      <c r="R92">
        <v>1</v>
      </c>
      <c r="S92">
        <v>1</v>
      </c>
      <c r="T92">
        <v>1</v>
      </c>
      <c r="U92" t="s">
        <v>1147</v>
      </c>
      <c r="V92" t="s">
        <v>1147</v>
      </c>
      <c r="W92" t="s">
        <v>1147</v>
      </c>
      <c r="X92">
        <v>1</v>
      </c>
      <c r="Y92" t="s">
        <v>1147</v>
      </c>
      <c r="Z92">
        <v>1</v>
      </c>
      <c r="AA92">
        <v>1</v>
      </c>
      <c r="AB92" t="s">
        <v>1147</v>
      </c>
      <c r="AC92" t="s">
        <v>1147</v>
      </c>
      <c r="AD92" t="s">
        <v>1147</v>
      </c>
      <c r="AE92">
        <v>1</v>
      </c>
      <c r="AF92" t="s">
        <v>1147</v>
      </c>
      <c r="AG92">
        <v>0</v>
      </c>
      <c r="AH92" t="s">
        <v>1147</v>
      </c>
      <c r="AI92" t="s">
        <v>46</v>
      </c>
      <c r="AJ92" t="s">
        <v>711</v>
      </c>
      <c r="AK92" t="s">
        <v>37</v>
      </c>
      <c r="AL92">
        <v>6</v>
      </c>
      <c r="AM92" t="s">
        <v>1147</v>
      </c>
      <c r="AN92" t="s">
        <v>1147</v>
      </c>
      <c r="AO92" t="s">
        <v>1147</v>
      </c>
      <c r="AP92" s="515"/>
    </row>
    <row r="93" spans="1:42" ht="30" x14ac:dyDescent="0.25">
      <c r="A93" t="s">
        <v>736</v>
      </c>
      <c r="B93" t="s">
        <v>737</v>
      </c>
      <c r="C93" t="s">
        <v>418</v>
      </c>
      <c r="D93" t="s">
        <v>707</v>
      </c>
      <c r="E93" t="s">
        <v>738</v>
      </c>
      <c r="F93" t="s">
        <v>739</v>
      </c>
      <c r="G93" t="s">
        <v>280</v>
      </c>
      <c r="H93" s="249" t="s">
        <v>1175</v>
      </c>
      <c r="I93" t="s">
        <v>46</v>
      </c>
      <c r="J93" t="s">
        <v>740</v>
      </c>
      <c r="K93">
        <v>1</v>
      </c>
      <c r="L93">
        <v>1</v>
      </c>
      <c r="M93" t="s">
        <v>322</v>
      </c>
      <c r="N93">
        <v>1</v>
      </c>
      <c r="O93">
        <v>2</v>
      </c>
      <c r="P93">
        <v>1</v>
      </c>
      <c r="Q93" t="s">
        <v>48</v>
      </c>
      <c r="R93">
        <v>2</v>
      </c>
      <c r="S93">
        <v>2</v>
      </c>
      <c r="T93">
        <v>2</v>
      </c>
      <c r="U93" t="s">
        <v>1147</v>
      </c>
      <c r="V93" t="s">
        <v>1147</v>
      </c>
      <c r="W93" t="s">
        <v>1147</v>
      </c>
      <c r="X93">
        <v>1</v>
      </c>
      <c r="Y93" t="s">
        <v>1147</v>
      </c>
      <c r="Z93">
        <v>2</v>
      </c>
      <c r="AA93">
        <v>2</v>
      </c>
      <c r="AB93" t="s">
        <v>1147</v>
      </c>
      <c r="AC93" t="s">
        <v>1147</v>
      </c>
      <c r="AD93" t="s">
        <v>1147</v>
      </c>
      <c r="AE93">
        <v>1</v>
      </c>
      <c r="AF93" t="s">
        <v>1147</v>
      </c>
      <c r="AG93" t="s">
        <v>1147</v>
      </c>
      <c r="AH93" t="s">
        <v>1147</v>
      </c>
      <c r="AI93" t="s">
        <v>46</v>
      </c>
      <c r="AJ93" t="s">
        <v>711</v>
      </c>
      <c r="AK93" t="s">
        <v>37</v>
      </c>
      <c r="AL93" t="s">
        <v>1147</v>
      </c>
      <c r="AM93" t="s">
        <v>1147</v>
      </c>
      <c r="AN93" t="s">
        <v>1147</v>
      </c>
      <c r="AO93" t="s">
        <v>1147</v>
      </c>
      <c r="AP93" s="515"/>
    </row>
    <row r="94" spans="1:42" x14ac:dyDescent="0.25">
      <c r="A94" t="s">
        <v>741</v>
      </c>
      <c r="B94" t="s">
        <v>742</v>
      </c>
      <c r="C94" t="s">
        <v>418</v>
      </c>
      <c r="D94" t="s">
        <v>707</v>
      </c>
      <c r="E94" t="s">
        <v>743</v>
      </c>
      <c r="F94" t="s">
        <v>744</v>
      </c>
      <c r="G94" t="s">
        <v>280</v>
      </c>
      <c r="H94" t="s">
        <v>745</v>
      </c>
      <c r="I94" t="s">
        <v>46</v>
      </c>
      <c r="J94" t="s">
        <v>746</v>
      </c>
      <c r="K94">
        <v>1</v>
      </c>
      <c r="L94">
        <v>1</v>
      </c>
      <c r="M94" t="s">
        <v>322</v>
      </c>
      <c r="N94">
        <v>1</v>
      </c>
      <c r="O94">
        <v>1</v>
      </c>
      <c r="P94">
        <v>1</v>
      </c>
      <c r="Q94" t="s">
        <v>48</v>
      </c>
      <c r="R94">
        <v>1</v>
      </c>
      <c r="S94">
        <v>1</v>
      </c>
      <c r="T94">
        <v>1</v>
      </c>
      <c r="U94" t="s">
        <v>1147</v>
      </c>
      <c r="V94" t="s">
        <v>1147</v>
      </c>
      <c r="W94" t="s">
        <v>1147</v>
      </c>
      <c r="X94">
        <v>1</v>
      </c>
      <c r="Y94" t="s">
        <v>1147</v>
      </c>
      <c r="Z94">
        <v>1</v>
      </c>
      <c r="AA94">
        <v>1</v>
      </c>
      <c r="AB94" t="s">
        <v>1147</v>
      </c>
      <c r="AC94" t="s">
        <v>1147</v>
      </c>
      <c r="AD94" t="s">
        <v>1147</v>
      </c>
      <c r="AE94">
        <v>1</v>
      </c>
      <c r="AF94" t="s">
        <v>1147</v>
      </c>
      <c r="AG94" t="s">
        <v>1147</v>
      </c>
      <c r="AH94" t="s">
        <v>1147</v>
      </c>
      <c r="AI94" t="s">
        <v>46</v>
      </c>
      <c r="AJ94" t="s">
        <v>711</v>
      </c>
      <c r="AK94" t="s">
        <v>37</v>
      </c>
      <c r="AL94" t="s">
        <v>1147</v>
      </c>
      <c r="AM94" t="s">
        <v>1147</v>
      </c>
      <c r="AN94" t="s">
        <v>1147</v>
      </c>
      <c r="AO94" t="s">
        <v>1147</v>
      </c>
      <c r="AP94" s="515"/>
    </row>
    <row r="95" spans="1:42" x14ac:dyDescent="0.25">
      <c r="A95" t="s">
        <v>747</v>
      </c>
      <c r="B95" t="s">
        <v>748</v>
      </c>
      <c r="C95" t="s">
        <v>418</v>
      </c>
      <c r="D95" t="s">
        <v>707</v>
      </c>
      <c r="E95" t="s">
        <v>749</v>
      </c>
      <c r="F95" t="s">
        <v>750</v>
      </c>
      <c r="G95" t="s">
        <v>280</v>
      </c>
      <c r="H95" t="s">
        <v>751</v>
      </c>
      <c r="I95" t="s">
        <v>46</v>
      </c>
      <c r="J95" t="s">
        <v>752</v>
      </c>
      <c r="K95">
        <v>1</v>
      </c>
      <c r="L95">
        <v>1</v>
      </c>
      <c r="M95" t="s">
        <v>322</v>
      </c>
      <c r="N95">
        <v>1</v>
      </c>
      <c r="O95">
        <v>1</v>
      </c>
      <c r="P95">
        <v>1</v>
      </c>
      <c r="Q95" t="s">
        <v>48</v>
      </c>
      <c r="R95">
        <v>1</v>
      </c>
      <c r="S95">
        <v>1</v>
      </c>
      <c r="T95">
        <v>1</v>
      </c>
      <c r="U95" t="s">
        <v>1147</v>
      </c>
      <c r="V95" t="s">
        <v>1147</v>
      </c>
      <c r="W95" t="s">
        <v>1147</v>
      </c>
      <c r="X95">
        <v>1</v>
      </c>
      <c r="Y95" t="s">
        <v>1147</v>
      </c>
      <c r="Z95">
        <v>1</v>
      </c>
      <c r="AA95">
        <v>1</v>
      </c>
      <c r="AB95" t="s">
        <v>1147</v>
      </c>
      <c r="AC95" t="s">
        <v>1147</v>
      </c>
      <c r="AD95" t="s">
        <v>1147</v>
      </c>
      <c r="AE95">
        <v>1</v>
      </c>
      <c r="AF95" t="s">
        <v>1147</v>
      </c>
      <c r="AG95" t="s">
        <v>1147</v>
      </c>
      <c r="AH95" t="s">
        <v>1147</v>
      </c>
      <c r="AI95" t="s">
        <v>46</v>
      </c>
      <c r="AJ95" t="s">
        <v>711</v>
      </c>
      <c r="AK95" t="s">
        <v>37</v>
      </c>
      <c r="AL95" t="s">
        <v>1147</v>
      </c>
      <c r="AM95" t="s">
        <v>1147</v>
      </c>
      <c r="AN95" t="s">
        <v>1147</v>
      </c>
      <c r="AO95" t="s">
        <v>1147</v>
      </c>
      <c r="AP95" s="515"/>
    </row>
    <row r="96" spans="1:42" x14ac:dyDescent="0.25">
      <c r="A96" t="s">
        <v>753</v>
      </c>
      <c r="B96" t="s">
        <v>754</v>
      </c>
      <c r="C96" t="s">
        <v>418</v>
      </c>
      <c r="D96" t="s">
        <v>707</v>
      </c>
      <c r="E96" t="s">
        <v>755</v>
      </c>
      <c r="F96" t="s">
        <v>756</v>
      </c>
      <c r="G96" t="s">
        <v>259</v>
      </c>
      <c r="H96" t="s">
        <v>757</v>
      </c>
      <c r="I96" t="s">
        <v>46</v>
      </c>
      <c r="J96" t="s">
        <v>758</v>
      </c>
      <c r="K96">
        <v>1</v>
      </c>
      <c r="L96">
        <v>1</v>
      </c>
      <c r="M96" t="s">
        <v>322</v>
      </c>
      <c r="N96">
        <v>1</v>
      </c>
      <c r="O96">
        <v>1</v>
      </c>
      <c r="P96">
        <v>1</v>
      </c>
      <c r="Q96" t="s">
        <v>48</v>
      </c>
      <c r="R96">
        <v>1</v>
      </c>
      <c r="S96">
        <v>1</v>
      </c>
      <c r="T96">
        <v>1</v>
      </c>
      <c r="U96" t="s">
        <v>1147</v>
      </c>
      <c r="V96" t="s">
        <v>1147</v>
      </c>
      <c r="W96" t="s">
        <v>1147</v>
      </c>
      <c r="X96">
        <v>1</v>
      </c>
      <c r="Y96" t="s">
        <v>1147</v>
      </c>
      <c r="Z96">
        <v>1</v>
      </c>
      <c r="AA96">
        <v>1</v>
      </c>
      <c r="AB96" t="s">
        <v>1147</v>
      </c>
      <c r="AC96" t="s">
        <v>1147</v>
      </c>
      <c r="AD96" t="s">
        <v>1147</v>
      </c>
      <c r="AE96">
        <v>1</v>
      </c>
      <c r="AF96" t="s">
        <v>1147</v>
      </c>
      <c r="AG96" t="s">
        <v>1147</v>
      </c>
      <c r="AH96" t="s">
        <v>1147</v>
      </c>
      <c r="AI96" t="s">
        <v>46</v>
      </c>
      <c r="AJ96" t="s">
        <v>711</v>
      </c>
      <c r="AK96" t="s">
        <v>37</v>
      </c>
      <c r="AL96">
        <v>6</v>
      </c>
      <c r="AM96" t="s">
        <v>1147</v>
      </c>
      <c r="AN96" t="s">
        <v>1147</v>
      </c>
      <c r="AO96" t="s">
        <v>1147</v>
      </c>
      <c r="AP96" s="515"/>
    </row>
    <row r="97" spans="1:42" x14ac:dyDescent="0.25">
      <c r="A97" t="s">
        <v>759</v>
      </c>
      <c r="B97" t="s">
        <v>760</v>
      </c>
      <c r="C97" t="s">
        <v>418</v>
      </c>
      <c r="D97" t="s">
        <v>707</v>
      </c>
      <c r="E97" t="s">
        <v>761</v>
      </c>
      <c r="F97" t="s">
        <v>762</v>
      </c>
      <c r="G97" t="s">
        <v>280</v>
      </c>
      <c r="H97" t="s">
        <v>517</v>
      </c>
      <c r="I97" t="s">
        <v>517</v>
      </c>
      <c r="J97" t="s">
        <v>763</v>
      </c>
      <c r="K97">
        <v>1</v>
      </c>
      <c r="L97">
        <v>1</v>
      </c>
      <c r="M97" t="s">
        <v>322</v>
      </c>
      <c r="N97">
        <v>1</v>
      </c>
      <c r="O97">
        <v>1</v>
      </c>
      <c r="P97">
        <v>1</v>
      </c>
      <c r="Q97" t="s">
        <v>48</v>
      </c>
      <c r="R97">
        <v>0</v>
      </c>
      <c r="S97">
        <v>1</v>
      </c>
      <c r="T97" t="s">
        <v>1147</v>
      </c>
      <c r="U97" t="s">
        <v>1147</v>
      </c>
      <c r="V97" t="s">
        <v>1147</v>
      </c>
      <c r="W97">
        <v>1</v>
      </c>
      <c r="X97">
        <v>0</v>
      </c>
      <c r="Y97" t="s">
        <v>1147</v>
      </c>
      <c r="Z97">
        <v>1</v>
      </c>
      <c r="AA97" t="s">
        <v>1147</v>
      </c>
      <c r="AB97">
        <v>1</v>
      </c>
      <c r="AC97" t="s">
        <v>1147</v>
      </c>
      <c r="AD97" t="s">
        <v>1147</v>
      </c>
      <c r="AE97">
        <v>1</v>
      </c>
      <c r="AF97" t="s">
        <v>1147</v>
      </c>
      <c r="AG97">
        <v>0</v>
      </c>
      <c r="AH97" t="s">
        <v>1147</v>
      </c>
      <c r="AI97" t="s">
        <v>46</v>
      </c>
      <c r="AJ97" t="s">
        <v>711</v>
      </c>
      <c r="AK97" t="s">
        <v>37</v>
      </c>
      <c r="AL97" t="s">
        <v>1147</v>
      </c>
      <c r="AM97" t="s">
        <v>1147</v>
      </c>
      <c r="AN97" t="s">
        <v>1147</v>
      </c>
      <c r="AO97" t="s">
        <v>1147</v>
      </c>
      <c r="AP97" s="515"/>
    </row>
    <row r="98" spans="1:42" x14ac:dyDescent="0.25">
      <c r="A98" t="s">
        <v>764</v>
      </c>
      <c r="B98" t="s">
        <v>765</v>
      </c>
      <c r="C98" t="s">
        <v>418</v>
      </c>
      <c r="D98" t="s">
        <v>707</v>
      </c>
      <c r="E98" t="s">
        <v>766</v>
      </c>
      <c r="F98" t="s">
        <v>767</v>
      </c>
      <c r="G98" t="s">
        <v>280</v>
      </c>
      <c r="H98" t="s">
        <v>768</v>
      </c>
      <c r="I98" t="s">
        <v>46</v>
      </c>
      <c r="J98" t="s">
        <v>769</v>
      </c>
      <c r="K98">
        <v>1</v>
      </c>
      <c r="L98">
        <v>1</v>
      </c>
      <c r="M98" t="s">
        <v>322</v>
      </c>
      <c r="N98">
        <v>1</v>
      </c>
      <c r="O98">
        <v>1</v>
      </c>
      <c r="P98">
        <v>1</v>
      </c>
      <c r="Q98" t="s">
        <v>48</v>
      </c>
      <c r="R98">
        <v>0</v>
      </c>
      <c r="S98">
        <v>1</v>
      </c>
      <c r="T98" t="s">
        <v>1147</v>
      </c>
      <c r="U98" t="s">
        <v>1147</v>
      </c>
      <c r="V98" t="s">
        <v>1147</v>
      </c>
      <c r="W98">
        <v>1</v>
      </c>
      <c r="X98">
        <v>0</v>
      </c>
      <c r="Y98" t="s">
        <v>1147</v>
      </c>
      <c r="Z98">
        <v>1</v>
      </c>
      <c r="AA98" t="s">
        <v>1147</v>
      </c>
      <c r="AB98">
        <v>1</v>
      </c>
      <c r="AC98" t="s">
        <v>1147</v>
      </c>
      <c r="AD98" t="s">
        <v>1147</v>
      </c>
      <c r="AE98">
        <v>1</v>
      </c>
      <c r="AF98" t="s">
        <v>1147</v>
      </c>
      <c r="AG98" t="s">
        <v>1147</v>
      </c>
      <c r="AH98" t="s">
        <v>1147</v>
      </c>
      <c r="AI98" t="s">
        <v>46</v>
      </c>
      <c r="AJ98" t="s">
        <v>711</v>
      </c>
      <c r="AK98" t="s">
        <v>37</v>
      </c>
      <c r="AL98" t="s">
        <v>1147</v>
      </c>
      <c r="AM98" t="s">
        <v>1147</v>
      </c>
      <c r="AN98" t="s">
        <v>1147</v>
      </c>
      <c r="AO98" t="s">
        <v>1147</v>
      </c>
      <c r="AP98" s="515"/>
    </row>
    <row r="99" spans="1:42" x14ac:dyDescent="0.25">
      <c r="A99" t="s">
        <v>770</v>
      </c>
      <c r="B99" t="s">
        <v>771</v>
      </c>
      <c r="C99" t="s">
        <v>418</v>
      </c>
      <c r="D99" t="s">
        <v>707</v>
      </c>
      <c r="E99" t="s">
        <v>772</v>
      </c>
      <c r="F99" t="s">
        <v>773</v>
      </c>
      <c r="G99" t="s">
        <v>280</v>
      </c>
      <c r="H99" t="s">
        <v>774</v>
      </c>
      <c r="I99" t="s">
        <v>46</v>
      </c>
      <c r="J99" t="s">
        <v>775</v>
      </c>
      <c r="K99">
        <v>1</v>
      </c>
      <c r="L99">
        <v>1</v>
      </c>
      <c r="M99" t="s">
        <v>322</v>
      </c>
      <c r="N99">
        <v>1</v>
      </c>
      <c r="O99">
        <v>1</v>
      </c>
      <c r="P99">
        <v>1</v>
      </c>
      <c r="Q99" t="s">
        <v>48</v>
      </c>
      <c r="R99">
        <v>1</v>
      </c>
      <c r="S99">
        <v>1</v>
      </c>
      <c r="T99">
        <v>1</v>
      </c>
      <c r="U99" t="s">
        <v>1147</v>
      </c>
      <c r="V99" t="s">
        <v>1147</v>
      </c>
      <c r="W99" t="s">
        <v>1147</v>
      </c>
      <c r="X99">
        <v>1</v>
      </c>
      <c r="Y99" t="s">
        <v>1147</v>
      </c>
      <c r="Z99">
        <v>1</v>
      </c>
      <c r="AA99">
        <v>1</v>
      </c>
      <c r="AB99" t="s">
        <v>1147</v>
      </c>
      <c r="AC99" t="s">
        <v>1147</v>
      </c>
      <c r="AD99" t="s">
        <v>1147</v>
      </c>
      <c r="AE99">
        <v>1</v>
      </c>
      <c r="AF99" t="s">
        <v>1147</v>
      </c>
      <c r="AG99" t="s">
        <v>1147</v>
      </c>
      <c r="AH99" t="s">
        <v>1147</v>
      </c>
      <c r="AI99" t="s">
        <v>46</v>
      </c>
      <c r="AJ99" t="s">
        <v>711</v>
      </c>
      <c r="AK99" t="s">
        <v>37</v>
      </c>
      <c r="AL99" t="s">
        <v>1147</v>
      </c>
      <c r="AM99" t="s">
        <v>1147</v>
      </c>
      <c r="AN99" t="s">
        <v>1147</v>
      </c>
      <c r="AO99" t="s">
        <v>1147</v>
      </c>
      <c r="AP99" s="515"/>
    </row>
    <row r="100" spans="1:42" x14ac:dyDescent="0.25">
      <c r="A100" t="s">
        <v>776</v>
      </c>
      <c r="B100" t="s">
        <v>777</v>
      </c>
      <c r="C100" t="s">
        <v>418</v>
      </c>
      <c r="D100" t="s">
        <v>707</v>
      </c>
      <c r="E100" t="s">
        <v>778</v>
      </c>
      <c r="F100" t="s">
        <v>779</v>
      </c>
      <c r="G100" t="s">
        <v>280</v>
      </c>
      <c r="H100" t="s">
        <v>386</v>
      </c>
      <c r="I100" t="s">
        <v>682</v>
      </c>
      <c r="J100" t="s">
        <v>780</v>
      </c>
      <c r="K100">
        <v>1</v>
      </c>
      <c r="L100">
        <v>1</v>
      </c>
      <c r="M100" t="s">
        <v>322</v>
      </c>
      <c r="N100">
        <v>1</v>
      </c>
      <c r="O100">
        <v>1</v>
      </c>
      <c r="P100">
        <v>1</v>
      </c>
      <c r="Q100" t="s">
        <v>48</v>
      </c>
      <c r="R100">
        <v>1</v>
      </c>
      <c r="S100">
        <v>1</v>
      </c>
      <c r="T100">
        <v>1</v>
      </c>
      <c r="U100" t="s">
        <v>1147</v>
      </c>
      <c r="V100" t="s">
        <v>1147</v>
      </c>
      <c r="W100" t="s">
        <v>1147</v>
      </c>
      <c r="X100">
        <v>1</v>
      </c>
      <c r="Y100" t="s">
        <v>1147</v>
      </c>
      <c r="Z100">
        <v>1</v>
      </c>
      <c r="AA100">
        <v>1</v>
      </c>
      <c r="AB100" t="s">
        <v>1147</v>
      </c>
      <c r="AC100" t="s">
        <v>1147</v>
      </c>
      <c r="AD100" t="s">
        <v>1147</v>
      </c>
      <c r="AE100">
        <v>1</v>
      </c>
      <c r="AF100" t="s">
        <v>1147</v>
      </c>
      <c r="AG100" t="s">
        <v>1147</v>
      </c>
      <c r="AH100" t="s">
        <v>1147</v>
      </c>
      <c r="AI100" t="s">
        <v>46</v>
      </c>
      <c r="AJ100" t="s">
        <v>711</v>
      </c>
      <c r="AK100" t="s">
        <v>37</v>
      </c>
      <c r="AL100" t="s">
        <v>1147</v>
      </c>
      <c r="AM100" t="s">
        <v>1147</v>
      </c>
      <c r="AN100" t="s">
        <v>1147</v>
      </c>
      <c r="AO100" t="s">
        <v>1147</v>
      </c>
      <c r="AP100" s="515"/>
    </row>
    <row r="101" spans="1:42" x14ac:dyDescent="0.25">
      <c r="A101" t="s">
        <v>781</v>
      </c>
      <c r="B101" t="s">
        <v>782</v>
      </c>
      <c r="C101" t="s">
        <v>418</v>
      </c>
      <c r="D101" t="s">
        <v>707</v>
      </c>
      <c r="E101" t="s">
        <v>783</v>
      </c>
      <c r="F101" t="s">
        <v>784</v>
      </c>
      <c r="G101" t="s">
        <v>259</v>
      </c>
      <c r="H101" t="s">
        <v>785</v>
      </c>
      <c r="I101" t="s">
        <v>46</v>
      </c>
      <c r="J101" t="s">
        <v>786</v>
      </c>
      <c r="K101">
        <v>1</v>
      </c>
      <c r="L101">
        <v>1</v>
      </c>
      <c r="M101" t="s">
        <v>322</v>
      </c>
      <c r="N101">
        <v>1</v>
      </c>
      <c r="O101">
        <v>1</v>
      </c>
      <c r="P101">
        <v>1</v>
      </c>
      <c r="Q101" t="s">
        <v>48</v>
      </c>
      <c r="R101">
        <v>1</v>
      </c>
      <c r="S101">
        <v>1</v>
      </c>
      <c r="T101">
        <v>1</v>
      </c>
      <c r="U101" t="s">
        <v>1147</v>
      </c>
      <c r="V101" t="s">
        <v>1147</v>
      </c>
      <c r="W101" t="s">
        <v>1147</v>
      </c>
      <c r="X101">
        <v>1</v>
      </c>
      <c r="Y101" t="s">
        <v>1147</v>
      </c>
      <c r="Z101">
        <v>1</v>
      </c>
      <c r="AA101">
        <v>1</v>
      </c>
      <c r="AB101" t="s">
        <v>1147</v>
      </c>
      <c r="AC101" t="s">
        <v>1147</v>
      </c>
      <c r="AD101" t="s">
        <v>1147</v>
      </c>
      <c r="AE101">
        <v>1</v>
      </c>
      <c r="AF101" t="s">
        <v>1147</v>
      </c>
      <c r="AG101" t="s">
        <v>1147</v>
      </c>
      <c r="AH101" t="s">
        <v>1147</v>
      </c>
      <c r="AI101" t="s">
        <v>46</v>
      </c>
      <c r="AJ101" t="s">
        <v>711</v>
      </c>
      <c r="AK101" t="s">
        <v>37</v>
      </c>
      <c r="AL101">
        <v>6</v>
      </c>
      <c r="AM101" t="s">
        <v>1147</v>
      </c>
      <c r="AN101" t="s">
        <v>1147</v>
      </c>
      <c r="AO101" t="s">
        <v>1147</v>
      </c>
      <c r="AP101" s="515"/>
    </row>
    <row r="102" spans="1:42" ht="30" x14ac:dyDescent="0.25">
      <c r="A102" t="s">
        <v>787</v>
      </c>
      <c r="B102" t="s">
        <v>788</v>
      </c>
      <c r="C102" t="s">
        <v>418</v>
      </c>
      <c r="D102" t="s">
        <v>707</v>
      </c>
      <c r="E102" t="s">
        <v>789</v>
      </c>
      <c r="F102" t="s">
        <v>790</v>
      </c>
      <c r="G102" t="s">
        <v>259</v>
      </c>
      <c r="H102" s="249" t="s">
        <v>791</v>
      </c>
      <c r="I102" t="s">
        <v>46</v>
      </c>
      <c r="J102" t="s">
        <v>792</v>
      </c>
      <c r="K102">
        <v>1</v>
      </c>
      <c r="L102">
        <v>1</v>
      </c>
      <c r="M102" t="s">
        <v>322</v>
      </c>
      <c r="N102">
        <v>1</v>
      </c>
      <c r="O102">
        <v>2</v>
      </c>
      <c r="P102">
        <v>1</v>
      </c>
      <c r="Q102" t="s">
        <v>48</v>
      </c>
      <c r="R102">
        <v>2</v>
      </c>
      <c r="S102">
        <v>2</v>
      </c>
      <c r="T102">
        <v>2</v>
      </c>
      <c r="U102" t="s">
        <v>1147</v>
      </c>
      <c r="V102" t="s">
        <v>1147</v>
      </c>
      <c r="W102" t="s">
        <v>1147</v>
      </c>
      <c r="X102">
        <v>1</v>
      </c>
      <c r="Y102" t="s">
        <v>1147</v>
      </c>
      <c r="Z102">
        <v>2</v>
      </c>
      <c r="AA102">
        <v>2</v>
      </c>
      <c r="AB102" t="s">
        <v>1147</v>
      </c>
      <c r="AC102" t="s">
        <v>1147</v>
      </c>
      <c r="AD102" t="s">
        <v>1147</v>
      </c>
      <c r="AE102">
        <v>1</v>
      </c>
      <c r="AF102" t="s">
        <v>1147</v>
      </c>
      <c r="AG102">
        <v>0</v>
      </c>
      <c r="AH102" t="s">
        <v>1147</v>
      </c>
      <c r="AI102" t="s">
        <v>46</v>
      </c>
      <c r="AJ102" t="s">
        <v>711</v>
      </c>
      <c r="AK102" t="s">
        <v>37</v>
      </c>
      <c r="AL102" t="s">
        <v>1147</v>
      </c>
      <c r="AM102" t="s">
        <v>1147</v>
      </c>
      <c r="AN102" t="s">
        <v>1147</v>
      </c>
      <c r="AO102" t="s">
        <v>1147</v>
      </c>
      <c r="AP102" s="515"/>
    </row>
    <row r="103" spans="1:42" x14ac:dyDescent="0.25">
      <c r="A103" t="s">
        <v>793</v>
      </c>
      <c r="B103" t="s">
        <v>794</v>
      </c>
      <c r="C103" t="s">
        <v>418</v>
      </c>
      <c r="D103" t="s">
        <v>707</v>
      </c>
      <c r="E103" t="s">
        <v>795</v>
      </c>
      <c r="F103" t="s">
        <v>796</v>
      </c>
      <c r="G103" t="s">
        <v>280</v>
      </c>
      <c r="H103" t="s">
        <v>797</v>
      </c>
      <c r="I103" t="s">
        <v>46</v>
      </c>
      <c r="J103" t="s">
        <v>1147</v>
      </c>
      <c r="K103">
        <v>1</v>
      </c>
      <c r="L103">
        <v>1</v>
      </c>
      <c r="M103" t="s">
        <v>322</v>
      </c>
      <c r="N103">
        <v>1</v>
      </c>
      <c r="O103">
        <v>1</v>
      </c>
      <c r="P103">
        <v>1</v>
      </c>
      <c r="Q103" t="s">
        <v>48</v>
      </c>
      <c r="R103">
        <v>0</v>
      </c>
      <c r="S103">
        <v>1</v>
      </c>
      <c r="T103" t="s">
        <v>1147</v>
      </c>
      <c r="U103" t="s">
        <v>1147</v>
      </c>
      <c r="V103" t="s">
        <v>1147</v>
      </c>
      <c r="W103">
        <v>1</v>
      </c>
      <c r="X103">
        <v>0</v>
      </c>
      <c r="Y103" t="s">
        <v>1147</v>
      </c>
      <c r="Z103">
        <v>1</v>
      </c>
      <c r="AA103" t="s">
        <v>1147</v>
      </c>
      <c r="AB103">
        <v>1</v>
      </c>
      <c r="AC103" t="s">
        <v>1147</v>
      </c>
      <c r="AD103" t="s">
        <v>1147</v>
      </c>
      <c r="AE103">
        <v>1</v>
      </c>
      <c r="AF103" t="s">
        <v>1147</v>
      </c>
      <c r="AG103">
        <v>0</v>
      </c>
      <c r="AH103" t="s">
        <v>1147</v>
      </c>
      <c r="AI103" t="s">
        <v>46</v>
      </c>
      <c r="AJ103" t="s">
        <v>711</v>
      </c>
      <c r="AK103" t="s">
        <v>37</v>
      </c>
      <c r="AL103" t="s">
        <v>1147</v>
      </c>
      <c r="AM103" t="s">
        <v>1147</v>
      </c>
      <c r="AN103" t="s">
        <v>1147</v>
      </c>
      <c r="AO103" t="s">
        <v>1147</v>
      </c>
      <c r="AP103" s="515"/>
    </row>
    <row r="104" spans="1:42" x14ac:dyDescent="0.25">
      <c r="A104" t="s">
        <v>798</v>
      </c>
      <c r="B104" t="s">
        <v>799</v>
      </c>
      <c r="C104" t="s">
        <v>418</v>
      </c>
      <c r="D104" t="s">
        <v>707</v>
      </c>
      <c r="E104" t="s">
        <v>800</v>
      </c>
      <c r="F104" t="s">
        <v>801</v>
      </c>
      <c r="G104" t="s">
        <v>280</v>
      </c>
      <c r="H104" t="s">
        <v>802</v>
      </c>
      <c r="I104" t="s">
        <v>46</v>
      </c>
      <c r="J104" t="s">
        <v>803</v>
      </c>
      <c r="K104">
        <v>1</v>
      </c>
      <c r="L104">
        <v>1</v>
      </c>
      <c r="M104" t="s">
        <v>322</v>
      </c>
      <c r="N104">
        <v>1</v>
      </c>
      <c r="O104">
        <v>1</v>
      </c>
      <c r="P104">
        <v>1</v>
      </c>
      <c r="Q104" t="s">
        <v>48</v>
      </c>
      <c r="R104">
        <v>1</v>
      </c>
      <c r="S104">
        <v>1</v>
      </c>
      <c r="T104">
        <v>1</v>
      </c>
      <c r="U104" t="s">
        <v>1147</v>
      </c>
      <c r="V104" t="s">
        <v>1147</v>
      </c>
      <c r="W104" t="s">
        <v>1147</v>
      </c>
      <c r="X104">
        <v>1</v>
      </c>
      <c r="Y104" t="s">
        <v>1147</v>
      </c>
      <c r="Z104">
        <v>1</v>
      </c>
      <c r="AA104">
        <v>1</v>
      </c>
      <c r="AB104" t="s">
        <v>1147</v>
      </c>
      <c r="AC104" t="s">
        <v>1147</v>
      </c>
      <c r="AD104" t="s">
        <v>1147</v>
      </c>
      <c r="AE104">
        <v>1</v>
      </c>
      <c r="AF104" t="s">
        <v>1147</v>
      </c>
      <c r="AG104" t="s">
        <v>1147</v>
      </c>
      <c r="AH104" t="s">
        <v>1147</v>
      </c>
      <c r="AI104" t="s">
        <v>46</v>
      </c>
      <c r="AJ104" t="s">
        <v>804</v>
      </c>
      <c r="AK104" t="s">
        <v>37</v>
      </c>
      <c r="AL104" t="s">
        <v>1147</v>
      </c>
      <c r="AM104" t="s">
        <v>1147</v>
      </c>
      <c r="AN104" t="s">
        <v>1147</v>
      </c>
      <c r="AO104" t="s">
        <v>1147</v>
      </c>
      <c r="AP104" s="515"/>
    </row>
    <row r="105" spans="1:42" x14ac:dyDescent="0.25">
      <c r="A105" t="s">
        <v>805</v>
      </c>
      <c r="B105" t="s">
        <v>806</v>
      </c>
      <c r="C105" t="s">
        <v>418</v>
      </c>
      <c r="D105" t="s">
        <v>707</v>
      </c>
      <c r="E105" t="s">
        <v>807</v>
      </c>
      <c r="F105" t="s">
        <v>808</v>
      </c>
      <c r="G105" t="s">
        <v>259</v>
      </c>
      <c r="H105" t="s">
        <v>809</v>
      </c>
      <c r="I105" t="s">
        <v>46</v>
      </c>
      <c r="J105" t="s">
        <v>810</v>
      </c>
      <c r="K105">
        <v>1</v>
      </c>
      <c r="L105">
        <v>1</v>
      </c>
      <c r="M105" t="s">
        <v>322</v>
      </c>
      <c r="N105">
        <v>1</v>
      </c>
      <c r="O105">
        <v>1</v>
      </c>
      <c r="P105">
        <v>1</v>
      </c>
      <c r="Q105" t="s">
        <v>48</v>
      </c>
      <c r="R105">
        <v>1</v>
      </c>
      <c r="S105">
        <v>1</v>
      </c>
      <c r="T105">
        <v>1</v>
      </c>
      <c r="U105" t="s">
        <v>1147</v>
      </c>
      <c r="V105" t="s">
        <v>1147</v>
      </c>
      <c r="W105" t="s">
        <v>1147</v>
      </c>
      <c r="X105">
        <v>1</v>
      </c>
      <c r="Y105" t="s">
        <v>1147</v>
      </c>
      <c r="Z105">
        <v>1</v>
      </c>
      <c r="AA105">
        <v>1</v>
      </c>
      <c r="AB105" t="s">
        <v>1147</v>
      </c>
      <c r="AC105" t="s">
        <v>1147</v>
      </c>
      <c r="AD105" t="s">
        <v>1147</v>
      </c>
      <c r="AE105">
        <v>1</v>
      </c>
      <c r="AF105" t="s">
        <v>1147</v>
      </c>
      <c r="AG105">
        <v>0</v>
      </c>
      <c r="AH105" t="s">
        <v>1147</v>
      </c>
      <c r="AI105" t="s">
        <v>46</v>
      </c>
      <c r="AJ105" t="s">
        <v>804</v>
      </c>
      <c r="AK105" t="s">
        <v>37</v>
      </c>
      <c r="AL105">
        <v>6</v>
      </c>
      <c r="AM105" t="s">
        <v>1147</v>
      </c>
      <c r="AN105" t="s">
        <v>1147</v>
      </c>
      <c r="AO105" t="s">
        <v>1147</v>
      </c>
      <c r="AP105" s="515"/>
    </row>
    <row r="106" spans="1:42" x14ac:dyDescent="0.25">
      <c r="A106" t="s">
        <v>811</v>
      </c>
      <c r="B106" t="s">
        <v>812</v>
      </c>
      <c r="C106" t="s">
        <v>418</v>
      </c>
      <c r="D106" t="s">
        <v>707</v>
      </c>
      <c r="E106" t="s">
        <v>813</v>
      </c>
      <c r="F106" t="s">
        <v>814</v>
      </c>
      <c r="G106" t="s">
        <v>259</v>
      </c>
      <c r="H106" t="s">
        <v>815</v>
      </c>
      <c r="I106" t="s">
        <v>46</v>
      </c>
      <c r="J106" t="s">
        <v>816</v>
      </c>
      <c r="K106">
        <v>1</v>
      </c>
      <c r="L106">
        <v>1</v>
      </c>
      <c r="M106" t="s">
        <v>322</v>
      </c>
      <c r="N106">
        <v>1</v>
      </c>
      <c r="O106">
        <v>1</v>
      </c>
      <c r="P106">
        <v>1</v>
      </c>
      <c r="Q106" t="s">
        <v>48</v>
      </c>
      <c r="R106">
        <v>1</v>
      </c>
      <c r="S106">
        <v>1</v>
      </c>
      <c r="T106">
        <v>1</v>
      </c>
      <c r="U106" t="s">
        <v>1147</v>
      </c>
      <c r="V106" t="s">
        <v>1147</v>
      </c>
      <c r="W106" t="s">
        <v>1147</v>
      </c>
      <c r="X106">
        <v>1</v>
      </c>
      <c r="Y106" t="s">
        <v>1147</v>
      </c>
      <c r="Z106">
        <v>1</v>
      </c>
      <c r="AA106">
        <v>1</v>
      </c>
      <c r="AB106" t="s">
        <v>1147</v>
      </c>
      <c r="AC106" t="s">
        <v>1147</v>
      </c>
      <c r="AD106" t="s">
        <v>1147</v>
      </c>
      <c r="AE106">
        <v>1</v>
      </c>
      <c r="AF106" t="s">
        <v>1147</v>
      </c>
      <c r="AG106">
        <v>0</v>
      </c>
      <c r="AH106" t="s">
        <v>1147</v>
      </c>
      <c r="AI106" t="s">
        <v>46</v>
      </c>
      <c r="AJ106" t="s">
        <v>804</v>
      </c>
      <c r="AK106" t="s">
        <v>37</v>
      </c>
      <c r="AL106">
        <v>6</v>
      </c>
      <c r="AM106" t="s">
        <v>1147</v>
      </c>
      <c r="AN106" t="s">
        <v>1147</v>
      </c>
      <c r="AO106" t="s">
        <v>1147</v>
      </c>
      <c r="AP106" s="515"/>
    </row>
    <row r="107" spans="1:42" x14ac:dyDescent="0.25">
      <c r="A107" t="s">
        <v>817</v>
      </c>
      <c r="B107" t="s">
        <v>818</v>
      </c>
      <c r="C107" t="s">
        <v>418</v>
      </c>
      <c r="D107" t="s">
        <v>707</v>
      </c>
      <c r="E107" t="s">
        <v>819</v>
      </c>
      <c r="F107" t="s">
        <v>820</v>
      </c>
      <c r="G107" t="s">
        <v>259</v>
      </c>
      <c r="H107" t="s">
        <v>821</v>
      </c>
      <c r="I107" t="s">
        <v>46</v>
      </c>
      <c r="J107" t="s">
        <v>822</v>
      </c>
      <c r="K107">
        <v>1</v>
      </c>
      <c r="L107">
        <v>1</v>
      </c>
      <c r="M107" t="s">
        <v>322</v>
      </c>
      <c r="N107">
        <v>1</v>
      </c>
      <c r="O107">
        <v>1</v>
      </c>
      <c r="P107">
        <v>1</v>
      </c>
      <c r="Q107" t="s">
        <v>48</v>
      </c>
      <c r="R107">
        <v>1</v>
      </c>
      <c r="S107">
        <v>1</v>
      </c>
      <c r="T107">
        <v>1</v>
      </c>
      <c r="U107" t="s">
        <v>1147</v>
      </c>
      <c r="V107" t="s">
        <v>1147</v>
      </c>
      <c r="W107" t="s">
        <v>1147</v>
      </c>
      <c r="X107">
        <v>1</v>
      </c>
      <c r="Y107" t="s">
        <v>1147</v>
      </c>
      <c r="Z107">
        <v>1</v>
      </c>
      <c r="AA107">
        <v>1</v>
      </c>
      <c r="AB107" t="s">
        <v>1147</v>
      </c>
      <c r="AC107" t="s">
        <v>1147</v>
      </c>
      <c r="AD107" t="s">
        <v>1147</v>
      </c>
      <c r="AE107">
        <v>1</v>
      </c>
      <c r="AF107" t="s">
        <v>1147</v>
      </c>
      <c r="AG107">
        <v>0</v>
      </c>
      <c r="AH107" t="s">
        <v>1147</v>
      </c>
      <c r="AI107" t="s">
        <v>46</v>
      </c>
      <c r="AJ107" t="s">
        <v>804</v>
      </c>
      <c r="AK107" t="s">
        <v>37</v>
      </c>
      <c r="AL107">
        <v>6</v>
      </c>
      <c r="AM107" t="s">
        <v>1147</v>
      </c>
      <c r="AN107" t="s">
        <v>1147</v>
      </c>
      <c r="AO107" t="s">
        <v>1147</v>
      </c>
      <c r="AP107" s="515"/>
    </row>
    <row r="108" spans="1:42" x14ac:dyDescent="0.25">
      <c r="A108" t="s">
        <v>823</v>
      </c>
      <c r="B108" t="s">
        <v>824</v>
      </c>
      <c r="C108" t="s">
        <v>418</v>
      </c>
      <c r="D108" t="s">
        <v>707</v>
      </c>
      <c r="E108" t="s">
        <v>825</v>
      </c>
      <c r="F108" t="s">
        <v>826</v>
      </c>
      <c r="G108" t="s">
        <v>259</v>
      </c>
      <c r="H108" t="s">
        <v>827</v>
      </c>
      <c r="I108" t="s">
        <v>46</v>
      </c>
      <c r="J108" t="s">
        <v>828</v>
      </c>
      <c r="K108">
        <v>1</v>
      </c>
      <c r="L108">
        <v>1</v>
      </c>
      <c r="M108" t="s">
        <v>322</v>
      </c>
      <c r="N108">
        <v>1</v>
      </c>
      <c r="O108">
        <v>1</v>
      </c>
      <c r="P108">
        <v>1</v>
      </c>
      <c r="Q108" t="s">
        <v>48</v>
      </c>
      <c r="R108">
        <v>1</v>
      </c>
      <c r="S108">
        <v>1</v>
      </c>
      <c r="T108">
        <v>1</v>
      </c>
      <c r="U108" t="s">
        <v>1147</v>
      </c>
      <c r="V108" t="s">
        <v>1147</v>
      </c>
      <c r="W108" t="s">
        <v>1147</v>
      </c>
      <c r="X108">
        <v>1</v>
      </c>
      <c r="Y108" t="s">
        <v>1147</v>
      </c>
      <c r="Z108">
        <v>1</v>
      </c>
      <c r="AA108">
        <v>1</v>
      </c>
      <c r="AB108" t="s">
        <v>1147</v>
      </c>
      <c r="AC108" t="s">
        <v>1147</v>
      </c>
      <c r="AD108" t="s">
        <v>1147</v>
      </c>
      <c r="AE108">
        <v>1</v>
      </c>
      <c r="AF108" t="s">
        <v>1147</v>
      </c>
      <c r="AG108">
        <v>0</v>
      </c>
      <c r="AH108" t="s">
        <v>1147</v>
      </c>
      <c r="AI108" t="s">
        <v>46</v>
      </c>
      <c r="AJ108" t="s">
        <v>804</v>
      </c>
      <c r="AK108" t="s">
        <v>37</v>
      </c>
      <c r="AL108">
        <v>6</v>
      </c>
      <c r="AM108" t="s">
        <v>1147</v>
      </c>
      <c r="AN108" t="s">
        <v>1147</v>
      </c>
      <c r="AO108" t="s">
        <v>1147</v>
      </c>
      <c r="AP108" s="515"/>
    </row>
    <row r="109" spans="1:42" x14ac:dyDescent="0.25">
      <c r="A109" t="s">
        <v>829</v>
      </c>
      <c r="B109" t="s">
        <v>830</v>
      </c>
      <c r="C109" t="s">
        <v>418</v>
      </c>
      <c r="D109" t="s">
        <v>707</v>
      </c>
      <c r="E109" t="s">
        <v>831</v>
      </c>
      <c r="F109" t="s">
        <v>832</v>
      </c>
      <c r="G109" t="s">
        <v>280</v>
      </c>
      <c r="H109" t="s">
        <v>833</v>
      </c>
      <c r="I109" t="s">
        <v>46</v>
      </c>
      <c r="J109" t="s">
        <v>834</v>
      </c>
      <c r="K109">
        <v>1</v>
      </c>
      <c r="L109">
        <v>1</v>
      </c>
      <c r="M109" t="s">
        <v>338</v>
      </c>
      <c r="N109">
        <v>1</v>
      </c>
      <c r="O109">
        <v>1</v>
      </c>
      <c r="P109">
        <v>1</v>
      </c>
      <c r="Q109" t="s">
        <v>48</v>
      </c>
      <c r="R109">
        <v>1</v>
      </c>
      <c r="S109">
        <v>1</v>
      </c>
      <c r="T109">
        <v>1</v>
      </c>
      <c r="U109" t="s">
        <v>1147</v>
      </c>
      <c r="V109" t="s">
        <v>1147</v>
      </c>
      <c r="W109" t="s">
        <v>1147</v>
      </c>
      <c r="X109">
        <v>1</v>
      </c>
      <c r="Y109" t="s">
        <v>1147</v>
      </c>
      <c r="Z109">
        <v>1</v>
      </c>
      <c r="AA109">
        <v>1</v>
      </c>
      <c r="AB109" t="s">
        <v>1147</v>
      </c>
      <c r="AC109" t="s">
        <v>1147</v>
      </c>
      <c r="AD109" t="s">
        <v>1147</v>
      </c>
      <c r="AE109">
        <v>1</v>
      </c>
      <c r="AF109" t="s">
        <v>1147</v>
      </c>
      <c r="AG109" t="s">
        <v>1147</v>
      </c>
      <c r="AH109" t="s">
        <v>1147</v>
      </c>
      <c r="AI109" t="s">
        <v>46</v>
      </c>
      <c r="AJ109" t="s">
        <v>804</v>
      </c>
      <c r="AK109" t="s">
        <v>37</v>
      </c>
      <c r="AL109">
        <v>6</v>
      </c>
      <c r="AM109" t="s">
        <v>1147</v>
      </c>
      <c r="AN109" t="s">
        <v>1147</v>
      </c>
      <c r="AO109" t="s">
        <v>1147</v>
      </c>
      <c r="AP109" s="515"/>
    </row>
    <row r="110" spans="1:42" x14ac:dyDescent="0.25">
      <c r="A110" t="s">
        <v>835</v>
      </c>
      <c r="B110" t="s">
        <v>836</v>
      </c>
      <c r="C110" t="s">
        <v>418</v>
      </c>
      <c r="D110" t="s">
        <v>707</v>
      </c>
      <c r="E110" t="s">
        <v>837</v>
      </c>
      <c r="F110" t="s">
        <v>838</v>
      </c>
      <c r="G110" t="s">
        <v>280</v>
      </c>
      <c r="H110" t="s">
        <v>839</v>
      </c>
      <c r="I110" t="s">
        <v>46</v>
      </c>
      <c r="J110" t="s">
        <v>840</v>
      </c>
      <c r="K110">
        <v>1</v>
      </c>
      <c r="L110">
        <v>1</v>
      </c>
      <c r="M110" t="s">
        <v>322</v>
      </c>
      <c r="N110">
        <v>1</v>
      </c>
      <c r="O110">
        <v>1</v>
      </c>
      <c r="P110">
        <v>1</v>
      </c>
      <c r="Q110" t="s">
        <v>48</v>
      </c>
      <c r="R110">
        <v>1</v>
      </c>
      <c r="S110">
        <v>1</v>
      </c>
      <c r="T110">
        <v>1</v>
      </c>
      <c r="U110" t="s">
        <v>1147</v>
      </c>
      <c r="V110" t="s">
        <v>1147</v>
      </c>
      <c r="W110" t="s">
        <v>1147</v>
      </c>
      <c r="X110">
        <v>1</v>
      </c>
      <c r="Y110" t="s">
        <v>1147</v>
      </c>
      <c r="Z110">
        <v>1</v>
      </c>
      <c r="AA110">
        <v>1</v>
      </c>
      <c r="AB110" t="s">
        <v>1147</v>
      </c>
      <c r="AC110" t="s">
        <v>1147</v>
      </c>
      <c r="AD110" t="s">
        <v>1147</v>
      </c>
      <c r="AE110">
        <v>1</v>
      </c>
      <c r="AF110" t="s">
        <v>1147</v>
      </c>
      <c r="AG110" t="s">
        <v>1147</v>
      </c>
      <c r="AH110" t="s">
        <v>1147</v>
      </c>
      <c r="AI110" t="s">
        <v>46</v>
      </c>
      <c r="AJ110" t="s">
        <v>804</v>
      </c>
      <c r="AK110" t="s">
        <v>37</v>
      </c>
      <c r="AL110" t="s">
        <v>1147</v>
      </c>
      <c r="AM110" t="s">
        <v>1147</v>
      </c>
      <c r="AN110" t="s">
        <v>1147</v>
      </c>
      <c r="AO110" t="s">
        <v>1147</v>
      </c>
      <c r="AP110" s="515"/>
    </row>
    <row r="111" spans="1:42" x14ac:dyDescent="0.25">
      <c r="A111" t="s">
        <v>841</v>
      </c>
      <c r="B111" t="s">
        <v>842</v>
      </c>
      <c r="C111" t="s">
        <v>418</v>
      </c>
      <c r="D111" t="s">
        <v>707</v>
      </c>
      <c r="E111" t="s">
        <v>843</v>
      </c>
      <c r="F111" t="s">
        <v>844</v>
      </c>
      <c r="G111" t="s">
        <v>280</v>
      </c>
      <c r="H111" t="s">
        <v>845</v>
      </c>
      <c r="I111" t="s">
        <v>46</v>
      </c>
      <c r="J111" t="s">
        <v>846</v>
      </c>
      <c r="K111">
        <v>1</v>
      </c>
      <c r="L111">
        <v>1</v>
      </c>
      <c r="M111" t="s">
        <v>322</v>
      </c>
      <c r="N111">
        <v>1</v>
      </c>
      <c r="O111">
        <v>1</v>
      </c>
      <c r="P111">
        <v>1</v>
      </c>
      <c r="Q111" t="s">
        <v>48</v>
      </c>
      <c r="R111">
        <v>1</v>
      </c>
      <c r="S111">
        <v>1</v>
      </c>
      <c r="T111">
        <v>1</v>
      </c>
      <c r="U111" t="s">
        <v>1147</v>
      </c>
      <c r="V111" t="s">
        <v>1147</v>
      </c>
      <c r="W111" t="s">
        <v>1147</v>
      </c>
      <c r="X111">
        <v>1</v>
      </c>
      <c r="Y111" t="s">
        <v>1147</v>
      </c>
      <c r="Z111">
        <v>1</v>
      </c>
      <c r="AA111">
        <v>1</v>
      </c>
      <c r="AB111" t="s">
        <v>1147</v>
      </c>
      <c r="AC111" t="s">
        <v>1147</v>
      </c>
      <c r="AD111" t="s">
        <v>1147</v>
      </c>
      <c r="AE111">
        <v>1</v>
      </c>
      <c r="AF111" t="s">
        <v>1147</v>
      </c>
      <c r="AG111" t="s">
        <v>1147</v>
      </c>
      <c r="AH111" t="s">
        <v>1147</v>
      </c>
      <c r="AI111" t="s">
        <v>46</v>
      </c>
      <c r="AJ111" t="s">
        <v>804</v>
      </c>
      <c r="AK111" t="s">
        <v>37</v>
      </c>
      <c r="AL111" t="s">
        <v>1147</v>
      </c>
      <c r="AM111" t="s">
        <v>1147</v>
      </c>
      <c r="AN111" t="s">
        <v>1147</v>
      </c>
      <c r="AO111" t="s">
        <v>1147</v>
      </c>
      <c r="AP111" s="515"/>
    </row>
    <row r="112" spans="1:42" x14ac:dyDescent="0.25">
      <c r="A112" t="s">
        <v>847</v>
      </c>
      <c r="B112" t="s">
        <v>848</v>
      </c>
      <c r="C112" t="s">
        <v>418</v>
      </c>
      <c r="D112" t="s">
        <v>707</v>
      </c>
      <c r="E112" t="s">
        <v>849</v>
      </c>
      <c r="F112" t="s">
        <v>814</v>
      </c>
      <c r="G112" t="s">
        <v>280</v>
      </c>
      <c r="H112" t="s">
        <v>850</v>
      </c>
      <c r="I112" t="s">
        <v>46</v>
      </c>
      <c r="J112" t="s">
        <v>840</v>
      </c>
      <c r="K112">
        <v>1</v>
      </c>
      <c r="L112">
        <v>1</v>
      </c>
      <c r="M112" t="s">
        <v>322</v>
      </c>
      <c r="N112">
        <v>1</v>
      </c>
      <c r="O112">
        <v>1</v>
      </c>
      <c r="P112">
        <v>1</v>
      </c>
      <c r="Q112" t="s">
        <v>48</v>
      </c>
      <c r="R112">
        <v>0</v>
      </c>
      <c r="S112">
        <v>1</v>
      </c>
      <c r="T112">
        <v>1</v>
      </c>
      <c r="U112" t="s">
        <v>1147</v>
      </c>
      <c r="V112" t="s">
        <v>1147</v>
      </c>
      <c r="W112" t="s">
        <v>1147</v>
      </c>
      <c r="X112">
        <v>1</v>
      </c>
      <c r="Y112" t="s">
        <v>1147</v>
      </c>
      <c r="Z112">
        <v>1</v>
      </c>
      <c r="AA112">
        <v>1</v>
      </c>
      <c r="AB112" t="s">
        <v>1147</v>
      </c>
      <c r="AC112" t="s">
        <v>1147</v>
      </c>
      <c r="AD112" t="s">
        <v>1147</v>
      </c>
      <c r="AE112">
        <v>1</v>
      </c>
      <c r="AF112" t="s">
        <v>1147</v>
      </c>
      <c r="AG112" t="s">
        <v>1147</v>
      </c>
      <c r="AH112" t="s">
        <v>1147</v>
      </c>
      <c r="AI112" t="s">
        <v>46</v>
      </c>
      <c r="AJ112" t="s">
        <v>804</v>
      </c>
      <c r="AK112" t="s">
        <v>37</v>
      </c>
      <c r="AL112" t="s">
        <v>1147</v>
      </c>
      <c r="AM112" t="s">
        <v>1147</v>
      </c>
      <c r="AN112" t="s">
        <v>1147</v>
      </c>
      <c r="AO112" t="s">
        <v>1147</v>
      </c>
      <c r="AP112" s="515"/>
    </row>
    <row r="113" spans="1:42" x14ac:dyDescent="0.25">
      <c r="A113" t="s">
        <v>851</v>
      </c>
      <c r="B113" t="s">
        <v>852</v>
      </c>
      <c r="C113" t="s">
        <v>418</v>
      </c>
      <c r="D113" t="s">
        <v>707</v>
      </c>
      <c r="E113" t="s">
        <v>853</v>
      </c>
      <c r="F113" t="s">
        <v>854</v>
      </c>
      <c r="G113" t="s">
        <v>280</v>
      </c>
      <c r="H113" t="s">
        <v>855</v>
      </c>
      <c r="I113" t="s">
        <v>46</v>
      </c>
      <c r="J113" t="s">
        <v>856</v>
      </c>
      <c r="K113">
        <v>1</v>
      </c>
      <c r="L113">
        <v>1</v>
      </c>
      <c r="M113" t="s">
        <v>322</v>
      </c>
      <c r="N113">
        <v>1</v>
      </c>
      <c r="O113">
        <v>1</v>
      </c>
      <c r="P113">
        <v>1</v>
      </c>
      <c r="Q113" t="s">
        <v>48</v>
      </c>
      <c r="R113">
        <v>0</v>
      </c>
      <c r="S113">
        <v>0</v>
      </c>
      <c r="T113" t="s">
        <v>1147</v>
      </c>
      <c r="U113" t="s">
        <v>1147</v>
      </c>
      <c r="V113" t="s">
        <v>1147</v>
      </c>
      <c r="W113" t="s">
        <v>1147</v>
      </c>
      <c r="X113">
        <v>0</v>
      </c>
      <c r="Y113" t="s">
        <v>1147</v>
      </c>
      <c r="Z113">
        <v>0</v>
      </c>
      <c r="AA113" t="s">
        <v>1147</v>
      </c>
      <c r="AB113" t="s">
        <v>1147</v>
      </c>
      <c r="AC113" t="s">
        <v>1147</v>
      </c>
      <c r="AD113" t="s">
        <v>1147</v>
      </c>
      <c r="AE113">
        <v>0</v>
      </c>
      <c r="AF113" t="s">
        <v>1147</v>
      </c>
      <c r="AG113" t="s">
        <v>1147</v>
      </c>
      <c r="AH113" t="s">
        <v>1147</v>
      </c>
      <c r="AI113" t="s">
        <v>46</v>
      </c>
      <c r="AJ113" t="s">
        <v>804</v>
      </c>
      <c r="AK113" t="s">
        <v>37</v>
      </c>
      <c r="AL113" t="s">
        <v>1147</v>
      </c>
      <c r="AM113" t="s">
        <v>1147</v>
      </c>
      <c r="AN113" t="s">
        <v>1147</v>
      </c>
      <c r="AO113" t="s">
        <v>1147</v>
      </c>
      <c r="AP113" s="515"/>
    </row>
    <row r="114" spans="1:42" x14ac:dyDescent="0.25">
      <c r="A114" t="s">
        <v>857</v>
      </c>
      <c r="B114" t="s">
        <v>858</v>
      </c>
      <c r="C114" t="s">
        <v>418</v>
      </c>
      <c r="D114" t="s">
        <v>707</v>
      </c>
      <c r="E114" t="s">
        <v>859</v>
      </c>
      <c r="F114" t="s">
        <v>860</v>
      </c>
      <c r="G114" t="s">
        <v>280</v>
      </c>
      <c r="H114" t="s">
        <v>861</v>
      </c>
      <c r="I114" t="s">
        <v>46</v>
      </c>
      <c r="J114" t="s">
        <v>862</v>
      </c>
      <c r="K114">
        <v>1</v>
      </c>
      <c r="L114">
        <v>1</v>
      </c>
      <c r="M114" t="s">
        <v>322</v>
      </c>
      <c r="N114">
        <v>1</v>
      </c>
      <c r="O114">
        <v>1</v>
      </c>
      <c r="P114">
        <v>1</v>
      </c>
      <c r="Q114" t="s">
        <v>48</v>
      </c>
      <c r="R114">
        <v>0</v>
      </c>
      <c r="S114">
        <v>0</v>
      </c>
      <c r="T114" t="s">
        <v>1147</v>
      </c>
      <c r="U114" t="s">
        <v>1147</v>
      </c>
      <c r="V114" t="s">
        <v>1147</v>
      </c>
      <c r="W114" t="s">
        <v>1147</v>
      </c>
      <c r="X114">
        <v>0</v>
      </c>
      <c r="Y114" t="s">
        <v>1147</v>
      </c>
      <c r="Z114">
        <v>0</v>
      </c>
      <c r="AA114" t="s">
        <v>1147</v>
      </c>
      <c r="AB114" t="s">
        <v>1147</v>
      </c>
      <c r="AC114" t="s">
        <v>1147</v>
      </c>
      <c r="AD114" t="s">
        <v>1147</v>
      </c>
      <c r="AE114">
        <v>0</v>
      </c>
      <c r="AF114" t="s">
        <v>1147</v>
      </c>
      <c r="AG114">
        <v>0</v>
      </c>
      <c r="AH114" t="s">
        <v>1147</v>
      </c>
      <c r="AI114" t="s">
        <v>46</v>
      </c>
      <c r="AJ114" t="s">
        <v>804</v>
      </c>
      <c r="AK114" t="s">
        <v>37</v>
      </c>
      <c r="AL114" t="s">
        <v>1147</v>
      </c>
      <c r="AM114" t="s">
        <v>1147</v>
      </c>
      <c r="AN114" t="s">
        <v>1147</v>
      </c>
      <c r="AO114" t="s">
        <v>1147</v>
      </c>
      <c r="AP114" s="515"/>
    </row>
    <row r="115" spans="1:42" x14ac:dyDescent="0.25">
      <c r="A115" t="s">
        <v>863</v>
      </c>
      <c r="B115" t="s">
        <v>864</v>
      </c>
      <c r="C115" t="s">
        <v>685</v>
      </c>
      <c r="D115" t="s">
        <v>865</v>
      </c>
      <c r="E115" t="s">
        <v>866</v>
      </c>
      <c r="F115" t="s">
        <v>867</v>
      </c>
      <c r="G115" t="s">
        <v>280</v>
      </c>
      <c r="H115" t="s">
        <v>1176</v>
      </c>
      <c r="I115" t="s">
        <v>321</v>
      </c>
      <c r="J115" t="s">
        <v>1147</v>
      </c>
      <c r="K115">
        <v>1</v>
      </c>
      <c r="L115">
        <v>1</v>
      </c>
      <c r="M115" t="s">
        <v>322</v>
      </c>
      <c r="N115">
        <v>1</v>
      </c>
      <c r="O115">
        <v>1000</v>
      </c>
      <c r="P115">
        <v>1</v>
      </c>
      <c r="Q115" t="s">
        <v>48</v>
      </c>
      <c r="R115">
        <v>1000</v>
      </c>
      <c r="S115">
        <v>1000</v>
      </c>
      <c r="T115">
        <v>1000</v>
      </c>
      <c r="U115" t="s">
        <v>1147</v>
      </c>
      <c r="V115" t="s">
        <v>1147</v>
      </c>
      <c r="W115" t="s">
        <v>1147</v>
      </c>
      <c r="X115">
        <v>1</v>
      </c>
      <c r="Y115" t="s">
        <v>1147</v>
      </c>
      <c r="Z115">
        <v>2000</v>
      </c>
      <c r="AA115">
        <v>2000</v>
      </c>
      <c r="AB115" t="s">
        <v>1147</v>
      </c>
      <c r="AC115" t="s">
        <v>1147</v>
      </c>
      <c r="AD115" t="s">
        <v>1147</v>
      </c>
      <c r="AE115">
        <v>1</v>
      </c>
      <c r="AF115" t="s">
        <v>1147</v>
      </c>
      <c r="AG115" t="s">
        <v>1147</v>
      </c>
      <c r="AH115" t="s">
        <v>1147</v>
      </c>
      <c r="AI115" t="s">
        <v>321</v>
      </c>
      <c r="AJ115" t="s">
        <v>868</v>
      </c>
      <c r="AK115" t="s">
        <v>37</v>
      </c>
      <c r="AL115" t="s">
        <v>1147</v>
      </c>
      <c r="AM115" t="s">
        <v>1147</v>
      </c>
      <c r="AN115" t="s">
        <v>1147</v>
      </c>
      <c r="AO115" t="s">
        <v>1147</v>
      </c>
      <c r="AP115" s="515"/>
    </row>
    <row r="116" spans="1:42" x14ac:dyDescent="0.25">
      <c r="A116" t="s">
        <v>869</v>
      </c>
      <c r="B116" t="s">
        <v>870</v>
      </c>
      <c r="C116" t="s">
        <v>685</v>
      </c>
      <c r="D116" t="s">
        <v>865</v>
      </c>
      <c r="E116" t="s">
        <v>871</v>
      </c>
      <c r="F116" t="s">
        <v>872</v>
      </c>
      <c r="G116" t="s">
        <v>970</v>
      </c>
      <c r="H116" t="s">
        <v>1177</v>
      </c>
      <c r="I116" t="s">
        <v>321</v>
      </c>
      <c r="J116" t="s">
        <v>1147</v>
      </c>
      <c r="K116">
        <v>1</v>
      </c>
      <c r="L116">
        <v>1</v>
      </c>
      <c r="M116" t="s">
        <v>322</v>
      </c>
      <c r="N116">
        <v>1</v>
      </c>
      <c r="O116">
        <v>1000</v>
      </c>
      <c r="P116">
        <v>1</v>
      </c>
      <c r="Q116" t="s">
        <v>48</v>
      </c>
      <c r="R116">
        <v>1000</v>
      </c>
      <c r="S116">
        <v>1719</v>
      </c>
      <c r="T116">
        <v>1719</v>
      </c>
      <c r="U116" t="s">
        <v>1147</v>
      </c>
      <c r="V116" t="s">
        <v>1147</v>
      </c>
      <c r="W116" t="s">
        <v>1147</v>
      </c>
      <c r="X116">
        <v>1</v>
      </c>
      <c r="Y116" t="s">
        <v>1147</v>
      </c>
      <c r="Z116">
        <v>2000</v>
      </c>
      <c r="AA116">
        <v>2000</v>
      </c>
      <c r="AB116" t="s">
        <v>1147</v>
      </c>
      <c r="AC116" t="s">
        <v>1147</v>
      </c>
      <c r="AD116" t="s">
        <v>1147</v>
      </c>
      <c r="AE116">
        <v>1</v>
      </c>
      <c r="AF116" t="s">
        <v>1147</v>
      </c>
      <c r="AG116" t="s">
        <v>1147</v>
      </c>
      <c r="AH116" t="s">
        <v>1147</v>
      </c>
      <c r="AI116" t="s">
        <v>321</v>
      </c>
      <c r="AJ116" t="s">
        <v>868</v>
      </c>
      <c r="AK116" t="s">
        <v>37</v>
      </c>
      <c r="AL116" t="s">
        <v>1147</v>
      </c>
      <c r="AM116" t="s">
        <v>1147</v>
      </c>
      <c r="AN116" t="s">
        <v>1147</v>
      </c>
      <c r="AO116" t="s">
        <v>1147</v>
      </c>
      <c r="AP116" s="515"/>
    </row>
    <row r="117" spans="1:42" x14ac:dyDescent="0.25">
      <c r="A117" t="s">
        <v>873</v>
      </c>
      <c r="B117" t="s">
        <v>874</v>
      </c>
      <c r="C117" t="s">
        <v>685</v>
      </c>
      <c r="D117" t="s">
        <v>865</v>
      </c>
      <c r="E117" t="s">
        <v>875</v>
      </c>
      <c r="F117" t="s">
        <v>876</v>
      </c>
      <c r="G117" t="s">
        <v>259</v>
      </c>
      <c r="H117" s="693" t="s">
        <v>1179</v>
      </c>
      <c r="I117" t="s">
        <v>46</v>
      </c>
      <c r="J117" t="s">
        <v>1147</v>
      </c>
      <c r="K117">
        <v>1</v>
      </c>
      <c r="L117">
        <v>1</v>
      </c>
      <c r="M117" t="s">
        <v>322</v>
      </c>
      <c r="N117">
        <v>1</v>
      </c>
      <c r="O117">
        <v>2</v>
      </c>
      <c r="P117">
        <v>1</v>
      </c>
      <c r="Q117" t="s">
        <v>48</v>
      </c>
      <c r="R117">
        <v>10</v>
      </c>
      <c r="S117">
        <v>10</v>
      </c>
      <c r="T117">
        <v>10</v>
      </c>
      <c r="U117" t="s">
        <v>1147</v>
      </c>
      <c r="V117" t="s">
        <v>1147</v>
      </c>
      <c r="W117" t="s">
        <v>1147</v>
      </c>
      <c r="X117">
        <v>1</v>
      </c>
      <c r="Y117" t="s">
        <v>1147</v>
      </c>
      <c r="Z117">
        <v>2</v>
      </c>
      <c r="AA117">
        <v>2</v>
      </c>
      <c r="AB117" t="s">
        <v>1147</v>
      </c>
      <c r="AC117" t="s">
        <v>1147</v>
      </c>
      <c r="AD117" t="s">
        <v>1147</v>
      </c>
      <c r="AE117">
        <v>1</v>
      </c>
      <c r="AF117" t="s">
        <v>1147</v>
      </c>
      <c r="AG117">
        <v>0</v>
      </c>
      <c r="AH117" t="s">
        <v>1147</v>
      </c>
      <c r="AI117" t="s">
        <v>46</v>
      </c>
      <c r="AJ117" t="s">
        <v>868</v>
      </c>
      <c r="AK117" t="s">
        <v>37</v>
      </c>
      <c r="AL117">
        <v>6</v>
      </c>
      <c r="AM117" t="s">
        <v>1147</v>
      </c>
      <c r="AN117" t="s">
        <v>1147</v>
      </c>
      <c r="AO117" t="s">
        <v>1147</v>
      </c>
      <c r="AP117" s="515"/>
    </row>
    <row r="118" spans="1:42" x14ac:dyDescent="0.25">
      <c r="A118" t="s">
        <v>877</v>
      </c>
      <c r="B118" t="s">
        <v>878</v>
      </c>
      <c r="C118" t="s">
        <v>685</v>
      </c>
      <c r="D118" t="s">
        <v>879</v>
      </c>
      <c r="E118" t="s">
        <v>880</v>
      </c>
      <c r="F118" t="s">
        <v>881</v>
      </c>
      <c r="G118" t="s">
        <v>259</v>
      </c>
      <c r="H118" s="249" t="s">
        <v>1179</v>
      </c>
      <c r="I118" t="s">
        <v>46</v>
      </c>
      <c r="J118" t="s">
        <v>882</v>
      </c>
      <c r="K118">
        <v>1</v>
      </c>
      <c r="L118">
        <v>1</v>
      </c>
      <c r="M118" t="s">
        <v>322</v>
      </c>
      <c r="N118">
        <v>1</v>
      </c>
      <c r="O118">
        <v>10</v>
      </c>
      <c r="P118">
        <v>1</v>
      </c>
      <c r="Q118" t="s">
        <v>48</v>
      </c>
      <c r="R118">
        <v>10</v>
      </c>
      <c r="S118">
        <v>10</v>
      </c>
      <c r="T118">
        <v>10</v>
      </c>
      <c r="U118" t="s">
        <v>1147</v>
      </c>
      <c r="V118" t="s">
        <v>1147</v>
      </c>
      <c r="W118" t="s">
        <v>1147</v>
      </c>
      <c r="X118">
        <v>1</v>
      </c>
      <c r="Y118" t="s">
        <v>1147</v>
      </c>
      <c r="Z118">
        <v>10</v>
      </c>
      <c r="AA118">
        <v>10</v>
      </c>
      <c r="AB118" t="s">
        <v>1147</v>
      </c>
      <c r="AC118" t="s">
        <v>1147</v>
      </c>
      <c r="AD118" t="s">
        <v>1147</v>
      </c>
      <c r="AE118">
        <v>1</v>
      </c>
      <c r="AF118" t="s">
        <v>1147</v>
      </c>
      <c r="AG118">
        <v>0</v>
      </c>
      <c r="AH118" t="s">
        <v>1147</v>
      </c>
      <c r="AI118" t="s">
        <v>46</v>
      </c>
      <c r="AJ118" t="s">
        <v>883</v>
      </c>
      <c r="AK118" t="s">
        <v>37</v>
      </c>
      <c r="AL118">
        <v>40</v>
      </c>
      <c r="AM118" t="s">
        <v>1147</v>
      </c>
      <c r="AN118">
        <v>120</v>
      </c>
      <c r="AO118" t="s">
        <v>1147</v>
      </c>
      <c r="AP118" s="515"/>
    </row>
    <row r="119" spans="1:42" x14ac:dyDescent="0.25">
      <c r="A119" t="s">
        <v>884</v>
      </c>
      <c r="B119" t="s">
        <v>885</v>
      </c>
      <c r="C119" t="s">
        <v>685</v>
      </c>
      <c r="D119" t="s">
        <v>879</v>
      </c>
      <c r="E119" t="s">
        <v>880</v>
      </c>
      <c r="F119" t="s">
        <v>881</v>
      </c>
      <c r="G119" t="s">
        <v>259</v>
      </c>
      <c r="H119" s="249" t="s">
        <v>1179</v>
      </c>
      <c r="I119" t="s">
        <v>46</v>
      </c>
      <c r="J119" t="s">
        <v>886</v>
      </c>
      <c r="K119">
        <v>1</v>
      </c>
      <c r="L119">
        <v>1</v>
      </c>
      <c r="M119" t="s">
        <v>322</v>
      </c>
      <c r="N119">
        <v>1</v>
      </c>
      <c r="O119">
        <v>10</v>
      </c>
      <c r="P119">
        <v>1</v>
      </c>
      <c r="Q119" t="s">
        <v>48</v>
      </c>
      <c r="R119">
        <v>10</v>
      </c>
      <c r="S119">
        <v>10</v>
      </c>
      <c r="T119">
        <v>10</v>
      </c>
      <c r="U119" t="s">
        <v>1147</v>
      </c>
      <c r="V119" t="s">
        <v>1147</v>
      </c>
      <c r="W119" t="s">
        <v>1147</v>
      </c>
      <c r="X119">
        <v>1</v>
      </c>
      <c r="Y119" t="s">
        <v>1147</v>
      </c>
      <c r="Z119">
        <v>10</v>
      </c>
      <c r="AA119">
        <v>10</v>
      </c>
      <c r="AB119" t="s">
        <v>1147</v>
      </c>
      <c r="AC119" t="s">
        <v>1147</v>
      </c>
      <c r="AD119" t="s">
        <v>1147</v>
      </c>
      <c r="AE119">
        <v>1</v>
      </c>
      <c r="AF119" t="s">
        <v>1147</v>
      </c>
      <c r="AG119">
        <v>0</v>
      </c>
      <c r="AH119" t="s">
        <v>1147</v>
      </c>
      <c r="AI119" t="s">
        <v>46</v>
      </c>
      <c r="AJ119" t="s">
        <v>883</v>
      </c>
      <c r="AK119" t="s">
        <v>37</v>
      </c>
      <c r="AL119">
        <v>40</v>
      </c>
      <c r="AM119" t="s">
        <v>1147</v>
      </c>
      <c r="AN119">
        <v>120</v>
      </c>
      <c r="AO119" t="s">
        <v>1147</v>
      </c>
      <c r="AP119" s="515"/>
    </row>
    <row r="120" spans="1:42" x14ac:dyDescent="0.25">
      <c r="A120" t="s">
        <v>887</v>
      </c>
      <c r="B120" t="s">
        <v>888</v>
      </c>
      <c r="C120" t="s">
        <v>685</v>
      </c>
      <c r="D120" t="s">
        <v>879</v>
      </c>
      <c r="E120" t="s">
        <v>880</v>
      </c>
      <c r="F120" t="s">
        <v>881</v>
      </c>
      <c r="G120" t="s">
        <v>259</v>
      </c>
      <c r="H120" s="249" t="s">
        <v>1179</v>
      </c>
      <c r="I120" t="s">
        <v>46</v>
      </c>
      <c r="J120" t="s">
        <v>889</v>
      </c>
      <c r="K120">
        <v>1</v>
      </c>
      <c r="L120">
        <v>1</v>
      </c>
      <c r="M120" t="s">
        <v>322</v>
      </c>
      <c r="N120">
        <v>1</v>
      </c>
      <c r="O120">
        <v>10</v>
      </c>
      <c r="P120">
        <v>1</v>
      </c>
      <c r="Q120" t="s">
        <v>48</v>
      </c>
      <c r="R120">
        <v>10</v>
      </c>
      <c r="S120">
        <v>10</v>
      </c>
      <c r="T120">
        <v>10</v>
      </c>
      <c r="U120" t="s">
        <v>1147</v>
      </c>
      <c r="V120" t="s">
        <v>1147</v>
      </c>
      <c r="W120" t="s">
        <v>1147</v>
      </c>
      <c r="X120">
        <v>1</v>
      </c>
      <c r="Y120" t="s">
        <v>1147</v>
      </c>
      <c r="Z120">
        <v>10</v>
      </c>
      <c r="AA120">
        <v>10</v>
      </c>
      <c r="AB120" t="s">
        <v>1147</v>
      </c>
      <c r="AC120" t="s">
        <v>1147</v>
      </c>
      <c r="AD120" t="s">
        <v>1147</v>
      </c>
      <c r="AE120">
        <v>1</v>
      </c>
      <c r="AF120" t="s">
        <v>1147</v>
      </c>
      <c r="AG120">
        <v>0</v>
      </c>
      <c r="AH120" t="s">
        <v>1147</v>
      </c>
      <c r="AI120" t="s">
        <v>46</v>
      </c>
      <c r="AJ120" t="s">
        <v>883</v>
      </c>
      <c r="AK120" t="s">
        <v>37</v>
      </c>
      <c r="AL120">
        <v>40</v>
      </c>
      <c r="AM120" t="s">
        <v>1147</v>
      </c>
      <c r="AN120">
        <v>120</v>
      </c>
      <c r="AO120" t="s">
        <v>1147</v>
      </c>
      <c r="AP120" s="515"/>
    </row>
    <row r="121" spans="1:42" ht="148.5" customHeight="1" x14ac:dyDescent="0.25">
      <c r="A121" t="s">
        <v>890</v>
      </c>
      <c r="B121" t="s">
        <v>987</v>
      </c>
      <c r="C121" t="s">
        <v>685</v>
      </c>
      <c r="D121" t="s">
        <v>879</v>
      </c>
      <c r="E121" t="s">
        <v>880</v>
      </c>
      <c r="F121" t="s">
        <v>881</v>
      </c>
      <c r="G121" t="s">
        <v>259</v>
      </c>
      <c r="H121" s="249" t="s">
        <v>1179</v>
      </c>
      <c r="I121" t="s">
        <v>46</v>
      </c>
      <c r="J121" t="s">
        <v>891</v>
      </c>
      <c r="K121">
        <v>1</v>
      </c>
      <c r="L121">
        <v>1</v>
      </c>
      <c r="M121" t="s">
        <v>322</v>
      </c>
      <c r="N121">
        <v>1</v>
      </c>
      <c r="O121">
        <v>10</v>
      </c>
      <c r="P121">
        <v>1</v>
      </c>
      <c r="Q121" t="s">
        <v>48</v>
      </c>
      <c r="R121">
        <v>10</v>
      </c>
      <c r="S121">
        <v>10</v>
      </c>
      <c r="T121">
        <v>10</v>
      </c>
      <c r="U121" t="s">
        <v>1147</v>
      </c>
      <c r="V121" t="s">
        <v>1147</v>
      </c>
      <c r="W121" t="s">
        <v>1147</v>
      </c>
      <c r="X121">
        <v>1</v>
      </c>
      <c r="Y121" t="s">
        <v>1147</v>
      </c>
      <c r="Z121">
        <v>10</v>
      </c>
      <c r="AA121">
        <v>10</v>
      </c>
      <c r="AB121" t="s">
        <v>1147</v>
      </c>
      <c r="AC121" t="s">
        <v>1147</v>
      </c>
      <c r="AD121" t="s">
        <v>1147</v>
      </c>
      <c r="AE121">
        <v>1</v>
      </c>
      <c r="AF121" t="s">
        <v>1147</v>
      </c>
      <c r="AG121">
        <v>0</v>
      </c>
      <c r="AH121" t="s">
        <v>1147</v>
      </c>
      <c r="AI121" t="s">
        <v>46</v>
      </c>
      <c r="AJ121" t="s">
        <v>883</v>
      </c>
      <c r="AK121" t="s">
        <v>37</v>
      </c>
      <c r="AL121">
        <v>40</v>
      </c>
      <c r="AM121" t="s">
        <v>1147</v>
      </c>
      <c r="AN121">
        <v>120</v>
      </c>
      <c r="AO121" t="s">
        <v>1147</v>
      </c>
      <c r="AP121" s="515"/>
    </row>
    <row r="122" spans="1:42" ht="153" customHeight="1" x14ac:dyDescent="0.25">
      <c r="A122" t="s">
        <v>892</v>
      </c>
      <c r="B122" t="s">
        <v>893</v>
      </c>
      <c r="C122" t="s">
        <v>685</v>
      </c>
      <c r="D122" t="s">
        <v>879</v>
      </c>
      <c r="E122" t="s">
        <v>880</v>
      </c>
      <c r="F122" t="s">
        <v>881</v>
      </c>
      <c r="G122" t="s">
        <v>259</v>
      </c>
      <c r="H122" s="249" t="s">
        <v>1179</v>
      </c>
      <c r="I122" t="s">
        <v>46</v>
      </c>
      <c r="J122" t="s">
        <v>894</v>
      </c>
      <c r="K122">
        <v>1</v>
      </c>
      <c r="L122">
        <v>1</v>
      </c>
      <c r="M122" t="s">
        <v>322</v>
      </c>
      <c r="N122">
        <v>1</v>
      </c>
      <c r="O122">
        <v>10</v>
      </c>
      <c r="P122">
        <v>1</v>
      </c>
      <c r="Q122" t="s">
        <v>48</v>
      </c>
      <c r="R122">
        <v>10</v>
      </c>
      <c r="S122">
        <v>10</v>
      </c>
      <c r="T122">
        <v>10</v>
      </c>
      <c r="U122" t="s">
        <v>1147</v>
      </c>
      <c r="V122" t="s">
        <v>1147</v>
      </c>
      <c r="W122" t="s">
        <v>1147</v>
      </c>
      <c r="X122">
        <v>1</v>
      </c>
      <c r="Y122" t="s">
        <v>1147</v>
      </c>
      <c r="Z122">
        <v>10</v>
      </c>
      <c r="AA122">
        <v>10</v>
      </c>
      <c r="AB122" t="s">
        <v>1147</v>
      </c>
      <c r="AC122" t="s">
        <v>1147</v>
      </c>
      <c r="AD122" t="s">
        <v>1147</v>
      </c>
      <c r="AE122">
        <v>1</v>
      </c>
      <c r="AF122" t="s">
        <v>1147</v>
      </c>
      <c r="AG122">
        <v>0</v>
      </c>
      <c r="AH122" t="s">
        <v>1147</v>
      </c>
      <c r="AI122" t="s">
        <v>46</v>
      </c>
      <c r="AJ122" t="s">
        <v>883</v>
      </c>
      <c r="AK122" t="s">
        <v>37</v>
      </c>
      <c r="AL122">
        <v>40</v>
      </c>
      <c r="AM122" t="s">
        <v>1147</v>
      </c>
      <c r="AN122">
        <v>120</v>
      </c>
      <c r="AO122" t="s">
        <v>1147</v>
      </c>
      <c r="AP122" s="515"/>
    </row>
    <row r="123" spans="1:42" x14ac:dyDescent="0.25">
      <c r="A123" t="s">
        <v>895</v>
      </c>
      <c r="B123" t="s">
        <v>896</v>
      </c>
      <c r="C123" t="s">
        <v>685</v>
      </c>
      <c r="D123" t="s">
        <v>879</v>
      </c>
      <c r="E123" t="s">
        <v>880</v>
      </c>
      <c r="F123" t="s">
        <v>881</v>
      </c>
      <c r="G123" t="s">
        <v>259</v>
      </c>
      <c r="H123" s="249" t="s">
        <v>1179</v>
      </c>
      <c r="I123" t="s">
        <v>46</v>
      </c>
      <c r="J123" t="s">
        <v>897</v>
      </c>
      <c r="K123">
        <v>1</v>
      </c>
      <c r="L123">
        <v>1</v>
      </c>
      <c r="M123" t="s">
        <v>322</v>
      </c>
      <c r="N123">
        <v>1</v>
      </c>
      <c r="O123">
        <v>10</v>
      </c>
      <c r="P123">
        <v>1</v>
      </c>
      <c r="Q123" t="s">
        <v>48</v>
      </c>
      <c r="R123">
        <v>10</v>
      </c>
      <c r="S123">
        <v>10</v>
      </c>
      <c r="T123">
        <v>10</v>
      </c>
      <c r="U123" t="s">
        <v>1147</v>
      </c>
      <c r="V123" t="s">
        <v>1147</v>
      </c>
      <c r="W123" t="s">
        <v>1147</v>
      </c>
      <c r="X123">
        <v>1</v>
      </c>
      <c r="Y123" t="s">
        <v>1147</v>
      </c>
      <c r="Z123">
        <v>10</v>
      </c>
      <c r="AA123">
        <v>10</v>
      </c>
      <c r="AB123" t="s">
        <v>1147</v>
      </c>
      <c r="AC123" t="s">
        <v>1147</v>
      </c>
      <c r="AD123" t="s">
        <v>1147</v>
      </c>
      <c r="AE123">
        <v>1</v>
      </c>
      <c r="AF123" t="s">
        <v>1147</v>
      </c>
      <c r="AG123">
        <v>0</v>
      </c>
      <c r="AH123" t="s">
        <v>1147</v>
      </c>
      <c r="AI123" t="s">
        <v>46</v>
      </c>
      <c r="AJ123" t="s">
        <v>883</v>
      </c>
      <c r="AK123" t="s">
        <v>37</v>
      </c>
      <c r="AL123">
        <v>40</v>
      </c>
      <c r="AM123" t="s">
        <v>1147</v>
      </c>
      <c r="AN123">
        <v>120</v>
      </c>
      <c r="AO123" t="s">
        <v>1147</v>
      </c>
      <c r="AP123" s="515"/>
    </row>
    <row r="124" spans="1:42" x14ac:dyDescent="0.25">
      <c r="A124" t="s">
        <v>898</v>
      </c>
      <c r="B124" t="s">
        <v>988</v>
      </c>
      <c r="C124" t="s">
        <v>685</v>
      </c>
      <c r="D124" t="s">
        <v>899</v>
      </c>
      <c r="E124" t="s">
        <v>900</v>
      </c>
      <c r="F124" t="s">
        <v>881</v>
      </c>
      <c r="G124" t="s">
        <v>280</v>
      </c>
      <c r="H124" s="249" t="s">
        <v>1179</v>
      </c>
      <c r="I124" t="s">
        <v>46</v>
      </c>
      <c r="J124" t="s">
        <v>901</v>
      </c>
      <c r="K124">
        <v>1</v>
      </c>
      <c r="L124">
        <v>1</v>
      </c>
      <c r="M124" t="s">
        <v>322</v>
      </c>
      <c r="N124">
        <v>1</v>
      </c>
      <c r="O124">
        <v>1</v>
      </c>
      <c r="P124">
        <v>1</v>
      </c>
      <c r="Q124" t="s">
        <v>48</v>
      </c>
      <c r="R124">
        <v>10</v>
      </c>
      <c r="S124">
        <v>10</v>
      </c>
      <c r="T124">
        <v>10</v>
      </c>
      <c r="U124" t="s">
        <v>1147</v>
      </c>
      <c r="V124" t="s">
        <v>1147</v>
      </c>
      <c r="W124" t="s">
        <v>1147</v>
      </c>
      <c r="X124">
        <v>1</v>
      </c>
      <c r="Y124" t="s">
        <v>1147</v>
      </c>
      <c r="Z124">
        <v>1</v>
      </c>
      <c r="AA124">
        <v>1</v>
      </c>
      <c r="AB124" t="s">
        <v>1147</v>
      </c>
      <c r="AC124" t="s">
        <v>1147</v>
      </c>
      <c r="AD124" t="s">
        <v>1147</v>
      </c>
      <c r="AE124">
        <v>1</v>
      </c>
      <c r="AF124" t="s">
        <v>1147</v>
      </c>
      <c r="AG124" t="s">
        <v>1147</v>
      </c>
      <c r="AH124" t="s">
        <v>1147</v>
      </c>
      <c r="AI124" t="s">
        <v>46</v>
      </c>
      <c r="AJ124" t="s">
        <v>902</v>
      </c>
      <c r="AK124" t="s">
        <v>37</v>
      </c>
      <c r="AL124">
        <v>120</v>
      </c>
      <c r="AM124" t="s">
        <v>1147</v>
      </c>
      <c r="AN124">
        <v>100</v>
      </c>
      <c r="AO124" t="s">
        <v>1147</v>
      </c>
      <c r="AP124" s="515"/>
    </row>
    <row r="125" spans="1:42" x14ac:dyDescent="0.25">
      <c r="A125" t="s">
        <v>903</v>
      </c>
      <c r="B125" t="s">
        <v>989</v>
      </c>
      <c r="C125" t="s">
        <v>685</v>
      </c>
      <c r="D125" t="s">
        <v>899</v>
      </c>
      <c r="E125" t="s">
        <v>904</v>
      </c>
      <c r="F125" t="s">
        <v>881</v>
      </c>
      <c r="G125" t="s">
        <v>280</v>
      </c>
      <c r="H125" s="249" t="s">
        <v>1179</v>
      </c>
      <c r="I125" t="s">
        <v>46</v>
      </c>
      <c r="J125" t="s">
        <v>905</v>
      </c>
      <c r="K125">
        <v>1</v>
      </c>
      <c r="L125">
        <v>1</v>
      </c>
      <c r="M125" t="s">
        <v>322</v>
      </c>
      <c r="N125">
        <v>1</v>
      </c>
      <c r="O125">
        <v>1</v>
      </c>
      <c r="P125">
        <v>1</v>
      </c>
      <c r="Q125" t="s">
        <v>48</v>
      </c>
      <c r="R125">
        <v>10</v>
      </c>
      <c r="S125">
        <v>10</v>
      </c>
      <c r="T125">
        <v>10</v>
      </c>
      <c r="U125" t="s">
        <v>1147</v>
      </c>
      <c r="V125" t="s">
        <v>1147</v>
      </c>
      <c r="W125" t="s">
        <v>1147</v>
      </c>
      <c r="X125">
        <v>1</v>
      </c>
      <c r="Y125" t="s">
        <v>1147</v>
      </c>
      <c r="Z125">
        <v>1</v>
      </c>
      <c r="AA125">
        <v>1</v>
      </c>
      <c r="AB125" t="s">
        <v>1147</v>
      </c>
      <c r="AC125" t="s">
        <v>1147</v>
      </c>
      <c r="AD125" t="s">
        <v>1147</v>
      </c>
      <c r="AE125">
        <v>1</v>
      </c>
      <c r="AF125" t="s">
        <v>1147</v>
      </c>
      <c r="AG125" t="s">
        <v>1147</v>
      </c>
      <c r="AH125" t="s">
        <v>1147</v>
      </c>
      <c r="AI125" t="s">
        <v>46</v>
      </c>
      <c r="AJ125" t="s">
        <v>902</v>
      </c>
      <c r="AK125" t="s">
        <v>37</v>
      </c>
      <c r="AL125">
        <v>120</v>
      </c>
      <c r="AM125" t="s">
        <v>1147</v>
      </c>
      <c r="AN125">
        <v>100</v>
      </c>
      <c r="AO125" t="s">
        <v>1147</v>
      </c>
      <c r="AP125" s="515"/>
    </row>
    <row r="126" spans="1:42" x14ac:dyDescent="0.25">
      <c r="A126" t="s">
        <v>906</v>
      </c>
      <c r="B126" t="s">
        <v>990</v>
      </c>
      <c r="C126" t="s">
        <v>685</v>
      </c>
      <c r="D126" t="s">
        <v>899</v>
      </c>
      <c r="E126" t="s">
        <v>907</v>
      </c>
      <c r="F126" t="s">
        <v>881</v>
      </c>
      <c r="G126" t="s">
        <v>280</v>
      </c>
      <c r="H126" s="249" t="s">
        <v>1179</v>
      </c>
      <c r="I126" t="s">
        <v>46</v>
      </c>
      <c r="J126" t="s">
        <v>908</v>
      </c>
      <c r="K126">
        <v>1</v>
      </c>
      <c r="L126">
        <v>1</v>
      </c>
      <c r="M126" t="s">
        <v>322</v>
      </c>
      <c r="N126">
        <v>1</v>
      </c>
      <c r="O126">
        <v>1</v>
      </c>
      <c r="P126">
        <v>1</v>
      </c>
      <c r="Q126" t="s">
        <v>48</v>
      </c>
      <c r="R126">
        <v>10</v>
      </c>
      <c r="S126">
        <v>10</v>
      </c>
      <c r="T126">
        <v>10</v>
      </c>
      <c r="U126" t="s">
        <v>1147</v>
      </c>
      <c r="V126" t="s">
        <v>1147</v>
      </c>
      <c r="W126" t="s">
        <v>1147</v>
      </c>
      <c r="X126">
        <v>1</v>
      </c>
      <c r="Y126" t="s">
        <v>1147</v>
      </c>
      <c r="Z126">
        <v>1</v>
      </c>
      <c r="AA126">
        <v>1</v>
      </c>
      <c r="AB126" t="s">
        <v>1147</v>
      </c>
      <c r="AC126" t="s">
        <v>1147</v>
      </c>
      <c r="AD126" t="s">
        <v>1147</v>
      </c>
      <c r="AE126">
        <v>1</v>
      </c>
      <c r="AF126" t="s">
        <v>1147</v>
      </c>
      <c r="AG126" t="s">
        <v>1147</v>
      </c>
      <c r="AH126" t="s">
        <v>1147</v>
      </c>
      <c r="AI126" t="s">
        <v>46</v>
      </c>
      <c r="AJ126" t="s">
        <v>902</v>
      </c>
      <c r="AK126" t="s">
        <v>37</v>
      </c>
      <c r="AL126">
        <v>120</v>
      </c>
      <c r="AM126" t="s">
        <v>1147</v>
      </c>
      <c r="AN126">
        <v>100</v>
      </c>
      <c r="AO126" t="s">
        <v>1147</v>
      </c>
      <c r="AP126" s="515"/>
    </row>
    <row r="127" spans="1:42" x14ac:dyDescent="0.25">
      <c r="A127" t="s">
        <v>909</v>
      </c>
      <c r="B127" t="s">
        <v>991</v>
      </c>
      <c r="C127" t="s">
        <v>685</v>
      </c>
      <c r="D127" t="s">
        <v>899</v>
      </c>
      <c r="E127" t="s">
        <v>910</v>
      </c>
      <c r="F127" t="s">
        <v>881</v>
      </c>
      <c r="G127" t="s">
        <v>280</v>
      </c>
      <c r="H127" s="249" t="s">
        <v>1179</v>
      </c>
      <c r="I127" t="s">
        <v>46</v>
      </c>
      <c r="J127" t="s">
        <v>911</v>
      </c>
      <c r="K127">
        <v>1</v>
      </c>
      <c r="L127">
        <v>1</v>
      </c>
      <c r="M127" t="s">
        <v>322</v>
      </c>
      <c r="N127">
        <v>1</v>
      </c>
      <c r="O127">
        <v>1</v>
      </c>
      <c r="P127">
        <v>1</v>
      </c>
      <c r="Q127" t="s">
        <v>48</v>
      </c>
      <c r="R127">
        <v>10</v>
      </c>
      <c r="S127">
        <v>10</v>
      </c>
      <c r="T127">
        <v>10</v>
      </c>
      <c r="U127" t="s">
        <v>1147</v>
      </c>
      <c r="V127" t="s">
        <v>1147</v>
      </c>
      <c r="W127" t="s">
        <v>1147</v>
      </c>
      <c r="X127">
        <v>1</v>
      </c>
      <c r="Y127" t="s">
        <v>1147</v>
      </c>
      <c r="Z127">
        <v>1</v>
      </c>
      <c r="AA127">
        <v>1</v>
      </c>
      <c r="AB127" t="s">
        <v>1147</v>
      </c>
      <c r="AC127" t="s">
        <v>1147</v>
      </c>
      <c r="AD127" t="s">
        <v>1147</v>
      </c>
      <c r="AE127">
        <v>1</v>
      </c>
      <c r="AF127" t="s">
        <v>1147</v>
      </c>
      <c r="AG127" t="s">
        <v>1147</v>
      </c>
      <c r="AH127" t="s">
        <v>1147</v>
      </c>
      <c r="AI127" t="s">
        <v>46</v>
      </c>
      <c r="AJ127" t="s">
        <v>902</v>
      </c>
      <c r="AK127" t="s">
        <v>37</v>
      </c>
      <c r="AL127">
        <v>120</v>
      </c>
      <c r="AM127" t="s">
        <v>1147</v>
      </c>
      <c r="AN127">
        <v>100</v>
      </c>
      <c r="AO127" t="s">
        <v>1147</v>
      </c>
      <c r="AP127" s="515"/>
    </row>
    <row r="128" spans="1:42" x14ac:dyDescent="0.25">
      <c r="A128" t="s">
        <v>912</v>
      </c>
      <c r="B128" t="s">
        <v>992</v>
      </c>
      <c r="C128" t="s">
        <v>685</v>
      </c>
      <c r="D128" t="s">
        <v>899</v>
      </c>
      <c r="E128" t="s">
        <v>910</v>
      </c>
      <c r="F128" t="s">
        <v>881</v>
      </c>
      <c r="G128" t="s">
        <v>280</v>
      </c>
      <c r="H128" s="249" t="s">
        <v>1179</v>
      </c>
      <c r="I128" t="s">
        <v>46</v>
      </c>
      <c r="J128" t="s">
        <v>913</v>
      </c>
      <c r="K128">
        <v>1</v>
      </c>
      <c r="L128">
        <v>1</v>
      </c>
      <c r="M128" t="s">
        <v>322</v>
      </c>
      <c r="N128">
        <v>1</v>
      </c>
      <c r="O128">
        <v>1</v>
      </c>
      <c r="P128">
        <v>1</v>
      </c>
      <c r="Q128" t="s">
        <v>48</v>
      </c>
      <c r="R128">
        <v>10</v>
      </c>
      <c r="S128">
        <v>10</v>
      </c>
      <c r="T128">
        <v>10</v>
      </c>
      <c r="U128" t="s">
        <v>1147</v>
      </c>
      <c r="V128" t="s">
        <v>1147</v>
      </c>
      <c r="W128" t="s">
        <v>1147</v>
      </c>
      <c r="X128">
        <v>1</v>
      </c>
      <c r="Y128" t="s">
        <v>1147</v>
      </c>
      <c r="Z128">
        <v>1</v>
      </c>
      <c r="AA128">
        <v>1</v>
      </c>
      <c r="AB128" t="s">
        <v>1147</v>
      </c>
      <c r="AC128" t="s">
        <v>1147</v>
      </c>
      <c r="AD128" t="s">
        <v>1147</v>
      </c>
      <c r="AE128">
        <v>1</v>
      </c>
      <c r="AF128" t="s">
        <v>1147</v>
      </c>
      <c r="AG128" t="s">
        <v>1147</v>
      </c>
      <c r="AH128" t="s">
        <v>1147</v>
      </c>
      <c r="AI128" t="s">
        <v>46</v>
      </c>
      <c r="AJ128" t="s">
        <v>902</v>
      </c>
      <c r="AK128" t="s">
        <v>37</v>
      </c>
      <c r="AL128">
        <v>120</v>
      </c>
      <c r="AM128" t="s">
        <v>1147</v>
      </c>
      <c r="AN128">
        <v>100</v>
      </c>
      <c r="AO128" t="s">
        <v>1147</v>
      </c>
      <c r="AP128" s="515"/>
    </row>
    <row r="129" spans="1:42" x14ac:dyDescent="0.25">
      <c r="A129" t="s">
        <v>914</v>
      </c>
      <c r="B129" t="s">
        <v>993</v>
      </c>
      <c r="C129" t="s">
        <v>685</v>
      </c>
      <c r="D129" t="s">
        <v>899</v>
      </c>
      <c r="E129" t="s">
        <v>910</v>
      </c>
      <c r="F129" t="s">
        <v>881</v>
      </c>
      <c r="G129" t="s">
        <v>280</v>
      </c>
      <c r="H129" s="249" t="s">
        <v>1179</v>
      </c>
      <c r="I129" t="s">
        <v>46</v>
      </c>
      <c r="J129" t="s">
        <v>915</v>
      </c>
      <c r="K129">
        <v>1</v>
      </c>
      <c r="L129">
        <v>1</v>
      </c>
      <c r="M129" t="s">
        <v>322</v>
      </c>
      <c r="N129">
        <v>1</v>
      </c>
      <c r="O129">
        <v>1</v>
      </c>
      <c r="P129">
        <v>1</v>
      </c>
      <c r="Q129" t="s">
        <v>48</v>
      </c>
      <c r="R129">
        <v>10</v>
      </c>
      <c r="S129">
        <v>10</v>
      </c>
      <c r="T129">
        <v>10</v>
      </c>
      <c r="U129" t="s">
        <v>1147</v>
      </c>
      <c r="V129" t="s">
        <v>1147</v>
      </c>
      <c r="W129" t="s">
        <v>1147</v>
      </c>
      <c r="X129">
        <v>1</v>
      </c>
      <c r="Y129" t="s">
        <v>1147</v>
      </c>
      <c r="Z129">
        <v>1</v>
      </c>
      <c r="AA129">
        <v>1</v>
      </c>
      <c r="AB129" t="s">
        <v>1147</v>
      </c>
      <c r="AC129" t="s">
        <v>1147</v>
      </c>
      <c r="AD129" t="s">
        <v>1147</v>
      </c>
      <c r="AE129">
        <v>1</v>
      </c>
      <c r="AF129" t="s">
        <v>1147</v>
      </c>
      <c r="AG129" t="s">
        <v>1147</v>
      </c>
      <c r="AH129" t="s">
        <v>1147</v>
      </c>
      <c r="AI129" t="s">
        <v>46</v>
      </c>
      <c r="AJ129" t="s">
        <v>902</v>
      </c>
      <c r="AK129" t="s">
        <v>37</v>
      </c>
      <c r="AL129">
        <v>120</v>
      </c>
      <c r="AM129" t="s">
        <v>1147</v>
      </c>
      <c r="AN129">
        <v>100</v>
      </c>
      <c r="AO129" t="s">
        <v>1147</v>
      </c>
      <c r="AP129" s="515"/>
    </row>
    <row r="130" spans="1:42" x14ac:dyDescent="0.25">
      <c r="A130" t="s">
        <v>916</v>
      </c>
      <c r="B130" t="s">
        <v>994</v>
      </c>
      <c r="C130" t="s">
        <v>685</v>
      </c>
      <c r="D130" t="s">
        <v>899</v>
      </c>
      <c r="E130" t="s">
        <v>910</v>
      </c>
      <c r="F130" t="s">
        <v>881</v>
      </c>
      <c r="G130" t="s">
        <v>280</v>
      </c>
      <c r="H130" s="249" t="s">
        <v>1179</v>
      </c>
      <c r="I130" t="s">
        <v>46</v>
      </c>
      <c r="J130" t="s">
        <v>917</v>
      </c>
      <c r="K130">
        <v>1</v>
      </c>
      <c r="L130">
        <v>1</v>
      </c>
      <c r="M130" t="s">
        <v>322</v>
      </c>
      <c r="N130">
        <v>1</v>
      </c>
      <c r="O130">
        <v>1</v>
      </c>
      <c r="P130">
        <v>1</v>
      </c>
      <c r="Q130" t="s">
        <v>48</v>
      </c>
      <c r="R130">
        <v>10</v>
      </c>
      <c r="S130">
        <v>10</v>
      </c>
      <c r="T130">
        <v>10</v>
      </c>
      <c r="U130" t="s">
        <v>1147</v>
      </c>
      <c r="V130" t="s">
        <v>1147</v>
      </c>
      <c r="W130" t="s">
        <v>1147</v>
      </c>
      <c r="X130">
        <v>1</v>
      </c>
      <c r="Y130" t="s">
        <v>1147</v>
      </c>
      <c r="Z130">
        <v>1</v>
      </c>
      <c r="AA130">
        <v>1</v>
      </c>
      <c r="AB130" t="s">
        <v>1147</v>
      </c>
      <c r="AC130" t="s">
        <v>1147</v>
      </c>
      <c r="AD130" t="s">
        <v>1147</v>
      </c>
      <c r="AE130">
        <v>1</v>
      </c>
      <c r="AF130" t="s">
        <v>1147</v>
      </c>
      <c r="AG130" t="s">
        <v>1147</v>
      </c>
      <c r="AH130" t="s">
        <v>1147</v>
      </c>
      <c r="AI130" t="s">
        <v>46</v>
      </c>
      <c r="AJ130" t="s">
        <v>902</v>
      </c>
      <c r="AK130" t="s">
        <v>37</v>
      </c>
      <c r="AL130">
        <v>120</v>
      </c>
      <c r="AM130" t="s">
        <v>1147</v>
      </c>
      <c r="AN130">
        <v>100</v>
      </c>
      <c r="AO130" t="s">
        <v>1147</v>
      </c>
      <c r="AP130" s="515"/>
    </row>
    <row r="131" spans="1:42" x14ac:dyDescent="0.25">
      <c r="A131" t="s">
        <v>918</v>
      </c>
      <c r="B131" t="s">
        <v>992</v>
      </c>
      <c r="C131" t="s">
        <v>685</v>
      </c>
      <c r="D131" t="s">
        <v>899</v>
      </c>
      <c r="E131" t="s">
        <v>910</v>
      </c>
      <c r="F131" t="s">
        <v>881</v>
      </c>
      <c r="G131" t="s">
        <v>280</v>
      </c>
      <c r="H131" t="s">
        <v>1179</v>
      </c>
      <c r="I131" t="s">
        <v>46</v>
      </c>
      <c r="J131" t="s">
        <v>919</v>
      </c>
      <c r="K131">
        <v>1</v>
      </c>
      <c r="L131">
        <v>1</v>
      </c>
      <c r="M131" t="s">
        <v>322</v>
      </c>
      <c r="N131">
        <v>1</v>
      </c>
      <c r="O131">
        <v>1</v>
      </c>
      <c r="P131">
        <v>1</v>
      </c>
      <c r="Q131" t="s">
        <v>48</v>
      </c>
      <c r="R131">
        <v>10</v>
      </c>
      <c r="S131">
        <v>10</v>
      </c>
      <c r="T131">
        <v>10</v>
      </c>
      <c r="U131" t="s">
        <v>1147</v>
      </c>
      <c r="V131" t="s">
        <v>1147</v>
      </c>
      <c r="W131" t="s">
        <v>1147</v>
      </c>
      <c r="X131">
        <v>1</v>
      </c>
      <c r="Y131" t="s">
        <v>1147</v>
      </c>
      <c r="Z131">
        <v>1</v>
      </c>
      <c r="AA131">
        <v>1</v>
      </c>
      <c r="AB131" t="s">
        <v>1147</v>
      </c>
      <c r="AC131" t="s">
        <v>1147</v>
      </c>
      <c r="AD131" t="s">
        <v>1147</v>
      </c>
      <c r="AE131">
        <v>1</v>
      </c>
      <c r="AF131" t="s">
        <v>1147</v>
      </c>
      <c r="AG131" t="s">
        <v>1147</v>
      </c>
      <c r="AH131" t="s">
        <v>1147</v>
      </c>
      <c r="AI131" t="s">
        <v>46</v>
      </c>
      <c r="AJ131" t="s">
        <v>902</v>
      </c>
      <c r="AK131" t="s">
        <v>37</v>
      </c>
      <c r="AL131">
        <v>120</v>
      </c>
      <c r="AM131" t="s">
        <v>1147</v>
      </c>
      <c r="AN131">
        <v>100</v>
      </c>
      <c r="AO131" t="s">
        <v>1147</v>
      </c>
      <c r="AP131" s="515"/>
    </row>
    <row r="132" spans="1:42" x14ac:dyDescent="0.25">
      <c r="A132" t="s">
        <v>920</v>
      </c>
      <c r="B132" t="s">
        <v>995</v>
      </c>
      <c r="C132" t="s">
        <v>685</v>
      </c>
      <c r="D132" t="s">
        <v>899</v>
      </c>
      <c r="E132" t="s">
        <v>910</v>
      </c>
      <c r="F132" t="s">
        <v>881</v>
      </c>
      <c r="G132" t="s">
        <v>280</v>
      </c>
      <c r="H132" s="249" t="s">
        <v>1179</v>
      </c>
      <c r="I132" t="s">
        <v>46</v>
      </c>
      <c r="J132" t="s">
        <v>921</v>
      </c>
      <c r="K132">
        <v>1</v>
      </c>
      <c r="L132">
        <v>1</v>
      </c>
      <c r="M132" t="s">
        <v>322</v>
      </c>
      <c r="N132">
        <v>1</v>
      </c>
      <c r="O132">
        <v>1</v>
      </c>
      <c r="P132">
        <v>1</v>
      </c>
      <c r="Q132" t="s">
        <v>48</v>
      </c>
      <c r="R132">
        <v>10</v>
      </c>
      <c r="S132">
        <v>10</v>
      </c>
      <c r="T132">
        <v>10</v>
      </c>
      <c r="U132" t="s">
        <v>1147</v>
      </c>
      <c r="V132" t="s">
        <v>1147</v>
      </c>
      <c r="W132" t="s">
        <v>1147</v>
      </c>
      <c r="X132">
        <v>1</v>
      </c>
      <c r="Y132" t="s">
        <v>1147</v>
      </c>
      <c r="Z132">
        <v>1</v>
      </c>
      <c r="AA132">
        <v>1</v>
      </c>
      <c r="AB132" t="s">
        <v>1147</v>
      </c>
      <c r="AC132" t="s">
        <v>1147</v>
      </c>
      <c r="AD132" t="s">
        <v>1147</v>
      </c>
      <c r="AE132">
        <v>1</v>
      </c>
      <c r="AF132" t="s">
        <v>1147</v>
      </c>
      <c r="AG132" t="s">
        <v>1147</v>
      </c>
      <c r="AH132" t="s">
        <v>1147</v>
      </c>
      <c r="AI132" t="s">
        <v>46</v>
      </c>
      <c r="AJ132" t="s">
        <v>902</v>
      </c>
      <c r="AK132" t="s">
        <v>37</v>
      </c>
      <c r="AL132">
        <v>120</v>
      </c>
      <c r="AM132" t="s">
        <v>1147</v>
      </c>
      <c r="AN132">
        <v>100</v>
      </c>
      <c r="AO132" t="s">
        <v>1147</v>
      </c>
      <c r="AP132" s="515"/>
    </row>
    <row r="133" spans="1:42" x14ac:dyDescent="0.25">
      <c r="A133" t="s">
        <v>922</v>
      </c>
      <c r="B133" t="s">
        <v>996</v>
      </c>
      <c r="C133" t="s">
        <v>685</v>
      </c>
      <c r="D133" t="s">
        <v>899</v>
      </c>
      <c r="E133" t="s">
        <v>923</v>
      </c>
      <c r="F133" t="s">
        <v>881</v>
      </c>
      <c r="G133" t="s">
        <v>280</v>
      </c>
      <c r="H133" s="249" t="s">
        <v>1179</v>
      </c>
      <c r="I133" t="s">
        <v>46</v>
      </c>
      <c r="J133" t="s">
        <v>924</v>
      </c>
      <c r="K133">
        <v>1</v>
      </c>
      <c r="L133">
        <v>1</v>
      </c>
      <c r="M133" t="s">
        <v>322</v>
      </c>
      <c r="N133">
        <v>1</v>
      </c>
      <c r="O133">
        <v>1</v>
      </c>
      <c r="P133">
        <v>1</v>
      </c>
      <c r="Q133" t="s">
        <v>48</v>
      </c>
      <c r="R133">
        <v>10</v>
      </c>
      <c r="S133">
        <v>10</v>
      </c>
      <c r="T133">
        <v>10</v>
      </c>
      <c r="U133" t="s">
        <v>1147</v>
      </c>
      <c r="V133" t="s">
        <v>1147</v>
      </c>
      <c r="W133" t="s">
        <v>1147</v>
      </c>
      <c r="X133">
        <v>1</v>
      </c>
      <c r="Y133" t="s">
        <v>1147</v>
      </c>
      <c r="Z133">
        <v>1</v>
      </c>
      <c r="AA133">
        <v>1</v>
      </c>
      <c r="AB133" t="s">
        <v>1147</v>
      </c>
      <c r="AC133" t="s">
        <v>1147</v>
      </c>
      <c r="AD133" t="s">
        <v>1147</v>
      </c>
      <c r="AE133">
        <v>1</v>
      </c>
      <c r="AF133" t="s">
        <v>1147</v>
      </c>
      <c r="AG133" t="s">
        <v>1147</v>
      </c>
      <c r="AH133" t="s">
        <v>1147</v>
      </c>
      <c r="AI133" t="s">
        <v>46</v>
      </c>
      <c r="AJ133" t="s">
        <v>902</v>
      </c>
      <c r="AK133" t="s">
        <v>37</v>
      </c>
      <c r="AL133">
        <v>120</v>
      </c>
      <c r="AM133" t="s">
        <v>1147</v>
      </c>
      <c r="AN133">
        <v>100</v>
      </c>
      <c r="AO133" t="s">
        <v>1147</v>
      </c>
      <c r="AP133" s="515"/>
    </row>
    <row r="134" spans="1:42" x14ac:dyDescent="0.25">
      <c r="A134" t="s">
        <v>925</v>
      </c>
      <c r="B134" t="s">
        <v>997</v>
      </c>
      <c r="C134" t="s">
        <v>685</v>
      </c>
      <c r="D134" t="s">
        <v>899</v>
      </c>
      <c r="E134" t="s">
        <v>923</v>
      </c>
      <c r="F134" t="s">
        <v>881</v>
      </c>
      <c r="G134" t="s">
        <v>280</v>
      </c>
      <c r="H134" s="249" t="s">
        <v>1179</v>
      </c>
      <c r="I134" t="s">
        <v>46</v>
      </c>
      <c r="J134" t="s">
        <v>926</v>
      </c>
      <c r="K134">
        <v>1</v>
      </c>
      <c r="L134">
        <v>1</v>
      </c>
      <c r="M134" t="s">
        <v>322</v>
      </c>
      <c r="N134">
        <v>1</v>
      </c>
      <c r="O134">
        <v>1</v>
      </c>
      <c r="P134">
        <v>1</v>
      </c>
      <c r="Q134" t="s">
        <v>48</v>
      </c>
      <c r="R134">
        <v>10</v>
      </c>
      <c r="S134">
        <v>10</v>
      </c>
      <c r="T134">
        <v>10</v>
      </c>
      <c r="U134" t="s">
        <v>1147</v>
      </c>
      <c r="V134" t="s">
        <v>1147</v>
      </c>
      <c r="W134" t="s">
        <v>1147</v>
      </c>
      <c r="X134">
        <v>1</v>
      </c>
      <c r="Y134" t="s">
        <v>1147</v>
      </c>
      <c r="Z134">
        <v>1</v>
      </c>
      <c r="AA134">
        <v>1</v>
      </c>
      <c r="AB134" t="s">
        <v>1147</v>
      </c>
      <c r="AC134" t="s">
        <v>1147</v>
      </c>
      <c r="AD134" t="s">
        <v>1147</v>
      </c>
      <c r="AE134">
        <v>1</v>
      </c>
      <c r="AF134" t="s">
        <v>1147</v>
      </c>
      <c r="AG134" t="s">
        <v>1147</v>
      </c>
      <c r="AH134" t="s">
        <v>1147</v>
      </c>
      <c r="AI134" t="s">
        <v>46</v>
      </c>
      <c r="AJ134" t="s">
        <v>902</v>
      </c>
      <c r="AK134" t="s">
        <v>37</v>
      </c>
      <c r="AL134">
        <v>120</v>
      </c>
      <c r="AM134" t="s">
        <v>1147</v>
      </c>
      <c r="AN134">
        <v>100</v>
      </c>
      <c r="AO134" t="s">
        <v>1147</v>
      </c>
      <c r="AP134" s="515"/>
    </row>
    <row r="135" spans="1:42" x14ac:dyDescent="0.25">
      <c r="A135" t="s">
        <v>927</v>
      </c>
      <c r="B135" t="s">
        <v>998</v>
      </c>
      <c r="C135" t="s">
        <v>685</v>
      </c>
      <c r="D135" t="s">
        <v>899</v>
      </c>
      <c r="E135" t="s">
        <v>923</v>
      </c>
      <c r="F135" t="s">
        <v>881</v>
      </c>
      <c r="G135" t="s">
        <v>280</v>
      </c>
      <c r="H135" s="249" t="s">
        <v>1180</v>
      </c>
      <c r="I135" t="s">
        <v>46</v>
      </c>
      <c r="J135" t="s">
        <v>928</v>
      </c>
      <c r="K135">
        <v>1</v>
      </c>
      <c r="L135">
        <v>1</v>
      </c>
      <c r="M135" t="s">
        <v>322</v>
      </c>
      <c r="N135">
        <v>1</v>
      </c>
      <c r="O135">
        <v>1</v>
      </c>
      <c r="P135">
        <v>1</v>
      </c>
      <c r="Q135" t="s">
        <v>48</v>
      </c>
      <c r="R135">
        <v>10</v>
      </c>
      <c r="S135">
        <v>10</v>
      </c>
      <c r="T135">
        <v>10</v>
      </c>
      <c r="U135" t="s">
        <v>1147</v>
      </c>
      <c r="V135" t="s">
        <v>1147</v>
      </c>
      <c r="W135" t="s">
        <v>1147</v>
      </c>
      <c r="X135">
        <v>1</v>
      </c>
      <c r="Y135" t="s">
        <v>1147</v>
      </c>
      <c r="Z135">
        <v>1</v>
      </c>
      <c r="AA135">
        <v>1</v>
      </c>
      <c r="AB135" t="s">
        <v>1147</v>
      </c>
      <c r="AC135" t="s">
        <v>1147</v>
      </c>
      <c r="AD135" t="s">
        <v>1147</v>
      </c>
      <c r="AE135">
        <v>1</v>
      </c>
      <c r="AF135" t="s">
        <v>1147</v>
      </c>
      <c r="AG135" t="s">
        <v>1147</v>
      </c>
      <c r="AH135" t="s">
        <v>1147</v>
      </c>
      <c r="AI135" t="s">
        <v>46</v>
      </c>
      <c r="AJ135" t="s">
        <v>902</v>
      </c>
      <c r="AK135" t="s">
        <v>37</v>
      </c>
      <c r="AL135">
        <v>120</v>
      </c>
      <c r="AM135" t="s">
        <v>1147</v>
      </c>
      <c r="AN135">
        <v>100</v>
      </c>
      <c r="AO135" t="s">
        <v>1147</v>
      </c>
      <c r="AP135" s="515"/>
    </row>
    <row r="136" spans="1:42" x14ac:dyDescent="0.25">
      <c r="A136" t="s">
        <v>929</v>
      </c>
      <c r="B136" t="s">
        <v>999</v>
      </c>
      <c r="C136" t="s">
        <v>685</v>
      </c>
      <c r="D136" t="s">
        <v>899</v>
      </c>
      <c r="E136" t="s">
        <v>923</v>
      </c>
      <c r="F136" t="s">
        <v>881</v>
      </c>
      <c r="G136" t="s">
        <v>280</v>
      </c>
      <c r="H136" s="249" t="s">
        <v>1180</v>
      </c>
      <c r="I136" t="s">
        <v>46</v>
      </c>
      <c r="J136" t="s">
        <v>930</v>
      </c>
      <c r="K136">
        <v>1</v>
      </c>
      <c r="L136">
        <v>1</v>
      </c>
      <c r="M136" t="s">
        <v>322</v>
      </c>
      <c r="N136">
        <v>1</v>
      </c>
      <c r="O136">
        <v>1</v>
      </c>
      <c r="P136">
        <v>1</v>
      </c>
      <c r="Q136" t="s">
        <v>48</v>
      </c>
      <c r="R136">
        <v>10</v>
      </c>
      <c r="S136">
        <v>10</v>
      </c>
      <c r="T136">
        <v>10</v>
      </c>
      <c r="U136" t="s">
        <v>1147</v>
      </c>
      <c r="V136" t="s">
        <v>1147</v>
      </c>
      <c r="W136" t="s">
        <v>1147</v>
      </c>
      <c r="X136">
        <v>1</v>
      </c>
      <c r="Y136" t="s">
        <v>1147</v>
      </c>
      <c r="Z136">
        <v>1</v>
      </c>
      <c r="AA136">
        <v>1</v>
      </c>
      <c r="AB136" t="s">
        <v>1147</v>
      </c>
      <c r="AC136" t="s">
        <v>1147</v>
      </c>
      <c r="AD136" t="s">
        <v>1147</v>
      </c>
      <c r="AE136">
        <v>1</v>
      </c>
      <c r="AF136" t="s">
        <v>1147</v>
      </c>
      <c r="AG136" t="s">
        <v>1147</v>
      </c>
      <c r="AH136" t="s">
        <v>1147</v>
      </c>
      <c r="AI136" t="s">
        <v>46</v>
      </c>
      <c r="AJ136" t="s">
        <v>902</v>
      </c>
      <c r="AK136" t="s">
        <v>37</v>
      </c>
      <c r="AL136">
        <v>120</v>
      </c>
      <c r="AM136" t="s">
        <v>1147</v>
      </c>
      <c r="AN136">
        <v>100</v>
      </c>
      <c r="AO136" t="s">
        <v>1147</v>
      </c>
      <c r="AP136" s="515"/>
    </row>
    <row r="137" spans="1:42" x14ac:dyDescent="0.25">
      <c r="A137" t="s">
        <v>931</v>
      </c>
      <c r="B137" t="s">
        <v>1000</v>
      </c>
      <c r="C137" t="s">
        <v>685</v>
      </c>
      <c r="D137" t="s">
        <v>899</v>
      </c>
      <c r="E137" t="s">
        <v>923</v>
      </c>
      <c r="F137" t="s">
        <v>881</v>
      </c>
      <c r="G137" t="s">
        <v>280</v>
      </c>
      <c r="H137" s="249" t="s">
        <v>1180</v>
      </c>
      <c r="I137" t="s">
        <v>46</v>
      </c>
      <c r="J137" t="s">
        <v>932</v>
      </c>
      <c r="K137">
        <v>1</v>
      </c>
      <c r="L137">
        <v>1</v>
      </c>
      <c r="M137" t="s">
        <v>322</v>
      </c>
      <c r="N137">
        <v>1</v>
      </c>
      <c r="O137">
        <v>1</v>
      </c>
      <c r="P137">
        <v>1</v>
      </c>
      <c r="Q137" t="s">
        <v>48</v>
      </c>
      <c r="R137">
        <v>10</v>
      </c>
      <c r="S137">
        <v>10</v>
      </c>
      <c r="T137">
        <v>10</v>
      </c>
      <c r="U137" t="s">
        <v>1147</v>
      </c>
      <c r="V137" t="s">
        <v>1147</v>
      </c>
      <c r="W137" t="s">
        <v>1147</v>
      </c>
      <c r="X137">
        <v>1</v>
      </c>
      <c r="Y137" t="s">
        <v>1147</v>
      </c>
      <c r="Z137">
        <v>1</v>
      </c>
      <c r="AA137">
        <v>1</v>
      </c>
      <c r="AB137" t="s">
        <v>1147</v>
      </c>
      <c r="AC137" t="s">
        <v>1147</v>
      </c>
      <c r="AD137" t="s">
        <v>1147</v>
      </c>
      <c r="AE137">
        <v>1</v>
      </c>
      <c r="AF137" t="s">
        <v>1147</v>
      </c>
      <c r="AG137" t="s">
        <v>1147</v>
      </c>
      <c r="AH137" t="s">
        <v>1147</v>
      </c>
      <c r="AI137" t="s">
        <v>46</v>
      </c>
      <c r="AJ137" t="s">
        <v>902</v>
      </c>
      <c r="AK137" t="s">
        <v>37</v>
      </c>
      <c r="AL137">
        <v>120</v>
      </c>
      <c r="AM137" t="s">
        <v>1147</v>
      </c>
      <c r="AN137">
        <v>100</v>
      </c>
      <c r="AO137" t="s">
        <v>1147</v>
      </c>
      <c r="AP137" s="515"/>
    </row>
    <row r="138" spans="1:42" x14ac:dyDescent="0.25">
      <c r="A138" t="s">
        <v>933</v>
      </c>
      <c r="B138" t="s">
        <v>1001</v>
      </c>
      <c r="C138" t="s">
        <v>685</v>
      </c>
      <c r="D138" t="s">
        <v>899</v>
      </c>
      <c r="E138" t="s">
        <v>923</v>
      </c>
      <c r="F138" t="s">
        <v>881</v>
      </c>
      <c r="G138" t="s">
        <v>280</v>
      </c>
      <c r="H138" s="249" t="s">
        <v>1180</v>
      </c>
      <c r="I138" t="s">
        <v>46</v>
      </c>
      <c r="J138" t="s">
        <v>934</v>
      </c>
      <c r="K138">
        <v>1</v>
      </c>
      <c r="L138">
        <v>1</v>
      </c>
      <c r="M138" t="s">
        <v>322</v>
      </c>
      <c r="N138">
        <v>1</v>
      </c>
      <c r="O138">
        <v>1</v>
      </c>
      <c r="P138">
        <v>1</v>
      </c>
      <c r="Q138" t="s">
        <v>48</v>
      </c>
      <c r="R138">
        <v>10</v>
      </c>
      <c r="S138">
        <v>10</v>
      </c>
      <c r="T138">
        <v>10</v>
      </c>
      <c r="U138" t="s">
        <v>1147</v>
      </c>
      <c r="V138" t="s">
        <v>1147</v>
      </c>
      <c r="W138" t="s">
        <v>1147</v>
      </c>
      <c r="X138">
        <v>1</v>
      </c>
      <c r="Y138" t="s">
        <v>1147</v>
      </c>
      <c r="Z138">
        <v>1</v>
      </c>
      <c r="AA138">
        <v>1</v>
      </c>
      <c r="AB138" t="s">
        <v>1147</v>
      </c>
      <c r="AC138" t="s">
        <v>1147</v>
      </c>
      <c r="AD138" t="s">
        <v>1147</v>
      </c>
      <c r="AE138">
        <v>1</v>
      </c>
      <c r="AF138" t="s">
        <v>1147</v>
      </c>
      <c r="AG138" t="s">
        <v>1147</v>
      </c>
      <c r="AH138" t="s">
        <v>1147</v>
      </c>
      <c r="AI138" t="s">
        <v>46</v>
      </c>
      <c r="AJ138" t="s">
        <v>902</v>
      </c>
      <c r="AK138" t="s">
        <v>37</v>
      </c>
      <c r="AL138">
        <v>120</v>
      </c>
      <c r="AM138" t="s">
        <v>1147</v>
      </c>
      <c r="AN138">
        <v>100</v>
      </c>
      <c r="AO138" t="s">
        <v>1147</v>
      </c>
      <c r="AP138" s="515"/>
    </row>
    <row r="139" spans="1:42" x14ac:dyDescent="0.25">
      <c r="A139" t="s">
        <v>935</v>
      </c>
      <c r="B139" t="s">
        <v>1002</v>
      </c>
      <c r="C139" t="s">
        <v>685</v>
      </c>
      <c r="D139" t="s">
        <v>899</v>
      </c>
      <c r="E139" t="s">
        <v>923</v>
      </c>
      <c r="F139" t="s">
        <v>881</v>
      </c>
      <c r="G139" t="s">
        <v>280</v>
      </c>
      <c r="H139" s="249" t="s">
        <v>1180</v>
      </c>
      <c r="I139" t="s">
        <v>46</v>
      </c>
      <c r="J139" t="s">
        <v>936</v>
      </c>
      <c r="K139">
        <v>1</v>
      </c>
      <c r="L139">
        <v>1</v>
      </c>
      <c r="M139" t="s">
        <v>322</v>
      </c>
      <c r="N139">
        <v>1</v>
      </c>
      <c r="O139">
        <v>1</v>
      </c>
      <c r="P139">
        <v>1</v>
      </c>
      <c r="Q139" t="s">
        <v>48</v>
      </c>
      <c r="R139">
        <v>10</v>
      </c>
      <c r="S139">
        <v>10</v>
      </c>
      <c r="T139">
        <v>10</v>
      </c>
      <c r="U139" t="s">
        <v>1147</v>
      </c>
      <c r="V139" t="s">
        <v>1147</v>
      </c>
      <c r="W139" t="s">
        <v>1147</v>
      </c>
      <c r="X139">
        <v>1</v>
      </c>
      <c r="Y139" t="s">
        <v>1147</v>
      </c>
      <c r="Z139">
        <v>1</v>
      </c>
      <c r="AA139">
        <v>1</v>
      </c>
      <c r="AB139" t="s">
        <v>1147</v>
      </c>
      <c r="AC139" t="s">
        <v>1147</v>
      </c>
      <c r="AD139" t="s">
        <v>1147</v>
      </c>
      <c r="AE139">
        <v>1</v>
      </c>
      <c r="AF139" t="s">
        <v>1147</v>
      </c>
      <c r="AG139" t="s">
        <v>1147</v>
      </c>
      <c r="AH139" t="s">
        <v>1147</v>
      </c>
      <c r="AI139" t="s">
        <v>46</v>
      </c>
      <c r="AJ139" t="s">
        <v>902</v>
      </c>
      <c r="AK139" t="s">
        <v>37</v>
      </c>
      <c r="AL139">
        <v>120</v>
      </c>
      <c r="AM139" t="s">
        <v>1147</v>
      </c>
      <c r="AN139">
        <v>100</v>
      </c>
      <c r="AO139" t="s">
        <v>1147</v>
      </c>
      <c r="AP139" s="515"/>
    </row>
    <row r="140" spans="1:42" x14ac:dyDescent="0.25">
      <c r="A140" t="s">
        <v>937</v>
      </c>
      <c r="B140" t="s">
        <v>1003</v>
      </c>
      <c r="C140" t="s">
        <v>685</v>
      </c>
      <c r="D140" t="s">
        <v>899</v>
      </c>
      <c r="E140" t="s">
        <v>923</v>
      </c>
      <c r="F140" t="s">
        <v>881</v>
      </c>
      <c r="G140" t="s">
        <v>280</v>
      </c>
      <c r="H140" s="249" t="s">
        <v>1180</v>
      </c>
      <c r="I140" t="s">
        <v>46</v>
      </c>
      <c r="J140" t="s">
        <v>939</v>
      </c>
      <c r="K140">
        <v>1</v>
      </c>
      <c r="L140">
        <v>1</v>
      </c>
      <c r="M140" t="s">
        <v>322</v>
      </c>
      <c r="N140">
        <v>1</v>
      </c>
      <c r="O140">
        <v>1</v>
      </c>
      <c r="P140">
        <v>1</v>
      </c>
      <c r="Q140" t="s">
        <v>48</v>
      </c>
      <c r="R140">
        <v>10</v>
      </c>
      <c r="S140">
        <v>10</v>
      </c>
      <c r="T140">
        <v>10</v>
      </c>
      <c r="U140" t="s">
        <v>1147</v>
      </c>
      <c r="V140" t="s">
        <v>1147</v>
      </c>
      <c r="W140" t="s">
        <v>1147</v>
      </c>
      <c r="X140">
        <v>1</v>
      </c>
      <c r="Y140" t="s">
        <v>1147</v>
      </c>
      <c r="Z140">
        <v>1</v>
      </c>
      <c r="AA140">
        <v>1</v>
      </c>
      <c r="AB140" t="s">
        <v>1147</v>
      </c>
      <c r="AC140" t="s">
        <v>1147</v>
      </c>
      <c r="AD140" t="s">
        <v>1147</v>
      </c>
      <c r="AE140">
        <v>1</v>
      </c>
      <c r="AF140" t="s">
        <v>1147</v>
      </c>
      <c r="AG140" t="s">
        <v>1147</v>
      </c>
      <c r="AH140" t="s">
        <v>1147</v>
      </c>
      <c r="AI140" t="s">
        <v>46</v>
      </c>
      <c r="AJ140" t="s">
        <v>902</v>
      </c>
      <c r="AK140" t="s">
        <v>37</v>
      </c>
      <c r="AL140">
        <v>120</v>
      </c>
      <c r="AM140" t="s">
        <v>1147</v>
      </c>
      <c r="AN140">
        <v>100</v>
      </c>
      <c r="AO140" t="s">
        <v>1147</v>
      </c>
      <c r="AP140" s="515"/>
    </row>
    <row r="141" spans="1:42" x14ac:dyDescent="0.25">
      <c r="A141" t="s">
        <v>940</v>
      </c>
      <c r="B141" t="s">
        <v>1004</v>
      </c>
      <c r="C141" t="s">
        <v>685</v>
      </c>
      <c r="D141" t="s">
        <v>899</v>
      </c>
      <c r="E141" t="s">
        <v>923</v>
      </c>
      <c r="F141" t="s">
        <v>881</v>
      </c>
      <c r="G141" t="s">
        <v>280</v>
      </c>
      <c r="H141" s="249" t="s">
        <v>1180</v>
      </c>
      <c r="I141" t="s">
        <v>46</v>
      </c>
      <c r="J141" t="s">
        <v>941</v>
      </c>
      <c r="K141">
        <v>1</v>
      </c>
      <c r="L141">
        <v>1</v>
      </c>
      <c r="M141" t="s">
        <v>322</v>
      </c>
      <c r="N141">
        <v>1</v>
      </c>
      <c r="O141">
        <v>1</v>
      </c>
      <c r="P141">
        <v>1</v>
      </c>
      <c r="Q141" t="s">
        <v>48</v>
      </c>
      <c r="R141">
        <v>10</v>
      </c>
      <c r="S141">
        <v>10</v>
      </c>
      <c r="T141">
        <v>10</v>
      </c>
      <c r="U141" t="s">
        <v>1147</v>
      </c>
      <c r="V141" t="s">
        <v>1147</v>
      </c>
      <c r="W141" t="s">
        <v>1147</v>
      </c>
      <c r="X141">
        <v>1</v>
      </c>
      <c r="Y141" t="s">
        <v>1147</v>
      </c>
      <c r="Z141">
        <v>1</v>
      </c>
      <c r="AA141">
        <v>1</v>
      </c>
      <c r="AB141" t="s">
        <v>1147</v>
      </c>
      <c r="AC141" t="s">
        <v>1147</v>
      </c>
      <c r="AD141" t="s">
        <v>1147</v>
      </c>
      <c r="AE141">
        <v>1</v>
      </c>
      <c r="AF141" t="s">
        <v>1147</v>
      </c>
      <c r="AG141" t="s">
        <v>1147</v>
      </c>
      <c r="AH141" t="s">
        <v>1147</v>
      </c>
      <c r="AI141" t="s">
        <v>46</v>
      </c>
      <c r="AJ141" t="s">
        <v>902</v>
      </c>
      <c r="AK141" t="s">
        <v>37</v>
      </c>
      <c r="AL141">
        <v>120</v>
      </c>
      <c r="AM141" t="s">
        <v>1147</v>
      </c>
      <c r="AN141">
        <v>100</v>
      </c>
      <c r="AO141" t="s">
        <v>1147</v>
      </c>
      <c r="AP141" s="515"/>
    </row>
    <row r="142" spans="1:42" x14ac:dyDescent="0.25">
      <c r="A142" t="s">
        <v>942</v>
      </c>
      <c r="B142" t="s">
        <v>1005</v>
      </c>
      <c r="C142" t="s">
        <v>685</v>
      </c>
      <c r="D142" t="s">
        <v>899</v>
      </c>
      <c r="E142" t="s">
        <v>923</v>
      </c>
      <c r="F142" t="s">
        <v>881</v>
      </c>
      <c r="G142" t="s">
        <v>280</v>
      </c>
      <c r="H142" t="s">
        <v>1181</v>
      </c>
      <c r="I142" t="s">
        <v>46</v>
      </c>
      <c r="J142" t="s">
        <v>943</v>
      </c>
      <c r="K142">
        <v>1</v>
      </c>
      <c r="L142">
        <v>1</v>
      </c>
      <c r="M142" t="s">
        <v>322</v>
      </c>
      <c r="N142">
        <v>1</v>
      </c>
      <c r="O142">
        <v>1</v>
      </c>
      <c r="P142">
        <v>1</v>
      </c>
      <c r="Q142" t="s">
        <v>48</v>
      </c>
      <c r="R142">
        <v>10</v>
      </c>
      <c r="S142">
        <v>10</v>
      </c>
      <c r="T142">
        <v>10</v>
      </c>
      <c r="U142" t="s">
        <v>1147</v>
      </c>
      <c r="V142" t="s">
        <v>1147</v>
      </c>
      <c r="W142" t="s">
        <v>1147</v>
      </c>
      <c r="X142">
        <v>1</v>
      </c>
      <c r="Y142" t="s">
        <v>1147</v>
      </c>
      <c r="Z142">
        <v>1</v>
      </c>
      <c r="AA142">
        <v>1</v>
      </c>
      <c r="AB142" t="s">
        <v>1147</v>
      </c>
      <c r="AC142" t="s">
        <v>1147</v>
      </c>
      <c r="AD142" t="s">
        <v>1147</v>
      </c>
      <c r="AE142">
        <v>1</v>
      </c>
      <c r="AF142" t="s">
        <v>1147</v>
      </c>
      <c r="AG142" t="s">
        <v>1147</v>
      </c>
      <c r="AH142" t="s">
        <v>1147</v>
      </c>
      <c r="AI142" t="s">
        <v>46</v>
      </c>
      <c r="AJ142" t="s">
        <v>902</v>
      </c>
      <c r="AK142" t="s">
        <v>37</v>
      </c>
      <c r="AL142">
        <v>120</v>
      </c>
      <c r="AM142" t="s">
        <v>1147</v>
      </c>
      <c r="AN142">
        <v>100</v>
      </c>
      <c r="AO142" t="s">
        <v>1147</v>
      </c>
      <c r="AP142" s="515"/>
    </row>
    <row r="143" spans="1:42" x14ac:dyDescent="0.25">
      <c r="A143" t="s">
        <v>944</v>
      </c>
      <c r="B143" t="s">
        <v>938</v>
      </c>
      <c r="C143" t="s">
        <v>685</v>
      </c>
      <c r="D143" t="s">
        <v>899</v>
      </c>
      <c r="E143" t="s">
        <v>923</v>
      </c>
      <c r="F143" t="s">
        <v>881</v>
      </c>
      <c r="G143" t="s">
        <v>1147</v>
      </c>
      <c r="H143" s="249" t="s">
        <v>1180</v>
      </c>
      <c r="I143" t="s">
        <v>46</v>
      </c>
      <c r="J143" t="s">
        <v>945</v>
      </c>
      <c r="K143">
        <v>1</v>
      </c>
      <c r="L143">
        <v>1</v>
      </c>
      <c r="M143" t="s">
        <v>322</v>
      </c>
      <c r="N143">
        <v>1</v>
      </c>
      <c r="O143">
        <v>1</v>
      </c>
      <c r="P143">
        <v>1</v>
      </c>
      <c r="Q143" t="s">
        <v>48</v>
      </c>
      <c r="R143">
        <v>10</v>
      </c>
      <c r="S143">
        <v>10</v>
      </c>
      <c r="T143">
        <v>10</v>
      </c>
      <c r="U143" t="s">
        <v>1147</v>
      </c>
      <c r="V143" t="s">
        <v>1147</v>
      </c>
      <c r="W143" t="s">
        <v>1147</v>
      </c>
      <c r="X143">
        <v>1</v>
      </c>
      <c r="Y143" t="s">
        <v>1147</v>
      </c>
      <c r="Z143">
        <v>1</v>
      </c>
      <c r="AA143">
        <v>1</v>
      </c>
      <c r="AB143" t="s">
        <v>1147</v>
      </c>
      <c r="AC143" t="s">
        <v>1147</v>
      </c>
      <c r="AD143" t="s">
        <v>1147</v>
      </c>
      <c r="AE143">
        <v>1</v>
      </c>
      <c r="AF143" t="s">
        <v>1147</v>
      </c>
      <c r="AG143" t="s">
        <v>1147</v>
      </c>
      <c r="AH143" t="s">
        <v>1147</v>
      </c>
      <c r="AI143" t="s">
        <v>46</v>
      </c>
      <c r="AJ143" t="s">
        <v>902</v>
      </c>
      <c r="AK143" t="s">
        <v>37</v>
      </c>
      <c r="AL143">
        <v>120</v>
      </c>
      <c r="AM143" t="s">
        <v>1147</v>
      </c>
      <c r="AN143">
        <v>100</v>
      </c>
      <c r="AO143" t="s">
        <v>1147</v>
      </c>
      <c r="AP143" s="515"/>
    </row>
    <row r="144" spans="1:42" x14ac:dyDescent="0.25">
      <c r="A144" t="s">
        <v>946</v>
      </c>
      <c r="B144" t="s">
        <v>1008</v>
      </c>
      <c r="C144" t="s">
        <v>685</v>
      </c>
      <c r="D144" t="s">
        <v>899</v>
      </c>
      <c r="E144" t="s">
        <v>923</v>
      </c>
      <c r="F144" t="s">
        <v>881</v>
      </c>
      <c r="G144" t="s">
        <v>280</v>
      </c>
      <c r="H144" s="249" t="s">
        <v>1180</v>
      </c>
      <c r="I144" t="s">
        <v>46</v>
      </c>
      <c r="J144" t="s">
        <v>947</v>
      </c>
      <c r="K144">
        <v>1</v>
      </c>
      <c r="L144">
        <v>1</v>
      </c>
      <c r="M144" t="s">
        <v>322</v>
      </c>
      <c r="N144">
        <v>1</v>
      </c>
      <c r="O144">
        <v>1</v>
      </c>
      <c r="P144">
        <v>1</v>
      </c>
      <c r="Q144" t="s">
        <v>48</v>
      </c>
      <c r="R144">
        <v>10</v>
      </c>
      <c r="S144">
        <v>10</v>
      </c>
      <c r="T144">
        <v>10</v>
      </c>
      <c r="U144" t="s">
        <v>1147</v>
      </c>
      <c r="V144" t="s">
        <v>1147</v>
      </c>
      <c r="W144" t="s">
        <v>1147</v>
      </c>
      <c r="X144">
        <v>1</v>
      </c>
      <c r="Y144" t="s">
        <v>1147</v>
      </c>
      <c r="Z144">
        <v>1</v>
      </c>
      <c r="AA144">
        <v>1</v>
      </c>
      <c r="AB144" t="s">
        <v>1147</v>
      </c>
      <c r="AC144" t="s">
        <v>1147</v>
      </c>
      <c r="AD144" t="s">
        <v>1147</v>
      </c>
      <c r="AE144">
        <v>1</v>
      </c>
      <c r="AF144" t="s">
        <v>1147</v>
      </c>
      <c r="AG144" t="s">
        <v>1147</v>
      </c>
      <c r="AH144" t="s">
        <v>1147</v>
      </c>
      <c r="AI144" t="s">
        <v>46</v>
      </c>
      <c r="AJ144" t="s">
        <v>902</v>
      </c>
      <c r="AK144" t="s">
        <v>37</v>
      </c>
      <c r="AL144">
        <v>120</v>
      </c>
      <c r="AM144" t="s">
        <v>1147</v>
      </c>
      <c r="AN144">
        <v>100</v>
      </c>
      <c r="AO144" t="s">
        <v>1147</v>
      </c>
      <c r="AP144" s="515"/>
    </row>
    <row r="145" spans="1:42" x14ac:dyDescent="0.25">
      <c r="A145" t="s">
        <v>948</v>
      </c>
      <c r="B145" t="s">
        <v>1009</v>
      </c>
      <c r="C145" t="s">
        <v>685</v>
      </c>
      <c r="D145" t="s">
        <v>899</v>
      </c>
      <c r="E145" t="s">
        <v>923</v>
      </c>
      <c r="F145" t="s">
        <v>881</v>
      </c>
      <c r="G145" t="s">
        <v>280</v>
      </c>
      <c r="H145" s="249" t="s">
        <v>1180</v>
      </c>
      <c r="I145" t="s">
        <v>46</v>
      </c>
      <c r="J145" t="s">
        <v>949</v>
      </c>
      <c r="K145">
        <v>1</v>
      </c>
      <c r="L145">
        <v>1</v>
      </c>
      <c r="M145" t="s">
        <v>322</v>
      </c>
      <c r="N145">
        <v>1</v>
      </c>
      <c r="O145">
        <v>1</v>
      </c>
      <c r="P145">
        <v>1</v>
      </c>
      <c r="Q145" t="s">
        <v>48</v>
      </c>
      <c r="R145">
        <v>10</v>
      </c>
      <c r="S145">
        <v>10</v>
      </c>
      <c r="T145">
        <v>10</v>
      </c>
      <c r="U145" t="s">
        <v>1147</v>
      </c>
      <c r="V145" t="s">
        <v>1147</v>
      </c>
      <c r="W145" t="s">
        <v>1147</v>
      </c>
      <c r="X145">
        <v>1</v>
      </c>
      <c r="Y145" t="s">
        <v>1147</v>
      </c>
      <c r="Z145">
        <v>1</v>
      </c>
      <c r="AA145">
        <v>1</v>
      </c>
      <c r="AB145" t="s">
        <v>1147</v>
      </c>
      <c r="AC145" t="s">
        <v>1147</v>
      </c>
      <c r="AD145" t="s">
        <v>1147</v>
      </c>
      <c r="AE145">
        <v>1</v>
      </c>
      <c r="AF145" t="s">
        <v>1147</v>
      </c>
      <c r="AG145" t="s">
        <v>1147</v>
      </c>
      <c r="AH145" t="s">
        <v>1147</v>
      </c>
      <c r="AI145" t="s">
        <v>46</v>
      </c>
      <c r="AJ145" t="s">
        <v>902</v>
      </c>
      <c r="AK145" t="s">
        <v>37</v>
      </c>
      <c r="AL145">
        <v>120</v>
      </c>
      <c r="AM145" t="s">
        <v>1147</v>
      </c>
      <c r="AN145">
        <v>100</v>
      </c>
      <c r="AO145" t="s">
        <v>1147</v>
      </c>
      <c r="AP145" s="515"/>
    </row>
    <row r="146" spans="1:42" x14ac:dyDescent="0.25">
      <c r="A146" t="s">
        <v>950</v>
      </c>
      <c r="B146" t="s">
        <v>1010</v>
      </c>
      <c r="C146" t="s">
        <v>685</v>
      </c>
      <c r="D146" t="s">
        <v>899</v>
      </c>
      <c r="E146" t="s">
        <v>923</v>
      </c>
      <c r="F146" t="s">
        <v>881</v>
      </c>
      <c r="G146" t="s">
        <v>280</v>
      </c>
      <c r="H146" t="s">
        <v>1182</v>
      </c>
      <c r="I146" t="s">
        <v>46</v>
      </c>
      <c r="J146" t="s">
        <v>951</v>
      </c>
      <c r="K146">
        <v>1</v>
      </c>
      <c r="L146">
        <v>1</v>
      </c>
      <c r="M146" t="s">
        <v>322</v>
      </c>
      <c r="N146">
        <v>1</v>
      </c>
      <c r="O146">
        <v>1</v>
      </c>
      <c r="P146">
        <v>1</v>
      </c>
      <c r="Q146" t="s">
        <v>48</v>
      </c>
      <c r="R146">
        <v>10</v>
      </c>
      <c r="S146">
        <v>10</v>
      </c>
      <c r="T146">
        <v>10</v>
      </c>
      <c r="U146" t="s">
        <v>1147</v>
      </c>
      <c r="V146" t="s">
        <v>1147</v>
      </c>
      <c r="W146" t="s">
        <v>1147</v>
      </c>
      <c r="X146">
        <v>1</v>
      </c>
      <c r="Y146" t="s">
        <v>1147</v>
      </c>
      <c r="Z146">
        <v>1</v>
      </c>
      <c r="AA146">
        <v>1</v>
      </c>
      <c r="AB146" t="s">
        <v>1147</v>
      </c>
      <c r="AC146" t="s">
        <v>1147</v>
      </c>
      <c r="AD146" t="s">
        <v>1147</v>
      </c>
      <c r="AE146">
        <v>1</v>
      </c>
      <c r="AF146" t="s">
        <v>1147</v>
      </c>
      <c r="AG146" t="s">
        <v>1147</v>
      </c>
      <c r="AH146" t="s">
        <v>1147</v>
      </c>
      <c r="AI146" t="s">
        <v>46</v>
      </c>
      <c r="AJ146" t="s">
        <v>902</v>
      </c>
      <c r="AK146" t="s">
        <v>37</v>
      </c>
      <c r="AL146">
        <v>120</v>
      </c>
      <c r="AM146" t="s">
        <v>1147</v>
      </c>
      <c r="AN146">
        <v>100</v>
      </c>
      <c r="AO146" t="s">
        <v>1147</v>
      </c>
      <c r="AP146" s="515"/>
    </row>
    <row r="147" spans="1:42" x14ac:dyDescent="0.25">
      <c r="A147" t="s">
        <v>952</v>
      </c>
      <c r="B147" t="s">
        <v>953</v>
      </c>
      <c r="C147" t="s">
        <v>317</v>
      </c>
      <c r="D147" t="s">
        <v>879</v>
      </c>
      <c r="E147" t="s">
        <v>880</v>
      </c>
      <c r="F147" t="s">
        <v>881</v>
      </c>
      <c r="G147" t="s">
        <v>259</v>
      </c>
      <c r="H147" t="s">
        <v>954</v>
      </c>
      <c r="I147" t="s">
        <v>46</v>
      </c>
      <c r="J147" t="s">
        <v>1147</v>
      </c>
      <c r="K147">
        <v>1</v>
      </c>
      <c r="L147">
        <v>1</v>
      </c>
      <c r="M147" t="s">
        <v>322</v>
      </c>
      <c r="N147">
        <v>1</v>
      </c>
      <c r="O147">
        <v>100</v>
      </c>
      <c r="P147">
        <v>1</v>
      </c>
      <c r="Q147" t="s">
        <v>955</v>
      </c>
      <c r="R147">
        <v>100</v>
      </c>
      <c r="S147">
        <v>100</v>
      </c>
      <c r="T147">
        <v>100</v>
      </c>
      <c r="U147" t="s">
        <v>1147</v>
      </c>
      <c r="V147" t="s">
        <v>1147</v>
      </c>
      <c r="W147" t="s">
        <v>1147</v>
      </c>
      <c r="X147">
        <v>1</v>
      </c>
      <c r="Y147" t="s">
        <v>1147</v>
      </c>
      <c r="Z147">
        <v>100</v>
      </c>
      <c r="AA147">
        <v>100</v>
      </c>
      <c r="AB147" t="s">
        <v>1147</v>
      </c>
      <c r="AC147" t="s">
        <v>1147</v>
      </c>
      <c r="AD147" t="s">
        <v>1147</v>
      </c>
      <c r="AE147">
        <v>1</v>
      </c>
      <c r="AF147" t="s">
        <v>1147</v>
      </c>
      <c r="AG147" t="s">
        <v>1022</v>
      </c>
      <c r="AH147" t="s">
        <v>1147</v>
      </c>
      <c r="AI147" t="s">
        <v>46</v>
      </c>
      <c r="AJ147" t="s">
        <v>883</v>
      </c>
      <c r="AK147" t="s">
        <v>31</v>
      </c>
      <c r="AL147">
        <v>6</v>
      </c>
      <c r="AM147" t="s">
        <v>1147</v>
      </c>
      <c r="AN147" t="s">
        <v>1147</v>
      </c>
      <c r="AO147" t="s">
        <v>1147</v>
      </c>
      <c r="AP147" s="515"/>
    </row>
    <row r="148" spans="1:42" ht="135" x14ac:dyDescent="0.25">
      <c r="A148" t="s">
        <v>956</v>
      </c>
      <c r="B148" t="s">
        <v>957</v>
      </c>
      <c r="C148" t="s">
        <v>317</v>
      </c>
      <c r="D148" t="s">
        <v>879</v>
      </c>
      <c r="E148" t="s">
        <v>880</v>
      </c>
      <c r="F148" t="s">
        <v>881</v>
      </c>
      <c r="G148" t="s">
        <v>259</v>
      </c>
      <c r="H148" s="249" t="s">
        <v>958</v>
      </c>
      <c r="I148" t="s">
        <v>46</v>
      </c>
      <c r="J148" t="s">
        <v>1147</v>
      </c>
      <c r="K148">
        <v>5</v>
      </c>
      <c r="L148">
        <v>1</v>
      </c>
      <c r="M148" t="s">
        <v>322</v>
      </c>
      <c r="N148">
        <v>1</v>
      </c>
      <c r="O148">
        <v>20</v>
      </c>
      <c r="P148">
        <v>1</v>
      </c>
      <c r="Q148" t="s">
        <v>955</v>
      </c>
      <c r="R148">
        <v>20</v>
      </c>
      <c r="S148">
        <v>22</v>
      </c>
      <c r="T148">
        <v>22</v>
      </c>
      <c r="U148" t="s">
        <v>1147</v>
      </c>
      <c r="V148" t="s">
        <v>1147</v>
      </c>
      <c r="W148" t="s">
        <v>1147</v>
      </c>
      <c r="X148">
        <v>1</v>
      </c>
      <c r="Y148" t="s">
        <v>1147</v>
      </c>
      <c r="Z148">
        <v>22</v>
      </c>
      <c r="AA148">
        <v>22</v>
      </c>
      <c r="AB148" t="s">
        <v>1147</v>
      </c>
      <c r="AC148" t="s">
        <v>1147</v>
      </c>
      <c r="AD148" t="s">
        <v>1147</v>
      </c>
      <c r="AE148">
        <v>1</v>
      </c>
      <c r="AF148" t="s">
        <v>1147</v>
      </c>
      <c r="AG148" t="s">
        <v>1022</v>
      </c>
      <c r="AH148" t="s">
        <v>1147</v>
      </c>
      <c r="AI148" t="s">
        <v>46</v>
      </c>
      <c r="AJ148" t="s">
        <v>883</v>
      </c>
      <c r="AK148" t="s">
        <v>31</v>
      </c>
      <c r="AL148">
        <v>36</v>
      </c>
      <c r="AM148">
        <v>36</v>
      </c>
      <c r="AN148">
        <v>200</v>
      </c>
      <c r="AO148" t="s">
        <v>1147</v>
      </c>
      <c r="AP148" s="515"/>
    </row>
    <row r="149" spans="1:42" ht="15.75" thickBot="1" x14ac:dyDescent="0.3">
      <c r="A149" s="347"/>
      <c r="B149" s="348"/>
      <c r="C149" s="348"/>
      <c r="D149" s="349"/>
      <c r="E149" s="348"/>
      <c r="F149" s="348"/>
      <c r="G149" s="349"/>
      <c r="H149" s="384"/>
      <c r="I149" s="492"/>
      <c r="J149" s="348"/>
      <c r="K149" s="348"/>
      <c r="L149" s="350"/>
      <c r="M149" s="351"/>
      <c r="N149" s="415"/>
      <c r="O149" s="416"/>
      <c r="P149" s="417"/>
      <c r="Q149" s="352"/>
      <c r="R149" s="353"/>
      <c r="S149" s="429"/>
      <c r="T149" s="430"/>
      <c r="U149" s="430"/>
      <c r="V149" s="430"/>
      <c r="W149" s="430"/>
      <c r="X149" s="431"/>
      <c r="Y149" s="354"/>
      <c r="Z149" s="426"/>
      <c r="AA149" s="427"/>
      <c r="AB149" s="427"/>
      <c r="AC149" s="427"/>
      <c r="AD149" s="427"/>
      <c r="AE149" s="428"/>
      <c r="AF149" s="355"/>
      <c r="AG149" s="355"/>
      <c r="AH149" s="513"/>
      <c r="AI149" s="516"/>
      <c r="AJ149" s="509"/>
      <c r="AK149" s="509"/>
      <c r="AL149" s="509"/>
      <c r="AM149" s="509"/>
      <c r="AN149" s="509"/>
      <c r="AO149" s="509"/>
      <c r="AP149" s="515"/>
    </row>
    <row r="150" spans="1:42" x14ac:dyDescent="0.25">
      <c r="A150" s="578" t="s">
        <v>959</v>
      </c>
      <c r="B150" s="579"/>
      <c r="C150" s="579"/>
      <c r="D150" s="579"/>
      <c r="E150" s="579"/>
      <c r="F150" s="579"/>
      <c r="G150" s="579"/>
      <c r="H150" s="579"/>
      <c r="I150" s="579"/>
      <c r="J150" s="579"/>
      <c r="K150" s="579"/>
      <c r="L150" s="579"/>
      <c r="M150" s="579"/>
      <c r="N150" s="579"/>
      <c r="O150" s="579"/>
      <c r="P150" s="579"/>
      <c r="Q150" s="579"/>
      <c r="R150" s="579"/>
      <c r="S150" s="579"/>
      <c r="T150" s="579"/>
      <c r="U150" s="579"/>
      <c r="V150" s="579"/>
      <c r="W150" s="579"/>
      <c r="X150" s="579"/>
      <c r="Y150" s="579"/>
      <c r="Z150" s="579"/>
      <c r="AA150" s="579"/>
      <c r="AB150" s="579"/>
      <c r="AC150" s="579"/>
      <c r="AD150" s="579"/>
      <c r="AE150" s="579"/>
      <c r="AF150" s="579"/>
      <c r="AG150" s="579"/>
      <c r="AH150" s="579"/>
      <c r="AI150" s="516"/>
      <c r="AJ150" s="509"/>
      <c r="AK150" s="509"/>
      <c r="AL150" s="509"/>
      <c r="AM150" s="509"/>
      <c r="AN150" s="509"/>
      <c r="AO150" s="509"/>
      <c r="AP150" s="515"/>
    </row>
    <row r="151" spans="1:42" ht="15.75" thickBot="1" x14ac:dyDescent="0.3">
      <c r="A151" s="580"/>
      <c r="B151" s="581"/>
      <c r="C151" s="581"/>
      <c r="D151" s="581"/>
      <c r="E151" s="581"/>
      <c r="F151" s="581"/>
      <c r="G151" s="581"/>
      <c r="H151" s="581"/>
      <c r="I151" s="581"/>
      <c r="J151" s="581"/>
      <c r="K151" s="581"/>
      <c r="L151" s="581"/>
      <c r="M151" s="581"/>
      <c r="N151" s="581"/>
      <c r="O151" s="581"/>
      <c r="P151" s="581"/>
      <c r="Q151" s="581"/>
      <c r="R151" s="581"/>
      <c r="S151" s="581"/>
      <c r="T151" s="581"/>
      <c r="U151" s="581"/>
      <c r="V151" s="581"/>
      <c r="W151" s="581"/>
      <c r="X151" s="581"/>
      <c r="Y151" s="581"/>
      <c r="Z151" s="581"/>
      <c r="AA151" s="581"/>
      <c r="AB151" s="581"/>
      <c r="AC151" s="581"/>
      <c r="AD151" s="581"/>
      <c r="AE151" s="581"/>
      <c r="AF151" s="581"/>
      <c r="AG151" s="581"/>
      <c r="AH151" s="581"/>
      <c r="AI151" s="516"/>
      <c r="AJ151" s="509"/>
      <c r="AK151" s="509"/>
      <c r="AL151" s="509"/>
      <c r="AM151" s="509"/>
      <c r="AN151" s="509"/>
      <c r="AO151" s="509"/>
      <c r="AP151" s="515"/>
    </row>
    <row r="152" spans="1:42" ht="19.5" thickBot="1" x14ac:dyDescent="0.3">
      <c r="A152" s="590" t="s">
        <v>302</v>
      </c>
      <c r="B152" s="591"/>
      <c r="C152" s="591"/>
      <c r="D152" s="591"/>
      <c r="E152" s="591"/>
      <c r="F152" s="591"/>
      <c r="G152" s="591"/>
      <c r="H152" s="591"/>
      <c r="I152" s="591"/>
      <c r="J152" s="592"/>
      <c r="K152" s="369">
        <f>SUM(K6:K149)</f>
        <v>170</v>
      </c>
      <c r="L152" s="369">
        <f>SUM(L6:L149)</f>
        <v>141</v>
      </c>
      <c r="M152" s="370"/>
      <c r="N152" s="418">
        <f>SUMPRODUCT(K6:K149,N6:N149)/K152</f>
        <v>1</v>
      </c>
      <c r="O152" s="419">
        <f>SUM(O6:O149)</f>
        <v>88747</v>
      </c>
      <c r="P152" s="420">
        <f>SUMPRODUCT(K6:K149,P6:P149)/K152</f>
        <v>1</v>
      </c>
      <c r="Q152" s="371"/>
      <c r="R152" s="372">
        <f t="shared" ref="R152:W152" si="1">SUM(R6:R149)</f>
        <v>48458</v>
      </c>
      <c r="S152" s="421">
        <f t="shared" si="1"/>
        <v>48748</v>
      </c>
      <c r="T152" s="421">
        <f t="shared" si="1"/>
        <v>48586</v>
      </c>
      <c r="U152" s="372">
        <f t="shared" si="1"/>
        <v>2</v>
      </c>
      <c r="V152" s="372">
        <f t="shared" si="1"/>
        <v>154</v>
      </c>
      <c r="W152" s="372">
        <f t="shared" si="1"/>
        <v>6</v>
      </c>
      <c r="X152" s="422">
        <f>IF((S152=0),0,((T152+U152)/S152*100%))</f>
        <v>0.99671781406416671</v>
      </c>
      <c r="Y152" s="373"/>
      <c r="Z152" s="423">
        <f>SUM(Z6:Z149)</f>
        <v>88733</v>
      </c>
      <c r="AA152" s="424">
        <f>SUM(AA6:AA149)</f>
        <v>88725</v>
      </c>
      <c r="AB152" s="424">
        <f>SUM(AB6:AB149)</f>
        <v>8</v>
      </c>
      <c r="AC152" s="424">
        <f>SUM(AC6:AC149)</f>
        <v>0</v>
      </c>
      <c r="AD152" s="424">
        <f>SUM(AD6:AD149)</f>
        <v>0</v>
      </c>
      <c r="AE152" s="425">
        <f>IF((Z152=0),0,((AA152+AB152)/Z152*100%))</f>
        <v>1</v>
      </c>
      <c r="AF152" s="374"/>
      <c r="AG152" s="374"/>
      <c r="AH152" s="514"/>
      <c r="AI152" s="517"/>
      <c r="AJ152" s="518"/>
      <c r="AK152" s="518"/>
      <c r="AL152" s="518"/>
      <c r="AM152" s="518"/>
      <c r="AN152" s="518"/>
      <c r="AO152" s="518"/>
      <c r="AP152" s="519"/>
    </row>
    <row r="154" spans="1:42" x14ac:dyDescent="0.25">
      <c r="L154" s="170" t="s">
        <v>960</v>
      </c>
    </row>
    <row r="199" spans="35:42" x14ac:dyDescent="0.25">
      <c r="AI199" s="494"/>
      <c r="AJ199" s="494"/>
      <c r="AK199" s="494"/>
      <c r="AL199" s="494"/>
      <c r="AM199" s="494"/>
      <c r="AN199" s="494"/>
      <c r="AO199" s="494"/>
      <c r="AP199" s="494"/>
    </row>
    <row r="200" spans="35:42" x14ac:dyDescent="0.25">
      <c r="AI200" s="494"/>
      <c r="AJ200" s="494"/>
      <c r="AK200" s="494"/>
      <c r="AL200" s="494"/>
      <c r="AM200" s="494"/>
      <c r="AN200" s="494"/>
      <c r="AO200" s="494"/>
      <c r="AP200" s="494"/>
    </row>
    <row r="201" spans="35:42" x14ac:dyDescent="0.25">
      <c r="AI201" s="494"/>
      <c r="AJ201" s="494"/>
      <c r="AK201" s="494"/>
      <c r="AL201" s="494"/>
      <c r="AM201" s="494"/>
      <c r="AN201" s="494"/>
      <c r="AO201" s="494"/>
      <c r="AP201" s="494"/>
    </row>
    <row r="202" spans="35:42" x14ac:dyDescent="0.25">
      <c r="AI202" s="494"/>
      <c r="AJ202" s="494"/>
      <c r="AK202" s="494"/>
      <c r="AL202" s="494"/>
      <c r="AM202" s="494"/>
      <c r="AN202" s="494"/>
      <c r="AO202" s="494"/>
      <c r="AP202" s="494"/>
    </row>
    <row r="203" spans="35:42" x14ac:dyDescent="0.25">
      <c r="AI203" s="494"/>
      <c r="AJ203" s="494"/>
      <c r="AK203" s="494"/>
      <c r="AL203" s="494"/>
      <c r="AM203" s="494"/>
      <c r="AN203" s="494"/>
      <c r="AO203" s="494"/>
      <c r="AP203" s="494"/>
    </row>
    <row r="204" spans="35:42" x14ac:dyDescent="0.25">
      <c r="AI204" s="494"/>
      <c r="AJ204" s="494"/>
      <c r="AK204" s="494"/>
      <c r="AL204" s="494"/>
      <c r="AM204" s="494"/>
      <c r="AN204" s="494"/>
      <c r="AO204" s="494"/>
      <c r="AP204" s="494"/>
    </row>
    <row r="205" spans="35:42" x14ac:dyDescent="0.25">
      <c r="AI205" s="494"/>
      <c r="AJ205" s="494"/>
      <c r="AK205" s="494"/>
      <c r="AL205" s="494"/>
      <c r="AM205" s="494"/>
      <c r="AN205" s="494"/>
      <c r="AO205" s="494"/>
      <c r="AP205" s="494"/>
    </row>
    <row r="206" spans="35:42" x14ac:dyDescent="0.25">
      <c r="AI206" s="494"/>
      <c r="AJ206" s="494"/>
      <c r="AK206" s="494"/>
      <c r="AL206" s="494"/>
      <c r="AM206" s="494"/>
      <c r="AN206" s="494"/>
      <c r="AO206" s="494"/>
      <c r="AP206" s="494"/>
    </row>
    <row r="207" spans="35:42" x14ac:dyDescent="0.25">
      <c r="AI207" s="494"/>
      <c r="AJ207" s="494"/>
      <c r="AK207" s="494"/>
      <c r="AL207" s="494"/>
      <c r="AM207" s="494"/>
      <c r="AN207" s="494"/>
      <c r="AO207" s="494"/>
      <c r="AP207" s="494"/>
    </row>
    <row r="208" spans="35:42" x14ac:dyDescent="0.25">
      <c r="AI208" s="494"/>
      <c r="AJ208" s="494"/>
      <c r="AK208" s="494"/>
      <c r="AL208" s="494"/>
      <c r="AM208" s="494"/>
      <c r="AN208" s="494"/>
      <c r="AO208" s="494"/>
      <c r="AP208" s="494"/>
    </row>
    <row r="209" spans="35:42" x14ac:dyDescent="0.25">
      <c r="AI209" s="494"/>
      <c r="AJ209" s="494"/>
      <c r="AK209" s="494"/>
      <c r="AL209" s="494"/>
      <c r="AM209" s="494"/>
      <c r="AN209" s="494"/>
      <c r="AO209" s="494"/>
      <c r="AP209" s="494"/>
    </row>
    <row r="210" spans="35:42" x14ac:dyDescent="0.25">
      <c r="AI210" s="494"/>
      <c r="AJ210" s="494"/>
      <c r="AK210" s="494"/>
      <c r="AL210" s="494"/>
      <c r="AM210" s="494"/>
      <c r="AN210" s="494"/>
      <c r="AO210" s="494"/>
      <c r="AP210" s="494"/>
    </row>
    <row r="211" spans="35:42" x14ac:dyDescent="0.25">
      <c r="AI211" s="494"/>
      <c r="AJ211" s="494"/>
      <c r="AK211" s="494"/>
      <c r="AL211" s="494"/>
      <c r="AM211" s="494"/>
      <c r="AN211" s="494"/>
      <c r="AO211" s="494"/>
      <c r="AP211" s="494"/>
    </row>
    <row r="212" spans="35:42" x14ac:dyDescent="0.25">
      <c r="AI212" s="494"/>
      <c r="AJ212" s="494"/>
      <c r="AK212" s="494"/>
      <c r="AL212" s="494"/>
      <c r="AM212" s="494"/>
      <c r="AN212" s="494"/>
      <c r="AO212" s="494"/>
      <c r="AP212" s="494"/>
    </row>
    <row r="213" spans="35:42" x14ac:dyDescent="0.25">
      <c r="AI213" s="494"/>
      <c r="AJ213" s="494"/>
      <c r="AK213" s="494"/>
      <c r="AL213" s="494"/>
      <c r="AM213" s="494"/>
      <c r="AN213" s="494"/>
      <c r="AO213" s="494"/>
      <c r="AP213" s="494"/>
    </row>
    <row r="214" spans="35:42" x14ac:dyDescent="0.25">
      <c r="AI214" s="494"/>
      <c r="AJ214" s="494"/>
      <c r="AK214" s="494"/>
      <c r="AL214" s="494"/>
      <c r="AM214" s="494"/>
      <c r="AN214" s="494"/>
      <c r="AO214" s="494"/>
      <c r="AP214" s="494"/>
    </row>
    <row r="215" spans="35:42" x14ac:dyDescent="0.25">
      <c r="AI215" s="494"/>
      <c r="AJ215" s="494"/>
      <c r="AK215" s="494"/>
      <c r="AL215" s="494"/>
      <c r="AM215" s="494"/>
      <c r="AN215" s="494"/>
      <c r="AO215" s="494"/>
      <c r="AP215" s="494"/>
    </row>
    <row r="216" spans="35:42" x14ac:dyDescent="0.25">
      <c r="AI216" s="494"/>
      <c r="AJ216" s="494"/>
      <c r="AK216" s="494"/>
      <c r="AL216" s="494"/>
      <c r="AM216" s="494"/>
      <c r="AN216" s="494"/>
      <c r="AO216" s="494"/>
      <c r="AP216" s="494"/>
    </row>
    <row r="217" spans="35:42" x14ac:dyDescent="0.25">
      <c r="AI217" s="494"/>
      <c r="AJ217" s="494"/>
      <c r="AK217" s="494"/>
      <c r="AL217" s="494"/>
      <c r="AM217" s="494"/>
      <c r="AN217" s="494"/>
      <c r="AO217" s="494"/>
      <c r="AP217" s="494"/>
    </row>
    <row r="218" spans="35:42" x14ac:dyDescent="0.25">
      <c r="AI218" s="494"/>
      <c r="AJ218" s="494"/>
      <c r="AK218" s="494"/>
      <c r="AL218" s="494"/>
      <c r="AM218" s="494"/>
      <c r="AN218" s="494"/>
      <c r="AO218" s="494"/>
      <c r="AP218" s="494"/>
    </row>
    <row r="219" spans="35:42" x14ac:dyDescent="0.25">
      <c r="AI219" s="494"/>
      <c r="AJ219" s="494"/>
      <c r="AK219" s="494"/>
      <c r="AL219" s="494"/>
      <c r="AM219" s="494"/>
      <c r="AN219" s="494"/>
      <c r="AO219" s="494"/>
      <c r="AP219" s="494"/>
    </row>
    <row r="220" spans="35:42" x14ac:dyDescent="0.25">
      <c r="AI220" s="494"/>
      <c r="AJ220" s="494"/>
      <c r="AK220" s="494"/>
      <c r="AL220" s="494"/>
      <c r="AM220" s="494"/>
      <c r="AN220" s="494"/>
      <c r="AO220" s="494"/>
      <c r="AP220" s="494"/>
    </row>
    <row r="221" spans="35:42" x14ac:dyDescent="0.25">
      <c r="AI221" s="494"/>
      <c r="AJ221" s="494"/>
      <c r="AK221" s="494"/>
      <c r="AL221" s="494"/>
      <c r="AM221" s="494"/>
      <c r="AN221" s="494"/>
      <c r="AO221" s="494"/>
      <c r="AP221" s="494"/>
    </row>
    <row r="222" spans="35:42" x14ac:dyDescent="0.25">
      <c r="AI222" s="494"/>
      <c r="AJ222" s="494"/>
      <c r="AK222" s="494"/>
      <c r="AL222" s="494"/>
      <c r="AM222" s="494"/>
      <c r="AN222" s="494"/>
      <c r="AO222" s="494"/>
      <c r="AP222" s="494"/>
    </row>
    <row r="223" spans="35:42" x14ac:dyDescent="0.25">
      <c r="AI223" s="494"/>
      <c r="AJ223" s="494"/>
      <c r="AK223" s="494"/>
      <c r="AL223" s="494"/>
      <c r="AM223" s="494"/>
      <c r="AN223" s="494"/>
      <c r="AO223" s="494"/>
      <c r="AP223" s="494"/>
    </row>
    <row r="224" spans="35:42" x14ac:dyDescent="0.25">
      <c r="AI224" s="494"/>
      <c r="AJ224" s="494"/>
      <c r="AK224" s="494"/>
      <c r="AL224" s="494"/>
      <c r="AM224" s="494"/>
      <c r="AN224" s="494"/>
      <c r="AO224" s="494"/>
      <c r="AP224" s="494"/>
    </row>
    <row r="225" spans="35:42" x14ac:dyDescent="0.25">
      <c r="AI225" s="494"/>
      <c r="AJ225" s="494"/>
      <c r="AK225" s="494"/>
      <c r="AL225" s="494"/>
      <c r="AM225" s="494"/>
      <c r="AN225" s="494"/>
      <c r="AO225" s="494"/>
      <c r="AP225" s="494"/>
    </row>
    <row r="226" spans="35:42" x14ac:dyDescent="0.25">
      <c r="AI226" s="494"/>
      <c r="AJ226" s="494"/>
      <c r="AK226" s="494"/>
      <c r="AL226" s="494"/>
      <c r="AM226" s="494"/>
      <c r="AN226" s="494"/>
      <c r="AO226" s="494"/>
      <c r="AP226" s="494"/>
    </row>
    <row r="227" spans="35:42" x14ac:dyDescent="0.25">
      <c r="AI227" s="494"/>
      <c r="AJ227" s="494"/>
      <c r="AK227" s="494"/>
      <c r="AL227" s="494"/>
      <c r="AM227" s="494"/>
      <c r="AN227" s="494"/>
      <c r="AO227" s="494"/>
      <c r="AP227" s="494"/>
    </row>
    <row r="228" spans="35:42" x14ac:dyDescent="0.25">
      <c r="AI228" s="494"/>
      <c r="AJ228" s="494"/>
      <c r="AK228" s="494"/>
      <c r="AL228" s="494"/>
      <c r="AM228" s="494"/>
      <c r="AN228" s="494"/>
      <c r="AO228" s="494"/>
      <c r="AP228" s="494"/>
    </row>
    <row r="229" spans="35:42" x14ac:dyDescent="0.25">
      <c r="AI229" s="494"/>
      <c r="AJ229" s="494"/>
      <c r="AK229" s="494"/>
      <c r="AL229" s="494"/>
      <c r="AM229" s="494"/>
      <c r="AN229" s="494"/>
      <c r="AO229" s="494"/>
      <c r="AP229" s="494"/>
    </row>
    <row r="230" spans="35:42" x14ac:dyDescent="0.25">
      <c r="AI230" s="494"/>
      <c r="AJ230" s="494"/>
      <c r="AK230" s="494"/>
      <c r="AL230" s="494"/>
      <c r="AM230" s="494"/>
      <c r="AN230" s="494"/>
      <c r="AO230" s="494"/>
      <c r="AP230" s="494"/>
    </row>
    <row r="231" spans="35:42" x14ac:dyDescent="0.25">
      <c r="AI231" s="494"/>
      <c r="AJ231" s="494"/>
      <c r="AK231" s="494"/>
      <c r="AL231" s="494"/>
      <c r="AM231" s="494"/>
      <c r="AN231" s="494"/>
      <c r="AO231" s="494"/>
      <c r="AP231" s="494"/>
    </row>
    <row r="232" spans="35:42" x14ac:dyDescent="0.25">
      <c r="AI232" s="494"/>
      <c r="AJ232" s="494"/>
      <c r="AK232" s="494"/>
      <c r="AL232" s="494"/>
      <c r="AM232" s="494"/>
      <c r="AN232" s="494"/>
      <c r="AO232" s="494"/>
      <c r="AP232" s="494"/>
    </row>
    <row r="233" spans="35:42" x14ac:dyDescent="0.25">
      <c r="AI233" s="494"/>
      <c r="AJ233" s="494"/>
      <c r="AK233" s="494"/>
      <c r="AL233" s="494"/>
      <c r="AM233" s="494"/>
      <c r="AN233" s="494"/>
      <c r="AO233" s="494"/>
      <c r="AP233" s="494"/>
    </row>
    <row r="234" spans="35:42" x14ac:dyDescent="0.25">
      <c r="AI234" s="494"/>
      <c r="AJ234" s="494"/>
      <c r="AK234" s="494"/>
      <c r="AL234" s="494"/>
      <c r="AM234" s="494"/>
      <c r="AN234" s="494"/>
      <c r="AO234" s="494"/>
      <c r="AP234" s="494"/>
    </row>
    <row r="235" spans="35:42" x14ac:dyDescent="0.25">
      <c r="AI235" s="494"/>
      <c r="AJ235" s="494"/>
      <c r="AK235" s="494"/>
      <c r="AL235" s="494"/>
      <c r="AM235" s="494"/>
      <c r="AN235" s="494"/>
      <c r="AO235" s="494"/>
      <c r="AP235" s="494"/>
    </row>
    <row r="236" spans="35:42" x14ac:dyDescent="0.25">
      <c r="AI236" s="494"/>
      <c r="AJ236" s="494"/>
      <c r="AK236" s="494"/>
      <c r="AL236" s="494"/>
      <c r="AM236" s="494"/>
      <c r="AN236" s="494"/>
      <c r="AO236" s="494"/>
      <c r="AP236" s="494"/>
    </row>
    <row r="237" spans="35:42" x14ac:dyDescent="0.25">
      <c r="AI237" s="494"/>
      <c r="AJ237" s="494"/>
      <c r="AK237" s="494"/>
      <c r="AL237" s="494"/>
      <c r="AM237" s="494"/>
      <c r="AN237" s="494"/>
      <c r="AO237" s="494"/>
      <c r="AP237" s="494"/>
    </row>
    <row r="238" spans="35:42" x14ac:dyDescent="0.25">
      <c r="AI238" s="494"/>
      <c r="AJ238" s="494"/>
      <c r="AK238" s="494"/>
      <c r="AL238" s="494"/>
      <c r="AM238" s="494"/>
      <c r="AN238" s="494"/>
      <c r="AO238" s="494"/>
      <c r="AP238" s="494"/>
    </row>
    <row r="239" spans="35:42" x14ac:dyDescent="0.25">
      <c r="AI239" s="494"/>
      <c r="AJ239" s="494"/>
      <c r="AK239" s="494"/>
      <c r="AL239" s="494"/>
      <c r="AM239" s="494"/>
      <c r="AN239" s="494"/>
      <c r="AO239" s="494"/>
      <c r="AP239" s="494"/>
    </row>
    <row r="240" spans="35:42" x14ac:dyDescent="0.25">
      <c r="AI240" s="494"/>
      <c r="AJ240" s="494"/>
      <c r="AK240" s="494"/>
      <c r="AL240" s="494"/>
      <c r="AM240" s="494"/>
      <c r="AN240" s="494"/>
      <c r="AO240" s="494"/>
      <c r="AP240" s="494"/>
    </row>
    <row r="241" spans="35:42" x14ac:dyDescent="0.25">
      <c r="AI241" s="494"/>
      <c r="AJ241" s="494"/>
      <c r="AK241" s="494"/>
      <c r="AL241" s="494"/>
      <c r="AM241" s="494"/>
      <c r="AN241" s="494"/>
      <c r="AO241" s="494"/>
      <c r="AP241" s="494"/>
    </row>
    <row r="242" spans="35:42" x14ac:dyDescent="0.25">
      <c r="AI242" s="494"/>
      <c r="AJ242" s="494"/>
      <c r="AK242" s="494"/>
      <c r="AL242" s="494"/>
      <c r="AM242" s="494"/>
      <c r="AN242" s="494"/>
      <c r="AO242" s="494"/>
      <c r="AP242" s="494"/>
    </row>
    <row r="243" spans="35:42" x14ac:dyDescent="0.25">
      <c r="AI243" s="494"/>
      <c r="AJ243" s="494"/>
      <c r="AK243" s="494"/>
      <c r="AL243" s="494"/>
      <c r="AM243" s="494"/>
      <c r="AN243" s="494"/>
      <c r="AO243" s="494"/>
      <c r="AP243" s="494"/>
    </row>
    <row r="244" spans="35:42" x14ac:dyDescent="0.25">
      <c r="AI244" s="494"/>
      <c r="AJ244" s="494"/>
      <c r="AK244" s="494"/>
      <c r="AL244" s="494"/>
      <c r="AM244" s="494"/>
      <c r="AN244" s="494"/>
      <c r="AO244" s="494"/>
      <c r="AP244" s="494"/>
    </row>
    <row r="245" spans="35:42" x14ac:dyDescent="0.25">
      <c r="AI245" s="494"/>
      <c r="AJ245" s="494"/>
      <c r="AK245" s="494"/>
      <c r="AL245" s="494"/>
      <c r="AM245" s="494"/>
      <c r="AN245" s="494"/>
      <c r="AO245" s="494"/>
      <c r="AP245" s="494"/>
    </row>
    <row r="246" spans="35:42" x14ac:dyDescent="0.25">
      <c r="AI246" s="494"/>
      <c r="AJ246" s="494"/>
      <c r="AK246" s="494"/>
      <c r="AL246" s="494"/>
      <c r="AM246" s="494"/>
      <c r="AN246" s="494"/>
      <c r="AO246" s="494"/>
      <c r="AP246" s="494"/>
    </row>
    <row r="247" spans="35:42" x14ac:dyDescent="0.25">
      <c r="AI247" s="494"/>
      <c r="AJ247" s="494"/>
      <c r="AK247" s="494"/>
      <c r="AL247" s="494"/>
      <c r="AM247" s="494"/>
      <c r="AN247" s="494"/>
      <c r="AO247" s="494"/>
      <c r="AP247" s="494"/>
    </row>
    <row r="248" spans="35:42" x14ac:dyDescent="0.25">
      <c r="AI248" s="494"/>
      <c r="AJ248" s="494"/>
      <c r="AK248" s="494"/>
      <c r="AL248" s="494"/>
      <c r="AM248" s="494"/>
      <c r="AN248" s="494"/>
      <c r="AO248" s="494"/>
      <c r="AP248" s="494"/>
    </row>
    <row r="249" spans="35:42" x14ac:dyDescent="0.25">
      <c r="AI249" s="494"/>
      <c r="AJ249" s="494"/>
      <c r="AK249" s="494"/>
      <c r="AL249" s="494"/>
      <c r="AM249" s="494"/>
      <c r="AN249" s="494"/>
      <c r="AO249" s="494"/>
      <c r="AP249" s="494"/>
    </row>
    <row r="250" spans="35:42" x14ac:dyDescent="0.25">
      <c r="AI250" s="494"/>
      <c r="AJ250" s="494"/>
      <c r="AK250" s="494"/>
      <c r="AL250" s="494"/>
      <c r="AM250" s="494"/>
      <c r="AN250" s="494"/>
      <c r="AO250" s="494"/>
      <c r="AP250" s="494"/>
    </row>
    <row r="251" spans="35:42" x14ac:dyDescent="0.25">
      <c r="AI251" s="494"/>
      <c r="AJ251" s="494"/>
      <c r="AK251" s="494"/>
      <c r="AL251" s="494"/>
      <c r="AM251" s="494"/>
      <c r="AN251" s="494"/>
      <c r="AO251" s="494"/>
      <c r="AP251" s="494"/>
    </row>
    <row r="252" spans="35:42" x14ac:dyDescent="0.25">
      <c r="AI252" s="494"/>
      <c r="AJ252" s="494"/>
      <c r="AK252" s="494"/>
      <c r="AL252" s="494"/>
      <c r="AM252" s="494"/>
      <c r="AN252" s="494"/>
      <c r="AO252" s="494"/>
      <c r="AP252" s="494"/>
    </row>
    <row r="253" spans="35:42" x14ac:dyDescent="0.25">
      <c r="AI253" s="494"/>
      <c r="AJ253" s="494"/>
      <c r="AK253" s="494"/>
      <c r="AL253" s="494"/>
      <c r="AM253" s="494"/>
      <c r="AN253" s="494"/>
      <c r="AO253" s="494"/>
      <c r="AP253" s="494"/>
    </row>
    <row r="254" spans="35:42" x14ac:dyDescent="0.25">
      <c r="AI254" s="494"/>
      <c r="AJ254" s="494"/>
      <c r="AK254" s="494"/>
      <c r="AL254" s="494"/>
      <c r="AM254" s="494"/>
      <c r="AN254" s="494"/>
      <c r="AO254" s="494"/>
      <c r="AP254" s="494"/>
    </row>
    <row r="255" spans="35:42" x14ac:dyDescent="0.25">
      <c r="AI255" s="494"/>
      <c r="AJ255" s="494"/>
      <c r="AK255" s="494"/>
      <c r="AL255" s="494"/>
      <c r="AM255" s="494"/>
      <c r="AN255" s="494"/>
      <c r="AO255" s="494"/>
      <c r="AP255" s="494"/>
    </row>
    <row r="256" spans="35:42" x14ac:dyDescent="0.25">
      <c r="AI256" s="494"/>
      <c r="AJ256" s="494"/>
      <c r="AK256" s="494"/>
      <c r="AL256" s="494"/>
      <c r="AM256" s="494"/>
      <c r="AN256" s="494"/>
      <c r="AO256" s="494"/>
      <c r="AP256" s="494"/>
    </row>
    <row r="257" spans="35:42" x14ac:dyDescent="0.25">
      <c r="AI257" s="494"/>
      <c r="AJ257" s="494"/>
      <c r="AK257" s="494"/>
      <c r="AL257" s="494"/>
      <c r="AM257" s="494"/>
      <c r="AN257" s="494"/>
      <c r="AO257" s="494"/>
      <c r="AP257" s="494"/>
    </row>
    <row r="258" spans="35:42" x14ac:dyDescent="0.25">
      <c r="AI258" s="494"/>
      <c r="AJ258" s="494"/>
      <c r="AK258" s="494"/>
      <c r="AL258" s="494"/>
      <c r="AM258" s="494"/>
      <c r="AN258" s="494"/>
      <c r="AO258" s="494"/>
      <c r="AP258" s="494"/>
    </row>
    <row r="259" spans="35:42" x14ac:dyDescent="0.25">
      <c r="AI259" s="494"/>
      <c r="AJ259" s="494"/>
      <c r="AK259" s="494"/>
      <c r="AL259" s="494"/>
      <c r="AM259" s="494"/>
      <c r="AN259" s="494"/>
      <c r="AO259" s="494"/>
      <c r="AP259" s="494"/>
    </row>
    <row r="260" spans="35:42" x14ac:dyDescent="0.25">
      <c r="AI260" s="494"/>
      <c r="AJ260" s="494"/>
      <c r="AK260" s="494"/>
      <c r="AL260" s="494"/>
      <c r="AM260" s="494"/>
      <c r="AN260" s="494"/>
      <c r="AO260" s="494"/>
      <c r="AP260" s="494"/>
    </row>
    <row r="261" spans="35:42" x14ac:dyDescent="0.25">
      <c r="AI261" s="494"/>
      <c r="AJ261" s="494"/>
      <c r="AK261" s="494"/>
      <c r="AL261" s="494"/>
      <c r="AM261" s="494"/>
      <c r="AN261" s="494"/>
      <c r="AO261" s="494"/>
      <c r="AP261" s="494"/>
    </row>
    <row r="262" spans="35:42" x14ac:dyDescent="0.25">
      <c r="AI262" s="494"/>
      <c r="AJ262" s="494"/>
      <c r="AK262" s="494"/>
      <c r="AL262" s="494"/>
      <c r="AM262" s="494"/>
      <c r="AN262" s="494"/>
      <c r="AO262" s="494"/>
      <c r="AP262" s="494"/>
    </row>
    <row r="263" spans="35:42" x14ac:dyDescent="0.25">
      <c r="AI263" s="494"/>
      <c r="AJ263" s="494"/>
      <c r="AK263" s="494"/>
      <c r="AL263" s="494"/>
      <c r="AM263" s="494"/>
      <c r="AN263" s="494"/>
      <c r="AO263" s="494"/>
      <c r="AP263" s="494"/>
    </row>
    <row r="264" spans="35:42" x14ac:dyDescent="0.25">
      <c r="AI264" s="494"/>
      <c r="AJ264" s="494"/>
      <c r="AK264" s="494"/>
      <c r="AL264" s="494"/>
      <c r="AM264" s="494"/>
      <c r="AN264" s="494"/>
      <c r="AO264" s="494"/>
      <c r="AP264" s="494"/>
    </row>
    <row r="265" spans="35:42" x14ac:dyDescent="0.25">
      <c r="AI265" s="494"/>
      <c r="AJ265" s="494"/>
      <c r="AK265" s="494"/>
      <c r="AL265" s="494"/>
      <c r="AM265" s="494"/>
      <c r="AN265" s="494"/>
      <c r="AO265" s="494"/>
      <c r="AP265" s="494"/>
    </row>
    <row r="266" spans="35:42" x14ac:dyDescent="0.25">
      <c r="AI266" s="494"/>
      <c r="AJ266" s="494"/>
      <c r="AK266" s="494"/>
      <c r="AL266" s="494"/>
      <c r="AM266" s="494"/>
      <c r="AN266" s="494"/>
      <c r="AO266" s="494"/>
      <c r="AP266" s="494"/>
    </row>
    <row r="267" spans="35:42" x14ac:dyDescent="0.25">
      <c r="AI267" s="494"/>
      <c r="AJ267" s="494"/>
      <c r="AK267" s="494"/>
      <c r="AL267" s="494"/>
      <c r="AM267" s="494"/>
      <c r="AN267" s="494"/>
      <c r="AO267" s="494"/>
      <c r="AP267" s="494"/>
    </row>
    <row r="268" spans="35:42" x14ac:dyDescent="0.25">
      <c r="AI268" s="494"/>
      <c r="AJ268" s="494"/>
      <c r="AK268" s="494"/>
      <c r="AL268" s="494"/>
      <c r="AM268" s="494"/>
      <c r="AN268" s="494"/>
      <c r="AO268" s="494"/>
      <c r="AP268" s="494"/>
    </row>
    <row r="269" spans="35:42" x14ac:dyDescent="0.25">
      <c r="AI269" s="494"/>
      <c r="AJ269" s="494"/>
      <c r="AK269" s="494"/>
      <c r="AL269" s="494"/>
      <c r="AM269" s="494"/>
      <c r="AN269" s="494"/>
      <c r="AO269" s="494"/>
      <c r="AP269" s="494"/>
    </row>
    <row r="270" spans="35:42" x14ac:dyDescent="0.25">
      <c r="AI270" s="494"/>
      <c r="AJ270" s="494"/>
      <c r="AK270" s="494"/>
      <c r="AL270" s="494"/>
      <c r="AM270" s="494"/>
      <c r="AN270" s="494"/>
      <c r="AO270" s="494"/>
      <c r="AP270" s="494"/>
    </row>
    <row r="271" spans="35:42" x14ac:dyDescent="0.25">
      <c r="AI271" s="494"/>
      <c r="AJ271" s="494"/>
      <c r="AK271" s="494"/>
      <c r="AL271" s="494"/>
      <c r="AM271" s="494"/>
      <c r="AN271" s="494"/>
      <c r="AO271" s="494"/>
      <c r="AP271" s="494"/>
    </row>
    <row r="272" spans="35:42" x14ac:dyDescent="0.25">
      <c r="AI272" s="494"/>
      <c r="AJ272" s="494"/>
      <c r="AK272" s="494"/>
      <c r="AL272" s="494"/>
      <c r="AM272" s="494"/>
      <c r="AN272" s="494"/>
      <c r="AO272" s="494"/>
      <c r="AP272" s="494"/>
    </row>
    <row r="273" spans="35:42" x14ac:dyDescent="0.25">
      <c r="AI273" s="494"/>
      <c r="AJ273" s="494"/>
      <c r="AK273" s="494"/>
      <c r="AL273" s="494"/>
      <c r="AM273" s="494"/>
      <c r="AN273" s="494"/>
      <c r="AO273" s="494"/>
      <c r="AP273" s="494"/>
    </row>
    <row r="274" spans="35:42" x14ac:dyDescent="0.25">
      <c r="AI274" s="494"/>
      <c r="AJ274" s="494"/>
      <c r="AK274" s="494"/>
      <c r="AL274" s="494"/>
      <c r="AM274" s="494"/>
      <c r="AN274" s="494"/>
      <c r="AO274" s="494"/>
      <c r="AP274" s="494"/>
    </row>
    <row r="275" spans="35:42" x14ac:dyDescent="0.25">
      <c r="AI275" s="494"/>
      <c r="AJ275" s="494"/>
      <c r="AK275" s="494"/>
      <c r="AL275" s="494"/>
      <c r="AM275" s="494"/>
      <c r="AN275" s="494"/>
      <c r="AO275" s="494"/>
      <c r="AP275" s="494"/>
    </row>
    <row r="276" spans="35:42" x14ac:dyDescent="0.25">
      <c r="AI276" s="494"/>
      <c r="AJ276" s="494"/>
      <c r="AK276" s="494"/>
      <c r="AL276" s="494"/>
      <c r="AM276" s="494"/>
      <c r="AN276" s="494"/>
      <c r="AO276" s="494"/>
      <c r="AP276" s="494"/>
    </row>
    <row r="277" spans="35:42" x14ac:dyDescent="0.25">
      <c r="AI277" s="494"/>
      <c r="AJ277" s="494"/>
      <c r="AK277" s="494"/>
      <c r="AL277" s="494"/>
      <c r="AM277" s="494"/>
      <c r="AN277" s="494"/>
      <c r="AO277" s="494"/>
      <c r="AP277" s="494"/>
    </row>
    <row r="278" spans="35:42" x14ac:dyDescent="0.25">
      <c r="AI278" s="494"/>
      <c r="AJ278" s="494"/>
      <c r="AK278" s="494"/>
      <c r="AL278" s="494"/>
      <c r="AM278" s="494"/>
      <c r="AN278" s="494"/>
      <c r="AO278" s="494"/>
      <c r="AP278" s="494"/>
    </row>
    <row r="279" spans="35:42" x14ac:dyDescent="0.25">
      <c r="AI279" s="494"/>
      <c r="AJ279" s="494"/>
      <c r="AK279" s="494"/>
      <c r="AL279" s="494"/>
      <c r="AM279" s="494"/>
      <c r="AN279" s="494"/>
      <c r="AO279" s="494"/>
      <c r="AP279" s="494"/>
    </row>
    <row r="280" spans="35:42" x14ac:dyDescent="0.25">
      <c r="AI280" s="494"/>
      <c r="AJ280" s="494"/>
      <c r="AK280" s="494"/>
      <c r="AL280" s="494"/>
      <c r="AM280" s="494"/>
      <c r="AN280" s="494"/>
      <c r="AO280" s="494"/>
      <c r="AP280" s="494"/>
    </row>
    <row r="281" spans="35:42" x14ac:dyDescent="0.25">
      <c r="AI281" s="494"/>
      <c r="AJ281" s="494"/>
      <c r="AK281" s="494"/>
      <c r="AL281" s="494"/>
      <c r="AM281" s="494"/>
      <c r="AN281" s="494"/>
      <c r="AO281" s="494"/>
      <c r="AP281" s="494"/>
    </row>
    <row r="282" spans="35:42" x14ac:dyDescent="0.25">
      <c r="AI282" s="494"/>
      <c r="AJ282" s="494"/>
      <c r="AK282" s="494"/>
      <c r="AL282" s="494"/>
      <c r="AM282" s="494"/>
      <c r="AN282" s="494"/>
      <c r="AO282" s="494"/>
      <c r="AP282" s="494"/>
    </row>
    <row r="283" spans="35:42" x14ac:dyDescent="0.25">
      <c r="AI283" s="494"/>
      <c r="AJ283" s="494"/>
      <c r="AK283" s="494"/>
      <c r="AL283" s="494"/>
      <c r="AM283" s="494"/>
      <c r="AN283" s="494"/>
      <c r="AO283" s="494"/>
      <c r="AP283" s="494"/>
    </row>
    <row r="284" spans="35:42" x14ac:dyDescent="0.25">
      <c r="AI284" s="494"/>
      <c r="AJ284" s="494"/>
      <c r="AK284" s="494"/>
      <c r="AL284" s="494"/>
      <c r="AM284" s="494"/>
      <c r="AN284" s="494"/>
      <c r="AO284" s="494"/>
      <c r="AP284" s="494"/>
    </row>
    <row r="285" spans="35:42" x14ac:dyDescent="0.25">
      <c r="AI285" s="494"/>
      <c r="AJ285" s="494"/>
      <c r="AK285" s="494"/>
      <c r="AL285" s="494"/>
      <c r="AM285" s="494"/>
      <c r="AN285" s="494"/>
      <c r="AO285" s="494"/>
      <c r="AP285" s="494"/>
    </row>
    <row r="286" spans="35:42" x14ac:dyDescent="0.25">
      <c r="AI286" s="494"/>
      <c r="AJ286" s="494"/>
      <c r="AK286" s="494"/>
      <c r="AL286" s="494"/>
      <c r="AM286" s="494"/>
      <c r="AN286" s="494"/>
      <c r="AO286" s="494"/>
      <c r="AP286" s="494"/>
    </row>
    <row r="287" spans="35:42" x14ac:dyDescent="0.25">
      <c r="AI287" s="494"/>
      <c r="AJ287" s="494"/>
      <c r="AK287" s="494"/>
      <c r="AL287" s="494"/>
      <c r="AM287" s="494"/>
      <c r="AN287" s="494"/>
      <c r="AO287" s="494"/>
      <c r="AP287" s="494"/>
    </row>
    <row r="288" spans="35:42" x14ac:dyDescent="0.25">
      <c r="AI288" s="494"/>
      <c r="AJ288" s="494"/>
      <c r="AK288" s="494"/>
      <c r="AL288" s="494"/>
      <c r="AM288" s="494"/>
      <c r="AN288" s="494"/>
      <c r="AO288" s="494"/>
      <c r="AP288" s="494"/>
    </row>
    <row r="289" spans="35:42" x14ac:dyDescent="0.25">
      <c r="AI289" s="494"/>
      <c r="AJ289" s="494"/>
      <c r="AK289" s="494"/>
      <c r="AL289" s="494"/>
      <c r="AM289" s="494"/>
      <c r="AN289" s="494"/>
      <c r="AO289" s="494"/>
      <c r="AP289" s="494"/>
    </row>
    <row r="290" spans="35:42" x14ac:dyDescent="0.25">
      <c r="AI290" s="494"/>
      <c r="AJ290" s="494"/>
      <c r="AK290" s="494"/>
      <c r="AL290" s="494"/>
      <c r="AM290" s="494"/>
      <c r="AN290" s="494"/>
      <c r="AO290" s="494"/>
      <c r="AP290" s="494"/>
    </row>
    <row r="291" spans="35:42" x14ac:dyDescent="0.25">
      <c r="AI291" s="494"/>
      <c r="AJ291" s="494"/>
      <c r="AK291" s="494"/>
      <c r="AL291" s="494"/>
      <c r="AM291" s="494"/>
      <c r="AN291" s="494"/>
      <c r="AO291" s="494"/>
      <c r="AP291" s="494"/>
    </row>
    <row r="292" spans="35:42" x14ac:dyDescent="0.25">
      <c r="AI292" s="494"/>
      <c r="AJ292" s="494"/>
      <c r="AK292" s="494"/>
      <c r="AL292" s="494"/>
      <c r="AM292" s="494"/>
      <c r="AN292" s="494"/>
      <c r="AO292" s="494"/>
      <c r="AP292" s="494"/>
    </row>
    <row r="293" spans="35:42" x14ac:dyDescent="0.25">
      <c r="AI293" s="494"/>
      <c r="AJ293" s="494"/>
      <c r="AK293" s="494"/>
      <c r="AL293" s="494"/>
      <c r="AM293" s="494"/>
      <c r="AN293" s="494"/>
      <c r="AO293" s="494"/>
      <c r="AP293" s="494"/>
    </row>
    <row r="294" spans="35:42" x14ac:dyDescent="0.25">
      <c r="AI294" s="494"/>
      <c r="AJ294" s="494"/>
      <c r="AK294" s="494"/>
      <c r="AL294" s="494"/>
      <c r="AM294" s="494"/>
      <c r="AN294" s="494"/>
      <c r="AO294" s="494"/>
      <c r="AP294" s="494"/>
    </row>
    <row r="295" spans="35:42" x14ac:dyDescent="0.25">
      <c r="AI295" s="494"/>
      <c r="AJ295" s="494"/>
      <c r="AK295" s="494"/>
      <c r="AL295" s="494"/>
      <c r="AM295" s="494"/>
      <c r="AN295" s="494"/>
      <c r="AO295" s="494"/>
      <c r="AP295" s="494"/>
    </row>
    <row r="296" spans="35:42" x14ac:dyDescent="0.25">
      <c r="AI296" s="494"/>
      <c r="AJ296" s="494"/>
      <c r="AK296" s="494"/>
      <c r="AL296" s="494"/>
      <c r="AM296" s="494"/>
      <c r="AN296" s="494"/>
      <c r="AO296" s="494"/>
      <c r="AP296" s="494"/>
    </row>
    <row r="297" spans="35:42" x14ac:dyDescent="0.25">
      <c r="AI297" s="494"/>
      <c r="AJ297" s="494"/>
      <c r="AK297" s="494"/>
      <c r="AL297" s="494"/>
      <c r="AM297" s="494"/>
      <c r="AN297" s="494"/>
      <c r="AO297" s="494"/>
      <c r="AP297" s="494"/>
    </row>
    <row r="298" spans="35:42" x14ac:dyDescent="0.25">
      <c r="AI298" s="494"/>
      <c r="AJ298" s="494"/>
      <c r="AK298" s="494"/>
      <c r="AL298" s="494"/>
      <c r="AM298" s="494"/>
      <c r="AN298" s="494"/>
      <c r="AO298" s="494"/>
      <c r="AP298" s="494"/>
    </row>
    <row r="299" spans="35:42" x14ac:dyDescent="0.25">
      <c r="AI299" s="494"/>
      <c r="AJ299" s="494"/>
      <c r="AK299" s="494"/>
      <c r="AL299" s="494"/>
      <c r="AM299" s="494"/>
      <c r="AN299" s="494"/>
      <c r="AO299" s="494"/>
      <c r="AP299" s="494"/>
    </row>
    <row r="300" spans="35:42" x14ac:dyDescent="0.25">
      <c r="AI300" s="494"/>
      <c r="AJ300" s="494"/>
      <c r="AK300" s="494"/>
      <c r="AL300" s="494"/>
      <c r="AM300" s="494"/>
      <c r="AN300" s="494"/>
      <c r="AO300" s="494"/>
      <c r="AP300" s="494"/>
    </row>
    <row r="301" spans="35:42" x14ac:dyDescent="0.25">
      <c r="AI301" s="494"/>
      <c r="AJ301" s="494"/>
      <c r="AK301" s="494"/>
      <c r="AL301" s="494"/>
      <c r="AM301" s="494"/>
      <c r="AN301" s="494"/>
      <c r="AO301" s="494"/>
      <c r="AP301" s="494"/>
    </row>
    <row r="302" spans="35:42" x14ac:dyDescent="0.25">
      <c r="AI302" s="494"/>
      <c r="AJ302" s="494"/>
      <c r="AK302" s="494"/>
      <c r="AL302" s="494"/>
      <c r="AM302" s="494"/>
      <c r="AN302" s="494"/>
      <c r="AO302" s="494"/>
      <c r="AP302" s="494"/>
    </row>
    <row r="303" spans="35:42" x14ac:dyDescent="0.25">
      <c r="AI303" s="494"/>
      <c r="AJ303" s="494"/>
      <c r="AK303" s="494"/>
      <c r="AL303" s="494"/>
      <c r="AM303" s="494"/>
      <c r="AN303" s="494"/>
      <c r="AO303" s="494"/>
      <c r="AP303" s="494"/>
    </row>
    <row r="304" spans="35:42" x14ac:dyDescent="0.25">
      <c r="AI304" s="494"/>
      <c r="AJ304" s="494"/>
      <c r="AK304" s="494"/>
      <c r="AL304" s="494"/>
      <c r="AM304" s="494"/>
      <c r="AN304" s="494"/>
      <c r="AO304" s="494"/>
      <c r="AP304" s="494"/>
    </row>
    <row r="305" spans="35:42" x14ac:dyDescent="0.25">
      <c r="AI305" s="494"/>
      <c r="AJ305" s="494"/>
      <c r="AK305" s="494"/>
      <c r="AL305" s="494"/>
      <c r="AM305" s="494"/>
      <c r="AN305" s="494"/>
      <c r="AO305" s="494"/>
      <c r="AP305" s="494"/>
    </row>
    <row r="306" spans="35:42" x14ac:dyDescent="0.25">
      <c r="AI306" s="494"/>
      <c r="AJ306" s="494"/>
      <c r="AK306" s="494"/>
      <c r="AL306" s="494"/>
      <c r="AM306" s="494"/>
      <c r="AN306" s="494"/>
      <c r="AO306" s="494"/>
      <c r="AP306" s="494"/>
    </row>
    <row r="307" spans="35:42" x14ac:dyDescent="0.25">
      <c r="AI307" s="494"/>
      <c r="AJ307" s="494"/>
      <c r="AK307" s="494"/>
      <c r="AL307" s="494"/>
      <c r="AM307" s="494"/>
      <c r="AN307" s="494"/>
      <c r="AO307" s="494"/>
      <c r="AP307" s="494"/>
    </row>
    <row r="308" spans="35:42" x14ac:dyDescent="0.25">
      <c r="AI308" s="494"/>
      <c r="AJ308" s="494"/>
      <c r="AK308" s="494"/>
      <c r="AL308" s="494"/>
      <c r="AM308" s="494"/>
      <c r="AN308" s="494"/>
      <c r="AO308" s="494"/>
      <c r="AP308" s="494"/>
    </row>
    <row r="309" spans="35:42" x14ac:dyDescent="0.25">
      <c r="AI309" s="494"/>
      <c r="AJ309" s="494"/>
      <c r="AK309" s="494"/>
      <c r="AL309" s="494"/>
      <c r="AM309" s="494"/>
      <c r="AN309" s="494"/>
      <c r="AO309" s="494"/>
      <c r="AP309" s="494"/>
    </row>
    <row r="310" spans="35:42" x14ac:dyDescent="0.25">
      <c r="AI310" s="494"/>
      <c r="AJ310" s="494"/>
      <c r="AK310" s="494"/>
      <c r="AL310" s="494"/>
      <c r="AM310" s="494"/>
      <c r="AN310" s="494"/>
      <c r="AO310" s="494"/>
      <c r="AP310" s="494"/>
    </row>
    <row r="311" spans="35:42" x14ac:dyDescent="0.25">
      <c r="AI311" s="494"/>
      <c r="AJ311" s="494"/>
      <c r="AK311" s="494"/>
      <c r="AL311" s="494"/>
      <c r="AM311" s="494"/>
      <c r="AN311" s="494"/>
      <c r="AO311" s="494"/>
      <c r="AP311" s="494"/>
    </row>
    <row r="312" spans="35:42" x14ac:dyDescent="0.25">
      <c r="AI312" s="494"/>
      <c r="AJ312" s="494"/>
      <c r="AK312" s="494"/>
      <c r="AL312" s="494"/>
      <c r="AM312" s="494"/>
      <c r="AN312" s="494"/>
      <c r="AO312" s="494"/>
      <c r="AP312" s="494"/>
    </row>
    <row r="313" spans="35:42" x14ac:dyDescent="0.25">
      <c r="AI313" s="494"/>
      <c r="AJ313" s="494"/>
      <c r="AK313" s="494"/>
      <c r="AL313" s="494"/>
      <c r="AM313" s="494"/>
      <c r="AN313" s="494"/>
      <c r="AO313" s="494"/>
      <c r="AP313" s="494"/>
    </row>
    <row r="314" spans="35:42" x14ac:dyDescent="0.25">
      <c r="AI314" s="494"/>
      <c r="AJ314" s="494"/>
      <c r="AK314" s="494"/>
      <c r="AL314" s="494"/>
      <c r="AM314" s="494"/>
      <c r="AN314" s="494"/>
      <c r="AO314" s="494"/>
      <c r="AP314" s="494"/>
    </row>
    <row r="315" spans="35:42" x14ac:dyDescent="0.25">
      <c r="AI315" s="494"/>
      <c r="AJ315" s="494"/>
      <c r="AK315" s="494"/>
      <c r="AL315" s="494"/>
      <c r="AM315" s="494"/>
      <c r="AN315" s="494"/>
      <c r="AO315" s="494"/>
      <c r="AP315" s="494"/>
    </row>
    <row r="316" spans="35:42" x14ac:dyDescent="0.25">
      <c r="AI316" s="494"/>
      <c r="AJ316" s="494"/>
      <c r="AK316" s="494"/>
      <c r="AL316" s="494"/>
      <c r="AM316" s="494"/>
      <c r="AN316" s="494"/>
      <c r="AO316" s="494"/>
      <c r="AP316" s="494"/>
    </row>
    <row r="317" spans="35:42" x14ac:dyDescent="0.25">
      <c r="AI317" s="494"/>
      <c r="AJ317" s="494"/>
      <c r="AK317" s="494"/>
      <c r="AL317" s="494"/>
      <c r="AM317" s="494"/>
      <c r="AN317" s="494"/>
      <c r="AO317" s="494"/>
      <c r="AP317" s="494"/>
    </row>
    <row r="318" spans="35:42" x14ac:dyDescent="0.25">
      <c r="AI318" s="494"/>
      <c r="AJ318" s="494"/>
      <c r="AK318" s="494"/>
      <c r="AL318" s="494"/>
      <c r="AM318" s="494"/>
      <c r="AN318" s="494"/>
      <c r="AO318" s="494"/>
      <c r="AP318" s="494"/>
    </row>
    <row r="319" spans="35:42" x14ac:dyDescent="0.25">
      <c r="AI319" s="494"/>
      <c r="AJ319" s="494"/>
      <c r="AK319" s="494"/>
      <c r="AL319" s="494"/>
      <c r="AM319" s="494"/>
      <c r="AN319" s="494"/>
      <c r="AO319" s="494"/>
      <c r="AP319" s="494"/>
    </row>
    <row r="320" spans="35:42" x14ac:dyDescent="0.25">
      <c r="AI320" s="494"/>
      <c r="AJ320" s="494"/>
      <c r="AK320" s="494"/>
      <c r="AL320" s="494"/>
      <c r="AM320" s="494"/>
      <c r="AN320" s="494"/>
      <c r="AO320" s="494"/>
      <c r="AP320" s="494"/>
    </row>
    <row r="321" spans="35:42" x14ac:dyDescent="0.25">
      <c r="AI321" s="494"/>
      <c r="AJ321" s="494"/>
      <c r="AK321" s="494"/>
      <c r="AL321" s="494"/>
      <c r="AM321" s="494"/>
      <c r="AN321" s="494"/>
      <c r="AO321" s="494"/>
      <c r="AP321" s="494"/>
    </row>
    <row r="322" spans="35:42" x14ac:dyDescent="0.25">
      <c r="AI322" s="494"/>
      <c r="AJ322" s="494"/>
      <c r="AK322" s="494"/>
      <c r="AL322" s="494"/>
      <c r="AM322" s="494"/>
      <c r="AN322" s="494"/>
      <c r="AO322" s="494"/>
      <c r="AP322" s="494"/>
    </row>
    <row r="323" spans="35:42" x14ac:dyDescent="0.25">
      <c r="AI323" s="494"/>
      <c r="AJ323" s="494"/>
      <c r="AK323" s="494"/>
      <c r="AL323" s="494"/>
      <c r="AM323" s="494"/>
      <c r="AN323" s="494"/>
      <c r="AO323" s="494"/>
      <c r="AP323" s="494"/>
    </row>
    <row r="324" spans="35:42" x14ac:dyDescent="0.25">
      <c r="AI324" s="494"/>
      <c r="AJ324" s="494"/>
      <c r="AK324" s="494"/>
      <c r="AL324" s="494"/>
      <c r="AM324" s="494"/>
      <c r="AN324" s="494"/>
      <c r="AO324" s="494"/>
      <c r="AP324" s="494"/>
    </row>
    <row r="325" spans="35:42" x14ac:dyDescent="0.25">
      <c r="AI325" s="494"/>
      <c r="AJ325" s="494"/>
      <c r="AK325" s="494"/>
      <c r="AL325" s="494"/>
      <c r="AM325" s="494"/>
      <c r="AN325" s="494"/>
      <c r="AO325" s="494"/>
      <c r="AP325" s="494"/>
    </row>
    <row r="326" spans="35:42" x14ac:dyDescent="0.25">
      <c r="AI326" s="494"/>
      <c r="AJ326" s="494"/>
      <c r="AK326" s="494"/>
      <c r="AL326" s="494"/>
      <c r="AM326" s="494"/>
      <c r="AN326" s="494"/>
      <c r="AO326" s="494"/>
      <c r="AP326" s="494"/>
    </row>
    <row r="327" spans="35:42" x14ac:dyDescent="0.25">
      <c r="AI327" s="494"/>
      <c r="AJ327" s="494"/>
      <c r="AK327" s="494"/>
      <c r="AL327" s="494"/>
      <c r="AM327" s="494"/>
      <c r="AN327" s="494"/>
      <c r="AO327" s="494"/>
      <c r="AP327" s="494"/>
    </row>
    <row r="328" spans="35:42" x14ac:dyDescent="0.25">
      <c r="AI328" s="494"/>
      <c r="AJ328" s="494"/>
      <c r="AK328" s="494"/>
      <c r="AL328" s="494"/>
      <c r="AM328" s="494"/>
      <c r="AN328" s="494"/>
      <c r="AO328" s="494"/>
      <c r="AP328" s="494"/>
    </row>
    <row r="329" spans="35:42" x14ac:dyDescent="0.25">
      <c r="AI329" s="494"/>
      <c r="AJ329" s="494"/>
      <c r="AK329" s="494"/>
      <c r="AL329" s="494"/>
      <c r="AM329" s="494"/>
      <c r="AN329" s="494"/>
      <c r="AO329" s="494"/>
      <c r="AP329" s="494"/>
    </row>
    <row r="330" spans="35:42" x14ac:dyDescent="0.25">
      <c r="AI330" s="494"/>
      <c r="AJ330" s="494"/>
      <c r="AK330" s="494"/>
      <c r="AL330" s="494"/>
      <c r="AM330" s="494"/>
      <c r="AN330" s="494"/>
      <c r="AO330" s="494"/>
      <c r="AP330" s="494"/>
    </row>
    <row r="331" spans="35:42" x14ac:dyDescent="0.25">
      <c r="AI331" s="494"/>
      <c r="AJ331" s="494"/>
      <c r="AK331" s="494"/>
      <c r="AL331" s="494"/>
      <c r="AM331" s="494"/>
      <c r="AN331" s="494"/>
      <c r="AO331" s="494"/>
      <c r="AP331" s="494"/>
    </row>
    <row r="332" spans="35:42" x14ac:dyDescent="0.25">
      <c r="AI332" s="494"/>
      <c r="AJ332" s="494"/>
      <c r="AK332" s="494"/>
      <c r="AL332" s="494"/>
      <c r="AM332" s="494"/>
      <c r="AN332" s="494"/>
      <c r="AO332" s="494"/>
      <c r="AP332" s="494"/>
    </row>
    <row r="333" spans="35:42" x14ac:dyDescent="0.25">
      <c r="AI333" s="494"/>
      <c r="AJ333" s="494"/>
      <c r="AK333" s="494"/>
      <c r="AL333" s="494"/>
      <c r="AM333" s="494"/>
      <c r="AN333" s="494"/>
      <c r="AO333" s="494"/>
      <c r="AP333" s="494"/>
    </row>
    <row r="334" spans="35:42" x14ac:dyDescent="0.25">
      <c r="AI334" s="494"/>
      <c r="AJ334" s="494"/>
      <c r="AK334" s="494"/>
      <c r="AL334" s="494"/>
      <c r="AM334" s="494"/>
      <c r="AN334" s="494"/>
      <c r="AO334" s="494"/>
      <c r="AP334" s="494"/>
    </row>
    <row r="335" spans="35:42" x14ac:dyDescent="0.25">
      <c r="AI335" s="494"/>
      <c r="AJ335" s="494"/>
      <c r="AK335" s="494"/>
      <c r="AL335" s="494"/>
      <c r="AM335" s="494"/>
      <c r="AN335" s="494"/>
      <c r="AO335" s="494"/>
      <c r="AP335" s="494"/>
    </row>
    <row r="336" spans="35:42" x14ac:dyDescent="0.25">
      <c r="AI336" s="494"/>
      <c r="AJ336" s="494"/>
      <c r="AK336" s="494"/>
      <c r="AL336" s="494"/>
      <c r="AM336" s="494"/>
      <c r="AN336" s="494"/>
      <c r="AO336" s="494"/>
      <c r="AP336" s="494"/>
    </row>
    <row r="337" spans="35:42" x14ac:dyDescent="0.25">
      <c r="AI337" s="494"/>
      <c r="AJ337" s="494"/>
      <c r="AK337" s="494"/>
      <c r="AL337" s="494"/>
      <c r="AM337" s="494"/>
      <c r="AN337" s="494"/>
      <c r="AO337" s="494"/>
      <c r="AP337" s="494"/>
    </row>
    <row r="338" spans="35:42" x14ac:dyDescent="0.25">
      <c r="AI338" s="494"/>
      <c r="AJ338" s="494"/>
      <c r="AK338" s="494"/>
      <c r="AL338" s="494"/>
      <c r="AM338" s="494"/>
      <c r="AN338" s="494"/>
      <c r="AO338" s="494"/>
      <c r="AP338" s="494"/>
    </row>
    <row r="339" spans="35:42" x14ac:dyDescent="0.25">
      <c r="AI339" s="494"/>
      <c r="AJ339" s="494"/>
      <c r="AK339" s="494"/>
      <c r="AL339" s="494"/>
      <c r="AM339" s="494"/>
      <c r="AN339" s="494"/>
      <c r="AO339" s="494"/>
      <c r="AP339" s="494"/>
    </row>
    <row r="340" spans="35:42" x14ac:dyDescent="0.25">
      <c r="AI340" s="494"/>
      <c r="AJ340" s="494"/>
      <c r="AK340" s="494"/>
      <c r="AL340" s="494"/>
      <c r="AM340" s="494"/>
      <c r="AN340" s="494"/>
      <c r="AO340" s="494"/>
      <c r="AP340" s="494"/>
    </row>
    <row r="341" spans="35:42" x14ac:dyDescent="0.25">
      <c r="AI341" s="494"/>
      <c r="AJ341" s="494"/>
      <c r="AK341" s="494"/>
      <c r="AL341" s="494"/>
      <c r="AM341" s="494"/>
      <c r="AN341" s="494"/>
      <c r="AO341" s="494"/>
      <c r="AP341" s="494"/>
    </row>
    <row r="342" spans="35:42" x14ac:dyDescent="0.25">
      <c r="AI342" s="494"/>
      <c r="AJ342" s="494"/>
      <c r="AK342" s="494"/>
      <c r="AL342" s="494"/>
      <c r="AM342" s="494"/>
      <c r="AN342" s="494"/>
      <c r="AO342" s="494"/>
      <c r="AP342" s="494"/>
    </row>
    <row r="343" spans="35:42" x14ac:dyDescent="0.25">
      <c r="AI343" s="494"/>
      <c r="AJ343" s="494"/>
      <c r="AK343" s="494"/>
      <c r="AL343" s="494"/>
      <c r="AM343" s="494"/>
      <c r="AN343" s="494"/>
      <c r="AO343" s="494"/>
      <c r="AP343" s="494"/>
    </row>
    <row r="344" spans="35:42" x14ac:dyDescent="0.25">
      <c r="AI344" s="494"/>
      <c r="AJ344" s="494"/>
      <c r="AK344" s="494"/>
      <c r="AL344" s="494"/>
      <c r="AM344" s="494"/>
      <c r="AN344" s="494"/>
      <c r="AO344" s="494"/>
      <c r="AP344" s="494"/>
    </row>
    <row r="345" spans="35:42" x14ac:dyDescent="0.25">
      <c r="AI345" s="494"/>
      <c r="AJ345" s="494"/>
      <c r="AK345" s="494"/>
      <c r="AL345" s="494"/>
      <c r="AM345" s="494"/>
      <c r="AN345" s="494"/>
      <c r="AO345" s="494"/>
      <c r="AP345" s="494"/>
    </row>
    <row r="346" spans="35:42" x14ac:dyDescent="0.25">
      <c r="AI346" s="494"/>
      <c r="AJ346" s="494"/>
      <c r="AK346" s="494"/>
      <c r="AL346" s="494"/>
      <c r="AM346" s="494"/>
      <c r="AN346" s="494"/>
      <c r="AO346" s="494"/>
      <c r="AP346" s="494"/>
    </row>
    <row r="347" spans="35:42" x14ac:dyDescent="0.25">
      <c r="AI347" s="494"/>
      <c r="AJ347" s="494"/>
      <c r="AK347" s="494"/>
      <c r="AL347" s="494"/>
      <c r="AM347" s="494"/>
      <c r="AN347" s="494"/>
      <c r="AO347" s="494"/>
      <c r="AP347" s="494"/>
    </row>
    <row r="348" spans="35:42" x14ac:dyDescent="0.25">
      <c r="AI348" s="494"/>
      <c r="AJ348" s="494"/>
      <c r="AK348" s="494"/>
      <c r="AL348" s="494"/>
      <c r="AM348" s="494"/>
      <c r="AN348" s="494"/>
      <c r="AO348" s="494"/>
      <c r="AP348" s="494"/>
    </row>
    <row r="349" spans="35:42" x14ac:dyDescent="0.25">
      <c r="AI349" s="494"/>
      <c r="AJ349" s="494"/>
      <c r="AK349" s="494"/>
      <c r="AL349" s="494"/>
      <c r="AM349" s="494"/>
      <c r="AN349" s="494"/>
      <c r="AO349" s="494"/>
      <c r="AP349" s="494"/>
    </row>
    <row r="350" spans="35:42" x14ac:dyDescent="0.25">
      <c r="AI350" s="494"/>
      <c r="AJ350" s="494"/>
      <c r="AK350" s="494"/>
      <c r="AL350" s="494"/>
      <c r="AM350" s="494"/>
      <c r="AN350" s="494"/>
      <c r="AO350" s="494"/>
      <c r="AP350" s="494"/>
    </row>
    <row r="351" spans="35:42" x14ac:dyDescent="0.25">
      <c r="AI351" s="494"/>
      <c r="AJ351" s="494"/>
      <c r="AK351" s="494"/>
      <c r="AL351" s="494"/>
      <c r="AM351" s="494"/>
      <c r="AN351" s="494"/>
      <c r="AO351" s="494"/>
      <c r="AP351" s="494"/>
    </row>
    <row r="352" spans="35:42" x14ac:dyDescent="0.25">
      <c r="AI352" s="494"/>
      <c r="AJ352" s="494"/>
      <c r="AK352" s="494"/>
      <c r="AL352" s="494"/>
      <c r="AM352" s="494"/>
      <c r="AN352" s="494"/>
      <c r="AO352" s="494"/>
      <c r="AP352" s="494"/>
    </row>
    <row r="353" spans="35:42" x14ac:dyDescent="0.25">
      <c r="AI353" s="494"/>
      <c r="AJ353" s="494"/>
      <c r="AK353" s="494"/>
      <c r="AL353" s="494"/>
      <c r="AM353" s="494"/>
      <c r="AN353" s="494"/>
      <c r="AO353" s="494"/>
      <c r="AP353" s="494"/>
    </row>
    <row r="354" spans="35:42" x14ac:dyDescent="0.25">
      <c r="AI354" s="494"/>
      <c r="AJ354" s="494"/>
      <c r="AK354" s="494"/>
      <c r="AL354" s="494"/>
      <c r="AM354" s="494"/>
      <c r="AN354" s="494"/>
      <c r="AO354" s="494"/>
      <c r="AP354" s="494"/>
    </row>
    <row r="355" spans="35:42" x14ac:dyDescent="0.25">
      <c r="AI355" s="494"/>
      <c r="AJ355" s="494"/>
      <c r="AK355" s="494"/>
      <c r="AL355" s="494"/>
      <c r="AM355" s="494"/>
      <c r="AN355" s="494"/>
      <c r="AO355" s="494"/>
      <c r="AP355" s="494"/>
    </row>
    <row r="356" spans="35:42" x14ac:dyDescent="0.25">
      <c r="AI356" s="494"/>
      <c r="AJ356" s="494"/>
      <c r="AK356" s="494"/>
      <c r="AL356" s="494"/>
      <c r="AM356" s="494"/>
      <c r="AN356" s="494"/>
      <c r="AO356" s="494"/>
      <c r="AP356" s="494"/>
    </row>
    <row r="357" spans="35:42" x14ac:dyDescent="0.25">
      <c r="AI357" s="494"/>
      <c r="AJ357" s="494"/>
      <c r="AK357" s="494"/>
      <c r="AL357" s="494"/>
      <c r="AM357" s="494"/>
      <c r="AN357" s="494"/>
      <c r="AO357" s="494"/>
      <c r="AP357" s="494"/>
    </row>
    <row r="358" spans="35:42" x14ac:dyDescent="0.25">
      <c r="AI358" s="494"/>
      <c r="AJ358" s="494"/>
      <c r="AK358" s="494"/>
      <c r="AL358" s="494"/>
      <c r="AM358" s="494"/>
      <c r="AN358" s="494"/>
      <c r="AO358" s="494"/>
      <c r="AP358" s="494"/>
    </row>
    <row r="359" spans="35:42" x14ac:dyDescent="0.25">
      <c r="AI359" s="494"/>
      <c r="AJ359" s="494"/>
      <c r="AK359" s="494"/>
      <c r="AL359" s="494"/>
      <c r="AM359" s="494"/>
      <c r="AN359" s="494"/>
      <c r="AO359" s="494"/>
      <c r="AP359" s="494"/>
    </row>
    <row r="360" spans="35:42" x14ac:dyDescent="0.25">
      <c r="AI360" s="494"/>
      <c r="AJ360" s="494"/>
      <c r="AK360" s="494"/>
      <c r="AL360" s="494"/>
      <c r="AM360" s="494"/>
      <c r="AN360" s="494"/>
      <c r="AO360" s="494"/>
      <c r="AP360" s="494"/>
    </row>
    <row r="361" spans="35:42" x14ac:dyDescent="0.25">
      <c r="AI361" s="494"/>
      <c r="AJ361" s="494"/>
      <c r="AK361" s="494"/>
      <c r="AL361" s="494"/>
      <c r="AM361" s="494"/>
      <c r="AN361" s="494"/>
      <c r="AO361" s="494"/>
      <c r="AP361" s="494"/>
    </row>
    <row r="362" spans="35:42" x14ac:dyDescent="0.25">
      <c r="AI362" s="494"/>
      <c r="AJ362" s="494"/>
      <c r="AK362" s="494"/>
      <c r="AL362" s="494"/>
      <c r="AM362" s="494"/>
      <c r="AN362" s="494"/>
      <c r="AO362" s="494"/>
      <c r="AP362" s="494"/>
    </row>
    <row r="363" spans="35:42" x14ac:dyDescent="0.25">
      <c r="AI363" s="494"/>
      <c r="AJ363" s="494"/>
      <c r="AK363" s="494"/>
      <c r="AL363" s="494"/>
      <c r="AM363" s="494"/>
      <c r="AN363" s="494"/>
      <c r="AO363" s="494"/>
      <c r="AP363" s="494"/>
    </row>
    <row r="364" spans="35:42" x14ac:dyDescent="0.25">
      <c r="AI364" s="494"/>
      <c r="AJ364" s="494"/>
      <c r="AK364" s="494"/>
      <c r="AL364" s="494"/>
      <c r="AM364" s="494"/>
      <c r="AN364" s="494"/>
      <c r="AO364" s="494"/>
      <c r="AP364" s="494"/>
    </row>
    <row r="365" spans="35:42" x14ac:dyDescent="0.25">
      <c r="AI365" s="494"/>
      <c r="AJ365" s="494"/>
      <c r="AK365" s="494"/>
      <c r="AL365" s="494"/>
      <c r="AM365" s="494"/>
      <c r="AN365" s="494"/>
      <c r="AO365" s="494"/>
      <c r="AP365" s="494"/>
    </row>
    <row r="366" spans="35:42" x14ac:dyDescent="0.25">
      <c r="AI366" s="494"/>
      <c r="AJ366" s="494"/>
      <c r="AK366" s="494"/>
      <c r="AL366" s="494"/>
      <c r="AM366" s="494"/>
      <c r="AN366" s="494"/>
      <c r="AO366" s="494"/>
      <c r="AP366" s="494"/>
    </row>
    <row r="367" spans="35:42" x14ac:dyDescent="0.25">
      <c r="AI367" s="494"/>
      <c r="AJ367" s="494"/>
      <c r="AK367" s="494"/>
      <c r="AL367" s="494"/>
      <c r="AM367" s="494"/>
      <c r="AN367" s="494"/>
      <c r="AO367" s="494"/>
      <c r="AP367" s="494"/>
    </row>
    <row r="368" spans="35:42" x14ac:dyDescent="0.25">
      <c r="AI368" s="494"/>
      <c r="AJ368" s="494"/>
      <c r="AK368" s="494"/>
      <c r="AL368" s="494"/>
      <c r="AM368" s="494"/>
      <c r="AN368" s="494"/>
      <c r="AO368" s="494"/>
      <c r="AP368" s="494"/>
    </row>
    <row r="369" spans="35:42" x14ac:dyDescent="0.25">
      <c r="AI369" s="494"/>
      <c r="AJ369" s="494"/>
      <c r="AK369" s="494"/>
      <c r="AL369" s="494"/>
      <c r="AM369" s="494"/>
      <c r="AN369" s="494"/>
      <c r="AO369" s="494"/>
      <c r="AP369" s="494"/>
    </row>
    <row r="370" spans="35:42" x14ac:dyDescent="0.25">
      <c r="AI370" s="494"/>
      <c r="AJ370" s="494"/>
      <c r="AK370" s="494"/>
      <c r="AL370" s="494"/>
      <c r="AM370" s="494"/>
      <c r="AN370" s="494"/>
      <c r="AO370" s="494"/>
      <c r="AP370" s="494"/>
    </row>
    <row r="371" spans="35:42" x14ac:dyDescent="0.25">
      <c r="AI371" s="494"/>
      <c r="AJ371" s="494"/>
      <c r="AK371" s="494"/>
      <c r="AL371" s="494"/>
      <c r="AM371" s="494"/>
      <c r="AN371" s="494"/>
      <c r="AO371" s="494"/>
      <c r="AP371" s="494"/>
    </row>
    <row r="372" spans="35:42" x14ac:dyDescent="0.25">
      <c r="AI372" s="494"/>
      <c r="AJ372" s="494"/>
      <c r="AK372" s="494"/>
      <c r="AL372" s="494"/>
      <c r="AM372" s="494"/>
      <c r="AN372" s="494"/>
      <c r="AO372" s="494"/>
      <c r="AP372" s="494"/>
    </row>
    <row r="373" spans="35:42" x14ac:dyDescent="0.25">
      <c r="AI373" s="494"/>
      <c r="AJ373" s="494"/>
      <c r="AK373" s="494"/>
      <c r="AL373" s="494"/>
      <c r="AM373" s="494"/>
      <c r="AN373" s="494"/>
      <c r="AO373" s="494"/>
      <c r="AP373" s="494"/>
    </row>
    <row r="374" spans="35:42" x14ac:dyDescent="0.25">
      <c r="AI374" s="494"/>
      <c r="AJ374" s="494"/>
      <c r="AK374" s="494"/>
      <c r="AL374" s="494"/>
      <c r="AM374" s="494"/>
      <c r="AN374" s="494"/>
      <c r="AO374" s="494"/>
      <c r="AP374" s="494"/>
    </row>
    <row r="375" spans="35:42" x14ac:dyDescent="0.25">
      <c r="AI375" s="494"/>
      <c r="AJ375" s="494"/>
      <c r="AK375" s="494"/>
      <c r="AL375" s="494"/>
      <c r="AM375" s="494"/>
      <c r="AN375" s="494"/>
      <c r="AO375" s="494"/>
      <c r="AP375" s="494"/>
    </row>
    <row r="376" spans="35:42" x14ac:dyDescent="0.25">
      <c r="AI376" s="494"/>
      <c r="AJ376" s="494"/>
      <c r="AK376" s="494"/>
      <c r="AL376" s="494"/>
      <c r="AM376" s="494"/>
      <c r="AN376" s="494"/>
      <c r="AO376" s="494"/>
      <c r="AP376" s="494"/>
    </row>
    <row r="377" spans="35:42" x14ac:dyDescent="0.25">
      <c r="AI377" s="494"/>
      <c r="AJ377" s="494"/>
      <c r="AK377" s="494"/>
      <c r="AL377" s="494"/>
      <c r="AM377" s="494"/>
      <c r="AN377" s="494"/>
      <c r="AO377" s="494"/>
      <c r="AP377" s="494"/>
    </row>
    <row r="378" spans="35:42" x14ac:dyDescent="0.25">
      <c r="AI378" s="494"/>
      <c r="AJ378" s="494"/>
      <c r="AK378" s="494"/>
      <c r="AL378" s="494"/>
      <c r="AM378" s="494"/>
      <c r="AN378" s="494"/>
      <c r="AO378" s="494"/>
      <c r="AP378" s="494"/>
    </row>
    <row r="379" spans="35:42" x14ac:dyDescent="0.25">
      <c r="AI379" s="494"/>
      <c r="AJ379" s="494"/>
      <c r="AK379" s="494"/>
      <c r="AL379" s="494"/>
      <c r="AM379" s="494"/>
      <c r="AN379" s="494"/>
      <c r="AO379" s="494"/>
      <c r="AP379" s="494"/>
    </row>
    <row r="380" spans="35:42" x14ac:dyDescent="0.25">
      <c r="AI380" s="494"/>
      <c r="AJ380" s="494"/>
      <c r="AK380" s="494"/>
      <c r="AL380" s="494"/>
      <c r="AM380" s="494"/>
      <c r="AN380" s="494"/>
      <c r="AO380" s="494"/>
      <c r="AP380" s="494"/>
    </row>
    <row r="381" spans="35:42" x14ac:dyDescent="0.25">
      <c r="AI381" s="494"/>
      <c r="AJ381" s="494"/>
      <c r="AK381" s="494"/>
      <c r="AL381" s="494"/>
      <c r="AM381" s="494"/>
      <c r="AN381" s="494"/>
      <c r="AO381" s="494"/>
      <c r="AP381" s="494"/>
    </row>
    <row r="382" spans="35:42" x14ac:dyDescent="0.25">
      <c r="AI382" s="494"/>
      <c r="AJ382" s="494"/>
      <c r="AK382" s="494"/>
      <c r="AL382" s="494"/>
      <c r="AM382" s="494"/>
      <c r="AN382" s="494"/>
      <c r="AO382" s="494"/>
      <c r="AP382" s="494"/>
    </row>
    <row r="383" spans="35:42" x14ac:dyDescent="0.25">
      <c r="AI383" s="494"/>
      <c r="AJ383" s="494"/>
      <c r="AK383" s="494"/>
      <c r="AL383" s="494"/>
      <c r="AM383" s="494"/>
      <c r="AN383" s="494"/>
      <c r="AO383" s="494"/>
      <c r="AP383" s="494"/>
    </row>
    <row r="384" spans="35:42" x14ac:dyDescent="0.25">
      <c r="AI384" s="494"/>
      <c r="AJ384" s="494"/>
      <c r="AK384" s="494"/>
      <c r="AL384" s="494"/>
      <c r="AM384" s="494"/>
      <c r="AN384" s="494"/>
      <c r="AO384" s="494"/>
      <c r="AP384" s="494"/>
    </row>
    <row r="385" spans="35:42" x14ac:dyDescent="0.25">
      <c r="AI385" s="494"/>
      <c r="AJ385" s="494"/>
      <c r="AK385" s="494"/>
      <c r="AL385" s="494"/>
      <c r="AM385" s="494"/>
      <c r="AN385" s="494"/>
      <c r="AO385" s="494"/>
      <c r="AP385" s="494"/>
    </row>
    <row r="386" spans="35:42" x14ac:dyDescent="0.25">
      <c r="AI386" s="494"/>
      <c r="AJ386" s="494"/>
      <c r="AK386" s="494"/>
      <c r="AL386" s="494"/>
      <c r="AM386" s="494"/>
      <c r="AN386" s="494"/>
      <c r="AO386" s="494"/>
      <c r="AP386" s="494"/>
    </row>
    <row r="387" spans="35:42" x14ac:dyDescent="0.25">
      <c r="AI387" s="494"/>
      <c r="AJ387" s="494"/>
      <c r="AK387" s="494"/>
      <c r="AL387" s="494"/>
      <c r="AM387" s="494"/>
      <c r="AN387" s="494"/>
      <c r="AO387" s="494"/>
      <c r="AP387" s="494"/>
    </row>
    <row r="388" spans="35:42" x14ac:dyDescent="0.25">
      <c r="AI388" s="494"/>
      <c r="AJ388" s="494"/>
      <c r="AK388" s="494"/>
      <c r="AL388" s="494"/>
      <c r="AM388" s="494"/>
      <c r="AN388" s="494"/>
      <c r="AO388" s="494"/>
      <c r="AP388" s="494"/>
    </row>
    <row r="389" spans="35:42" x14ac:dyDescent="0.25">
      <c r="AI389" s="494"/>
      <c r="AJ389" s="494"/>
      <c r="AK389" s="494"/>
      <c r="AL389" s="494"/>
      <c r="AM389" s="494"/>
      <c r="AN389" s="494"/>
      <c r="AO389" s="494"/>
      <c r="AP389" s="494"/>
    </row>
    <row r="390" spans="35:42" x14ac:dyDescent="0.25">
      <c r="AI390" s="494"/>
      <c r="AJ390" s="494"/>
      <c r="AK390" s="494"/>
      <c r="AL390" s="494"/>
      <c r="AM390" s="494"/>
      <c r="AN390" s="494"/>
      <c r="AO390" s="494"/>
      <c r="AP390" s="494"/>
    </row>
    <row r="391" spans="35:42" x14ac:dyDescent="0.25">
      <c r="AI391" s="494"/>
      <c r="AJ391" s="494"/>
      <c r="AK391" s="494"/>
      <c r="AL391" s="494"/>
      <c r="AM391" s="494"/>
      <c r="AN391" s="494"/>
      <c r="AO391" s="494"/>
      <c r="AP391" s="494"/>
    </row>
    <row r="392" spans="35:42" x14ac:dyDescent="0.25">
      <c r="AI392" s="494"/>
      <c r="AJ392" s="494"/>
      <c r="AK392" s="494"/>
      <c r="AL392" s="494"/>
      <c r="AM392" s="494"/>
      <c r="AN392" s="494"/>
      <c r="AO392" s="494"/>
      <c r="AP392" s="494"/>
    </row>
    <row r="393" spans="35:42" x14ac:dyDescent="0.25">
      <c r="AI393" s="494"/>
      <c r="AJ393" s="494"/>
      <c r="AK393" s="494"/>
      <c r="AL393" s="494"/>
      <c r="AM393" s="494"/>
      <c r="AN393" s="494"/>
      <c r="AO393" s="494"/>
      <c r="AP393" s="494"/>
    </row>
    <row r="394" spans="35:42" x14ac:dyDescent="0.25">
      <c r="AI394" s="494"/>
      <c r="AJ394" s="494"/>
      <c r="AK394" s="494"/>
      <c r="AL394" s="494"/>
      <c r="AM394" s="494"/>
      <c r="AN394" s="494"/>
      <c r="AO394" s="494"/>
      <c r="AP394" s="494"/>
    </row>
    <row r="395" spans="35:42" x14ac:dyDescent="0.25">
      <c r="AI395" s="494"/>
      <c r="AJ395" s="494"/>
      <c r="AK395" s="494"/>
      <c r="AL395" s="494"/>
      <c r="AM395" s="494"/>
      <c r="AN395" s="494"/>
      <c r="AO395" s="494"/>
      <c r="AP395" s="494"/>
    </row>
    <row r="396" spans="35:42" x14ac:dyDescent="0.25">
      <c r="AI396" s="494"/>
      <c r="AJ396" s="494"/>
      <c r="AK396" s="494"/>
      <c r="AL396" s="494"/>
      <c r="AM396" s="494"/>
      <c r="AN396" s="494"/>
      <c r="AO396" s="494"/>
      <c r="AP396" s="494"/>
    </row>
    <row r="397" spans="35:42" x14ac:dyDescent="0.25">
      <c r="AI397" s="494"/>
      <c r="AJ397" s="494"/>
      <c r="AK397" s="494"/>
      <c r="AL397" s="494"/>
      <c r="AM397" s="494"/>
      <c r="AN397" s="494"/>
      <c r="AO397" s="494"/>
      <c r="AP397" s="494"/>
    </row>
    <row r="398" spans="35:42" x14ac:dyDescent="0.25">
      <c r="AI398" s="494"/>
      <c r="AJ398" s="494"/>
      <c r="AK398" s="494"/>
      <c r="AL398" s="494"/>
      <c r="AM398" s="494"/>
      <c r="AN398" s="494"/>
      <c r="AO398" s="494"/>
      <c r="AP398" s="494"/>
    </row>
    <row r="399" spans="35:42" x14ac:dyDescent="0.25">
      <c r="AI399" s="494"/>
      <c r="AJ399" s="494"/>
      <c r="AK399" s="494"/>
      <c r="AL399" s="494"/>
      <c r="AM399" s="494"/>
      <c r="AN399" s="494"/>
      <c r="AO399" s="494"/>
      <c r="AP399" s="494"/>
    </row>
    <row r="400" spans="35:42" x14ac:dyDescent="0.25">
      <c r="AI400" s="494"/>
      <c r="AJ400" s="494"/>
      <c r="AK400" s="494"/>
      <c r="AL400" s="494"/>
      <c r="AM400" s="494"/>
      <c r="AN400" s="494"/>
      <c r="AO400" s="494"/>
      <c r="AP400" s="494"/>
    </row>
    <row r="401" spans="35:42" x14ac:dyDescent="0.25">
      <c r="AI401" s="494"/>
      <c r="AJ401" s="494"/>
      <c r="AK401" s="494"/>
      <c r="AL401" s="494"/>
      <c r="AM401" s="494"/>
      <c r="AN401" s="494"/>
      <c r="AO401" s="494"/>
      <c r="AP401" s="494"/>
    </row>
    <row r="402" spans="35:42" x14ac:dyDescent="0.25">
      <c r="AI402" s="494"/>
      <c r="AJ402" s="494"/>
      <c r="AK402" s="494"/>
      <c r="AL402" s="494"/>
      <c r="AM402" s="494"/>
      <c r="AN402" s="494"/>
      <c r="AO402" s="494"/>
      <c r="AP402" s="494"/>
    </row>
    <row r="403" spans="35:42" x14ac:dyDescent="0.25">
      <c r="AI403" s="494"/>
      <c r="AJ403" s="494"/>
      <c r="AK403" s="494"/>
      <c r="AL403" s="494"/>
      <c r="AM403" s="494"/>
      <c r="AN403" s="494"/>
      <c r="AO403" s="494"/>
      <c r="AP403" s="494"/>
    </row>
    <row r="404" spans="35:42" x14ac:dyDescent="0.25">
      <c r="AI404" s="494"/>
      <c r="AJ404" s="494"/>
      <c r="AK404" s="494"/>
      <c r="AL404" s="494"/>
      <c r="AM404" s="494"/>
      <c r="AN404" s="494"/>
      <c r="AO404" s="494"/>
      <c r="AP404" s="494"/>
    </row>
    <row r="405" spans="35:42" x14ac:dyDescent="0.25">
      <c r="AI405" s="494"/>
      <c r="AJ405" s="494"/>
      <c r="AK405" s="494"/>
      <c r="AL405" s="494"/>
      <c r="AM405" s="494"/>
      <c r="AN405" s="494"/>
      <c r="AO405" s="494"/>
      <c r="AP405" s="494"/>
    </row>
    <row r="406" spans="35:42" x14ac:dyDescent="0.25">
      <c r="AI406" s="494"/>
      <c r="AJ406" s="494"/>
      <c r="AK406" s="494"/>
      <c r="AL406" s="494"/>
      <c r="AM406" s="494"/>
      <c r="AN406" s="494"/>
      <c r="AO406" s="494"/>
      <c r="AP406" s="494"/>
    </row>
    <row r="407" spans="35:42" x14ac:dyDescent="0.25">
      <c r="AI407" s="494"/>
      <c r="AJ407" s="494"/>
      <c r="AK407" s="494"/>
      <c r="AL407" s="494"/>
      <c r="AM407" s="494"/>
      <c r="AN407" s="494"/>
      <c r="AO407" s="494"/>
      <c r="AP407" s="494"/>
    </row>
    <row r="408" spans="35:42" x14ac:dyDescent="0.25">
      <c r="AI408" s="494"/>
      <c r="AJ408" s="494"/>
      <c r="AK408" s="494"/>
      <c r="AL408" s="494"/>
      <c r="AM408" s="494"/>
      <c r="AN408" s="494"/>
      <c r="AO408" s="494"/>
      <c r="AP408" s="494"/>
    </row>
    <row r="409" spans="35:42" x14ac:dyDescent="0.25">
      <c r="AI409" s="494"/>
      <c r="AJ409" s="494"/>
      <c r="AK409" s="494"/>
      <c r="AL409" s="494"/>
      <c r="AM409" s="494"/>
      <c r="AN409" s="494"/>
      <c r="AO409" s="494"/>
      <c r="AP409" s="494"/>
    </row>
    <row r="410" spans="35:42" x14ac:dyDescent="0.25">
      <c r="AI410" s="494"/>
      <c r="AJ410" s="494"/>
      <c r="AK410" s="494"/>
      <c r="AL410" s="494"/>
      <c r="AM410" s="494"/>
      <c r="AN410" s="494"/>
      <c r="AO410" s="494"/>
      <c r="AP410" s="494"/>
    </row>
    <row r="411" spans="35:42" x14ac:dyDescent="0.25">
      <c r="AI411" s="494"/>
      <c r="AJ411" s="494"/>
      <c r="AK411" s="494"/>
      <c r="AL411" s="494"/>
      <c r="AM411" s="494"/>
      <c r="AN411" s="494"/>
      <c r="AO411" s="494"/>
      <c r="AP411" s="494"/>
    </row>
    <row r="412" spans="35:42" x14ac:dyDescent="0.25">
      <c r="AI412" s="494"/>
      <c r="AJ412" s="494"/>
      <c r="AK412" s="494"/>
      <c r="AL412" s="494"/>
      <c r="AM412" s="494"/>
      <c r="AN412" s="494"/>
      <c r="AO412" s="494"/>
      <c r="AP412" s="494"/>
    </row>
    <row r="413" spans="35:42" x14ac:dyDescent="0.25">
      <c r="AI413" s="494"/>
      <c r="AJ413" s="494"/>
      <c r="AK413" s="494"/>
      <c r="AL413" s="494"/>
      <c r="AM413" s="494"/>
      <c r="AN413" s="494"/>
      <c r="AO413" s="494"/>
      <c r="AP413" s="494"/>
    </row>
    <row r="414" spans="35:42" x14ac:dyDescent="0.25">
      <c r="AI414" s="494"/>
      <c r="AJ414" s="494"/>
      <c r="AK414" s="494"/>
      <c r="AL414" s="494"/>
      <c r="AM414" s="494"/>
      <c r="AN414" s="494"/>
      <c r="AO414" s="494"/>
      <c r="AP414" s="494"/>
    </row>
    <row r="415" spans="35:42" x14ac:dyDescent="0.25">
      <c r="AI415" s="494"/>
      <c r="AJ415" s="494"/>
      <c r="AK415" s="494"/>
      <c r="AL415" s="494"/>
      <c r="AM415" s="494"/>
      <c r="AN415" s="494"/>
      <c r="AO415" s="494"/>
      <c r="AP415" s="494"/>
    </row>
    <row r="416" spans="35:42" x14ac:dyDescent="0.25">
      <c r="AI416" s="494"/>
      <c r="AJ416" s="494"/>
      <c r="AK416" s="494"/>
      <c r="AL416" s="494"/>
      <c r="AM416" s="494"/>
      <c r="AN416" s="494"/>
      <c r="AO416" s="494"/>
      <c r="AP416" s="494"/>
    </row>
    <row r="417" spans="35:42" x14ac:dyDescent="0.25">
      <c r="AI417" s="494"/>
      <c r="AJ417" s="494"/>
      <c r="AK417" s="494"/>
      <c r="AL417" s="494"/>
      <c r="AM417" s="494"/>
      <c r="AN417" s="494"/>
      <c r="AO417" s="494"/>
      <c r="AP417" s="494"/>
    </row>
    <row r="418" spans="35:42" x14ac:dyDescent="0.25">
      <c r="AI418" s="494"/>
      <c r="AJ418" s="494"/>
      <c r="AK418" s="494"/>
      <c r="AL418" s="494"/>
      <c r="AM418" s="494"/>
      <c r="AN418" s="494"/>
      <c r="AO418" s="494"/>
      <c r="AP418" s="494"/>
    </row>
    <row r="419" spans="35:42" x14ac:dyDescent="0.25">
      <c r="AI419" s="494"/>
      <c r="AJ419" s="494"/>
      <c r="AK419" s="494"/>
      <c r="AL419" s="494"/>
      <c r="AM419" s="494"/>
      <c r="AN419" s="494"/>
      <c r="AO419" s="494"/>
      <c r="AP419" s="494"/>
    </row>
    <row r="420" spans="35:42" x14ac:dyDescent="0.25">
      <c r="AI420" s="494"/>
      <c r="AJ420" s="494"/>
      <c r="AK420" s="494"/>
      <c r="AL420" s="494"/>
      <c r="AM420" s="494"/>
      <c r="AN420" s="494"/>
      <c r="AO420" s="494"/>
      <c r="AP420" s="494"/>
    </row>
    <row r="421" spans="35:42" x14ac:dyDescent="0.25">
      <c r="AI421" s="494"/>
      <c r="AJ421" s="494"/>
      <c r="AK421" s="494"/>
      <c r="AL421" s="494"/>
      <c r="AM421" s="494"/>
      <c r="AN421" s="494"/>
      <c r="AO421" s="494"/>
      <c r="AP421" s="494"/>
    </row>
    <row r="422" spans="35:42" x14ac:dyDescent="0.25">
      <c r="AI422" s="494"/>
      <c r="AJ422" s="494"/>
      <c r="AK422" s="494"/>
      <c r="AL422" s="494"/>
      <c r="AM422" s="494"/>
      <c r="AN422" s="494"/>
      <c r="AO422" s="494"/>
      <c r="AP422" s="494"/>
    </row>
    <row r="423" spans="35:42" x14ac:dyDescent="0.25">
      <c r="AI423" s="494"/>
      <c r="AJ423" s="494"/>
      <c r="AK423" s="494"/>
      <c r="AL423" s="494"/>
      <c r="AM423" s="494"/>
      <c r="AN423" s="494"/>
      <c r="AO423" s="494"/>
      <c r="AP423" s="494"/>
    </row>
    <row r="424" spans="35:42" x14ac:dyDescent="0.25">
      <c r="AI424" s="494"/>
      <c r="AJ424" s="494"/>
      <c r="AK424" s="494"/>
      <c r="AL424" s="494"/>
      <c r="AM424" s="494"/>
      <c r="AN424" s="494"/>
      <c r="AO424" s="494"/>
      <c r="AP424" s="494"/>
    </row>
    <row r="425" spans="35:42" x14ac:dyDescent="0.25">
      <c r="AI425" s="494"/>
      <c r="AJ425" s="494"/>
      <c r="AK425" s="494"/>
      <c r="AL425" s="494"/>
      <c r="AM425" s="494"/>
      <c r="AN425" s="494"/>
      <c r="AO425" s="494"/>
      <c r="AP425" s="494"/>
    </row>
    <row r="426" spans="35:42" x14ac:dyDescent="0.25">
      <c r="AI426" s="494"/>
      <c r="AJ426" s="494"/>
      <c r="AK426" s="494"/>
      <c r="AL426" s="494"/>
      <c r="AM426" s="494"/>
      <c r="AN426" s="494"/>
      <c r="AO426" s="494"/>
      <c r="AP426" s="494"/>
    </row>
    <row r="427" spans="35:42" x14ac:dyDescent="0.25">
      <c r="AI427" s="494"/>
      <c r="AJ427" s="494"/>
      <c r="AK427" s="494"/>
      <c r="AL427" s="494"/>
      <c r="AM427" s="494"/>
      <c r="AN427" s="494"/>
      <c r="AO427" s="494"/>
      <c r="AP427" s="494"/>
    </row>
    <row r="428" spans="35:42" x14ac:dyDescent="0.25">
      <c r="AI428" s="494"/>
      <c r="AJ428" s="494"/>
      <c r="AK428" s="494"/>
      <c r="AL428" s="494"/>
      <c r="AM428" s="494"/>
      <c r="AN428" s="494"/>
      <c r="AO428" s="494"/>
      <c r="AP428" s="494"/>
    </row>
    <row r="429" spans="35:42" x14ac:dyDescent="0.25">
      <c r="AI429" s="494"/>
      <c r="AJ429" s="494"/>
      <c r="AK429" s="494"/>
      <c r="AL429" s="494"/>
      <c r="AM429" s="494"/>
      <c r="AN429" s="494"/>
      <c r="AO429" s="494"/>
      <c r="AP429" s="494"/>
    </row>
    <row r="430" spans="35:42" x14ac:dyDescent="0.25">
      <c r="AI430" s="494"/>
      <c r="AJ430" s="494"/>
      <c r="AK430" s="494"/>
      <c r="AL430" s="494"/>
      <c r="AM430" s="494"/>
      <c r="AN430" s="494"/>
      <c r="AO430" s="494"/>
      <c r="AP430" s="494"/>
    </row>
    <row r="431" spans="35:42" x14ac:dyDescent="0.25">
      <c r="AI431" s="494"/>
      <c r="AJ431" s="494"/>
      <c r="AK431" s="494"/>
      <c r="AL431" s="494"/>
      <c r="AM431" s="494"/>
      <c r="AN431" s="494"/>
      <c r="AO431" s="494"/>
      <c r="AP431" s="494"/>
    </row>
    <row r="432" spans="35:42" x14ac:dyDescent="0.25">
      <c r="AI432" s="494"/>
      <c r="AJ432" s="494"/>
      <c r="AK432" s="494"/>
      <c r="AL432" s="494"/>
      <c r="AM432" s="494"/>
      <c r="AN432" s="494"/>
      <c r="AO432" s="494"/>
      <c r="AP432" s="494"/>
    </row>
    <row r="433" spans="35:42" x14ac:dyDescent="0.25">
      <c r="AI433" s="494"/>
      <c r="AJ433" s="494"/>
      <c r="AK433" s="494"/>
      <c r="AL433" s="494"/>
      <c r="AM433" s="494"/>
      <c r="AN433" s="494"/>
      <c r="AO433" s="494"/>
      <c r="AP433" s="494"/>
    </row>
  </sheetData>
  <sheetProtection insertColumns="0" insertRows="0" deleteRows="0" sort="0"/>
  <autoFilter ref="A5:XFD148" xr:uid="{02EC8B5C-2629-4A7A-963B-AA6B2C99F2E3}"/>
  <mergeCells count="9">
    <mergeCell ref="A150:AH151"/>
    <mergeCell ref="A1:AH1"/>
    <mergeCell ref="A3:AH3"/>
    <mergeCell ref="A2:J2"/>
    <mergeCell ref="A152:J15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513F172-4253-4807-A8CE-34D720193895}">
          <x14:formula1>
            <xm:f>'List Options'!$G$1:$G$3</xm:f>
          </x14:formula1>
          <xm:sqref>M149</xm:sqref>
        </x14:dataValidation>
        <x14:dataValidation type="list" allowBlank="1" showInputMessage="1" showErrorMessage="1" xr:uid="{F3EA239A-476E-4590-924A-7BA0D177C467}">
          <x14:formula1>
            <xm:f>'List Options'!$E$1:$E$6</xm:f>
          </x14:formula1>
          <xm:sqref>Q149</xm:sqref>
        </x14:dataValidation>
        <x14:dataValidation type="list" allowBlank="1" showInputMessage="1" showErrorMessage="1" xr:uid="{8B92A7F6-7ABF-446A-A0A1-23D59ABEAA7C}">
          <x14:formula1>
            <xm:f>'List Options'!$K$1:$K$6</xm:f>
          </x14:formula1>
          <xm:sqref>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62"/>
  <sheetViews>
    <sheetView zoomScaleNormal="100" workbookViewId="0">
      <pane xSplit="1" ySplit="3" topLeftCell="B15" activePane="bottomRight" state="frozen"/>
      <selection pane="topRight" activeCell="B1" sqref="B1"/>
      <selection pane="bottomLeft" activeCell="A4" sqref="A4"/>
      <selection pane="bottomRight" activeCell="B16" sqref="B16"/>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05" t="s">
        <v>961</v>
      </c>
      <c r="B1" s="606"/>
      <c r="C1" s="606"/>
      <c r="D1" s="606"/>
      <c r="E1" s="606"/>
      <c r="F1" s="606"/>
      <c r="G1" s="606"/>
      <c r="H1" s="606"/>
      <c r="I1" s="606"/>
      <c r="J1" s="606"/>
      <c r="K1" s="606"/>
      <c r="L1" s="606"/>
      <c r="M1" s="606"/>
      <c r="N1" s="606"/>
      <c r="O1" s="606"/>
      <c r="P1" s="606"/>
      <c r="Q1" s="606"/>
      <c r="R1" s="606"/>
      <c r="S1" s="606"/>
      <c r="T1" s="606"/>
      <c r="U1" s="606"/>
      <c r="V1" s="607"/>
    </row>
    <row r="2" spans="1:22" ht="15.75" thickBot="1" x14ac:dyDescent="0.3">
      <c r="A2" s="216" t="s">
        <v>962</v>
      </c>
      <c r="B2" s="608" t="s">
        <v>166</v>
      </c>
      <c r="C2" s="608"/>
      <c r="D2" s="608"/>
      <c r="E2" s="608"/>
      <c r="F2" s="608"/>
      <c r="G2" s="609" t="s">
        <v>177</v>
      </c>
      <c r="H2" s="610"/>
      <c r="I2" s="610"/>
      <c r="J2" s="610"/>
      <c r="K2" s="610"/>
      <c r="L2" s="610"/>
      <c r="M2" s="610"/>
      <c r="N2" s="611"/>
      <c r="O2" s="612" t="s">
        <v>144</v>
      </c>
      <c r="P2" s="613"/>
      <c r="Q2" s="613"/>
      <c r="R2" s="613"/>
      <c r="S2" s="613"/>
      <c r="T2" s="613"/>
      <c r="U2" s="613"/>
      <c r="V2" s="614"/>
    </row>
    <row r="3" spans="1:22" s="249" customFormat="1" ht="15.75" thickBot="1" x14ac:dyDescent="0.3">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x14ac:dyDescent="0.25">
      <c r="A4" s="331" t="s">
        <v>423</v>
      </c>
      <c r="B4" s="250">
        <f>SUMIFS('Diags Raw Data'!$L$6:$L$4766,'Diags Raw Data'!$D$6:$D$4766,$A4)</f>
        <v>4</v>
      </c>
      <c r="C4" s="240">
        <f>SUMIFS('Diags Raw Data'!$R$6:$R$4766,'Diags Raw Data'!$D$6:$D$4766,$A4)</f>
        <v>3001</v>
      </c>
      <c r="D4" s="240">
        <f>SUMIFS('Diags Raw Data'!$K$6:$K$4766,'Diags Raw Data'!$D$6:$D$4766,$A4)</f>
        <v>4</v>
      </c>
      <c r="E4" s="240">
        <f>SUMIFS('Diags Raw Data'!$O$6:$O$4766,'Diags Raw Data'!$D$6:$D$4766,$A4)</f>
        <v>3001</v>
      </c>
      <c r="F4" s="246">
        <f>IF(NOT($B4=0), E4/$B4, "---")</f>
        <v>750.25</v>
      </c>
      <c r="G4" s="218">
        <f>SUMIFS('Diags Raw Data'!$S$6:$S$4766,'Diags Raw Data'!$D$6:$D$4766,$A4)</f>
        <v>4589</v>
      </c>
      <c r="H4" s="219">
        <f>SUMIFS('Diags Raw Data'!$T$6:$T$4766,'Diags Raw Data'!$D$6:$D$4766,$A4)</f>
        <v>4589</v>
      </c>
      <c r="I4" s="221">
        <f>SUMIFS('Diags Raw Data'!$U$6:$U$4766,'Diags Raw Data'!$D$6:$D$4766,$A4)</f>
        <v>0</v>
      </c>
      <c r="J4" s="219">
        <f>SUMIFS('Diags Raw Data'!$V$6:$V$4766,'Diags Raw Data'!$D$6:$D$4766,$A4)</f>
        <v>0</v>
      </c>
      <c r="K4" s="221">
        <f>SUMIFS('Diags Raw Data'!$W$6:$W$4766,'Diags Raw Data'!$D$6:$D$4766,$A4)</f>
        <v>0</v>
      </c>
      <c r="L4" s="220">
        <f>IF(NOT($C4=0), G4/$C4, "---")</f>
        <v>1.5291569476841054</v>
      </c>
      <c r="M4" s="222">
        <f>IF(NOT($G4=0), (H4+I4)/$G4, "---")</f>
        <v>1</v>
      </c>
      <c r="N4" s="224">
        <f>IF(NOT($C4=0), (H4+I4)/$C4, "---")</f>
        <v>1.5291569476841054</v>
      </c>
      <c r="O4" s="211">
        <f>SUMIFS('Diags Raw Data'!$Z$6:$Z$4766,'Diags Raw Data'!$D$6:$D$4766,$A4)</f>
        <v>6001</v>
      </c>
      <c r="P4" s="208">
        <f>SUMIFS('Diags Raw Data'!$AA$6:$AA$4766,'Diags Raw Data'!$D$6:$D$4766,$A4)</f>
        <v>6001</v>
      </c>
      <c r="Q4" s="210">
        <f>SUMIFS('Diags Raw Data'!$AB$6:$AB$4766,'Diags Raw Data'!$D$6:$D$4766,$A4)</f>
        <v>0</v>
      </c>
      <c r="R4" s="208">
        <f>SUMIFS('Diags Raw Data'!$AC$6:$AC$4766,'Diags Raw Data'!$D$6:$D$4766,$A4)</f>
        <v>0</v>
      </c>
      <c r="S4" s="210">
        <f>SUMIFS('Diags Raw Data'!$AD$6:$AD$4766,'Diags Raw Data'!$D$6:$D$4766,$A4)</f>
        <v>0</v>
      </c>
      <c r="T4" s="209">
        <f>IF(NOT($B4=0), O4/$B4, "---")</f>
        <v>1500.25</v>
      </c>
      <c r="U4" s="223">
        <f>IF(NOT($O4=0), (P4+Q4)/$O4, "---")</f>
        <v>1</v>
      </c>
      <c r="V4" s="239">
        <f>IF(NOT($B4=0), (P4+Q4)/$B4, "---")</f>
        <v>1500.25</v>
      </c>
    </row>
    <row r="5" spans="1:22" x14ac:dyDescent="0.25">
      <c r="A5" s="331" t="s">
        <v>445</v>
      </c>
      <c r="B5" s="251">
        <f>SUMIFS('Diags Raw Data'!$L$6:$L$4766,'Diags Raw Data'!$D$6:$D$4766,$A5)</f>
        <v>20</v>
      </c>
      <c r="C5" s="241">
        <f>SUMIFS('Diags Raw Data'!$R$6:$R$4766,'Diags Raw Data'!$D$6:$D$4766,$A5)</f>
        <v>5537</v>
      </c>
      <c r="D5" s="241">
        <f>SUMIFS('Diags Raw Data'!$K$6:$K$4766,'Diags Raw Data'!$D$6:$D$4766,$A5)</f>
        <v>20</v>
      </c>
      <c r="E5" s="241">
        <f>SUMIFS('Diags Raw Data'!$O$6:$O$4766,'Diags Raw Data'!$D$6:$D$4766,$A5)</f>
        <v>5534</v>
      </c>
      <c r="F5" s="247">
        <f t="shared" ref="F5:F12" si="0">IF(NOT($B5=0), E5/$B5, "---")</f>
        <v>276.7</v>
      </c>
      <c r="G5" s="229">
        <f>SUMIFS('Diags Raw Data'!$S$6:$S$4766,'Diags Raw Data'!$D$6:$D$4766,$A5)</f>
        <v>9930</v>
      </c>
      <c r="H5" s="225">
        <f>SUMIFS('Diags Raw Data'!$T$6:$T$4766,'Diags Raw Data'!$D$6:$D$4766,$A5)</f>
        <v>9928</v>
      </c>
      <c r="I5" s="226">
        <f>SUMIFS('Diags Raw Data'!$U$6:$U$4766,'Diags Raw Data'!$D$6:$D$4766,$A5)</f>
        <v>1</v>
      </c>
      <c r="J5" s="225">
        <f>SUMIFS('Diags Raw Data'!$V$6:$V$4766,'Diags Raw Data'!$D$6:$D$4766,$A5)</f>
        <v>0</v>
      </c>
      <c r="K5" s="226">
        <f>SUMIFS('Diags Raw Data'!$W$6:$W$4766,'Diags Raw Data'!$D$6:$D$4766,$A5)</f>
        <v>1</v>
      </c>
      <c r="L5" s="242">
        <f t="shared" ref="L5:L13" si="1">IF(NOT($C5=0), G5/$C5, "---")</f>
        <v>1.7933899223406176</v>
      </c>
      <c r="M5" s="227">
        <f t="shared" ref="M5:M13" si="2">IF(NOT($G5=0), (H5+I5)/$G5, "---")</f>
        <v>0.99989929506545816</v>
      </c>
      <c r="N5" s="236">
        <f t="shared" ref="N5:N12" si="3">IF(NOT($C5=0), (H5+I5)/$C5, "---")</f>
        <v>1.7932093191258804</v>
      </c>
      <c r="O5" s="212">
        <f>SUMIFS('Diags Raw Data'!$Z$6:$Z$4766,'Diags Raw Data'!$D$6:$D$4766,$A5)</f>
        <v>12935</v>
      </c>
      <c r="P5" s="202">
        <f>SUMIFS('Diags Raw Data'!$AA$6:$AA$4766,'Diags Raw Data'!$D$6:$D$4766,$A5)</f>
        <v>12933</v>
      </c>
      <c r="Q5" s="204">
        <f>SUMIFS('Diags Raw Data'!$AB$6:$AB$4766,'Diags Raw Data'!$D$6:$D$4766,$A5)</f>
        <v>2</v>
      </c>
      <c r="R5" s="202">
        <f>SUMIFS('Diags Raw Data'!$AC$6:$AC$4766,'Diags Raw Data'!$D$6:$D$4766,$A5)</f>
        <v>0</v>
      </c>
      <c r="S5" s="204">
        <f>SUMIFS('Diags Raw Data'!$AD$6:$AD$4766,'Diags Raw Data'!$D$6:$D$4766,$A5)</f>
        <v>0</v>
      </c>
      <c r="T5" s="203">
        <f t="shared" ref="T5:T13" si="4">IF(NOT($B5=0), O5/$B5, "---")</f>
        <v>646.75</v>
      </c>
      <c r="U5" s="228">
        <f t="shared" ref="U5:U8" si="5">IF(NOT($O5=0), (P5+Q5)/$O5, "---")</f>
        <v>1</v>
      </c>
      <c r="V5" s="230">
        <f t="shared" ref="V5:V13" si="6">IF(NOT($B5=0), (P5+Q5)/$B5, "---")</f>
        <v>646.75</v>
      </c>
    </row>
    <row r="6" spans="1:22" x14ac:dyDescent="0.25">
      <c r="A6" s="331" t="s">
        <v>551</v>
      </c>
      <c r="B6" s="251">
        <f>SUMIFS('Diags Raw Data'!$L$6:$L$4766,'Diags Raw Data'!$D$6:$D$4766,$A6)</f>
        <v>4</v>
      </c>
      <c r="C6" s="241">
        <f>SUMIFS('Diags Raw Data'!$R$6:$R$4766,'Diags Raw Data'!$D$6:$D$4766,$A6)</f>
        <v>513</v>
      </c>
      <c r="D6" s="241">
        <f>SUMIFS('Diags Raw Data'!$K$6:$K$4766,'Diags Raw Data'!$D$6:$D$4766,$A6)</f>
        <v>4</v>
      </c>
      <c r="E6" s="241">
        <f>SUMIFS('Diags Raw Data'!$O$6:$O$4766,'Diags Raw Data'!$D$6:$D$4766,$A6)</f>
        <v>513</v>
      </c>
      <c r="F6" s="247">
        <f t="shared" si="0"/>
        <v>128.25</v>
      </c>
      <c r="G6" s="229">
        <f>SUMIFS('Diags Raw Data'!$S$6:$S$4766,'Diags Raw Data'!$D$6:$D$4766,$A6)</f>
        <v>2640</v>
      </c>
      <c r="H6" s="225">
        <f>SUMIFS('Diags Raw Data'!$T$6:$T$4766,'Diags Raw Data'!$D$6:$D$4766,$A6)</f>
        <v>2640</v>
      </c>
      <c r="I6" s="226">
        <f>SUMIFS('Diags Raw Data'!$U$6:$U$4766,'Diags Raw Data'!$D$6:$D$4766,$A6)</f>
        <v>0</v>
      </c>
      <c r="J6" s="225">
        <f>SUMIFS('Diags Raw Data'!$V$6:$V$4766,'Diags Raw Data'!$D$6:$D$4766,$A6)</f>
        <v>0</v>
      </c>
      <c r="K6" s="226">
        <f>SUMIFS('Diags Raw Data'!$W$6:$W$4766,'Diags Raw Data'!$D$6:$D$4766,$A6)</f>
        <v>0</v>
      </c>
      <c r="L6" s="242">
        <f t="shared" si="1"/>
        <v>5.1461988304093564</v>
      </c>
      <c r="M6" s="227">
        <f t="shared" si="2"/>
        <v>1</v>
      </c>
      <c r="N6" s="236">
        <f t="shared" si="3"/>
        <v>5.1461988304093564</v>
      </c>
      <c r="O6" s="212">
        <f>SUMIFS('Diags Raw Data'!$Z$6:$Z$4766,'Diags Raw Data'!$D$6:$D$4766,$A6)</f>
        <v>2014</v>
      </c>
      <c r="P6" s="202">
        <f>SUMIFS('Diags Raw Data'!$AA$6:$AA$4766,'Diags Raw Data'!$D$6:$D$4766,$A6)</f>
        <v>2014</v>
      </c>
      <c r="Q6" s="204">
        <f>SUMIFS('Diags Raw Data'!$AB$6:$AB$4766,'Diags Raw Data'!$D$6:$D$4766,$A6)</f>
        <v>0</v>
      </c>
      <c r="R6" s="202">
        <f>SUMIFS('Diags Raw Data'!$AC$6:$AC$4766,'Diags Raw Data'!$D$6:$D$4766,$A6)</f>
        <v>0</v>
      </c>
      <c r="S6" s="204">
        <f>SUMIFS('Diags Raw Data'!$AD$6:$AD$4766,'Diags Raw Data'!$D$6:$D$4766,$A6)</f>
        <v>0</v>
      </c>
      <c r="T6" s="203">
        <f t="shared" si="4"/>
        <v>503.5</v>
      </c>
      <c r="U6" s="228">
        <f t="shared" si="5"/>
        <v>1</v>
      </c>
      <c r="V6" s="230">
        <f t="shared" si="6"/>
        <v>503.5</v>
      </c>
    </row>
    <row r="7" spans="1:22" x14ac:dyDescent="0.25">
      <c r="A7" s="331" t="s">
        <v>570</v>
      </c>
      <c r="B7" s="251">
        <f>SUMIFS('Diags Raw Data'!$L$6:$L$4766,'Diags Raw Data'!$D$6:$D$4766,$A7)</f>
        <v>4</v>
      </c>
      <c r="C7" s="241">
        <f>SUMIFS('Diags Raw Data'!$R$6:$R$4766,'Diags Raw Data'!$D$6:$D$4766,$A7)</f>
        <v>11020</v>
      </c>
      <c r="D7" s="241">
        <f>SUMIFS('Diags Raw Data'!$K$6:$K$4766,'Diags Raw Data'!$D$6:$D$4766,$A7)</f>
        <v>4</v>
      </c>
      <c r="E7" s="241">
        <f>SUMIFS('Diags Raw Data'!$O$6:$O$4766,'Diags Raw Data'!$D$6:$D$4766,$A7)</f>
        <v>11020</v>
      </c>
      <c r="F7" s="247">
        <f t="shared" si="0"/>
        <v>2755</v>
      </c>
      <c r="G7" s="229">
        <f>SUMIFS('Diags Raw Data'!$S$6:$S$4766,'Diags Raw Data'!$D$6:$D$4766,$A7)</f>
        <v>2238</v>
      </c>
      <c r="H7" s="225">
        <f>SUMIFS('Diags Raw Data'!$T$6:$T$4766,'Diags Raw Data'!$D$6:$D$4766,$A7)</f>
        <v>2219</v>
      </c>
      <c r="I7" s="226">
        <f>SUMIFS('Diags Raw Data'!$U$6:$U$4766,'Diags Raw Data'!$D$6:$D$4766,$A7)</f>
        <v>0</v>
      </c>
      <c r="J7" s="225">
        <f>SUMIFS('Diags Raw Data'!$V$6:$V$4766,'Diags Raw Data'!$D$6:$D$4766,$A7)</f>
        <v>19</v>
      </c>
      <c r="K7" s="226">
        <f>SUMIFS('Diags Raw Data'!$W$6:$W$4766,'Diags Raw Data'!$D$6:$D$4766,$A7)</f>
        <v>0</v>
      </c>
      <c r="L7" s="242">
        <f t="shared" si="1"/>
        <v>0.20308529945553538</v>
      </c>
      <c r="M7" s="227">
        <f t="shared" si="2"/>
        <v>0.99151027703306527</v>
      </c>
      <c r="N7" s="236">
        <f t="shared" si="3"/>
        <v>0.2013611615245009</v>
      </c>
      <c r="O7" s="212">
        <f>SUMIFS('Diags Raw Data'!$Z$6:$Z$4766,'Diags Raw Data'!$D$6:$D$4766,$A7)</f>
        <v>5007</v>
      </c>
      <c r="P7" s="202">
        <f>SUMIFS('Diags Raw Data'!$AA$6:$AA$4766,'Diags Raw Data'!$D$6:$D$4766,$A7)</f>
        <v>5007</v>
      </c>
      <c r="Q7" s="204">
        <f>SUMIFS('Diags Raw Data'!$AB$6:$AB$4766,'Diags Raw Data'!$D$6:$D$4766,$A7)</f>
        <v>0</v>
      </c>
      <c r="R7" s="202">
        <f>SUMIFS('Diags Raw Data'!$AC$6:$AC$4766,'Diags Raw Data'!$D$6:$D$4766,$A7)</f>
        <v>0</v>
      </c>
      <c r="S7" s="204">
        <f>SUMIFS('Diags Raw Data'!$AD$6:$AD$4766,'Diags Raw Data'!$D$6:$D$4766,$A7)</f>
        <v>0</v>
      </c>
      <c r="T7" s="203">
        <f t="shared" si="4"/>
        <v>1251.75</v>
      </c>
      <c r="U7" s="228">
        <f t="shared" si="5"/>
        <v>1</v>
      </c>
      <c r="V7" s="230">
        <f t="shared" si="6"/>
        <v>1251.75</v>
      </c>
    </row>
    <row r="8" spans="1:22" x14ac:dyDescent="0.25">
      <c r="A8" s="331" t="s">
        <v>602</v>
      </c>
      <c r="B8" s="251">
        <f>SUMIFS('Diags Raw Data'!$L$6:$L$4766,'Diags Raw Data'!$D$6:$D$4766,$A8)</f>
        <v>3</v>
      </c>
      <c r="C8" s="241">
        <f>SUMIFS('Diags Raw Data'!$R$6:$R$4766,'Diags Raw Data'!$D$6:$D$4766,$A8)</f>
        <v>701</v>
      </c>
      <c r="D8" s="241">
        <f>SUMIFS('Diags Raw Data'!$K$6:$K$4766,'Diags Raw Data'!$D$6:$D$4766,$A8)</f>
        <v>3</v>
      </c>
      <c r="E8" s="241">
        <f>SUMIFS('Diags Raw Data'!$O$6:$O$4766,'Diags Raw Data'!$D$6:$D$4766,$A8)</f>
        <v>701</v>
      </c>
      <c r="F8" s="247">
        <f t="shared" si="0"/>
        <v>233.66666666666666</v>
      </c>
      <c r="G8" s="229">
        <f>SUMIFS('Diags Raw Data'!$S$6:$S$4766,'Diags Raw Data'!$D$6:$D$4766,$A8)</f>
        <v>313</v>
      </c>
      <c r="H8" s="225">
        <f>SUMIFS('Diags Raw Data'!$T$6:$T$4766,'Diags Raw Data'!$D$6:$D$4766,$A8)</f>
        <v>235</v>
      </c>
      <c r="I8" s="226">
        <f>SUMIFS('Diags Raw Data'!$U$6:$U$4766,'Diags Raw Data'!$D$6:$D$4766,$A8)</f>
        <v>0</v>
      </c>
      <c r="J8" s="225">
        <f>SUMIFS('Diags Raw Data'!$V$6:$V$4766,'Diags Raw Data'!$D$6:$D$4766,$A8)</f>
        <v>78</v>
      </c>
      <c r="K8" s="226">
        <f>SUMIFS('Diags Raw Data'!$W$6:$W$4766,'Diags Raw Data'!$D$6:$D$4766,$A8)</f>
        <v>0</v>
      </c>
      <c r="L8" s="242">
        <f t="shared" si="1"/>
        <v>0.44650499286733236</v>
      </c>
      <c r="M8" s="227">
        <f t="shared" si="2"/>
        <v>0.75079872204472842</v>
      </c>
      <c r="N8" s="236">
        <f t="shared" si="3"/>
        <v>0.33523537803138376</v>
      </c>
      <c r="O8" s="212">
        <f>SUMIFS('Diags Raw Data'!$Z$6:$Z$4766,'Diags Raw Data'!$D$6:$D$4766,$A8)</f>
        <v>1501</v>
      </c>
      <c r="P8" s="202">
        <f>SUMIFS('Diags Raw Data'!$AA$6:$AA$4766,'Diags Raw Data'!$D$6:$D$4766,$A8)</f>
        <v>1501</v>
      </c>
      <c r="Q8" s="204">
        <f>SUMIFS('Diags Raw Data'!$AB$6:$AB$4766,'Diags Raw Data'!$D$6:$D$4766,$A8)</f>
        <v>0</v>
      </c>
      <c r="R8" s="202">
        <f>SUMIFS('Diags Raw Data'!$AC$6:$AC$4766,'Diags Raw Data'!$D$6:$D$4766,$A8)</f>
        <v>0</v>
      </c>
      <c r="S8" s="204">
        <f>SUMIFS('Diags Raw Data'!$AD$6:$AD$4766,'Diags Raw Data'!$D$6:$D$4766,$A8)</f>
        <v>0</v>
      </c>
      <c r="T8" s="203">
        <f t="shared" si="4"/>
        <v>500.33333333333331</v>
      </c>
      <c r="U8" s="228">
        <f t="shared" si="5"/>
        <v>1</v>
      </c>
      <c r="V8" s="230">
        <f t="shared" si="6"/>
        <v>500.33333333333331</v>
      </c>
    </row>
    <row r="9" spans="1:22" x14ac:dyDescent="0.25">
      <c r="A9" s="331" t="s">
        <v>620</v>
      </c>
      <c r="B9" s="251">
        <f>SUMIFS('Diags Raw Data'!$L$6:$L$4766,'Diags Raw Data'!$D$6:$D$4766,$A9)</f>
        <v>14</v>
      </c>
      <c r="C9" s="241">
        <f>SUMIFS('Diags Raw Data'!$R$6:$R$4766,'Diags Raw Data'!$D$6:$D$4766,$A9)</f>
        <v>2016</v>
      </c>
      <c r="D9" s="241">
        <f>SUMIFS('Diags Raw Data'!$K$6:$K$4766,'Diags Raw Data'!$D$6:$D$4766,$A9)</f>
        <v>14</v>
      </c>
      <c r="E9" s="241">
        <f>SUMIFS('Diags Raw Data'!$O$6:$O$4766,'Diags Raw Data'!$D$6:$D$4766,$A9)</f>
        <v>6515</v>
      </c>
      <c r="F9" s="247">
        <f t="shared" si="0"/>
        <v>465.35714285714283</v>
      </c>
      <c r="G9" s="229">
        <f>SUMIFS('Diags Raw Data'!$S$6:$S$4766,'Diags Raw Data'!$D$6:$D$4766,$A9)</f>
        <v>2615</v>
      </c>
      <c r="H9" s="225">
        <f>SUMIFS('Diags Raw Data'!$T$6:$T$4766,'Diags Raw Data'!$D$6:$D$4766,$A9)</f>
        <v>2557</v>
      </c>
      <c r="I9" s="226">
        <f>SUMIFS('Diags Raw Data'!$U$6:$U$4766,'Diags Raw Data'!$D$6:$D$4766,$A9)</f>
        <v>1</v>
      </c>
      <c r="J9" s="225">
        <f>SUMIFS('Diags Raw Data'!$V$6:$V$4766,'Diags Raw Data'!$D$6:$D$4766,$A9)</f>
        <v>57</v>
      </c>
      <c r="K9" s="226">
        <f>SUMIFS('Diags Raw Data'!$W$6:$W$4766,'Diags Raw Data'!$D$6:$D$4766,$A9)</f>
        <v>0</v>
      </c>
      <c r="L9" s="242">
        <f t="shared" si="1"/>
        <v>1.2971230158730158</v>
      </c>
      <c r="M9" s="227">
        <f t="shared" si="2"/>
        <v>0.97820267686424478</v>
      </c>
      <c r="N9" s="236">
        <f t="shared" si="3"/>
        <v>1.2688492063492063</v>
      </c>
      <c r="O9" s="212">
        <f>SUMIFS('Diags Raw Data'!$Z$6:$Z$4766,'Diags Raw Data'!$D$6:$D$4766,$A9)</f>
        <v>4011</v>
      </c>
      <c r="P9" s="202">
        <f>SUMIFS('Diags Raw Data'!$AA$6:$AA$4766,'Diags Raw Data'!$D$6:$D$4766,$A9)</f>
        <v>4010</v>
      </c>
      <c r="Q9" s="204">
        <f>SUMIFS('Diags Raw Data'!$AB$6:$AB$4766,'Diags Raw Data'!$D$6:$D$4766,$A9)</f>
        <v>1</v>
      </c>
      <c r="R9" s="202">
        <f>SUMIFS('Diags Raw Data'!$AC$6:$AC$4766,'Diags Raw Data'!$D$6:$D$4766,$A9)</f>
        <v>0</v>
      </c>
      <c r="S9" s="204">
        <f>SUMIFS('Diags Raw Data'!$AD$6:$AD$4766,'Diags Raw Data'!$D$6:$D$4766,$A9)</f>
        <v>0</v>
      </c>
      <c r="T9" s="203">
        <f t="shared" si="4"/>
        <v>286.5</v>
      </c>
      <c r="U9" s="228">
        <f>IF(NOT($O9=0), (P9+Q9)/$O9, "---")</f>
        <v>1</v>
      </c>
      <c r="V9" s="230">
        <f t="shared" si="6"/>
        <v>286.5</v>
      </c>
    </row>
    <row r="10" spans="1:22" x14ac:dyDescent="0.25">
      <c r="A10" s="331" t="s">
        <v>686</v>
      </c>
      <c r="B10" s="251">
        <f>SUMIFS('Diags Raw Data'!$L$6:$L$4766,'Diags Raw Data'!$D$6:$D$4766,$A10)</f>
        <v>4</v>
      </c>
      <c r="C10" s="241">
        <f>SUMIFS('Diags Raw Data'!$R$6:$R$4766,'Diags Raw Data'!$D$6:$D$4766,$A10)</f>
        <v>503</v>
      </c>
      <c r="D10" s="241">
        <f>SUMIFS('Diags Raw Data'!$K$6:$K$4766,'Diags Raw Data'!$D$6:$D$4766,$A10)</f>
        <v>4</v>
      </c>
      <c r="E10" s="241">
        <f>SUMIFS('Diags Raw Data'!$O$6:$O$4766,'Diags Raw Data'!$D$6:$D$4766,$A10)</f>
        <v>504</v>
      </c>
      <c r="F10" s="247">
        <f>IF(NOT($B10=0), E10/$B10, "---")</f>
        <v>126</v>
      </c>
      <c r="G10" s="229">
        <f>SUMIFS('Diags Raw Data'!$S$6:$S$4766,'Diags Raw Data'!$D$6:$D$4766,$A10)</f>
        <v>3</v>
      </c>
      <c r="H10" s="225">
        <f>SUMIFS('Diags Raw Data'!$T$6:$T$4766,'Diags Raw Data'!$D$6:$D$4766,$A10)</f>
        <v>3</v>
      </c>
      <c r="I10" s="226">
        <f>SUMIFS('Diags Raw Data'!$U$6:$U$4766,'Diags Raw Data'!$D$6:$D$4766,$A10)</f>
        <v>0</v>
      </c>
      <c r="J10" s="225">
        <f>SUMIFS('Diags Raw Data'!$V$6:$V$4766,'Diags Raw Data'!$D$6:$D$4766,$A10)</f>
        <v>0</v>
      </c>
      <c r="K10" s="226">
        <f>SUMIFS('Diags Raw Data'!$W$6:$W$4766,'Diags Raw Data'!$D$6:$D$4766,$A10)</f>
        <v>0</v>
      </c>
      <c r="L10" s="242">
        <f t="shared" si="1"/>
        <v>5.9642147117296221E-3</v>
      </c>
      <c r="M10" s="227">
        <f t="shared" si="2"/>
        <v>1</v>
      </c>
      <c r="N10" s="236">
        <f t="shared" si="3"/>
        <v>5.9642147117296221E-3</v>
      </c>
      <c r="O10" s="212">
        <f>SUMIFS('Diags Raw Data'!$Z$6:$Z$4766,'Diags Raw Data'!$D$6:$D$4766,$A10)</f>
        <v>3</v>
      </c>
      <c r="P10" s="202">
        <f>SUMIFS('Diags Raw Data'!$AA$6:$AA$4766,'Diags Raw Data'!$D$6:$D$4766,$A10)</f>
        <v>3</v>
      </c>
      <c r="Q10" s="204">
        <f>SUMIFS('Diags Raw Data'!$AB$6:$AB$4766,'Diags Raw Data'!$D$6:$D$4766,$A10)</f>
        <v>0</v>
      </c>
      <c r="R10" s="202">
        <f>SUMIFS('Diags Raw Data'!$AC$6:$AC$4766,'Diags Raw Data'!$D$6:$D$4766,$A10)</f>
        <v>0</v>
      </c>
      <c r="S10" s="204">
        <f>SUMIFS('Diags Raw Data'!$AD$6:$AD$4766,'Diags Raw Data'!$D$6:$D$4766,$A10)</f>
        <v>0</v>
      </c>
      <c r="T10" s="203">
        <f t="shared" si="4"/>
        <v>0.75</v>
      </c>
      <c r="U10" s="228">
        <f t="shared" ref="U10:U13" si="7">IF(NOT($O10=0), (P10+Q10)/$O10, "---")</f>
        <v>1</v>
      </c>
      <c r="V10" s="230">
        <f t="shared" si="6"/>
        <v>0.75</v>
      </c>
    </row>
    <row r="11" spans="1:22" x14ac:dyDescent="0.25">
      <c r="A11" s="331" t="s">
        <v>963</v>
      </c>
      <c r="B11" s="251">
        <f>SUMIFS('Diags Raw Data'!$L$6:$L$4766,'Diags Raw Data'!$D$6:$D$4766,$A11)</f>
        <v>0</v>
      </c>
      <c r="C11" s="241">
        <f>SUMIFS('Diags Raw Data'!$R$6:$R$4766,'Diags Raw Data'!$D$6:$D$4766,$A11)</f>
        <v>0</v>
      </c>
      <c r="D11" s="241">
        <f>SUMIFS('Diags Raw Data'!$K$6:$K$4766,'Diags Raw Data'!$D$6:$D$4766,$A11)</f>
        <v>0</v>
      </c>
      <c r="E11" s="241">
        <f>SUMIFS('Diags Raw Data'!$O$6:$O$4766,'Diags Raw Data'!$D$6:$D$4766,$A11)</f>
        <v>0</v>
      </c>
      <c r="F11" s="247" t="str">
        <f t="shared" si="0"/>
        <v>---</v>
      </c>
      <c r="G11" s="229">
        <f>SUMIFS('Diags Raw Data'!$S$6:$S$4766,'Diags Raw Data'!$D$6:$D$4766,$A11)</f>
        <v>0</v>
      </c>
      <c r="H11" s="225">
        <f>SUMIFS('Diags Raw Data'!$T$6:$T$4766,'Diags Raw Data'!$D$6:$D$4766,$A11)</f>
        <v>0</v>
      </c>
      <c r="I11" s="226">
        <f>SUMIFS('Diags Raw Data'!$U$6:$U$4766,'Diags Raw Data'!$D$6:$D$4766,$A11)</f>
        <v>0</v>
      </c>
      <c r="J11" s="225">
        <f>SUMIFS('Diags Raw Data'!$V$6:$V$4766,'Diags Raw Data'!$D$6:$D$4766,$A11)</f>
        <v>0</v>
      </c>
      <c r="K11" s="226">
        <f>SUMIFS('Diags Raw Data'!$W$6:$W$4766,'Diags Raw Data'!$D$6:$D$4766,$A11)</f>
        <v>0</v>
      </c>
      <c r="L11" s="242" t="str">
        <f t="shared" si="1"/>
        <v>---</v>
      </c>
      <c r="M11" s="227" t="str">
        <f t="shared" si="2"/>
        <v>---</v>
      </c>
      <c r="N11" s="236" t="str">
        <f t="shared" si="3"/>
        <v>---</v>
      </c>
      <c r="O11" s="212">
        <f>SUMIFS('Diags Raw Data'!$Z$6:$Z$4766,'Diags Raw Data'!$D$6:$D$4766,$A11)</f>
        <v>0</v>
      </c>
      <c r="P11" s="202">
        <f>SUMIFS('Diags Raw Data'!$AA$6:$AA$4766,'Diags Raw Data'!$D$6:$D$4766,$A11)</f>
        <v>0</v>
      </c>
      <c r="Q11" s="204">
        <f>SUMIFS('Diags Raw Data'!$AB$6:$AB$4766,'Diags Raw Data'!$D$6:$D$4766,$A11)</f>
        <v>0</v>
      </c>
      <c r="R11" s="202">
        <f>SUMIFS('Diags Raw Data'!$AC$6:$AC$4766,'Diags Raw Data'!$D$6:$D$4766,$A11)</f>
        <v>0</v>
      </c>
      <c r="S11" s="204">
        <f>SUMIFS('Diags Raw Data'!$AD$6:$AD$4766,'Diags Raw Data'!$D$6:$D$4766,$A11)</f>
        <v>0</v>
      </c>
      <c r="T11" s="203" t="str">
        <f t="shared" si="4"/>
        <v>---</v>
      </c>
      <c r="U11" s="228" t="str">
        <f t="shared" si="7"/>
        <v>---</v>
      </c>
      <c r="V11" s="230" t="str">
        <f t="shared" si="6"/>
        <v>---</v>
      </c>
    </row>
    <row r="12" spans="1:22" x14ac:dyDescent="0.25">
      <c r="A12" s="331" t="s">
        <v>318</v>
      </c>
      <c r="B12" s="251">
        <f>SUMIFS('Diags Raw Data'!$L$6:$L$4766,'Diags Raw Data'!$D$6:$D$4766,$A12)</f>
        <v>23</v>
      </c>
      <c r="C12" s="241">
        <f>SUMIFS('Diags Raw Data'!$R$6:$R$4766,'Diags Raw Data'!$D$6:$D$4766,$A12)</f>
        <v>22221</v>
      </c>
      <c r="D12" s="241">
        <f>SUMIFS('Diags Raw Data'!$K$6:$K$4766,'Diags Raw Data'!$D$6:$D$4766,$A12)</f>
        <v>48</v>
      </c>
      <c r="E12" s="241">
        <f>SUMIFS('Diags Raw Data'!$O$6:$O$4766,'Diags Raw Data'!$D$6:$D$4766,$A12)</f>
        <v>58221</v>
      </c>
      <c r="F12" s="247">
        <f t="shared" si="0"/>
        <v>2531.3478260869565</v>
      </c>
      <c r="G12" s="229">
        <f>SUMIFS('Diags Raw Data'!$S$6:$S$4766,'Diags Raw Data'!$D$6:$D$4766,$A12)</f>
        <v>22751</v>
      </c>
      <c r="H12" s="225">
        <f>SUMIFS('Diags Raw Data'!$T$6:$T$4766,'Diags Raw Data'!$D$6:$D$4766,$A12)</f>
        <v>22749</v>
      </c>
      <c r="I12" s="226">
        <f>SUMIFS('Diags Raw Data'!$U$6:$U$4766,'Diags Raw Data'!$D$6:$D$4766,$A12)</f>
        <v>0</v>
      </c>
      <c r="J12" s="225">
        <f>SUMIFS('Diags Raw Data'!$V$6:$V$4766,'Diags Raw Data'!$D$6:$D$4766,$A12)</f>
        <v>0</v>
      </c>
      <c r="K12" s="226">
        <f>SUMIFS('Diags Raw Data'!$W$6:$W$4766,'Diags Raw Data'!$D$6:$D$4766,$A12)</f>
        <v>2</v>
      </c>
      <c r="L12" s="242">
        <f t="shared" si="1"/>
        <v>1.0238513118221502</v>
      </c>
      <c r="M12" s="227">
        <f t="shared" si="2"/>
        <v>0.99991209177618567</v>
      </c>
      <c r="N12" s="236">
        <f t="shared" si="3"/>
        <v>1.0237613068718781</v>
      </c>
      <c r="O12" s="212">
        <f>SUMIFS('Diags Raw Data'!$Z$6:$Z$4766,'Diags Raw Data'!$D$6:$D$4766,$A12)</f>
        <v>51025</v>
      </c>
      <c r="P12" s="202">
        <f>SUMIFS('Diags Raw Data'!$AA$6:$AA$4766,'Diags Raw Data'!$D$6:$D$4766,$A12)</f>
        <v>51023</v>
      </c>
      <c r="Q12" s="204">
        <f>SUMIFS('Diags Raw Data'!$AB$6:$AB$4766,'Diags Raw Data'!$D$6:$D$4766,$A12)</f>
        <v>2</v>
      </c>
      <c r="R12" s="202">
        <f>SUMIFS('Diags Raw Data'!$AC$6:$AC$4766,'Diags Raw Data'!$D$6:$D$4766,$A12)</f>
        <v>0</v>
      </c>
      <c r="S12" s="204">
        <f>SUMIFS('Diags Raw Data'!$AD$6:$AD$4766,'Diags Raw Data'!$D$6:$D$4766,$A12)</f>
        <v>0</v>
      </c>
      <c r="T12" s="203">
        <f t="shared" si="4"/>
        <v>2218.478260869565</v>
      </c>
      <c r="U12" s="228">
        <f t="shared" si="7"/>
        <v>1</v>
      </c>
      <c r="V12" s="230">
        <f t="shared" si="6"/>
        <v>2218.478260869565</v>
      </c>
    </row>
    <row r="13" spans="1:22" ht="15.75" thickBot="1" x14ac:dyDescent="0.3">
      <c r="A13" s="332" t="s">
        <v>707</v>
      </c>
      <c r="B13" s="252">
        <f>SUMIFS('Diags Raw Data'!$L$6:$L$4766,'Diags Raw Data'!$D$6:$D$4766,$A13)</f>
        <v>27</v>
      </c>
      <c r="C13" s="243">
        <f>SUMIFS('Diags Raw Data'!$R$6:$R$4766,'Diags Raw Data'!$D$6:$D$4766,$A13)</f>
        <v>22</v>
      </c>
      <c r="D13" s="243">
        <f>SUMIFS('Diags Raw Data'!$K$6:$K$4766,'Diags Raw Data'!$D$6:$D$4766,$A13)</f>
        <v>27</v>
      </c>
      <c r="E13" s="243">
        <f>SUMIFS('Diags Raw Data'!$O$6:$O$4766,'Diags Raw Data'!$D$6:$D$4766,$A13)</f>
        <v>29</v>
      </c>
      <c r="F13" s="248">
        <f>IF(NOT($B13=0), E13/$B13, "---")</f>
        <v>1.0740740740740742</v>
      </c>
      <c r="G13" s="231">
        <f>SUMIFS('Diags Raw Data'!$S$6:$S$4766,'Diags Raw Data'!$D$6:$D$4766,$A13)</f>
        <v>26</v>
      </c>
      <c r="H13" s="232">
        <f>SUMIFS('Diags Raw Data'!$T$6:$T$4766,'Diags Raw Data'!$D$6:$D$4766,$A13)</f>
        <v>23</v>
      </c>
      <c r="I13" s="233">
        <f>SUMIFS('Diags Raw Data'!$U$6:$U$4766,'Diags Raw Data'!$D$6:$D$4766,$A13)</f>
        <v>0</v>
      </c>
      <c r="J13" s="232">
        <f>SUMIFS('Diags Raw Data'!$V$6:$V$4766,'Diags Raw Data'!$D$6:$D$4766,$A13)</f>
        <v>0</v>
      </c>
      <c r="K13" s="233">
        <f>SUMIFS('Diags Raw Data'!$W$6:$W$4766,'Diags Raw Data'!$D$6:$D$4766,$A13)</f>
        <v>3</v>
      </c>
      <c r="L13" s="244">
        <f t="shared" si="1"/>
        <v>1.1818181818181819</v>
      </c>
      <c r="M13" s="234">
        <f t="shared" si="2"/>
        <v>0.88461538461538458</v>
      </c>
      <c r="N13" s="237">
        <f>IF(NOT($C13=0), (H13+I13)/$C13, "---")</f>
        <v>1.0454545454545454</v>
      </c>
      <c r="O13" s="213">
        <f>SUMIFS('Diags Raw Data'!$Z$6:$Z$4766,'Diags Raw Data'!$D$6:$D$4766,$A13)</f>
        <v>26</v>
      </c>
      <c r="P13" s="205">
        <f>SUMIFS('Diags Raw Data'!$AA$6:$AA$4766,'Diags Raw Data'!$D$6:$D$4766,$A13)</f>
        <v>23</v>
      </c>
      <c r="Q13" s="207">
        <f>SUMIFS('Diags Raw Data'!$AB$6:$AB$4766,'Diags Raw Data'!$D$6:$D$4766,$A13)</f>
        <v>3</v>
      </c>
      <c r="R13" s="205">
        <f>SUMIFS('Diags Raw Data'!$AC$6:$AC$4766,'Diags Raw Data'!$D$6:$D$4766,$A13)</f>
        <v>0</v>
      </c>
      <c r="S13" s="207">
        <f>SUMIFS('Diags Raw Data'!$AD$6:$AD$4766,'Diags Raw Data'!$D$6:$D$4766,$A13)</f>
        <v>0</v>
      </c>
      <c r="T13" s="206">
        <f t="shared" si="4"/>
        <v>0.96296296296296291</v>
      </c>
      <c r="U13" s="238">
        <f t="shared" si="7"/>
        <v>1</v>
      </c>
      <c r="V13" s="235">
        <f t="shared" si="6"/>
        <v>0.96296296296296291</v>
      </c>
    </row>
    <row r="14" spans="1:22" ht="15.75" thickBot="1" x14ac:dyDescent="0.3">
      <c r="A14" s="332" t="s">
        <v>879</v>
      </c>
      <c r="B14" s="252">
        <f>SUMIFS('Diags Raw Data'!$L$6:$L$4766,'Diags Raw Data'!$D$6:$D$4766,$A14)</f>
        <v>8</v>
      </c>
      <c r="C14" s="243">
        <f>SUMIFS('Diags Raw Data'!$R$6:$R$4766,'Diags Raw Data'!$D$6:$D$4766,$A14)</f>
        <v>180</v>
      </c>
      <c r="D14" s="243">
        <f>SUMIFS('Diags Raw Data'!$K$6:$K$4766,'Diags Raw Data'!$D$6:$D$4766,$A14)</f>
        <v>12</v>
      </c>
      <c r="E14" s="243">
        <f>SUMIFS('Diags Raw Data'!$O$6:$O$4766,'Diags Raw Data'!$D$6:$D$4766,$A14)</f>
        <v>180</v>
      </c>
      <c r="F14" s="248">
        <f t="shared" ref="F14:F17" si="8">IF(NOT($B14=0), E14/$B14, "---")</f>
        <v>22.5</v>
      </c>
      <c r="G14" s="231">
        <f>SUMIFS('Diags Raw Data'!$S$6:$S$4766,'Diags Raw Data'!$D$6:$D$4766,$A14)</f>
        <v>182</v>
      </c>
      <c r="H14" s="232">
        <f>SUMIFS('Diags Raw Data'!$T$6:$T$4766,'Diags Raw Data'!$D$6:$D$4766,$A14)</f>
        <v>182</v>
      </c>
      <c r="I14" s="233">
        <f>SUMIFS('Diags Raw Data'!$U$6:$U$4766,'Diags Raw Data'!$D$6:$D$4766,$A14)</f>
        <v>0</v>
      </c>
      <c r="J14" s="232">
        <f>SUMIFS('Diags Raw Data'!$V$6:$V$4766,'Diags Raw Data'!$D$6:$D$4766,$A14)</f>
        <v>0</v>
      </c>
      <c r="K14" s="233">
        <f>SUMIFS('Diags Raw Data'!$W$6:$W$4766,'Diags Raw Data'!$D$6:$D$4766,$A14)</f>
        <v>0</v>
      </c>
      <c r="L14" s="244">
        <f t="shared" ref="L14:L17" si="9">IF(NOT($C14=0), G14/$C14, "---")</f>
        <v>1.0111111111111111</v>
      </c>
      <c r="M14" s="234">
        <f t="shared" ref="M14:M17" si="10">IF(NOT($G14=0), (H14+I14)/$G14, "---")</f>
        <v>1</v>
      </c>
      <c r="N14" s="237">
        <f t="shared" ref="N14:N17" si="11">IF(NOT($C14=0), (H14+I14)/$C14, "---")</f>
        <v>1.0111111111111111</v>
      </c>
      <c r="O14" s="213">
        <f>SUMIFS('Diags Raw Data'!$Z$6:$Z$4766,'Diags Raw Data'!$D$6:$D$4766,$A14)</f>
        <v>182</v>
      </c>
      <c r="P14" s="205">
        <f>SUMIFS('Diags Raw Data'!$AA$6:$AA$4766,'Diags Raw Data'!$D$6:$D$4766,$A14)</f>
        <v>182</v>
      </c>
      <c r="Q14" s="207">
        <f>SUMIFS('Diags Raw Data'!$AB$6:$AB$4766,'Diags Raw Data'!$D$6:$D$4766,$A14)</f>
        <v>0</v>
      </c>
      <c r="R14" s="205">
        <f>SUMIFS('Diags Raw Data'!$AC$6:$AC$4766,'Diags Raw Data'!$D$6:$D$4766,$A14)</f>
        <v>0</v>
      </c>
      <c r="S14" s="207">
        <f>SUMIFS('Diags Raw Data'!$AD$6:$AD$4766,'Diags Raw Data'!$D$6:$D$4766,$A14)</f>
        <v>0</v>
      </c>
      <c r="T14" s="206">
        <f t="shared" ref="T14:T17" si="12">IF(NOT($B14=0), O14/$B14, "---")</f>
        <v>22.75</v>
      </c>
      <c r="U14" s="238">
        <f t="shared" ref="U14:U17" si="13">IF(NOT($O14=0), (P14+Q14)/$O14, "---")</f>
        <v>1</v>
      </c>
      <c r="V14" s="235">
        <f t="shared" ref="V14:V17" si="14">IF(NOT($B14=0), (P14+Q14)/$B14, "---")</f>
        <v>22.75</v>
      </c>
    </row>
    <row r="15" spans="1:22" ht="15.75" thickBot="1" x14ac:dyDescent="0.3">
      <c r="A15" s="332" t="s">
        <v>865</v>
      </c>
      <c r="B15" s="252">
        <f>SUMIFS('Diags Raw Data'!$L$6:$L$4766,'Diags Raw Data'!$D$6:$D$4766,$A15)</f>
        <v>3</v>
      </c>
      <c r="C15" s="243">
        <f>SUMIFS('Diags Raw Data'!$R$6:$R$4766,'Diags Raw Data'!$D$6:$D$4766,$A15)</f>
        <v>2010</v>
      </c>
      <c r="D15" s="243">
        <f>SUMIFS('Diags Raw Data'!$K$6:$K$4766,'Diags Raw Data'!$D$6:$D$4766,$A15)</f>
        <v>3</v>
      </c>
      <c r="E15" s="243">
        <f>SUMIFS('Diags Raw Data'!$O$6:$O$4766,'Diags Raw Data'!$D$6:$D$4766,$A15)</f>
        <v>2002</v>
      </c>
      <c r="F15" s="248">
        <f t="shared" si="8"/>
        <v>667.33333333333337</v>
      </c>
      <c r="G15" s="231">
        <f>SUMIFS('Diags Raw Data'!$S$6:$S$4766,'Diags Raw Data'!$D$6:$D$4766,$A15)</f>
        <v>2729</v>
      </c>
      <c r="H15" s="232">
        <f>SUMIFS('Diags Raw Data'!$T$6:$T$4766,'Diags Raw Data'!$D$6:$D$4766,$A15)</f>
        <v>2729</v>
      </c>
      <c r="I15" s="233">
        <f>SUMIFS('Diags Raw Data'!$U$6:$U$4766,'Diags Raw Data'!$D$6:$D$4766,$A15)</f>
        <v>0</v>
      </c>
      <c r="J15" s="232">
        <f>SUMIFS('Diags Raw Data'!$V$6:$V$4766,'Diags Raw Data'!$D$6:$D$4766,$A15)</f>
        <v>0</v>
      </c>
      <c r="K15" s="233">
        <f>SUMIFS('Diags Raw Data'!$W$6:$W$4766,'Diags Raw Data'!$D$6:$D$4766,$A15)</f>
        <v>0</v>
      </c>
      <c r="L15" s="244">
        <f t="shared" si="9"/>
        <v>1.3577114427860697</v>
      </c>
      <c r="M15" s="234">
        <f t="shared" si="10"/>
        <v>1</v>
      </c>
      <c r="N15" s="237">
        <f t="shared" si="11"/>
        <v>1.3577114427860697</v>
      </c>
      <c r="O15" s="213">
        <f>SUMIFS('Diags Raw Data'!$Z$6:$Z$4766,'Diags Raw Data'!$D$6:$D$4766,$A15)</f>
        <v>4002</v>
      </c>
      <c r="P15" s="205">
        <f>SUMIFS('Diags Raw Data'!$AA$6:$AA$4766,'Diags Raw Data'!$D$6:$D$4766,$A15)</f>
        <v>4002</v>
      </c>
      <c r="Q15" s="207">
        <f>SUMIFS('Diags Raw Data'!$AB$6:$AB$4766,'Diags Raw Data'!$D$6:$D$4766,$A15)</f>
        <v>0</v>
      </c>
      <c r="R15" s="205">
        <f>SUMIFS('Diags Raw Data'!$AC$6:$AC$4766,'Diags Raw Data'!$D$6:$D$4766,$A15)</f>
        <v>0</v>
      </c>
      <c r="S15" s="207">
        <f>SUMIFS('Diags Raw Data'!$AD$6:$AD$4766,'Diags Raw Data'!$D$6:$D$4766,$A15)</f>
        <v>0</v>
      </c>
      <c r="T15" s="206">
        <f t="shared" si="12"/>
        <v>1334</v>
      </c>
      <c r="U15" s="238">
        <f t="shared" si="13"/>
        <v>1</v>
      </c>
      <c r="V15" s="235">
        <f t="shared" si="14"/>
        <v>1334</v>
      </c>
    </row>
    <row r="16" spans="1:22" ht="15.75" thickBot="1" x14ac:dyDescent="0.3">
      <c r="A16" s="332" t="s">
        <v>899</v>
      </c>
      <c r="B16" s="252">
        <f>SUMIFS('Diags Raw Data'!$L$6:$L$4766,'Diags Raw Data'!$D$6:$D$4766,$A16)</f>
        <v>23</v>
      </c>
      <c r="C16" s="243">
        <f>SUMIFS('Diags Raw Data'!$R$6:$R$4766,'Diags Raw Data'!$D$6:$D$4766,$A16)</f>
        <v>230</v>
      </c>
      <c r="D16" s="243">
        <f>SUMIFS('Diags Raw Data'!$K$6:$K$4766,'Diags Raw Data'!$D$6:$D$4766,$A16)</f>
        <v>23</v>
      </c>
      <c r="E16" s="243">
        <f>SUMIFS('Diags Raw Data'!$O$6:$O$4766,'Diags Raw Data'!$D$6:$D$4766,$A16)</f>
        <v>23</v>
      </c>
      <c r="F16" s="248">
        <f t="shared" si="8"/>
        <v>1</v>
      </c>
      <c r="G16" s="231">
        <f>SUMIFS('Diags Raw Data'!$S$6:$S$4766,'Diags Raw Data'!$D$6:$D$4766,$A16)</f>
        <v>230</v>
      </c>
      <c r="H16" s="232">
        <f>SUMIFS('Diags Raw Data'!$T$6:$T$4766,'Diags Raw Data'!$D$6:$D$4766,$A16)</f>
        <v>230</v>
      </c>
      <c r="I16" s="233">
        <f>SUMIFS('Diags Raw Data'!$U$6:$U$4766,'Diags Raw Data'!$D$6:$D$4766,$A16)</f>
        <v>0</v>
      </c>
      <c r="J16" s="232">
        <f>SUMIFS('Diags Raw Data'!$V$6:$V$4766,'Diags Raw Data'!$D$6:$D$4766,$A16)</f>
        <v>0</v>
      </c>
      <c r="K16" s="233">
        <f>SUMIFS('Diags Raw Data'!$W$6:$W$4766,'Diags Raw Data'!$D$6:$D$4766,$A16)</f>
        <v>0</v>
      </c>
      <c r="L16" s="244">
        <f t="shared" si="9"/>
        <v>1</v>
      </c>
      <c r="M16" s="234">
        <f t="shared" si="10"/>
        <v>1</v>
      </c>
      <c r="N16" s="237">
        <f t="shared" si="11"/>
        <v>1</v>
      </c>
      <c r="O16" s="213">
        <f>SUMIFS('Diags Raw Data'!$Z$6:$Z$4766,'Diags Raw Data'!$D$6:$D$4766,$A16)</f>
        <v>23</v>
      </c>
      <c r="P16" s="205">
        <f>SUMIFS('Diags Raw Data'!$AA$6:$AA$4766,'Diags Raw Data'!$D$6:$D$4766,$A16)</f>
        <v>23</v>
      </c>
      <c r="Q16" s="207">
        <f>SUMIFS('Diags Raw Data'!$AB$6:$AB$4766,'Diags Raw Data'!$D$6:$D$4766,$A16)</f>
        <v>0</v>
      </c>
      <c r="R16" s="205">
        <f>SUMIFS('Diags Raw Data'!$AC$6:$AC$4766,'Diags Raw Data'!$D$6:$D$4766,$A16)</f>
        <v>0</v>
      </c>
      <c r="S16" s="207">
        <f>SUMIFS('Diags Raw Data'!$AD$6:$AD$4766,'Diags Raw Data'!$D$6:$D$4766,$A16)</f>
        <v>0</v>
      </c>
      <c r="T16" s="206">
        <f t="shared" si="12"/>
        <v>1</v>
      </c>
      <c r="U16" s="238">
        <f t="shared" si="13"/>
        <v>1</v>
      </c>
      <c r="V16" s="235">
        <f t="shared" si="14"/>
        <v>1</v>
      </c>
    </row>
    <row r="17" spans="1:22" ht="15.75" thickBot="1" x14ac:dyDescent="0.3">
      <c r="A17" s="332" t="s">
        <v>964</v>
      </c>
      <c r="B17" s="252">
        <f>SUMIFS('Diags Raw Data'!$L$6:$L$4766,'Diags Raw Data'!$D$6:$D$4766,$A17)</f>
        <v>0</v>
      </c>
      <c r="C17" s="243">
        <f>SUMIFS('Diags Raw Data'!$R$6:$R$4766,'Diags Raw Data'!$D$6:$D$4766,$A17)</f>
        <v>0</v>
      </c>
      <c r="D17" s="243">
        <f>SUMIFS('Diags Raw Data'!$K$6:$K$4766,'Diags Raw Data'!$D$6:$D$4766,$A17)</f>
        <v>0</v>
      </c>
      <c r="E17" s="243">
        <f>SUMIFS('Diags Raw Data'!$O$6:$O$4766,'Diags Raw Data'!$D$6:$D$4766,$A17)</f>
        <v>0</v>
      </c>
      <c r="F17" s="248" t="str">
        <f t="shared" si="8"/>
        <v>---</v>
      </c>
      <c r="G17" s="231">
        <f>SUMIFS('Diags Raw Data'!$S$6:$S$4766,'Diags Raw Data'!$D$6:$D$4766,$A17)</f>
        <v>0</v>
      </c>
      <c r="H17" s="232">
        <f>SUMIFS('Diags Raw Data'!$T$6:$T$4766,'Diags Raw Data'!$D$6:$D$4766,$A17)</f>
        <v>0</v>
      </c>
      <c r="I17" s="233">
        <f>SUMIFS('Diags Raw Data'!$U$6:$U$4766,'Diags Raw Data'!$D$6:$D$4766,$A17)</f>
        <v>0</v>
      </c>
      <c r="J17" s="232">
        <f>SUMIFS('Diags Raw Data'!$V$6:$V$4766,'Diags Raw Data'!$D$6:$D$4766,$A17)</f>
        <v>0</v>
      </c>
      <c r="K17" s="233">
        <f>SUMIFS('Diags Raw Data'!$W$6:$W$4766,'Diags Raw Data'!$D$6:$D$4766,$A17)</f>
        <v>0</v>
      </c>
      <c r="L17" s="244" t="str">
        <f t="shared" si="9"/>
        <v>---</v>
      </c>
      <c r="M17" s="234" t="str">
        <f t="shared" si="10"/>
        <v>---</v>
      </c>
      <c r="N17" s="237" t="str">
        <f t="shared" si="11"/>
        <v>---</v>
      </c>
      <c r="O17" s="213">
        <f>SUMIFS('Diags Raw Data'!$Z$6:$Z$4766,'Diags Raw Data'!$D$6:$D$4766,$A17)</f>
        <v>0</v>
      </c>
      <c r="P17" s="205">
        <f>SUMIFS('Diags Raw Data'!$AA$6:$AA$4766,'Diags Raw Data'!$D$6:$D$4766,$A17)</f>
        <v>0</v>
      </c>
      <c r="Q17" s="207">
        <f>SUMIFS('Diags Raw Data'!$AB$6:$AB$4766,'Diags Raw Data'!$D$6:$D$4766,$A17)</f>
        <v>0</v>
      </c>
      <c r="R17" s="205">
        <f>SUMIFS('Diags Raw Data'!$AC$6:$AC$4766,'Diags Raw Data'!$D$6:$D$4766,$A17)</f>
        <v>0</v>
      </c>
      <c r="S17" s="207">
        <f>SUMIFS('Diags Raw Data'!$AD$6:$AD$4766,'Diags Raw Data'!$D$6:$D$4766,$A17)</f>
        <v>0</v>
      </c>
      <c r="T17" s="206" t="str">
        <f t="shared" si="12"/>
        <v>---</v>
      </c>
      <c r="U17" s="238" t="str">
        <f t="shared" si="13"/>
        <v>---</v>
      </c>
      <c r="V17" s="235" t="str">
        <f t="shared" si="14"/>
        <v>---</v>
      </c>
    </row>
    <row r="18" spans="1:22" ht="16.5" thickBot="1" x14ac:dyDescent="0.3">
      <c r="A18" s="271" t="s">
        <v>965</v>
      </c>
      <c r="B18" s="255">
        <f>SUM(B4:B13)</f>
        <v>103</v>
      </c>
      <c r="C18" s="256">
        <f>SUM(C4:C13)</f>
        <v>45534</v>
      </c>
      <c r="D18" s="256">
        <f>SUM(D4:D13)</f>
        <v>128</v>
      </c>
      <c r="E18" s="256">
        <f>SUM(E4:E13)</f>
        <v>86038</v>
      </c>
      <c r="F18" s="257" cm="1">
        <f t="array" ref="F18">SUMPRODUCT(--(ISNUMBER(SEARCH("New",'Diags Raw Data'!$M$6:$M$4766))),'Diags Raw Data'!$K$6:$K$4766,'Diags Raw Data'!$P$6:$P$4766)/D18+SUMPRODUCT(--(ISNUMBER(SEARCH("Delta",'Diags Raw Data'!$M$6:$M$4766))),'Diags Raw Data'!$K$6:$K$4766,'Diags Raw Data'!$P$6:$P$4766)/D18+SUMPRODUCT(--(ISNUMBER(SEARCH("Legacy",'Diags Raw Data'!$M$6:$M$4766))),'Diags Raw Data'!$K$6:$K$4766,'Diags Raw Data'!$P$6:$P$4766)/D18</f>
        <v>0</v>
      </c>
      <c r="G18" s="258">
        <f>SUM(G4:G13)</f>
        <v>45105</v>
      </c>
      <c r="H18" s="259">
        <f>SUM(H4:H13)</f>
        <v>44943</v>
      </c>
      <c r="I18" s="260">
        <f>SUM(I4:I13)</f>
        <v>2</v>
      </c>
      <c r="J18" s="259">
        <f>SUM(J4:J13)</f>
        <v>154</v>
      </c>
      <c r="K18" s="260">
        <f>SUM(K4:K13)</f>
        <v>6</v>
      </c>
      <c r="L18" s="261">
        <f>IF(NOT($C18=0), G18/$C18, "---")</f>
        <v>0.99057846883647382</v>
      </c>
      <c r="M18" s="262">
        <f>IF(NOT($G18=0), (H18+I18)/$G18, "---")</f>
        <v>0.99645272142777963</v>
      </c>
      <c r="N18" s="263">
        <f>IF(NOT($C18=0), (H18+I18)/$C18, "---")</f>
        <v>0.98706461105986731</v>
      </c>
      <c r="O18" s="264">
        <f>SUM(O4:O13)</f>
        <v>82523</v>
      </c>
      <c r="P18" s="265">
        <f>SUM(P4:P13)</f>
        <v>82515</v>
      </c>
      <c r="Q18" s="266">
        <f>SUM(Q4:Q13)</f>
        <v>8</v>
      </c>
      <c r="R18" s="265">
        <f>SUM(R4:R13)</f>
        <v>0</v>
      </c>
      <c r="S18" s="266">
        <f>SUM(S4:S13)</f>
        <v>0</v>
      </c>
      <c r="T18" s="267">
        <f>IF(NOT($B18=0), O18/$B18, "---")</f>
        <v>801.19417475728153</v>
      </c>
      <c r="U18" s="268">
        <f>IF(NOT($O18=0), (P18+Q18)/$O18, "---")</f>
        <v>1</v>
      </c>
      <c r="V18" s="269">
        <f>IF(NOT($B18=0), (P18+Q18)/$B18, "---")</f>
        <v>801.19417475728153</v>
      </c>
    </row>
    <row r="19" spans="1:22" ht="15.75" thickBot="1" x14ac:dyDescent="0.3"/>
    <row r="20" spans="1:22" ht="15.75" thickBot="1" x14ac:dyDescent="0.3">
      <c r="A20" s="214" t="s">
        <v>966</v>
      </c>
      <c r="B20" s="608" t="s">
        <v>166</v>
      </c>
      <c r="C20" s="608"/>
      <c r="D20" s="608"/>
      <c r="E20" s="608"/>
      <c r="F20" s="608"/>
      <c r="G20" s="609" t="s">
        <v>177</v>
      </c>
      <c r="H20" s="610"/>
      <c r="I20" s="610"/>
      <c r="J20" s="610"/>
      <c r="K20" s="610"/>
      <c r="L20" s="610"/>
      <c r="M20" s="610"/>
      <c r="N20" s="611"/>
      <c r="O20" s="612" t="s">
        <v>144</v>
      </c>
      <c r="P20" s="613"/>
      <c r="Q20" s="613"/>
      <c r="R20" s="613"/>
      <c r="S20" s="613"/>
      <c r="T20" s="613"/>
      <c r="U20" s="613"/>
      <c r="V20" s="614"/>
    </row>
    <row r="21" spans="1:22" s="249" customFormat="1" ht="15.75" thickBot="1" x14ac:dyDescent="0.3">
      <c r="A21" s="253" t="s">
        <v>88</v>
      </c>
      <c r="B21" s="310" t="s">
        <v>167</v>
      </c>
      <c r="C21" s="311" t="s">
        <v>128</v>
      </c>
      <c r="D21" s="312" t="s">
        <v>105</v>
      </c>
      <c r="E21" s="312" t="s">
        <v>173</v>
      </c>
      <c r="F21" s="313" t="s">
        <v>175</v>
      </c>
      <c r="G21" s="314" t="s">
        <v>132</v>
      </c>
      <c r="H21" s="315" t="s">
        <v>30</v>
      </c>
      <c r="I21" s="315" t="s">
        <v>135</v>
      </c>
      <c r="J21" s="315" t="s">
        <v>36</v>
      </c>
      <c r="K21" s="315" t="s">
        <v>138</v>
      </c>
      <c r="L21" s="315" t="s">
        <v>184</v>
      </c>
      <c r="M21" s="315" t="s">
        <v>140</v>
      </c>
      <c r="N21" s="316" t="s">
        <v>187</v>
      </c>
      <c r="O21" s="317" t="s">
        <v>132</v>
      </c>
      <c r="P21" s="318" t="s">
        <v>30</v>
      </c>
      <c r="Q21" s="318" t="s">
        <v>135</v>
      </c>
      <c r="R21" s="318" t="s">
        <v>36</v>
      </c>
      <c r="S21" s="318" t="s">
        <v>138</v>
      </c>
      <c r="T21" s="318" t="s">
        <v>184</v>
      </c>
      <c r="U21" s="318" t="s">
        <v>140</v>
      </c>
      <c r="V21" s="319" t="s">
        <v>187</v>
      </c>
    </row>
    <row r="22" spans="1:22" x14ac:dyDescent="0.25">
      <c r="A22" s="331" t="s">
        <v>423</v>
      </c>
      <c r="B22" s="250">
        <f>SUMIFS('Diags Raw Data'!$L$6:$L$4766,'Diags Raw Data'!$D$6:$D$4766,$A22,'Diags Raw Data'!$M$6:$M$4766,"New")+SUMIFS('Diags Raw Data'!$L$6:$L$4766,'Diags Raw Data'!$D$6:$D$4766,$A22,'Diags Raw Data'!$M$6:$M$4766,"Delta")</f>
        <v>0</v>
      </c>
      <c r="C22" s="240">
        <f>SUMIFS('Diags Raw Data'!$R$6:$R$4766,'Diags Raw Data'!$D$6:$D$4766,$A22,'Diags Raw Data'!$M$6:$M$4766,"New")+SUMIFS('Diags Raw Data'!$R$6:$R$4766,'Diags Raw Data'!$D$6:$D$4766,$A22,'Diags Raw Data'!$M$6:$M$4766,"Delta")</f>
        <v>0</v>
      </c>
      <c r="D22" s="240">
        <f>SUMIFS('Diags Raw Data'!$K$6:$K$4766,'Diags Raw Data'!$D$6:$D$4766,$A22,'Diags Raw Data'!$M$6:$M$4766,"New")+SUMIFS('Diags Raw Data'!$K$6:$K$4766,'Diags Raw Data'!$D$6:$D$4766,$A22,'Diags Raw Data'!$M$6:$M$4766,"Delta")</f>
        <v>0</v>
      </c>
      <c r="E22" s="240">
        <f>SUMIFS('Diags Raw Data'!$O$6:$O$4766,'Diags Raw Data'!$D$6:$D$4766,$A22,'Diags Raw Data'!$M$6:$M$4766,"New")+SUMIFS('Diags Raw Data'!$O$6:$O$4766,'Diags Raw Data'!$D$6:$D$4766,$A22,'Diags Raw Data'!$M$6:$M$4766,"Delta")</f>
        <v>0</v>
      </c>
      <c r="F22" s="246" t="str">
        <f t="shared" ref="F22:F31" si="15">IF(NOT($B22=0), E22/$B22, "---")</f>
        <v>---</v>
      </c>
      <c r="G22" s="218">
        <f>SUMIFS('Diags Raw Data'!$S$6:$S$4766,'Diags Raw Data'!$D$6:$D$4766,$A22,'Diags Raw Data'!$M$6:$M$4766,"New")+SUMIFS('Diags Raw Data'!$S$6:$S$4766,'Diags Raw Data'!$D$6:$D$4766,$A22,'Diags Raw Data'!$M$6:$M$4766,"Delta")</f>
        <v>0</v>
      </c>
      <c r="H22" s="219">
        <f>SUMIFS('Diags Raw Data'!$T$6:$T$4766,'Diags Raw Data'!$D$6:$D$4766,$A22,'Diags Raw Data'!$M$6:$M$4766,"New")+SUMIFS('Diags Raw Data'!$T$6:$T$4766,'Diags Raw Data'!$D$6:$D$4766,$A22,'Diags Raw Data'!$M$6:$M$4766,"Delta")</f>
        <v>0</v>
      </c>
      <c r="I22" s="219">
        <f>SUMIFS('Diags Raw Data'!$U$6:$U$4766,'Diags Raw Data'!$D$6:$D$4766,$A22,'Diags Raw Data'!$M$6:$M$4766,"New")+SUMIFS('Diags Raw Data'!$U$6:$U$4766,'Diags Raw Data'!$D$6:$D$4766,$A22,'Diags Raw Data'!$M$6:$M$4766,"Delta")</f>
        <v>0</v>
      </c>
      <c r="J22" s="219">
        <f>SUMIFS('Diags Raw Data'!$V$6:$V$4766,'Diags Raw Data'!$D$6:$D$4766,$A22,'Diags Raw Data'!$M$6:$M$4766,"New")+SUMIFS('Diags Raw Data'!$V$6:$V$4766,'Diags Raw Data'!$D$6:$D$4766,$A22,'Diags Raw Data'!$M$6:$M$4766,"Delta")</f>
        <v>0</v>
      </c>
      <c r="K22" s="219">
        <f>SUMIFS('Diags Raw Data'!$W$6:$W$4766,'Diags Raw Data'!$D$6:$D$4766,$A22,'Diags Raw Data'!$M$6:$M$4766,"New")+SUMIFS('Diags Raw Data'!$W$6:$W$4766,'Diags Raw Data'!$D$6:$D$4766,$A22,'Diags Raw Data'!$M$6:$M$4766,"Delta")</f>
        <v>0</v>
      </c>
      <c r="L22" s="220" t="str">
        <f>IF(NOT($C22=0), G22/$C22, "---")</f>
        <v>---</v>
      </c>
      <c r="M22" s="222" t="str">
        <f>IF(NOT($G22=0), (H22+I22)/$G22, "---")</f>
        <v>---</v>
      </c>
      <c r="N22" s="224" t="str">
        <f>IF(NOT($C22=0), (H22+I22)/$C22, "---")</f>
        <v>---</v>
      </c>
      <c r="O22" s="211">
        <f>SUMIFS('Diags Raw Data'!$Z$6:$Z$4766,'Diags Raw Data'!$D$6:$D$4766,$A22,'Diags Raw Data'!$M$6:$M$4766,"New")+SUMIFS('Diags Raw Data'!$Z$6:$Z$4766,'Diags Raw Data'!$D$6:$D$4766,$A22,'Diags Raw Data'!$M$6:$M$4766,"Delta")</f>
        <v>0</v>
      </c>
      <c r="P22" s="208">
        <f>SUMIFS('Diags Raw Data'!$AA$6:$AA$4766,'Diags Raw Data'!$D$6:$D$4766,$A22,'Diags Raw Data'!$M$6:$M$4766,"New")+SUMIFS('Diags Raw Data'!$AA$6:$AA$4766,'Diags Raw Data'!$D$6:$D$4766,$A22,'Diags Raw Data'!$M$6:$M$4766,"Delta")</f>
        <v>0</v>
      </c>
      <c r="Q22" s="208">
        <f>SUMIFS('Diags Raw Data'!$AB$6:$AB$4766,'Diags Raw Data'!$D$6:$D$4766,$A22,'Diags Raw Data'!$M$6:$M$4766,"New")+SUMIFS('Diags Raw Data'!$AB$6:$AB$4766,'Diags Raw Data'!$D$6:$D$4766,$A22,'Diags Raw Data'!$M$6:$M$4766,"Delta")</f>
        <v>0</v>
      </c>
      <c r="R22" s="208">
        <f>SUMIFS('Diags Raw Data'!$AC$6:$AC$4766,'Diags Raw Data'!$D$6:$D$4766,$A22,'Diags Raw Data'!$M$6:$M$4766,"New")+SUMIFS('Diags Raw Data'!$AC$6:$AC$4766,'Diags Raw Data'!$D$6:$D$4766,$A22,'Diags Raw Data'!$M$6:$M$4766,"Delta")</f>
        <v>0</v>
      </c>
      <c r="S22" s="208">
        <f>SUMIFS('Diags Raw Data'!$AD$6:$AD$4766,'Diags Raw Data'!$D$6:$D$4766,$A22,'Diags Raw Data'!$M$6:$M$4766,"New")+SUMIFS('Diags Raw Data'!$AD$6:$AD$4766,'Diags Raw Data'!$D$6:$D$4766,$A22,'Diags Raw Data'!$M$6:$M$4766,"Delta")</f>
        <v>0</v>
      </c>
      <c r="T22" s="209" t="str">
        <f>IF(NOT($B22=0), O22/$B22, "---")</f>
        <v>---</v>
      </c>
      <c r="U22" s="223" t="str">
        <f>IF(NOT($O22=0), (P22+Q22)/$O22, "---")</f>
        <v>---</v>
      </c>
      <c r="V22" s="239" t="str">
        <f>IF(NOT($B22=0), (P22+Q22)/$B22, "---")</f>
        <v>---</v>
      </c>
    </row>
    <row r="23" spans="1:22" x14ac:dyDescent="0.25">
      <c r="A23" s="331" t="s">
        <v>445</v>
      </c>
      <c r="B23" s="251">
        <f>SUMIFS('Diags Raw Data'!$L$6:$L$4766,'Diags Raw Data'!$D$6:$D$4766,$A23,'Diags Raw Data'!$M$6:$M$4766,"New")+SUMIFS('Diags Raw Data'!$L$6:$L$4766,'Diags Raw Data'!$D$6:$D$4766,$A23,'Diags Raw Data'!$M$6:$M$4766,"Delta")</f>
        <v>0</v>
      </c>
      <c r="C23" s="241">
        <f>SUMIFS('Diags Raw Data'!$R$6:$R$4766,'Diags Raw Data'!$D$6:$D$4766,$A23,'Diags Raw Data'!$M$6:$M$4766,"New")+SUMIFS('Diags Raw Data'!$R$6:$R$4766,'Diags Raw Data'!$D$6:$D$4766,$A23,'Diags Raw Data'!$M$6:$M$4766,"Delta")</f>
        <v>0</v>
      </c>
      <c r="D23" s="241">
        <f>SUMIFS('Diags Raw Data'!$K$6:$K$4766,'Diags Raw Data'!$D$6:$D$4766,$A23,'Diags Raw Data'!$M$6:$M$4766,"New")+SUMIFS('Diags Raw Data'!$K$6:$K$4766,'Diags Raw Data'!$D$6:$D$4766,$A23,'Diags Raw Data'!$M$6:$M$4766,"Delta")</f>
        <v>0</v>
      </c>
      <c r="E23" s="241">
        <f>SUMIFS('Diags Raw Data'!$O$6:$O$4766,'Diags Raw Data'!$D$6:$D$4766,$A23,'Diags Raw Data'!$M$6:$M$4766,"New")+SUMIFS('Diags Raw Data'!$O$6:$O$4766,'Diags Raw Data'!$D$6:$D$4766,$A23,'Diags Raw Data'!$M$6:$M$4766,"Delta")</f>
        <v>0</v>
      </c>
      <c r="F23" s="247" t="str">
        <f t="shared" si="15"/>
        <v>---</v>
      </c>
      <c r="G23" s="229">
        <f>SUMIFS('Diags Raw Data'!$S$6:$S$4766,'Diags Raw Data'!$D$6:$D$4766,$A23,'Diags Raw Data'!$M$6:$M$4766,"New")+SUMIFS('Diags Raw Data'!$S$6:$S$4766,'Diags Raw Data'!$D$6:$D$4766,$A23,'Diags Raw Data'!$M$6:$M$4766,"Delta")</f>
        <v>0</v>
      </c>
      <c r="H23" s="225">
        <f>SUMIFS('Diags Raw Data'!$T$6:$T$4766,'Diags Raw Data'!$D$6:$D$4766,$A23,'Diags Raw Data'!$M$6:$M$4766,"New")+SUMIFS('Diags Raw Data'!$T$6:$T$4766,'Diags Raw Data'!$D$6:$D$4766,$A23,'Diags Raw Data'!$M$6:$M$4766,"Delta")</f>
        <v>0</v>
      </c>
      <c r="I23" s="225">
        <f>SUMIFS('Diags Raw Data'!$U$6:$U$4766,'Diags Raw Data'!$D$6:$D$4766,$A23,'Diags Raw Data'!$M$6:$M$4766,"New")+SUMIFS('Diags Raw Data'!$U$6:$U$4766,'Diags Raw Data'!$D$6:$D$4766,$A23,'Diags Raw Data'!$M$6:$M$4766,"Delta")</f>
        <v>0</v>
      </c>
      <c r="J23" s="225">
        <f>SUMIFS('Diags Raw Data'!$V$6:$V$4766,'Diags Raw Data'!$D$6:$D$4766,$A23,'Diags Raw Data'!$M$6:$M$4766,"New")+SUMIFS('Diags Raw Data'!$V$6:$V$4766,'Diags Raw Data'!$D$6:$D$4766,$A23,'Diags Raw Data'!$M$6:$M$4766,"Delta")</f>
        <v>0</v>
      </c>
      <c r="K23" s="225">
        <f>SUMIFS('Diags Raw Data'!$W$6:$W$4766,'Diags Raw Data'!$D$6:$D$4766,$A23,'Diags Raw Data'!$M$6:$M$4766,"New")+SUMIFS('Diags Raw Data'!$W$6:$W$4766,'Diags Raw Data'!$D$6:$D$4766,$A23,'Diags Raw Data'!$M$6:$M$4766,"Delta")</f>
        <v>0</v>
      </c>
      <c r="L23" s="242" t="str">
        <f>IF(NOT($C23=0), G23/$C23, "---")</f>
        <v>---</v>
      </c>
      <c r="M23" s="227" t="str">
        <f>IF(NOT($G23=0), (H23+I23)/$G23, "---")</f>
        <v>---</v>
      </c>
      <c r="N23" s="236" t="str">
        <f>IF(NOT($C23=0), (H23+I23)/$C23, "---")</f>
        <v>---</v>
      </c>
      <c r="O23" s="212">
        <f>SUMIFS('Diags Raw Data'!$Z$6:$Z$4766,'Diags Raw Data'!$D$6:$D$4766,$A23,'Diags Raw Data'!$M$6:$M$4766,"New")+SUMIFS('Diags Raw Data'!$Z$6:$Z$4766,'Diags Raw Data'!$D$6:$D$4766,$A23,'Diags Raw Data'!$M$6:$M$4766,"Delta")</f>
        <v>0</v>
      </c>
      <c r="P23" s="202">
        <f>SUMIFS('Diags Raw Data'!$AA$6:$AA$4766,'Diags Raw Data'!$D$6:$D$4766,$A23,'Diags Raw Data'!$M$6:$M$4766,"New")+SUMIFS('Diags Raw Data'!$AA$6:$AA$4766,'Diags Raw Data'!$D$6:$D$4766,$A23,'Diags Raw Data'!$M$6:$M$4766,"Delta")</f>
        <v>0</v>
      </c>
      <c r="Q23" s="202">
        <f>SUMIFS('Diags Raw Data'!$AB$6:$AB$4766,'Diags Raw Data'!$D$6:$D$4766,$A23,'Diags Raw Data'!$M$6:$M$4766,"New")+SUMIFS('Diags Raw Data'!$AB$6:$AB$4766,'Diags Raw Data'!$D$6:$D$4766,$A23,'Diags Raw Data'!$M$6:$M$4766,"Delta")</f>
        <v>0</v>
      </c>
      <c r="R23" s="202">
        <f>SUMIFS('Diags Raw Data'!$AC$6:$AC$4766,'Diags Raw Data'!$D$6:$D$4766,$A23,'Diags Raw Data'!$M$6:$M$4766,"New")+SUMIFS('Diags Raw Data'!$AC$6:$AC$4766,'Diags Raw Data'!$D$6:$D$4766,$A23,'Diags Raw Data'!$M$6:$M$4766,"Delta")</f>
        <v>0</v>
      </c>
      <c r="S23" s="202">
        <f>SUMIFS('Diags Raw Data'!$AD$6:$AD$4766,'Diags Raw Data'!$D$6:$D$4766,$A23,'Diags Raw Data'!$M$6:$M$4766,"New")+SUMIFS('Diags Raw Data'!$AD$6:$AD$4766,'Diags Raw Data'!$D$6:$D$4766,$A23,'Diags Raw Data'!$M$6:$M$4766,"Delta")</f>
        <v>0</v>
      </c>
      <c r="T23" s="203" t="str">
        <f>IF(NOT($B23=0), O23/$B23, "---")</f>
        <v>---</v>
      </c>
      <c r="U23" s="228" t="str">
        <f>IF(NOT($O23=0), (P23+Q23)/$O23, "---")</f>
        <v>---</v>
      </c>
      <c r="V23" s="230" t="str">
        <f t="shared" ref="V23:V36" si="16">IF(NOT($B23=0), (P23+Q23)/$B23, "---")</f>
        <v>---</v>
      </c>
    </row>
    <row r="24" spans="1:22" x14ac:dyDescent="0.25">
      <c r="A24" s="331" t="s">
        <v>551</v>
      </c>
      <c r="B24" s="251">
        <f>SUMIFS('Diags Raw Data'!$L$6:$L$4766,'Diags Raw Data'!$D$6:$D$4766,$A24,'Diags Raw Data'!$M$6:$M$4766,"New")+SUMIFS('Diags Raw Data'!$L$6:$L$4766,'Diags Raw Data'!$D$6:$D$4766,$A24,'Diags Raw Data'!$M$6:$M$4766,"Delta")</f>
        <v>0</v>
      </c>
      <c r="C24" s="241">
        <f>SUMIFS('Diags Raw Data'!$R$6:$R$4766,'Diags Raw Data'!$D$6:$D$4766,$A24,'Diags Raw Data'!$M$6:$M$4766,"New")+SUMIFS('Diags Raw Data'!$R$6:$R$4766,'Diags Raw Data'!$D$6:$D$4766,$A24,'Diags Raw Data'!$M$6:$M$4766,"Delta")</f>
        <v>0</v>
      </c>
      <c r="D24" s="241">
        <f>SUMIFS('Diags Raw Data'!$K$6:$K$4766,'Diags Raw Data'!$D$6:$D$4766,$A24,'Diags Raw Data'!$M$6:$M$4766,"New")+SUMIFS('Diags Raw Data'!$K$6:$K$4766,'Diags Raw Data'!$D$6:$D$4766,$A24,'Diags Raw Data'!$M$6:$M$4766,"Delta")</f>
        <v>0</v>
      </c>
      <c r="E24" s="241">
        <f>SUMIFS('Diags Raw Data'!$O$6:$O$4766,'Diags Raw Data'!$D$6:$D$4766,$A24,'Diags Raw Data'!$M$6:$M$4766,"New")+SUMIFS('Diags Raw Data'!$O$6:$O$4766,'Diags Raw Data'!$D$6:$D$4766,$A24,'Diags Raw Data'!$M$6:$M$4766,"Delta")</f>
        <v>0</v>
      </c>
      <c r="F24" s="247" t="str">
        <f>IF(NOT($B24=0), E24/$B24, "---")</f>
        <v>---</v>
      </c>
      <c r="G24" s="229">
        <f>SUMIFS('Diags Raw Data'!$S$6:$S$4766,'Diags Raw Data'!$D$6:$D$4766,$A24,'Diags Raw Data'!$M$6:$M$4766,"New")+SUMIFS('Diags Raw Data'!$S$6:$S$4766,'Diags Raw Data'!$D$6:$D$4766,$A24,'Diags Raw Data'!$M$6:$M$4766,"Delta")</f>
        <v>0</v>
      </c>
      <c r="H24" s="225">
        <f>SUMIFS('Diags Raw Data'!$T$6:$T$4766,'Diags Raw Data'!$D$6:$D$4766,$A24,'Diags Raw Data'!$M$6:$M$4766,"New")+SUMIFS('Diags Raw Data'!$T$6:$T$4766,'Diags Raw Data'!$D$6:$D$4766,$A24,'Diags Raw Data'!$M$6:$M$4766,"Delta")</f>
        <v>0</v>
      </c>
      <c r="I24" s="225">
        <f>SUMIFS('Diags Raw Data'!$U$6:$U$4766,'Diags Raw Data'!$D$6:$D$4766,$A24,'Diags Raw Data'!$M$6:$M$4766,"New")+SUMIFS('Diags Raw Data'!$U$6:$U$4766,'Diags Raw Data'!$D$6:$D$4766,$A24,'Diags Raw Data'!$M$6:$M$4766,"Delta")</f>
        <v>0</v>
      </c>
      <c r="J24" s="225">
        <f>SUMIFS('Diags Raw Data'!$V$6:$V$4766,'Diags Raw Data'!$D$6:$D$4766,$A24,'Diags Raw Data'!$M$6:$M$4766,"New")+SUMIFS('Diags Raw Data'!$V$6:$V$4766,'Diags Raw Data'!$D$6:$D$4766,$A24,'Diags Raw Data'!$M$6:$M$4766,"Delta")</f>
        <v>0</v>
      </c>
      <c r="K24" s="225">
        <f>SUMIFS('Diags Raw Data'!$W$6:$W$4766,'Diags Raw Data'!$D$6:$D$4766,$A24,'Diags Raw Data'!$M$6:$M$4766,"New")+SUMIFS('Diags Raw Data'!$W$6:$W$4766,'Diags Raw Data'!$D$6:$D$4766,$A24,'Diags Raw Data'!$M$6:$M$4766,"Delta")</f>
        <v>0</v>
      </c>
      <c r="L24" s="242" t="str">
        <f t="shared" ref="L24:L31" si="17">IF(NOT($C24=0), G24/$C24, "---")</f>
        <v>---</v>
      </c>
      <c r="M24" s="227" t="str">
        <f>IF(NOT($G24=0), (H24+I24)/$G24, "---")</f>
        <v>---</v>
      </c>
      <c r="N24" s="236" t="str">
        <f t="shared" ref="N24:N31" si="18">IF(NOT($C24=0), (H24+I24)/$C24, "---")</f>
        <v>---</v>
      </c>
      <c r="O24" s="212">
        <f>SUMIFS('Diags Raw Data'!$Z$6:$Z$4766,'Diags Raw Data'!$D$6:$D$4766,$A24,'Diags Raw Data'!$M$6:$M$4766,"New")+SUMIFS('Diags Raw Data'!$Z$6:$Z$4766,'Diags Raw Data'!$D$6:$D$4766,$A24,'Diags Raw Data'!$M$6:$M$4766,"Delta")</f>
        <v>0</v>
      </c>
      <c r="P24" s="202">
        <f>SUMIFS('Diags Raw Data'!$AA$6:$AA$4766,'Diags Raw Data'!$D$6:$D$4766,$A24,'Diags Raw Data'!$M$6:$M$4766,"New")+SUMIFS('Diags Raw Data'!$AA$6:$AA$4766,'Diags Raw Data'!$D$6:$D$4766,$A24,'Diags Raw Data'!$M$6:$M$4766,"Delta")</f>
        <v>0</v>
      </c>
      <c r="Q24" s="202">
        <f>SUMIFS('Diags Raw Data'!$AB$6:$AB$4766,'Diags Raw Data'!$D$6:$D$4766,$A24,'Diags Raw Data'!$M$6:$M$4766,"New")+SUMIFS('Diags Raw Data'!$AB$6:$AB$4766,'Diags Raw Data'!$D$6:$D$4766,$A24,'Diags Raw Data'!$M$6:$M$4766,"Delta")</f>
        <v>0</v>
      </c>
      <c r="R24" s="202">
        <f>SUMIFS('Diags Raw Data'!$AC$6:$AC$4766,'Diags Raw Data'!$D$6:$D$4766,$A24,'Diags Raw Data'!$M$6:$M$4766,"New")+SUMIFS('Diags Raw Data'!$AC$6:$AC$4766,'Diags Raw Data'!$D$6:$D$4766,$A24,'Diags Raw Data'!$M$6:$M$4766,"Delta")</f>
        <v>0</v>
      </c>
      <c r="S24" s="202">
        <f>SUMIFS('Diags Raw Data'!$AD$6:$AD$4766,'Diags Raw Data'!$D$6:$D$4766,$A24,'Diags Raw Data'!$M$6:$M$4766,"New")+SUMIFS('Diags Raw Data'!$AD$6:$AD$4766,'Diags Raw Data'!$D$6:$D$4766,$A24,'Diags Raw Data'!$M$6:$M$4766,"Delta")</f>
        <v>0</v>
      </c>
      <c r="T24" s="203" t="str">
        <f t="shared" ref="T24:T31" si="19">IF(NOT($B24=0), O24/$B24, "---")</f>
        <v>---</v>
      </c>
      <c r="U24" s="228" t="str">
        <f t="shared" ref="U24:U36" si="20">IF(NOT($O24=0), (P24+Q24)/$O24, "---")</f>
        <v>---</v>
      </c>
      <c r="V24" s="230" t="str">
        <f>IF(NOT($B24=0), (P24+Q24)/$B24, "---")</f>
        <v>---</v>
      </c>
    </row>
    <row r="25" spans="1:22" x14ac:dyDescent="0.25">
      <c r="A25" s="331" t="s">
        <v>570</v>
      </c>
      <c r="B25" s="251">
        <f>SUMIFS('Diags Raw Data'!$L$6:$L$4766,'Diags Raw Data'!$D$6:$D$4766,$A25,'Diags Raw Data'!$M$6:$M$4766,"New")+SUMIFS('Diags Raw Data'!$L$6:$L$4766,'Diags Raw Data'!$D$6:$D$4766,$A25,'Diags Raw Data'!$M$6:$M$4766,"Delta")</f>
        <v>0</v>
      </c>
      <c r="C25" s="241">
        <f>SUMIFS('Diags Raw Data'!$R$6:$R$4766,'Diags Raw Data'!$D$6:$D$4766,$A25,'Diags Raw Data'!$M$6:$M$4766,"New")+SUMIFS('Diags Raw Data'!$R$6:$R$4766,'Diags Raw Data'!$D$6:$D$4766,$A25,'Diags Raw Data'!$M$6:$M$4766,"Delta")</f>
        <v>0</v>
      </c>
      <c r="D25" s="241">
        <f>SUMIFS('Diags Raw Data'!$K$6:$K$4766,'Diags Raw Data'!$D$6:$D$4766,$A25,'Diags Raw Data'!$M$6:$M$4766,"New")+SUMIFS('Diags Raw Data'!$K$6:$K$4766,'Diags Raw Data'!$D$6:$D$4766,$A25,'Diags Raw Data'!$M$6:$M$4766,"Delta")</f>
        <v>0</v>
      </c>
      <c r="E25" s="241">
        <f>SUMIFS('Diags Raw Data'!$O$6:$O$4766,'Diags Raw Data'!$D$6:$D$4766,$A25,'Diags Raw Data'!$M$6:$M$4766,"New")+SUMIFS('Diags Raw Data'!$O$6:$O$4766,'Diags Raw Data'!$D$6:$D$4766,$A25,'Diags Raw Data'!$M$6:$M$4766,"Delta")</f>
        <v>0</v>
      </c>
      <c r="F25" s="247" t="str">
        <f t="shared" si="15"/>
        <v>---</v>
      </c>
      <c r="G25" s="229">
        <f>SUMIFS('Diags Raw Data'!$S$6:$S$4766,'Diags Raw Data'!$D$6:$D$4766,$A25,'Diags Raw Data'!$M$6:$M$4766,"New")+SUMIFS('Diags Raw Data'!$S$6:$S$4766,'Diags Raw Data'!$D$6:$D$4766,$A25,'Diags Raw Data'!$M$6:$M$4766,"Delta")</f>
        <v>0</v>
      </c>
      <c r="H25" s="225">
        <f>SUMIFS('Diags Raw Data'!$T$6:$T$4766,'Diags Raw Data'!$D$6:$D$4766,$A25,'Diags Raw Data'!$M$6:$M$4766,"New")+SUMIFS('Diags Raw Data'!$T$6:$T$4766,'Diags Raw Data'!$D$6:$D$4766,$A25,'Diags Raw Data'!$M$6:$M$4766,"Delta")</f>
        <v>0</v>
      </c>
      <c r="I25" s="225">
        <f>SUMIFS('Diags Raw Data'!$U$6:$U$4766,'Diags Raw Data'!$D$6:$D$4766,$A25,'Diags Raw Data'!$M$6:$M$4766,"New")+SUMIFS('Diags Raw Data'!$U$6:$U$4766,'Diags Raw Data'!$D$6:$D$4766,$A25,'Diags Raw Data'!$M$6:$M$4766,"Delta")</f>
        <v>0</v>
      </c>
      <c r="J25" s="225">
        <f>SUMIFS('Diags Raw Data'!$V$6:$V$4766,'Diags Raw Data'!$D$6:$D$4766,$A25,'Diags Raw Data'!$M$6:$M$4766,"New")+SUMIFS('Diags Raw Data'!$V$6:$V$4766,'Diags Raw Data'!$D$6:$D$4766,$A25,'Diags Raw Data'!$M$6:$M$4766,"Delta")</f>
        <v>0</v>
      </c>
      <c r="K25" s="225">
        <f>SUMIFS('Diags Raw Data'!$W$6:$W$4766,'Diags Raw Data'!$D$6:$D$4766,$A25,'Diags Raw Data'!$M$6:$M$4766,"New")+SUMIFS('Diags Raw Data'!$W$6:$W$4766,'Diags Raw Data'!$D$6:$D$4766,$A25,'Diags Raw Data'!$M$6:$M$4766,"Delta")</f>
        <v>0</v>
      </c>
      <c r="L25" s="242" t="str">
        <f t="shared" si="17"/>
        <v>---</v>
      </c>
      <c r="M25" s="227" t="str">
        <f t="shared" ref="M25:M36" si="21">IF(NOT($G25=0), (H25+I25)/$G25, "---")</f>
        <v>---</v>
      </c>
      <c r="N25" s="236" t="str">
        <f>IF(NOT($C25=0), (H25+I25)/$C25, "---")</f>
        <v>---</v>
      </c>
      <c r="O25" s="212">
        <f>SUMIFS('Diags Raw Data'!$Z$6:$Z$4766,'Diags Raw Data'!$D$6:$D$4766,$A25,'Diags Raw Data'!$M$6:$M$4766,"New")+SUMIFS('Diags Raw Data'!$Z$6:$Z$4766,'Diags Raw Data'!$D$6:$D$4766,$A25,'Diags Raw Data'!$M$6:$M$4766,"Delta")</f>
        <v>0</v>
      </c>
      <c r="P25" s="202">
        <f>SUMIFS('Diags Raw Data'!$AA$6:$AA$4766,'Diags Raw Data'!$D$6:$D$4766,$A25,'Diags Raw Data'!$M$6:$M$4766,"New")+SUMIFS('Diags Raw Data'!$AA$6:$AA$4766,'Diags Raw Data'!$D$6:$D$4766,$A25,'Diags Raw Data'!$M$6:$M$4766,"Delta")</f>
        <v>0</v>
      </c>
      <c r="Q25" s="202">
        <f>SUMIFS('Diags Raw Data'!$AB$6:$AB$4766,'Diags Raw Data'!$D$6:$D$4766,$A25,'Diags Raw Data'!$M$6:$M$4766,"New")+SUMIFS('Diags Raw Data'!$AB$6:$AB$4766,'Diags Raw Data'!$D$6:$D$4766,$A25,'Diags Raw Data'!$M$6:$M$4766,"Delta")</f>
        <v>0</v>
      </c>
      <c r="R25" s="202">
        <f>SUMIFS('Diags Raw Data'!$AC$6:$AC$4766,'Diags Raw Data'!$D$6:$D$4766,$A25,'Diags Raw Data'!$M$6:$M$4766,"New")+SUMIFS('Diags Raw Data'!$AC$6:$AC$4766,'Diags Raw Data'!$D$6:$D$4766,$A25,'Diags Raw Data'!$M$6:$M$4766,"Delta")</f>
        <v>0</v>
      </c>
      <c r="S25" s="202">
        <f>SUMIFS('Diags Raw Data'!$AD$6:$AD$4766,'Diags Raw Data'!$D$6:$D$4766,$A25,'Diags Raw Data'!$M$6:$M$4766,"New")+SUMIFS('Diags Raw Data'!$AD$6:$AD$4766,'Diags Raw Data'!$D$6:$D$4766,$A25,'Diags Raw Data'!$M$6:$M$4766,"Delta")</f>
        <v>0</v>
      </c>
      <c r="T25" s="203" t="str">
        <f t="shared" si="19"/>
        <v>---</v>
      </c>
      <c r="U25" s="228" t="str">
        <f t="shared" si="20"/>
        <v>---</v>
      </c>
      <c r="V25" s="230" t="str">
        <f>IF(NOT($B25=0), (P25+Q25)/$B25, "---")</f>
        <v>---</v>
      </c>
    </row>
    <row r="26" spans="1:22" x14ac:dyDescent="0.25">
      <c r="A26" s="331" t="s">
        <v>602</v>
      </c>
      <c r="B26" s="251">
        <f>SUMIFS('Diags Raw Data'!$L$6:$L$4766,'Diags Raw Data'!$D$6:$D$4766,$A26,'Diags Raw Data'!$M$6:$M$4766,"New")+SUMIFS('Diags Raw Data'!$L$6:$L$4766,'Diags Raw Data'!$D$6:$D$4766,$A26,'Diags Raw Data'!$M$6:$M$4766,"Delta")</f>
        <v>0</v>
      </c>
      <c r="C26" s="241">
        <f>SUMIFS('Diags Raw Data'!$R$6:$R$4766,'Diags Raw Data'!$D$6:$D$4766,$A26,'Diags Raw Data'!$M$6:$M$4766,"New")+SUMIFS('Diags Raw Data'!$R$6:$R$4766,'Diags Raw Data'!$D$6:$D$4766,$A26,'Diags Raw Data'!$M$6:$M$4766,"Delta")</f>
        <v>0</v>
      </c>
      <c r="D26" s="241">
        <f>SUMIFS('Diags Raw Data'!$K$6:$K$4766,'Diags Raw Data'!$D$6:$D$4766,$A26,'Diags Raw Data'!$M$6:$M$4766,"New")+SUMIFS('Diags Raw Data'!$K$6:$K$4766,'Diags Raw Data'!$D$6:$D$4766,$A26,'Diags Raw Data'!$M$6:$M$4766,"Delta")</f>
        <v>0</v>
      </c>
      <c r="E26" s="241">
        <f>SUMIFS('Diags Raw Data'!$O$6:$O$4766,'Diags Raw Data'!$D$6:$D$4766,$A26,'Diags Raw Data'!$M$6:$M$4766,"New")+SUMIFS('Diags Raw Data'!$O$6:$O$4766,'Diags Raw Data'!$D$6:$D$4766,$A26,'Diags Raw Data'!$M$6:$M$4766,"Delta")</f>
        <v>0</v>
      </c>
      <c r="F26" s="247" t="str">
        <f>IF(NOT($B26=0), E26/$B26, "---")</f>
        <v>---</v>
      </c>
      <c r="G26" s="229">
        <f>SUMIFS('Diags Raw Data'!$S$6:$S$4766,'Diags Raw Data'!$D$6:$D$4766,$A26,'Diags Raw Data'!$M$6:$M$4766,"New")+SUMIFS('Diags Raw Data'!$S$6:$S$4766,'Diags Raw Data'!$D$6:$D$4766,$A26,'Diags Raw Data'!$M$6:$M$4766,"Delta")</f>
        <v>0</v>
      </c>
      <c r="H26" s="225">
        <f>SUMIFS('Diags Raw Data'!$T$6:$T$4766,'Diags Raw Data'!$D$6:$D$4766,$A26,'Diags Raw Data'!$M$6:$M$4766,"New")+SUMIFS('Diags Raw Data'!$T$6:$T$4766,'Diags Raw Data'!$D$6:$D$4766,$A26,'Diags Raw Data'!$M$6:$M$4766,"Delta")</f>
        <v>0</v>
      </c>
      <c r="I26" s="225">
        <f>SUMIFS('Diags Raw Data'!$U$6:$U$4766,'Diags Raw Data'!$D$6:$D$4766,$A26,'Diags Raw Data'!$M$6:$M$4766,"New")+SUMIFS('Diags Raw Data'!$U$6:$U$4766,'Diags Raw Data'!$D$6:$D$4766,$A26,'Diags Raw Data'!$M$6:$M$4766,"Delta")</f>
        <v>0</v>
      </c>
      <c r="J26" s="225">
        <f>SUMIFS('Diags Raw Data'!$V$6:$V$4766,'Diags Raw Data'!$D$6:$D$4766,$A26,'Diags Raw Data'!$M$6:$M$4766,"New")+SUMIFS('Diags Raw Data'!$V$6:$V$4766,'Diags Raw Data'!$D$6:$D$4766,$A26,'Diags Raw Data'!$M$6:$M$4766,"Delta")</f>
        <v>0</v>
      </c>
      <c r="K26" s="225">
        <f>SUMIFS('Diags Raw Data'!$W$6:$W$4766,'Diags Raw Data'!$D$6:$D$4766,$A26,'Diags Raw Data'!$M$6:$M$4766,"New")+SUMIFS('Diags Raw Data'!$W$6:$W$4766,'Diags Raw Data'!$D$6:$D$4766,$A26,'Diags Raw Data'!$M$6:$M$4766,"Delta")</f>
        <v>0</v>
      </c>
      <c r="L26" s="242" t="str">
        <f t="shared" si="17"/>
        <v>---</v>
      </c>
      <c r="M26" s="227" t="str">
        <f t="shared" si="21"/>
        <v>---</v>
      </c>
      <c r="N26" s="236" t="str">
        <f t="shared" si="18"/>
        <v>---</v>
      </c>
      <c r="O26" s="212">
        <f>SUMIFS('Diags Raw Data'!$Z$6:$Z$4766,'Diags Raw Data'!$D$6:$D$4766,$A26,'Diags Raw Data'!$M$6:$M$4766,"New")+SUMIFS('Diags Raw Data'!$Z$6:$Z$4766,'Diags Raw Data'!$D$6:$D$4766,$A26,'Diags Raw Data'!$M$6:$M$4766,"Delta")</f>
        <v>0</v>
      </c>
      <c r="P26" s="202">
        <f>SUMIFS('Diags Raw Data'!$AA$6:$AA$4766,'Diags Raw Data'!$D$6:$D$4766,$A26,'Diags Raw Data'!$M$6:$M$4766,"New")+SUMIFS('Diags Raw Data'!$AA$6:$AA$4766,'Diags Raw Data'!$D$6:$D$4766,$A26,'Diags Raw Data'!$M$6:$M$4766,"Delta")</f>
        <v>0</v>
      </c>
      <c r="Q26" s="202">
        <f>SUMIFS('Diags Raw Data'!$AB$6:$AB$4766,'Diags Raw Data'!$D$6:$D$4766,$A26,'Diags Raw Data'!$M$6:$M$4766,"New")+SUMIFS('Diags Raw Data'!$AB$6:$AB$4766,'Diags Raw Data'!$D$6:$D$4766,$A26,'Diags Raw Data'!$M$6:$M$4766,"Delta")</f>
        <v>0</v>
      </c>
      <c r="R26" s="202">
        <f>SUMIFS('Diags Raw Data'!$AC$6:$AC$4766,'Diags Raw Data'!$D$6:$D$4766,$A26,'Diags Raw Data'!$M$6:$M$4766,"New")+SUMIFS('Diags Raw Data'!$AC$6:$AC$4766,'Diags Raw Data'!$D$6:$D$4766,$A26,'Diags Raw Data'!$M$6:$M$4766,"Delta")</f>
        <v>0</v>
      </c>
      <c r="S26" s="202">
        <f>SUMIFS('Diags Raw Data'!$AD$6:$AD$4766,'Diags Raw Data'!$D$6:$D$4766,$A26,'Diags Raw Data'!$M$6:$M$4766,"New")+SUMIFS('Diags Raw Data'!$AD$6:$AD$4766,'Diags Raw Data'!$D$6:$D$4766,$A26,'Diags Raw Data'!$M$6:$M$4766,"Delta")</f>
        <v>0</v>
      </c>
      <c r="T26" s="203" t="str">
        <f t="shared" si="19"/>
        <v>---</v>
      </c>
      <c r="U26" s="228" t="str">
        <f t="shared" si="20"/>
        <v>---</v>
      </c>
      <c r="V26" s="230" t="str">
        <f t="shared" si="16"/>
        <v>---</v>
      </c>
    </row>
    <row r="27" spans="1:22" x14ac:dyDescent="0.25">
      <c r="A27" s="331" t="s">
        <v>620</v>
      </c>
      <c r="B27" s="251">
        <f>SUMIFS('Diags Raw Data'!$L$6:$L$4766,'Diags Raw Data'!$D$6:$D$4766,$A27,'Diags Raw Data'!$M$6:$M$4766,"New")+SUMIFS('Diags Raw Data'!$L$6:$L$4766,'Diags Raw Data'!$D$6:$D$4766,$A27,'Diags Raw Data'!$M$6:$M$4766,"Delta")</f>
        <v>0</v>
      </c>
      <c r="C27" s="241">
        <f>SUMIFS('Diags Raw Data'!$R$6:$R$4766,'Diags Raw Data'!$D$6:$D$4766,$A27,'Diags Raw Data'!$M$6:$M$4766,"New")+SUMIFS('Diags Raw Data'!$R$6:$R$4766,'Diags Raw Data'!$D$6:$D$4766,$A27,'Diags Raw Data'!$M$6:$M$4766,"Delta")</f>
        <v>0</v>
      </c>
      <c r="D27" s="241">
        <f>SUMIFS('Diags Raw Data'!$K$6:$K$4766,'Diags Raw Data'!$D$6:$D$4766,$A27,'Diags Raw Data'!$M$6:$M$4766,"New")+SUMIFS('Diags Raw Data'!$K$6:$K$4766,'Diags Raw Data'!$D$6:$D$4766,$A27,'Diags Raw Data'!$M$6:$M$4766,"Delta")</f>
        <v>0</v>
      </c>
      <c r="E27" s="241">
        <f>SUMIFS('Diags Raw Data'!$O$6:$O$4766,'Diags Raw Data'!$D$6:$D$4766,$A27,'Diags Raw Data'!$M$6:$M$4766,"New")+SUMIFS('Diags Raw Data'!$O$6:$O$4766,'Diags Raw Data'!$D$6:$D$4766,$A27,'Diags Raw Data'!$M$6:$M$4766,"Delta")</f>
        <v>0</v>
      </c>
      <c r="F27" s="247" t="str">
        <f t="shared" si="15"/>
        <v>---</v>
      </c>
      <c r="G27" s="229">
        <f>SUMIFS('Diags Raw Data'!$S$6:$S$4766,'Diags Raw Data'!$D$6:$D$4766,$A27,'Diags Raw Data'!$M$6:$M$4766,"New")+SUMIFS('Diags Raw Data'!$S$6:$S$4766,'Diags Raw Data'!$D$6:$D$4766,$A27,'Diags Raw Data'!$M$6:$M$4766,"Delta")</f>
        <v>0</v>
      </c>
      <c r="H27" s="225">
        <f>SUMIFS('Diags Raw Data'!$T$6:$T$4766,'Diags Raw Data'!$D$6:$D$4766,$A27,'Diags Raw Data'!$M$6:$M$4766,"New")+SUMIFS('Diags Raw Data'!$T$6:$T$4766,'Diags Raw Data'!$D$6:$D$4766,$A27,'Diags Raw Data'!$M$6:$M$4766,"Delta")</f>
        <v>0</v>
      </c>
      <c r="I27" s="225">
        <f>SUMIFS('Diags Raw Data'!$U$6:$U$4766,'Diags Raw Data'!$D$6:$D$4766,$A27,'Diags Raw Data'!$M$6:$M$4766,"New")+SUMIFS('Diags Raw Data'!$U$6:$U$4766,'Diags Raw Data'!$D$6:$D$4766,$A27,'Diags Raw Data'!$M$6:$M$4766,"Delta")</f>
        <v>0</v>
      </c>
      <c r="J27" s="225">
        <f>SUMIFS('Diags Raw Data'!$V$6:$V$4766,'Diags Raw Data'!$D$6:$D$4766,$A27,'Diags Raw Data'!$M$6:$M$4766,"New")+SUMIFS('Diags Raw Data'!$V$6:$V$4766,'Diags Raw Data'!$D$6:$D$4766,$A27,'Diags Raw Data'!$M$6:$M$4766,"Delta")</f>
        <v>0</v>
      </c>
      <c r="K27" s="225">
        <f>SUMIFS('Diags Raw Data'!$W$6:$W$4766,'Diags Raw Data'!$D$6:$D$4766,$A27,'Diags Raw Data'!$M$6:$M$4766,"New")+SUMIFS('Diags Raw Data'!$W$6:$W$4766,'Diags Raw Data'!$D$6:$D$4766,$A27,'Diags Raw Data'!$M$6:$M$4766,"Delta")</f>
        <v>0</v>
      </c>
      <c r="L27" s="242" t="str">
        <f t="shared" si="17"/>
        <v>---</v>
      </c>
      <c r="M27" s="227" t="str">
        <f t="shared" si="21"/>
        <v>---</v>
      </c>
      <c r="N27" s="236" t="str">
        <f t="shared" si="18"/>
        <v>---</v>
      </c>
      <c r="O27" s="212">
        <f>SUMIFS('Diags Raw Data'!$Z$6:$Z$4766,'Diags Raw Data'!$D$6:$D$4766,$A27,'Diags Raw Data'!$M$6:$M$4766,"New")+SUMIFS('Diags Raw Data'!$Z$6:$Z$4766,'Diags Raw Data'!$D$6:$D$4766,$A27,'Diags Raw Data'!$M$6:$M$4766,"Delta")</f>
        <v>0</v>
      </c>
      <c r="P27" s="202">
        <f>SUMIFS('Diags Raw Data'!$AA$6:$AA$4766,'Diags Raw Data'!$D$6:$D$4766,$A27,'Diags Raw Data'!$M$6:$M$4766,"New")+SUMIFS('Diags Raw Data'!$AA$6:$AA$4766,'Diags Raw Data'!$D$6:$D$4766,$A27,'Diags Raw Data'!$M$6:$M$4766,"Delta")</f>
        <v>0</v>
      </c>
      <c r="Q27" s="202">
        <f>SUMIFS('Diags Raw Data'!$AB$6:$AB$4766,'Diags Raw Data'!$D$6:$D$4766,$A27,'Diags Raw Data'!$M$6:$M$4766,"New")+SUMIFS('Diags Raw Data'!$AB$6:$AB$4766,'Diags Raw Data'!$D$6:$D$4766,$A27,'Diags Raw Data'!$M$6:$M$4766,"Delta")</f>
        <v>0</v>
      </c>
      <c r="R27" s="202">
        <f>SUMIFS('Diags Raw Data'!$AC$6:$AC$4766,'Diags Raw Data'!$D$6:$D$4766,$A27,'Diags Raw Data'!$M$6:$M$4766,"New")+SUMIFS('Diags Raw Data'!$AC$6:$AC$4766,'Diags Raw Data'!$D$6:$D$4766,$A27,'Diags Raw Data'!$M$6:$M$4766,"Delta")</f>
        <v>0</v>
      </c>
      <c r="S27" s="202">
        <f>SUMIFS('Diags Raw Data'!$AD$6:$AD$4766,'Diags Raw Data'!$D$6:$D$4766,$A27,'Diags Raw Data'!$M$6:$M$4766,"New")+SUMIFS('Diags Raw Data'!$AD$6:$AD$4766,'Diags Raw Data'!$D$6:$D$4766,$A27,'Diags Raw Data'!$M$6:$M$4766,"Delta")</f>
        <v>0</v>
      </c>
      <c r="T27" s="203" t="str">
        <f t="shared" si="19"/>
        <v>---</v>
      </c>
      <c r="U27" s="228" t="str">
        <f t="shared" si="20"/>
        <v>---</v>
      </c>
      <c r="V27" s="230" t="str">
        <f t="shared" si="16"/>
        <v>---</v>
      </c>
    </row>
    <row r="28" spans="1:22" x14ac:dyDescent="0.25">
      <c r="A28" s="331" t="s">
        <v>686</v>
      </c>
      <c r="B28" s="251">
        <f>SUMIFS('Diags Raw Data'!$L$6:$L$4766,'Diags Raw Data'!$D$6:$D$4766,$A28,'Diags Raw Data'!$M$6:$M$4766,"New")+SUMIFS('Diags Raw Data'!$L$6:$L$4766,'Diags Raw Data'!$D$6:$D$4766,$A28,'Diags Raw Data'!$M$6:$M$4766,"Delta")</f>
        <v>0</v>
      </c>
      <c r="C28" s="241">
        <f>SUMIFS('Diags Raw Data'!$R$6:$R$4766,'Diags Raw Data'!$D$6:$D$4766,$A28,'Diags Raw Data'!$M$6:$M$4766,"New")+SUMIFS('Diags Raw Data'!$R$6:$R$4766,'Diags Raw Data'!$D$6:$D$4766,$A28,'Diags Raw Data'!$M$6:$M$4766,"Delta")</f>
        <v>0</v>
      </c>
      <c r="D28" s="241">
        <f>SUMIFS('Diags Raw Data'!$K$6:$K$4766,'Diags Raw Data'!$D$6:$D$4766,$A28,'Diags Raw Data'!$M$6:$M$4766,"New")+SUMIFS('Diags Raw Data'!$K$6:$K$4766,'Diags Raw Data'!$D$6:$D$4766,$A28,'Diags Raw Data'!$M$6:$M$4766,"Delta")</f>
        <v>0</v>
      </c>
      <c r="E28" s="241">
        <f>SUMIFS('Diags Raw Data'!$O$6:$O$4766,'Diags Raw Data'!$D$6:$D$4766,$A28,'Diags Raw Data'!$M$6:$M$4766,"New")+SUMIFS('Diags Raw Data'!$O$6:$O$4766,'Diags Raw Data'!$D$6:$D$4766,$A28,'Diags Raw Data'!$M$6:$M$4766,"Delta")</f>
        <v>0</v>
      </c>
      <c r="F28" s="247" t="str">
        <f t="shared" si="15"/>
        <v>---</v>
      </c>
      <c r="G28" s="229">
        <f>SUMIFS('Diags Raw Data'!$S$6:$S$4766,'Diags Raw Data'!$D$6:$D$4766,$A28,'Diags Raw Data'!$M$6:$M$4766,"New")+SUMIFS('Diags Raw Data'!$S$6:$S$4766,'Diags Raw Data'!$D$6:$D$4766,$A28,'Diags Raw Data'!$M$6:$M$4766,"Delta")</f>
        <v>0</v>
      </c>
      <c r="H28" s="225">
        <f>SUMIFS('Diags Raw Data'!$T$6:$T$4766,'Diags Raw Data'!$D$6:$D$4766,$A28,'Diags Raw Data'!$M$6:$M$4766,"New")+SUMIFS('Diags Raw Data'!$T$6:$T$4766,'Diags Raw Data'!$D$6:$D$4766,$A28,'Diags Raw Data'!$M$6:$M$4766,"Delta")</f>
        <v>0</v>
      </c>
      <c r="I28" s="225">
        <f>SUMIFS('Diags Raw Data'!$U$6:$U$4766,'Diags Raw Data'!$D$6:$D$4766,$A28,'Diags Raw Data'!$M$6:$M$4766,"New")+SUMIFS('Diags Raw Data'!$U$6:$U$4766,'Diags Raw Data'!$D$6:$D$4766,$A28,'Diags Raw Data'!$M$6:$M$4766,"Delta")</f>
        <v>0</v>
      </c>
      <c r="J28" s="225">
        <f>SUMIFS('Diags Raw Data'!$V$6:$V$4766,'Diags Raw Data'!$D$6:$D$4766,$A28,'Diags Raw Data'!$M$6:$M$4766,"New")+SUMIFS('Diags Raw Data'!$V$6:$V$4766,'Diags Raw Data'!$D$6:$D$4766,$A28,'Diags Raw Data'!$M$6:$M$4766,"Delta")</f>
        <v>0</v>
      </c>
      <c r="K28" s="225">
        <f>SUMIFS('Diags Raw Data'!$W$6:$W$4766,'Diags Raw Data'!$D$6:$D$4766,$A28,'Diags Raw Data'!$M$6:$M$4766,"New")+SUMIFS('Diags Raw Data'!$W$6:$W$4766,'Diags Raw Data'!$D$6:$D$4766,$A28,'Diags Raw Data'!$M$6:$M$4766,"Delta")</f>
        <v>0</v>
      </c>
      <c r="L28" s="242" t="str">
        <f t="shared" si="17"/>
        <v>---</v>
      </c>
      <c r="M28" s="227" t="str">
        <f t="shared" si="21"/>
        <v>---</v>
      </c>
      <c r="N28" s="236" t="str">
        <f t="shared" si="18"/>
        <v>---</v>
      </c>
      <c r="O28" s="212">
        <f>SUMIFS('Diags Raw Data'!$Z$6:$Z$4766,'Diags Raw Data'!$D$6:$D$4766,$A28,'Diags Raw Data'!$M$6:$M$4766,"New")+SUMIFS('Diags Raw Data'!$Z$6:$Z$4766,'Diags Raw Data'!$D$6:$D$4766,$A28,'Diags Raw Data'!$M$6:$M$4766,"Delta")</f>
        <v>0</v>
      </c>
      <c r="P28" s="202">
        <f>SUMIFS('Diags Raw Data'!$AA$6:$AA$4766,'Diags Raw Data'!$D$6:$D$4766,$A28,'Diags Raw Data'!$M$6:$M$4766,"New")+SUMIFS('Diags Raw Data'!$AA$6:$AA$4766,'Diags Raw Data'!$D$6:$D$4766,$A28,'Diags Raw Data'!$M$6:$M$4766,"Delta")</f>
        <v>0</v>
      </c>
      <c r="Q28" s="202">
        <f>SUMIFS('Diags Raw Data'!$AB$6:$AB$4766,'Diags Raw Data'!$D$6:$D$4766,$A28,'Diags Raw Data'!$M$6:$M$4766,"New")+SUMIFS('Diags Raw Data'!$AB$6:$AB$4766,'Diags Raw Data'!$D$6:$D$4766,$A28,'Diags Raw Data'!$M$6:$M$4766,"Delta")</f>
        <v>0</v>
      </c>
      <c r="R28" s="202">
        <f>SUMIFS('Diags Raw Data'!$AC$6:$AC$4766,'Diags Raw Data'!$D$6:$D$4766,$A28,'Diags Raw Data'!$M$6:$M$4766,"New")+SUMIFS('Diags Raw Data'!$AC$6:$AC$4766,'Diags Raw Data'!$D$6:$D$4766,$A28,'Diags Raw Data'!$M$6:$M$4766,"Delta")</f>
        <v>0</v>
      </c>
      <c r="S28" s="202">
        <f>SUMIFS('Diags Raw Data'!$AD$6:$AD$4766,'Diags Raw Data'!$D$6:$D$4766,$A28,'Diags Raw Data'!$M$6:$M$4766,"New")+SUMIFS('Diags Raw Data'!$AD$6:$AD$4766,'Diags Raw Data'!$D$6:$D$4766,$A28,'Diags Raw Data'!$M$6:$M$4766,"Delta")</f>
        <v>0</v>
      </c>
      <c r="T28" s="203" t="str">
        <f t="shared" si="19"/>
        <v>---</v>
      </c>
      <c r="U28" s="228" t="str">
        <f t="shared" si="20"/>
        <v>---</v>
      </c>
      <c r="V28" s="230" t="str">
        <f t="shared" si="16"/>
        <v>---</v>
      </c>
    </row>
    <row r="29" spans="1:22" x14ac:dyDescent="0.25">
      <c r="A29" s="331" t="s">
        <v>963</v>
      </c>
      <c r="B29" s="251">
        <f>SUMIFS('Diags Raw Data'!$L$6:$L$4766,'Diags Raw Data'!$D$6:$D$4766,$A29,'Diags Raw Data'!$M$6:$M$4766,"New")+SUMIFS('Diags Raw Data'!$L$6:$L$4766,'Diags Raw Data'!$D$6:$D$4766,$A29,'Diags Raw Data'!$M$6:$M$4766,"Delta")</f>
        <v>0</v>
      </c>
      <c r="C29" s="241">
        <f>SUMIFS('Diags Raw Data'!$R$6:$R$4766,'Diags Raw Data'!$D$6:$D$4766,$A29,'Diags Raw Data'!$M$6:$M$4766,"New")+SUMIFS('Diags Raw Data'!$R$6:$R$4766,'Diags Raw Data'!$D$6:$D$4766,$A29,'Diags Raw Data'!$M$6:$M$4766,"Delta")</f>
        <v>0</v>
      </c>
      <c r="D29" s="241">
        <f>SUMIFS('Diags Raw Data'!$K$6:$K$4766,'Diags Raw Data'!$D$6:$D$4766,$A29,'Diags Raw Data'!$M$6:$M$4766,"New")+SUMIFS('Diags Raw Data'!$K$6:$K$4766,'Diags Raw Data'!$D$6:$D$4766,$A29,'Diags Raw Data'!$M$6:$M$4766,"Delta")</f>
        <v>0</v>
      </c>
      <c r="E29" s="241">
        <f>SUMIFS('Diags Raw Data'!$O$6:$O$4766,'Diags Raw Data'!$D$6:$D$4766,$A29,'Diags Raw Data'!$M$6:$M$4766,"New")+SUMIFS('Diags Raw Data'!$O$6:$O$4766,'Diags Raw Data'!$D$6:$D$4766,$A29,'Diags Raw Data'!$M$6:$M$4766,"Delta")</f>
        <v>0</v>
      </c>
      <c r="F29" s="247" t="str">
        <f t="shared" si="15"/>
        <v>---</v>
      </c>
      <c r="G29" s="229">
        <f>SUMIFS('Diags Raw Data'!$S$6:$S$4766,'Diags Raw Data'!$D$6:$D$4766,$A29,'Diags Raw Data'!$M$6:$M$4766,"New")+SUMIFS('Diags Raw Data'!$S$6:$S$4766,'Diags Raw Data'!$D$6:$D$4766,$A29,'Diags Raw Data'!$M$6:$M$4766,"Delta")</f>
        <v>0</v>
      </c>
      <c r="H29" s="225">
        <f>SUMIFS('Diags Raw Data'!$T$6:$T$4766,'Diags Raw Data'!$D$6:$D$4766,$A29,'Diags Raw Data'!$M$6:$M$4766,"New")+SUMIFS('Diags Raw Data'!$T$6:$T$4766,'Diags Raw Data'!$D$6:$D$4766,$A29,'Diags Raw Data'!$M$6:$M$4766,"Delta")</f>
        <v>0</v>
      </c>
      <c r="I29" s="225">
        <f>SUMIFS('Diags Raw Data'!$U$6:$U$4766,'Diags Raw Data'!$D$6:$D$4766,$A29,'Diags Raw Data'!$M$6:$M$4766,"New")+SUMIFS('Diags Raw Data'!$U$6:$U$4766,'Diags Raw Data'!$D$6:$D$4766,$A29,'Diags Raw Data'!$M$6:$M$4766,"Delta")</f>
        <v>0</v>
      </c>
      <c r="J29" s="225">
        <f>SUMIFS('Diags Raw Data'!$V$6:$V$4766,'Diags Raw Data'!$D$6:$D$4766,$A29,'Diags Raw Data'!$M$6:$M$4766,"New")+SUMIFS('Diags Raw Data'!$V$6:$V$4766,'Diags Raw Data'!$D$6:$D$4766,$A29,'Diags Raw Data'!$M$6:$M$4766,"Delta")</f>
        <v>0</v>
      </c>
      <c r="K29" s="225">
        <f>SUMIFS('Diags Raw Data'!$W$6:$W$4766,'Diags Raw Data'!$D$6:$D$4766,$A29,'Diags Raw Data'!$M$6:$M$4766,"New")+SUMIFS('Diags Raw Data'!$W$6:$W$4766,'Diags Raw Data'!$D$6:$D$4766,$A29,'Diags Raw Data'!$M$6:$M$4766,"Delta")</f>
        <v>0</v>
      </c>
      <c r="L29" s="242" t="str">
        <f t="shared" si="17"/>
        <v>---</v>
      </c>
      <c r="M29" s="227" t="str">
        <f>IF(NOT($G29=0), (H29+I29)/$G29, "---")</f>
        <v>---</v>
      </c>
      <c r="N29" s="236" t="str">
        <f t="shared" si="18"/>
        <v>---</v>
      </c>
      <c r="O29" s="212">
        <f>SUMIFS('Diags Raw Data'!$Z$6:$Z$4766,'Diags Raw Data'!$D$6:$D$4766,$A29,'Diags Raw Data'!$M$6:$M$4766,"New")+SUMIFS('Diags Raw Data'!$Z$6:$Z$4766,'Diags Raw Data'!$D$6:$D$4766,$A29,'Diags Raw Data'!$M$6:$M$4766,"Delta")</f>
        <v>0</v>
      </c>
      <c r="P29" s="202">
        <f>SUMIFS('Diags Raw Data'!$AA$6:$AA$4766,'Diags Raw Data'!$D$6:$D$4766,$A29,'Diags Raw Data'!$M$6:$M$4766,"New")+SUMIFS('Diags Raw Data'!$AA$6:$AA$4766,'Diags Raw Data'!$D$6:$D$4766,$A29,'Diags Raw Data'!$M$6:$M$4766,"Delta")</f>
        <v>0</v>
      </c>
      <c r="Q29" s="202">
        <f>SUMIFS('Diags Raw Data'!$AB$6:$AB$4766,'Diags Raw Data'!$D$6:$D$4766,$A29,'Diags Raw Data'!$M$6:$M$4766,"New")+SUMIFS('Diags Raw Data'!$AB$6:$AB$4766,'Diags Raw Data'!$D$6:$D$4766,$A29,'Diags Raw Data'!$M$6:$M$4766,"Delta")</f>
        <v>0</v>
      </c>
      <c r="R29" s="202">
        <f>SUMIFS('Diags Raw Data'!$AC$6:$AC$4766,'Diags Raw Data'!$D$6:$D$4766,$A29,'Diags Raw Data'!$M$6:$M$4766,"New")+SUMIFS('Diags Raw Data'!$AC$6:$AC$4766,'Diags Raw Data'!$D$6:$D$4766,$A29,'Diags Raw Data'!$M$6:$M$4766,"Delta")</f>
        <v>0</v>
      </c>
      <c r="S29" s="202">
        <f>SUMIFS('Diags Raw Data'!$AD$6:$AD$4766,'Diags Raw Data'!$D$6:$D$4766,$A29,'Diags Raw Data'!$M$6:$M$4766,"New")+SUMIFS('Diags Raw Data'!$AD$6:$AD$4766,'Diags Raw Data'!$D$6:$D$4766,$A29,'Diags Raw Data'!$M$6:$M$4766,"Delta")</f>
        <v>0</v>
      </c>
      <c r="T29" s="203" t="str">
        <f t="shared" si="19"/>
        <v>---</v>
      </c>
      <c r="U29" s="228" t="str">
        <f t="shared" si="20"/>
        <v>---</v>
      </c>
      <c r="V29" s="230" t="str">
        <f t="shared" si="16"/>
        <v>---</v>
      </c>
    </row>
    <row r="30" spans="1:22" x14ac:dyDescent="0.25">
      <c r="A30" s="331" t="s">
        <v>318</v>
      </c>
      <c r="B30" s="251">
        <f>SUMIFS('Diags Raw Data'!$L$6:$L$4766,'Diags Raw Data'!$D$6:$D$4766,$A30,'Diags Raw Data'!$M$6:$M$4766,"New")+SUMIFS('Diags Raw Data'!$L$6:$L$4766,'Diags Raw Data'!$D$6:$D$4766,$A30,'Diags Raw Data'!$M$6:$M$4766,"Delta")</f>
        <v>0</v>
      </c>
      <c r="C30" s="241">
        <f>SUMIFS('Diags Raw Data'!$R$6:$R$4766,'Diags Raw Data'!$D$6:$D$4766,$A30,'Diags Raw Data'!$M$6:$M$4766,"New")+SUMIFS('Diags Raw Data'!$R$6:$R$4766,'Diags Raw Data'!$D$6:$D$4766,$A30,'Diags Raw Data'!$M$6:$M$4766,"Delta")</f>
        <v>0</v>
      </c>
      <c r="D30" s="241">
        <f>SUMIFS('Diags Raw Data'!$K$6:$K$4766,'Diags Raw Data'!$D$6:$D$4766,$A30,'Diags Raw Data'!$M$6:$M$4766,"New")+SUMIFS('Diags Raw Data'!$K$6:$K$4766,'Diags Raw Data'!$D$6:$D$4766,$A30,'Diags Raw Data'!$M$6:$M$4766,"Delta")</f>
        <v>0</v>
      </c>
      <c r="E30" s="241">
        <f>SUMIFS('Diags Raw Data'!$O$6:$O$4766,'Diags Raw Data'!$D$6:$D$4766,$A30,'Diags Raw Data'!$M$6:$M$4766,"New")+SUMIFS('Diags Raw Data'!$O$6:$O$4766,'Diags Raw Data'!$D$6:$D$4766,$A30,'Diags Raw Data'!$M$6:$M$4766,"Delta")</f>
        <v>0</v>
      </c>
      <c r="F30" s="247" t="str">
        <f t="shared" si="15"/>
        <v>---</v>
      </c>
      <c r="G30" s="229">
        <f>SUMIFS('Diags Raw Data'!$S$6:$S$4766,'Diags Raw Data'!$D$6:$D$4766,$A30,'Diags Raw Data'!$M$6:$M$4766,"New")+SUMIFS('Diags Raw Data'!$S$6:$S$4766,'Diags Raw Data'!$D$6:$D$4766,$A30,'Diags Raw Data'!$M$6:$M$4766,"Delta")</f>
        <v>0</v>
      </c>
      <c r="H30" s="225">
        <f>SUMIFS('Diags Raw Data'!$T$6:$T$4766,'Diags Raw Data'!$D$6:$D$4766,$A30,'Diags Raw Data'!$M$6:$M$4766,"New")+SUMIFS('Diags Raw Data'!$T$6:$T$4766,'Diags Raw Data'!$D$6:$D$4766,$A30,'Diags Raw Data'!$M$6:$M$4766,"Delta")</f>
        <v>0</v>
      </c>
      <c r="I30" s="225">
        <f>SUMIFS('Diags Raw Data'!$U$6:$U$4766,'Diags Raw Data'!$D$6:$D$4766,$A30,'Diags Raw Data'!$M$6:$M$4766,"New")+SUMIFS('Diags Raw Data'!$U$6:$U$4766,'Diags Raw Data'!$D$6:$D$4766,$A30,'Diags Raw Data'!$M$6:$M$4766,"Delta")</f>
        <v>0</v>
      </c>
      <c r="J30" s="225">
        <f>SUMIFS('Diags Raw Data'!$V$6:$V$4766,'Diags Raw Data'!$D$6:$D$4766,$A30,'Diags Raw Data'!$M$6:$M$4766,"New")+SUMIFS('Diags Raw Data'!$V$6:$V$4766,'Diags Raw Data'!$D$6:$D$4766,$A30,'Diags Raw Data'!$M$6:$M$4766,"Delta")</f>
        <v>0</v>
      </c>
      <c r="K30" s="225">
        <f>SUMIFS('Diags Raw Data'!$W$6:$W$4766,'Diags Raw Data'!$D$6:$D$4766,$A30,'Diags Raw Data'!$M$6:$M$4766,"New")+SUMIFS('Diags Raw Data'!$W$6:$W$4766,'Diags Raw Data'!$D$6:$D$4766,$A30,'Diags Raw Data'!$M$6:$M$4766,"Delta")</f>
        <v>0</v>
      </c>
      <c r="L30" s="242" t="str">
        <f t="shared" si="17"/>
        <v>---</v>
      </c>
      <c r="M30" s="227" t="str">
        <f t="shared" si="21"/>
        <v>---</v>
      </c>
      <c r="N30" s="236" t="str">
        <f t="shared" si="18"/>
        <v>---</v>
      </c>
      <c r="O30" s="212">
        <f>SUMIFS('Diags Raw Data'!$Z$6:$Z$4766,'Diags Raw Data'!$D$6:$D$4766,$A30,'Diags Raw Data'!$M$6:$M$4766,"New")+SUMIFS('Diags Raw Data'!$Z$6:$Z$4766,'Diags Raw Data'!$D$6:$D$4766,$A30,'Diags Raw Data'!$M$6:$M$4766,"Delta")</f>
        <v>0</v>
      </c>
      <c r="P30" s="202">
        <f>SUMIFS('Diags Raw Data'!$AA$6:$AA$4766,'Diags Raw Data'!$D$6:$D$4766,$A30,'Diags Raw Data'!$M$6:$M$4766,"New")+SUMIFS('Diags Raw Data'!$AA$6:$AA$4766,'Diags Raw Data'!$D$6:$D$4766,$A30,'Diags Raw Data'!$M$6:$M$4766,"Delta")</f>
        <v>0</v>
      </c>
      <c r="Q30" s="202">
        <f>SUMIFS('Diags Raw Data'!$AB$6:$AB$4766,'Diags Raw Data'!$D$6:$D$4766,$A30,'Diags Raw Data'!$M$6:$M$4766,"New")+SUMIFS('Diags Raw Data'!$AB$6:$AB$4766,'Diags Raw Data'!$D$6:$D$4766,$A30,'Diags Raw Data'!$M$6:$M$4766,"Delta")</f>
        <v>0</v>
      </c>
      <c r="R30" s="202">
        <f>SUMIFS('Diags Raw Data'!$AC$6:$AC$4766,'Diags Raw Data'!$D$6:$D$4766,$A30,'Diags Raw Data'!$M$6:$M$4766,"New")+SUMIFS('Diags Raw Data'!$AC$6:$AC$4766,'Diags Raw Data'!$D$6:$D$4766,$A30,'Diags Raw Data'!$M$6:$M$4766,"Delta")</f>
        <v>0</v>
      </c>
      <c r="S30" s="202">
        <f>SUMIFS('Diags Raw Data'!$AD$6:$AD$4766,'Diags Raw Data'!$D$6:$D$4766,$A30,'Diags Raw Data'!$M$6:$M$4766,"New")+SUMIFS('Diags Raw Data'!$AD$6:$AD$4766,'Diags Raw Data'!$D$6:$D$4766,$A30,'Diags Raw Data'!$M$6:$M$4766,"Delta")</f>
        <v>0</v>
      </c>
      <c r="T30" s="203" t="str">
        <f t="shared" si="19"/>
        <v>---</v>
      </c>
      <c r="U30" s="228" t="str">
        <f t="shared" si="20"/>
        <v>---</v>
      </c>
      <c r="V30" s="230" t="str">
        <f t="shared" si="16"/>
        <v>---</v>
      </c>
    </row>
    <row r="31" spans="1:22" ht="15.75" thickBot="1" x14ac:dyDescent="0.3">
      <c r="A31" s="332" t="s">
        <v>707</v>
      </c>
      <c r="B31" s="252">
        <f>SUMIFS('Diags Raw Data'!$L$6:$L$4766,'Diags Raw Data'!$D$6:$D$4766,$A31,'Diags Raw Data'!$M$6:$M$4766,"New")+SUMIFS('Diags Raw Data'!$L$6:$L$4766,'Diags Raw Data'!$D$6:$D$4766,$A31,'Diags Raw Data'!$M$6:$M$4766,"Delta")</f>
        <v>0</v>
      </c>
      <c r="C31" s="243">
        <f>SUMIFS('Diags Raw Data'!$R$6:$R$4766,'Diags Raw Data'!$D$6:$D$4766,$A31,'Diags Raw Data'!$M$6:$M$4766,"New")+SUMIFS('Diags Raw Data'!$R$6:$R$4766,'Diags Raw Data'!$D$6:$D$4766,$A31,'Diags Raw Data'!$M$6:$M$4766,"Delta")</f>
        <v>0</v>
      </c>
      <c r="D31" s="243">
        <f>SUMIFS('Diags Raw Data'!$K$6:$K$4766,'Diags Raw Data'!$D$6:$D$4766,$A31,'Diags Raw Data'!$M$6:$M$4766,"New")+SUMIFS('Diags Raw Data'!$K$6:$K$4766,'Diags Raw Data'!$D$6:$D$4766,$A31,'Diags Raw Data'!$M$6:$M$4766,"Delta")</f>
        <v>0</v>
      </c>
      <c r="E31" s="243">
        <f>SUMIFS('Diags Raw Data'!$O$6:$O$4766,'Diags Raw Data'!$D$6:$D$4766,$A31,'Diags Raw Data'!$M$6:$M$4766,"New")+SUMIFS('Diags Raw Data'!$O$6:$O$4766,'Diags Raw Data'!$D$6:$D$4766,$A31,'Diags Raw Data'!$M$6:$M$4766,"Delta")</f>
        <v>0</v>
      </c>
      <c r="F31" s="248" t="str">
        <f t="shared" si="15"/>
        <v>---</v>
      </c>
      <c r="G31" s="231">
        <f>SUMIFS('Diags Raw Data'!$S$6:$S$4766,'Diags Raw Data'!$D$6:$D$4766,$A31,'Diags Raw Data'!$M$6:$M$4766,"New")+SUMIFS('Diags Raw Data'!$S$6:$S$4766,'Diags Raw Data'!$D$6:$D$4766,$A31,'Diags Raw Data'!$M$6:$M$4766,"Delta")</f>
        <v>0</v>
      </c>
      <c r="H31" s="232">
        <f>SUMIFS('Diags Raw Data'!$T$6:$T$4766,'Diags Raw Data'!$D$6:$D$4766,$A31,'Diags Raw Data'!$M$6:$M$4766,"New")+SUMIFS('Diags Raw Data'!$T$6:$T$4766,'Diags Raw Data'!$D$6:$D$4766,$A31,'Diags Raw Data'!$M$6:$M$4766,"Delta")</f>
        <v>0</v>
      </c>
      <c r="I31" s="232">
        <f>SUMIFS('Diags Raw Data'!$U$6:$U$4766,'Diags Raw Data'!$D$6:$D$4766,$A31,'Diags Raw Data'!$M$6:$M$4766,"New")+SUMIFS('Diags Raw Data'!$U$6:$U$4766,'Diags Raw Data'!$D$6:$D$4766,$A31,'Diags Raw Data'!$M$6:$M$4766,"Delta")</f>
        <v>0</v>
      </c>
      <c r="J31" s="232">
        <f>SUMIFS('Diags Raw Data'!$V$6:$V$4766,'Diags Raw Data'!$D$6:$D$4766,$A31,'Diags Raw Data'!$M$6:$M$4766,"New")+SUMIFS('Diags Raw Data'!$V$6:$V$4766,'Diags Raw Data'!$D$6:$D$4766,$A31,'Diags Raw Data'!$M$6:$M$4766,"Delta")</f>
        <v>0</v>
      </c>
      <c r="K31" s="232">
        <f>SUMIFS('Diags Raw Data'!$W$6:$W$4766,'Diags Raw Data'!$D$6:$D$4766,$A31,'Diags Raw Data'!$M$6:$M$4766,"New")+SUMIFS('Diags Raw Data'!$W$6:$W$4766,'Diags Raw Data'!$D$6:$D$4766,$A31,'Diags Raw Data'!$M$6:$M$4766,"Delta")</f>
        <v>0</v>
      </c>
      <c r="L31" s="244" t="str">
        <f t="shared" si="17"/>
        <v>---</v>
      </c>
      <c r="M31" s="234" t="str">
        <f t="shared" si="21"/>
        <v>---</v>
      </c>
      <c r="N31" s="237" t="str">
        <f t="shared" si="18"/>
        <v>---</v>
      </c>
      <c r="O31" s="213">
        <f>SUMIFS('Diags Raw Data'!$Z$6:$Z$4766,'Diags Raw Data'!$D$6:$D$4766,$A31,'Diags Raw Data'!$M$6:$M$4766,"New")+SUMIFS('Diags Raw Data'!$Z$6:$Z$4766,'Diags Raw Data'!$D$6:$D$4766,$A31,'Diags Raw Data'!$M$6:$M$4766,"Delta")</f>
        <v>0</v>
      </c>
      <c r="P31" s="205">
        <f>SUMIFS('Diags Raw Data'!$AA$6:$AA$4766,'Diags Raw Data'!$D$6:$D$4766,$A31,'Diags Raw Data'!$M$6:$M$4766,"New")+SUMIFS('Diags Raw Data'!$AA$6:$AA$4766,'Diags Raw Data'!$D$6:$D$4766,$A31,'Diags Raw Data'!$M$6:$M$4766,"Delta")</f>
        <v>0</v>
      </c>
      <c r="Q31" s="205">
        <f>SUMIFS('Diags Raw Data'!$AB$6:$AB$4766,'Diags Raw Data'!$D$6:$D$4766,$A31,'Diags Raw Data'!$M$6:$M$4766,"New")+SUMIFS('Diags Raw Data'!$AB$6:$AB$4766,'Diags Raw Data'!$D$6:$D$4766,$A31,'Diags Raw Data'!$M$6:$M$4766,"Delta")</f>
        <v>0</v>
      </c>
      <c r="R31" s="205">
        <f>SUMIFS('Diags Raw Data'!$AC$6:$AC$4766,'Diags Raw Data'!$D$6:$D$4766,$A31,'Diags Raw Data'!$M$6:$M$4766,"New")+SUMIFS('Diags Raw Data'!$AC$6:$AC$4766,'Diags Raw Data'!$D$6:$D$4766,$A31,'Diags Raw Data'!$M$6:$M$4766,"Delta")</f>
        <v>0</v>
      </c>
      <c r="S31" s="205">
        <f>SUMIFS('Diags Raw Data'!$AD$6:$AD$4766,'Diags Raw Data'!$D$6:$D$4766,$A31,'Diags Raw Data'!$M$6:$M$4766,"New")+SUMIFS('Diags Raw Data'!$AD$6:$AD$4766,'Diags Raw Data'!$D$6:$D$4766,$A31,'Diags Raw Data'!$M$6:$M$4766,"Delta")</f>
        <v>0</v>
      </c>
      <c r="T31" s="206" t="str">
        <f t="shared" si="19"/>
        <v>---</v>
      </c>
      <c r="U31" s="238" t="str">
        <f t="shared" si="20"/>
        <v>---</v>
      </c>
      <c r="V31" s="235" t="str">
        <f t="shared" si="16"/>
        <v>---</v>
      </c>
    </row>
    <row r="32" spans="1:22" ht="15.75" thickBot="1" x14ac:dyDescent="0.3">
      <c r="A32" s="331" t="s">
        <v>879</v>
      </c>
      <c r="B32" s="252">
        <f>SUMIFS('Diags Raw Data'!$L$6:$L$4766,'Diags Raw Data'!$D$6:$D$4766,$A32,'Diags Raw Data'!$M$6:$M$4766,"New")+SUMIFS('Diags Raw Data'!$L$6:$L$4766,'Diags Raw Data'!$D$6:$D$4766,$A32,'Diags Raw Data'!$M$6:$M$4766,"Delta")</f>
        <v>0</v>
      </c>
      <c r="C32" s="243">
        <f>SUMIFS('Diags Raw Data'!$R$6:$R$4766,'Diags Raw Data'!$D$6:$D$4766,$A32,'Diags Raw Data'!$M$6:$M$4766,"New")+SUMIFS('Diags Raw Data'!$R$6:$R$4766,'Diags Raw Data'!$D$6:$D$4766,$A32,'Diags Raw Data'!$M$6:$M$4766,"Delta")</f>
        <v>0</v>
      </c>
      <c r="D32" s="243">
        <f>SUMIFS('Diags Raw Data'!$K$6:$K$4766,'Diags Raw Data'!$D$6:$D$4766,$A32,'Diags Raw Data'!$M$6:$M$4766,"New")+SUMIFS('Diags Raw Data'!$K$6:$K$4766,'Diags Raw Data'!$D$6:$D$4766,$A32,'Diags Raw Data'!$M$6:$M$4766,"Delta")</f>
        <v>0</v>
      </c>
      <c r="E32" s="243">
        <f>SUMIFS('Diags Raw Data'!$O$6:$O$4766,'Diags Raw Data'!$D$6:$D$4766,$A32,'Diags Raw Data'!$M$6:$M$4766,"New")+SUMIFS('Diags Raw Data'!$O$6:$O$4766,'Diags Raw Data'!$D$6:$D$4766,$A32,'Diags Raw Data'!$M$6:$M$4766,"Delta")</f>
        <v>0</v>
      </c>
      <c r="F32" s="248" t="str">
        <f t="shared" ref="F32:F34" si="22">IF(NOT($B32=0), E32/$B32, "---")</f>
        <v>---</v>
      </c>
      <c r="G32" s="231">
        <f>SUMIFS('Diags Raw Data'!$S$6:$S$4766,'Diags Raw Data'!$D$6:$D$4766,$A32,'Diags Raw Data'!$M$6:$M$4766,"New")+SUMIFS('Diags Raw Data'!$S$6:$S$4766,'Diags Raw Data'!$D$6:$D$4766,$A32,'Diags Raw Data'!$M$6:$M$4766,"Delta")</f>
        <v>0</v>
      </c>
      <c r="H32" s="232">
        <f>SUMIFS('Diags Raw Data'!$T$6:$T$4766,'Diags Raw Data'!$D$6:$D$4766,$A32,'Diags Raw Data'!$M$6:$M$4766,"New")+SUMIFS('Diags Raw Data'!$T$6:$T$4766,'Diags Raw Data'!$D$6:$D$4766,$A32,'Diags Raw Data'!$M$6:$M$4766,"Delta")</f>
        <v>0</v>
      </c>
      <c r="I32" s="232">
        <f>SUMIFS('Diags Raw Data'!$U$6:$U$4766,'Diags Raw Data'!$D$6:$D$4766,$A32,'Diags Raw Data'!$M$6:$M$4766,"New")+SUMIFS('Diags Raw Data'!$U$6:$U$4766,'Diags Raw Data'!$D$6:$D$4766,$A32,'Diags Raw Data'!$M$6:$M$4766,"Delta")</f>
        <v>0</v>
      </c>
      <c r="J32" s="232">
        <f>SUMIFS('Diags Raw Data'!$V$6:$V$4766,'Diags Raw Data'!$D$6:$D$4766,$A32,'Diags Raw Data'!$M$6:$M$4766,"New")+SUMIFS('Diags Raw Data'!$V$6:$V$4766,'Diags Raw Data'!$D$6:$D$4766,$A32,'Diags Raw Data'!$M$6:$M$4766,"Delta")</f>
        <v>0</v>
      </c>
      <c r="K32" s="232">
        <f>SUMIFS('Diags Raw Data'!$W$6:$W$4766,'Diags Raw Data'!$D$6:$D$4766,$A32,'Diags Raw Data'!$M$6:$M$4766,"New")+SUMIFS('Diags Raw Data'!$W$6:$W$4766,'Diags Raw Data'!$D$6:$D$4766,$A32,'Diags Raw Data'!$M$6:$M$4766,"Delta")</f>
        <v>0</v>
      </c>
      <c r="L32" s="244" t="str">
        <f t="shared" ref="L32:L34" si="23">IF(NOT($C32=0), G32/$C32, "---")</f>
        <v>---</v>
      </c>
      <c r="M32" s="234" t="str">
        <f t="shared" ref="M32:M34" si="24">IF(NOT($G32=0), (H32+I32)/$G32, "---")</f>
        <v>---</v>
      </c>
      <c r="N32" s="237" t="str">
        <f t="shared" ref="N32:N34" si="25">IF(NOT($C32=0), (H32+I32)/$C32, "---")</f>
        <v>---</v>
      </c>
      <c r="O32" s="213">
        <f>SUMIFS('Diags Raw Data'!$Z$6:$Z$4766,'Diags Raw Data'!$D$6:$D$4766,$A32,'Diags Raw Data'!$M$6:$M$4766,"New")+SUMIFS('Diags Raw Data'!$Z$6:$Z$4766,'Diags Raw Data'!$D$6:$D$4766,$A32,'Diags Raw Data'!$M$6:$M$4766,"Delta")</f>
        <v>0</v>
      </c>
      <c r="P32" s="205">
        <f>SUMIFS('Diags Raw Data'!$AA$6:$AA$4766,'Diags Raw Data'!$D$6:$D$4766,$A32,'Diags Raw Data'!$M$6:$M$4766,"New")+SUMIFS('Diags Raw Data'!$AA$6:$AA$4766,'Diags Raw Data'!$D$6:$D$4766,$A32,'Diags Raw Data'!$M$6:$M$4766,"Delta")</f>
        <v>0</v>
      </c>
      <c r="Q32" s="205">
        <f>SUMIFS('Diags Raw Data'!$AB$6:$AB$4766,'Diags Raw Data'!$D$6:$D$4766,$A32,'Diags Raw Data'!$M$6:$M$4766,"New")+SUMIFS('Diags Raw Data'!$AB$6:$AB$4766,'Diags Raw Data'!$D$6:$D$4766,$A32,'Diags Raw Data'!$M$6:$M$4766,"Delta")</f>
        <v>0</v>
      </c>
      <c r="R32" s="205">
        <f>SUMIFS('Diags Raw Data'!$AC$6:$AC$4766,'Diags Raw Data'!$D$6:$D$4766,$A32,'Diags Raw Data'!$M$6:$M$4766,"New")+SUMIFS('Diags Raw Data'!$AC$6:$AC$4766,'Diags Raw Data'!$D$6:$D$4766,$A32,'Diags Raw Data'!$M$6:$M$4766,"Delta")</f>
        <v>0</v>
      </c>
      <c r="S32" s="205">
        <f>SUMIFS('Diags Raw Data'!$AD$6:$AD$4766,'Diags Raw Data'!$D$6:$D$4766,$A32,'Diags Raw Data'!$M$6:$M$4766,"New")+SUMIFS('Diags Raw Data'!$AD$6:$AD$4766,'Diags Raw Data'!$D$6:$D$4766,$A32,'Diags Raw Data'!$M$6:$M$4766,"Delta")</f>
        <v>0</v>
      </c>
      <c r="T32" s="206" t="str">
        <f t="shared" ref="T32:T34" si="26">IF(NOT($B32=0), O32/$B32, "---")</f>
        <v>---</v>
      </c>
      <c r="U32" s="238" t="str">
        <f t="shared" ref="U32:U34" si="27">IF(NOT($O32=0), (P32+Q32)/$O32, "---")</f>
        <v>---</v>
      </c>
      <c r="V32" s="235" t="str">
        <f t="shared" ref="V32:V34" si="28">IF(NOT($B32=0), (P32+Q32)/$B32, "---")</f>
        <v>---</v>
      </c>
    </row>
    <row r="33" spans="1:22" ht="15.75" thickBot="1" x14ac:dyDescent="0.3">
      <c r="A33" s="332" t="s">
        <v>865</v>
      </c>
      <c r="B33" s="252">
        <f>SUMIFS('Diags Raw Data'!$L$6:$L$4766,'Diags Raw Data'!$D$6:$D$4766,$A33,'Diags Raw Data'!$M$6:$M$4766,"New")+SUMIFS('Diags Raw Data'!$L$6:$L$4766,'Diags Raw Data'!$D$6:$D$4766,$A33,'Diags Raw Data'!$M$6:$M$4766,"Delta")</f>
        <v>0</v>
      </c>
      <c r="C33" s="243">
        <f>SUMIFS('Diags Raw Data'!$R$6:$R$4766,'Diags Raw Data'!$D$6:$D$4766,$A33,'Diags Raw Data'!$M$6:$M$4766,"New")+SUMIFS('Diags Raw Data'!$R$6:$R$4766,'Diags Raw Data'!$D$6:$D$4766,$A33,'Diags Raw Data'!$M$6:$M$4766,"Delta")</f>
        <v>0</v>
      </c>
      <c r="D33" s="243">
        <f>SUMIFS('Diags Raw Data'!$K$6:$K$4766,'Diags Raw Data'!$D$6:$D$4766,$A33,'Diags Raw Data'!$M$6:$M$4766,"New")+SUMIFS('Diags Raw Data'!$K$6:$K$4766,'Diags Raw Data'!$D$6:$D$4766,$A33,'Diags Raw Data'!$M$6:$M$4766,"Delta")</f>
        <v>0</v>
      </c>
      <c r="E33" s="243">
        <f>SUMIFS('Diags Raw Data'!$O$6:$O$4766,'Diags Raw Data'!$D$6:$D$4766,$A33,'Diags Raw Data'!$M$6:$M$4766,"New")+SUMIFS('Diags Raw Data'!$O$6:$O$4766,'Diags Raw Data'!$D$6:$D$4766,$A33,'Diags Raw Data'!$M$6:$M$4766,"Delta")</f>
        <v>0</v>
      </c>
      <c r="F33" s="248" t="str">
        <f t="shared" si="22"/>
        <v>---</v>
      </c>
      <c r="G33" s="231">
        <f>SUMIFS('Diags Raw Data'!$S$6:$S$4766,'Diags Raw Data'!$D$6:$D$4766,$A33,'Diags Raw Data'!$M$6:$M$4766,"New")+SUMIFS('Diags Raw Data'!$S$6:$S$4766,'Diags Raw Data'!$D$6:$D$4766,$A33,'Diags Raw Data'!$M$6:$M$4766,"Delta")</f>
        <v>0</v>
      </c>
      <c r="H33" s="232">
        <f>SUMIFS('Diags Raw Data'!$T$6:$T$4766,'Diags Raw Data'!$D$6:$D$4766,$A33,'Diags Raw Data'!$M$6:$M$4766,"New")+SUMIFS('Diags Raw Data'!$T$6:$T$4766,'Diags Raw Data'!$D$6:$D$4766,$A33,'Diags Raw Data'!$M$6:$M$4766,"Delta")</f>
        <v>0</v>
      </c>
      <c r="I33" s="232">
        <f>SUMIFS('Diags Raw Data'!$U$6:$U$4766,'Diags Raw Data'!$D$6:$D$4766,$A33,'Diags Raw Data'!$M$6:$M$4766,"New")+SUMIFS('Diags Raw Data'!$U$6:$U$4766,'Diags Raw Data'!$D$6:$D$4766,$A33,'Diags Raw Data'!$M$6:$M$4766,"Delta")</f>
        <v>0</v>
      </c>
      <c r="J33" s="232">
        <f>SUMIFS('Diags Raw Data'!$V$6:$V$4766,'Diags Raw Data'!$D$6:$D$4766,$A33,'Diags Raw Data'!$M$6:$M$4766,"New")+SUMIFS('Diags Raw Data'!$V$6:$V$4766,'Diags Raw Data'!$D$6:$D$4766,$A33,'Diags Raw Data'!$M$6:$M$4766,"Delta")</f>
        <v>0</v>
      </c>
      <c r="K33" s="232">
        <f>SUMIFS('Diags Raw Data'!$W$6:$W$4766,'Diags Raw Data'!$D$6:$D$4766,$A33,'Diags Raw Data'!$M$6:$M$4766,"New")+SUMIFS('Diags Raw Data'!$W$6:$W$4766,'Diags Raw Data'!$D$6:$D$4766,$A33,'Diags Raw Data'!$M$6:$M$4766,"Delta")</f>
        <v>0</v>
      </c>
      <c r="L33" s="244" t="str">
        <f t="shared" si="23"/>
        <v>---</v>
      </c>
      <c r="M33" s="234" t="str">
        <f t="shared" si="24"/>
        <v>---</v>
      </c>
      <c r="N33" s="237" t="str">
        <f t="shared" si="25"/>
        <v>---</v>
      </c>
      <c r="O33" s="213">
        <f>SUMIFS('Diags Raw Data'!$Z$6:$Z$4766,'Diags Raw Data'!$D$6:$D$4766,$A33,'Diags Raw Data'!$M$6:$M$4766,"New")+SUMIFS('Diags Raw Data'!$Z$6:$Z$4766,'Diags Raw Data'!$D$6:$D$4766,$A33,'Diags Raw Data'!$M$6:$M$4766,"Delta")</f>
        <v>0</v>
      </c>
      <c r="P33" s="205">
        <f>SUMIFS('Diags Raw Data'!$AA$6:$AA$4766,'Diags Raw Data'!$D$6:$D$4766,$A33,'Diags Raw Data'!$M$6:$M$4766,"New")+SUMIFS('Diags Raw Data'!$AA$6:$AA$4766,'Diags Raw Data'!$D$6:$D$4766,$A33,'Diags Raw Data'!$M$6:$M$4766,"Delta")</f>
        <v>0</v>
      </c>
      <c r="Q33" s="205">
        <f>SUMIFS('Diags Raw Data'!$AB$6:$AB$4766,'Diags Raw Data'!$D$6:$D$4766,$A33,'Diags Raw Data'!$M$6:$M$4766,"New")+SUMIFS('Diags Raw Data'!$AB$6:$AB$4766,'Diags Raw Data'!$D$6:$D$4766,$A33,'Diags Raw Data'!$M$6:$M$4766,"Delta")</f>
        <v>0</v>
      </c>
      <c r="R33" s="205">
        <f>SUMIFS('Diags Raw Data'!$AC$6:$AC$4766,'Diags Raw Data'!$D$6:$D$4766,$A33,'Diags Raw Data'!$M$6:$M$4766,"New")+SUMIFS('Diags Raw Data'!$AC$6:$AC$4766,'Diags Raw Data'!$D$6:$D$4766,$A33,'Diags Raw Data'!$M$6:$M$4766,"Delta")</f>
        <v>0</v>
      </c>
      <c r="S33" s="205">
        <f>SUMIFS('Diags Raw Data'!$AD$6:$AD$4766,'Diags Raw Data'!$D$6:$D$4766,$A33,'Diags Raw Data'!$M$6:$M$4766,"New")+SUMIFS('Diags Raw Data'!$AD$6:$AD$4766,'Diags Raw Data'!$D$6:$D$4766,$A33,'Diags Raw Data'!$M$6:$M$4766,"Delta")</f>
        <v>0</v>
      </c>
      <c r="T33" s="206" t="str">
        <f t="shared" si="26"/>
        <v>---</v>
      </c>
      <c r="U33" s="238" t="str">
        <f t="shared" si="27"/>
        <v>---</v>
      </c>
      <c r="V33" s="235" t="str">
        <f t="shared" si="28"/>
        <v>---</v>
      </c>
    </row>
    <row r="34" spans="1:22" ht="15.75" thickBot="1" x14ac:dyDescent="0.3">
      <c r="A34" s="332" t="s">
        <v>899</v>
      </c>
      <c r="B34" s="252">
        <f>SUMIFS('Diags Raw Data'!$L$6:$L$4766,'Diags Raw Data'!$D$6:$D$4766,$A34,'Diags Raw Data'!$M$6:$M$4766,"New")+SUMIFS('Diags Raw Data'!$L$6:$L$4766,'Diags Raw Data'!$D$6:$D$4766,$A34,'Diags Raw Data'!$M$6:$M$4766,"Delta")</f>
        <v>0</v>
      </c>
      <c r="C34" s="243">
        <f>SUMIFS('Diags Raw Data'!$R$6:$R$4766,'Diags Raw Data'!$D$6:$D$4766,$A34,'Diags Raw Data'!$M$6:$M$4766,"New")+SUMIFS('Diags Raw Data'!$R$6:$R$4766,'Diags Raw Data'!$D$6:$D$4766,$A34,'Diags Raw Data'!$M$6:$M$4766,"Delta")</f>
        <v>0</v>
      </c>
      <c r="D34" s="243">
        <f>SUMIFS('Diags Raw Data'!$K$6:$K$4766,'Diags Raw Data'!$D$6:$D$4766,$A34,'Diags Raw Data'!$M$6:$M$4766,"New")+SUMIFS('Diags Raw Data'!$K$6:$K$4766,'Diags Raw Data'!$D$6:$D$4766,$A34,'Diags Raw Data'!$M$6:$M$4766,"Delta")</f>
        <v>0</v>
      </c>
      <c r="E34" s="243">
        <f>SUMIFS('Diags Raw Data'!$O$6:$O$4766,'Diags Raw Data'!$D$6:$D$4766,$A34,'Diags Raw Data'!$M$6:$M$4766,"New")+SUMIFS('Diags Raw Data'!$O$6:$O$4766,'Diags Raw Data'!$D$6:$D$4766,$A34,'Diags Raw Data'!$M$6:$M$4766,"Delta")</f>
        <v>0</v>
      </c>
      <c r="F34" s="248" t="str">
        <f t="shared" si="22"/>
        <v>---</v>
      </c>
      <c r="G34" s="231">
        <f>SUMIFS('Diags Raw Data'!$S$6:$S$4766,'Diags Raw Data'!$D$6:$D$4766,$A34,'Diags Raw Data'!$M$6:$M$4766,"New")+SUMIFS('Diags Raw Data'!$S$6:$S$4766,'Diags Raw Data'!$D$6:$D$4766,$A34,'Diags Raw Data'!$M$6:$M$4766,"Delta")</f>
        <v>0</v>
      </c>
      <c r="H34" s="232">
        <f>SUMIFS('Diags Raw Data'!$T$6:$T$4766,'Diags Raw Data'!$D$6:$D$4766,$A34,'Diags Raw Data'!$M$6:$M$4766,"New")+SUMIFS('Diags Raw Data'!$T$6:$T$4766,'Diags Raw Data'!$D$6:$D$4766,$A34,'Diags Raw Data'!$M$6:$M$4766,"Delta")</f>
        <v>0</v>
      </c>
      <c r="I34" s="232">
        <f>SUMIFS('Diags Raw Data'!$U$6:$U$4766,'Diags Raw Data'!$D$6:$D$4766,$A34,'Diags Raw Data'!$M$6:$M$4766,"New")+SUMIFS('Diags Raw Data'!$U$6:$U$4766,'Diags Raw Data'!$D$6:$D$4766,$A34,'Diags Raw Data'!$M$6:$M$4766,"Delta")</f>
        <v>0</v>
      </c>
      <c r="J34" s="232">
        <f>SUMIFS('Diags Raw Data'!$V$6:$V$4766,'Diags Raw Data'!$D$6:$D$4766,$A34,'Diags Raw Data'!$M$6:$M$4766,"New")+SUMIFS('Diags Raw Data'!$V$6:$V$4766,'Diags Raw Data'!$D$6:$D$4766,$A34,'Diags Raw Data'!$M$6:$M$4766,"Delta")</f>
        <v>0</v>
      </c>
      <c r="K34" s="232">
        <f>SUMIFS('Diags Raw Data'!$W$6:$W$4766,'Diags Raw Data'!$D$6:$D$4766,$A34,'Diags Raw Data'!$M$6:$M$4766,"New")+SUMIFS('Diags Raw Data'!$W$6:$W$4766,'Diags Raw Data'!$D$6:$D$4766,$A34,'Diags Raw Data'!$M$6:$M$4766,"Delta")</f>
        <v>0</v>
      </c>
      <c r="L34" s="244" t="str">
        <f t="shared" si="23"/>
        <v>---</v>
      </c>
      <c r="M34" s="234" t="str">
        <f t="shared" si="24"/>
        <v>---</v>
      </c>
      <c r="N34" s="237" t="str">
        <f t="shared" si="25"/>
        <v>---</v>
      </c>
      <c r="O34" s="213">
        <f>SUMIFS('Diags Raw Data'!$Z$6:$Z$4766,'Diags Raw Data'!$D$6:$D$4766,$A34,'Diags Raw Data'!$M$6:$M$4766,"New")+SUMIFS('Diags Raw Data'!$Z$6:$Z$4766,'Diags Raw Data'!$D$6:$D$4766,$A34,'Diags Raw Data'!$M$6:$M$4766,"Delta")</f>
        <v>0</v>
      </c>
      <c r="P34" s="205">
        <f>SUMIFS('Diags Raw Data'!$AA$6:$AA$4766,'Diags Raw Data'!$D$6:$D$4766,$A34,'Diags Raw Data'!$M$6:$M$4766,"New")+SUMIFS('Diags Raw Data'!$AA$6:$AA$4766,'Diags Raw Data'!$D$6:$D$4766,$A34,'Diags Raw Data'!$M$6:$M$4766,"Delta")</f>
        <v>0</v>
      </c>
      <c r="Q34" s="205">
        <f>SUMIFS('Diags Raw Data'!$AB$6:$AB$4766,'Diags Raw Data'!$D$6:$D$4766,$A34,'Diags Raw Data'!$M$6:$M$4766,"New")+SUMIFS('Diags Raw Data'!$AB$6:$AB$4766,'Diags Raw Data'!$D$6:$D$4766,$A34,'Diags Raw Data'!$M$6:$M$4766,"Delta")</f>
        <v>0</v>
      </c>
      <c r="R34" s="205">
        <f>SUMIFS('Diags Raw Data'!$AC$6:$AC$4766,'Diags Raw Data'!$D$6:$D$4766,$A34,'Diags Raw Data'!$M$6:$M$4766,"New")+SUMIFS('Diags Raw Data'!$AC$6:$AC$4766,'Diags Raw Data'!$D$6:$D$4766,$A34,'Diags Raw Data'!$M$6:$M$4766,"Delta")</f>
        <v>0</v>
      </c>
      <c r="S34" s="205">
        <f>SUMIFS('Diags Raw Data'!$AD$6:$AD$4766,'Diags Raw Data'!$D$6:$D$4766,$A34,'Diags Raw Data'!$M$6:$M$4766,"New")+SUMIFS('Diags Raw Data'!$AD$6:$AD$4766,'Diags Raw Data'!$D$6:$D$4766,$A34,'Diags Raw Data'!$M$6:$M$4766,"Delta")</f>
        <v>0</v>
      </c>
      <c r="T34" s="206" t="str">
        <f t="shared" si="26"/>
        <v>---</v>
      </c>
      <c r="U34" s="238" t="str">
        <f t="shared" si="27"/>
        <v>---</v>
      </c>
      <c r="V34" s="235" t="str">
        <f t="shared" si="28"/>
        <v>---</v>
      </c>
    </row>
    <row r="35" spans="1:22" ht="15.75" thickBot="1" x14ac:dyDescent="0.3">
      <c r="A35" s="332" t="s">
        <v>964</v>
      </c>
      <c r="B35" s="252">
        <f>SUMIFS('Diags Raw Data'!$L$6:$L$4766,'Diags Raw Data'!$D$6:$D$4766,$A35,'Diags Raw Data'!$M$6:$M$4766,"New")+SUMIFS('Diags Raw Data'!$L$6:$L$4766,'Diags Raw Data'!$D$6:$D$4766,$A35,'Diags Raw Data'!$M$6:$M$4766,"Delta")</f>
        <v>0</v>
      </c>
      <c r="C35" s="243">
        <f>SUMIFS('Diags Raw Data'!$R$6:$R$4766,'Diags Raw Data'!$D$6:$D$4766,$A35,'Diags Raw Data'!$M$6:$M$4766,"New")+SUMIFS('Diags Raw Data'!$R$6:$R$4766,'Diags Raw Data'!$D$6:$D$4766,$A35,'Diags Raw Data'!$M$6:$M$4766,"Delta")</f>
        <v>0</v>
      </c>
      <c r="D35" s="243">
        <f>SUMIFS('Diags Raw Data'!$K$6:$K$4766,'Diags Raw Data'!$D$6:$D$4766,$A35,'Diags Raw Data'!$M$6:$M$4766,"New")+SUMIFS('Diags Raw Data'!$K$6:$K$4766,'Diags Raw Data'!$D$6:$D$4766,$A35,'Diags Raw Data'!$M$6:$M$4766,"Delta")</f>
        <v>0</v>
      </c>
      <c r="E35" s="243">
        <f>SUMIFS('Diags Raw Data'!$O$6:$O$4766,'Diags Raw Data'!$D$6:$D$4766,$A35,'Diags Raw Data'!$M$6:$M$4766,"New")+SUMIFS('Diags Raw Data'!$O$6:$O$4766,'Diags Raw Data'!$D$6:$D$4766,$A35,'Diags Raw Data'!$M$6:$M$4766,"Delta")</f>
        <v>0</v>
      </c>
      <c r="F35" s="248" t="str">
        <f t="shared" ref="F35" si="29">IF(NOT($B35=0), E35/$B35, "---")</f>
        <v>---</v>
      </c>
      <c r="G35" s="231">
        <f>SUMIFS('Diags Raw Data'!$S$6:$S$4766,'Diags Raw Data'!$D$6:$D$4766,$A35,'Diags Raw Data'!$M$6:$M$4766,"New")+SUMIFS('Diags Raw Data'!$S$6:$S$4766,'Diags Raw Data'!$D$6:$D$4766,$A35,'Diags Raw Data'!$M$6:$M$4766,"Delta")</f>
        <v>0</v>
      </c>
      <c r="H35" s="232">
        <f>SUMIFS('Diags Raw Data'!$T$6:$T$4766,'Diags Raw Data'!$D$6:$D$4766,$A35,'Diags Raw Data'!$M$6:$M$4766,"New")+SUMIFS('Diags Raw Data'!$T$6:$T$4766,'Diags Raw Data'!$D$6:$D$4766,$A35,'Diags Raw Data'!$M$6:$M$4766,"Delta")</f>
        <v>0</v>
      </c>
      <c r="I35" s="232">
        <f>SUMIFS('Diags Raw Data'!$U$6:$U$4766,'Diags Raw Data'!$D$6:$D$4766,$A35,'Diags Raw Data'!$M$6:$M$4766,"New")+SUMIFS('Diags Raw Data'!$U$6:$U$4766,'Diags Raw Data'!$D$6:$D$4766,$A35,'Diags Raw Data'!$M$6:$M$4766,"Delta")</f>
        <v>0</v>
      </c>
      <c r="J35" s="232">
        <f>SUMIFS('Diags Raw Data'!$V$6:$V$4766,'Diags Raw Data'!$D$6:$D$4766,$A35,'Diags Raw Data'!$M$6:$M$4766,"New")+SUMIFS('Diags Raw Data'!$V$6:$V$4766,'Diags Raw Data'!$D$6:$D$4766,$A35,'Diags Raw Data'!$M$6:$M$4766,"Delta")</f>
        <v>0</v>
      </c>
      <c r="K35" s="232">
        <f>SUMIFS('Diags Raw Data'!$W$6:$W$4766,'Diags Raw Data'!$D$6:$D$4766,$A35,'Diags Raw Data'!$M$6:$M$4766,"New")+SUMIFS('Diags Raw Data'!$W$6:$W$4766,'Diags Raw Data'!$D$6:$D$4766,$A35,'Diags Raw Data'!$M$6:$M$4766,"Delta")</f>
        <v>0</v>
      </c>
      <c r="L35" s="244" t="str">
        <f t="shared" ref="L35" si="30">IF(NOT($C35=0), G35/$C35, "---")</f>
        <v>---</v>
      </c>
      <c r="M35" s="234" t="str">
        <f t="shared" ref="M35" si="31">IF(NOT($G35=0), (H35+I35)/$G35, "---")</f>
        <v>---</v>
      </c>
      <c r="N35" s="237" t="str">
        <f t="shared" ref="N35" si="32">IF(NOT($C35=0), (H35+I35)/$C35, "---")</f>
        <v>---</v>
      </c>
      <c r="O35" s="213">
        <f>SUMIFS('Diags Raw Data'!$Z$6:$Z$4766,'Diags Raw Data'!$D$6:$D$4766,$A35,'Diags Raw Data'!$M$6:$M$4766,"New")+SUMIFS('Diags Raw Data'!$Z$6:$Z$4766,'Diags Raw Data'!$D$6:$D$4766,$A35,'Diags Raw Data'!$M$6:$M$4766,"Delta")</f>
        <v>0</v>
      </c>
      <c r="P35" s="205">
        <f>SUMIFS('Diags Raw Data'!$AA$6:$AA$4766,'Diags Raw Data'!$D$6:$D$4766,$A35,'Diags Raw Data'!$M$6:$M$4766,"New")+SUMIFS('Diags Raw Data'!$AA$6:$AA$4766,'Diags Raw Data'!$D$6:$D$4766,$A35,'Diags Raw Data'!$M$6:$M$4766,"Delta")</f>
        <v>0</v>
      </c>
      <c r="Q35" s="205">
        <f>SUMIFS('Diags Raw Data'!$AB$6:$AB$4766,'Diags Raw Data'!$D$6:$D$4766,$A35,'Diags Raw Data'!$M$6:$M$4766,"New")+SUMIFS('Diags Raw Data'!$AB$6:$AB$4766,'Diags Raw Data'!$D$6:$D$4766,$A35,'Diags Raw Data'!$M$6:$M$4766,"Delta")</f>
        <v>0</v>
      </c>
      <c r="R35" s="205">
        <f>SUMIFS('Diags Raw Data'!$AC$6:$AC$4766,'Diags Raw Data'!$D$6:$D$4766,$A35,'Diags Raw Data'!$M$6:$M$4766,"New")+SUMIFS('Diags Raw Data'!$AC$6:$AC$4766,'Diags Raw Data'!$D$6:$D$4766,$A35,'Diags Raw Data'!$M$6:$M$4766,"Delta")</f>
        <v>0</v>
      </c>
      <c r="S35" s="205">
        <f>SUMIFS('Diags Raw Data'!$AD$6:$AD$4766,'Diags Raw Data'!$D$6:$D$4766,$A35,'Diags Raw Data'!$M$6:$M$4766,"New")+SUMIFS('Diags Raw Data'!$AD$6:$AD$4766,'Diags Raw Data'!$D$6:$D$4766,$A35,'Diags Raw Data'!$M$6:$M$4766,"Delta")</f>
        <v>0</v>
      </c>
      <c r="T35" s="206" t="str">
        <f t="shared" ref="T35" si="33">IF(NOT($B35=0), O35/$B35, "---")</f>
        <v>---</v>
      </c>
      <c r="U35" s="238" t="str">
        <f t="shared" ref="U35" si="34">IF(NOT($O35=0), (P35+Q35)/$O35, "---")</f>
        <v>---</v>
      </c>
      <c r="V35" s="235" t="str">
        <f t="shared" ref="V35" si="35">IF(NOT($B35=0), (P35+Q35)/$B35, "---")</f>
        <v>---</v>
      </c>
    </row>
    <row r="36" spans="1:22" ht="16.5" thickBot="1" x14ac:dyDescent="0.3">
      <c r="A36" s="254" t="s">
        <v>967</v>
      </c>
      <c r="B36" s="255">
        <f>SUM(B22:B31)</f>
        <v>0</v>
      </c>
      <c r="C36" s="256">
        <f>SUM(C22:C31)</f>
        <v>0</v>
      </c>
      <c r="D36" s="256">
        <f>SUM(D22:D31)</f>
        <v>0</v>
      </c>
      <c r="E36" s="256">
        <f>SUM(E22:E31)</f>
        <v>0</v>
      </c>
      <c r="F36" s="257" t="e" cm="1">
        <f t="array" ref="F36">SUMPRODUCT(--(ISNUMBER(SEARCH("New",'Diags Raw Data'!$M$6:$M$4766))),'Diags Raw Data'!$K$6:$K$4766,'Diags Raw Data'!$P$6:$P$4766)/D36+SUMPRODUCT(--(ISNUMBER(SEARCH("Delta",'Diags Raw Data'!$M$6:$M$4766))),'Diags Raw Data'!$K$6:$K$4766,'Diags Raw Data'!$P$6:$P$4766)/D36</f>
        <v>#DIV/0!</v>
      </c>
      <c r="G36" s="258">
        <f>SUM(G22:G31)</f>
        <v>0</v>
      </c>
      <c r="H36" s="259">
        <f>SUM(H22:H31)</f>
        <v>0</v>
      </c>
      <c r="I36" s="260">
        <f>SUM(I22:I31)</f>
        <v>0</v>
      </c>
      <c r="J36" s="259">
        <f>SUM(J22:J31)</f>
        <v>0</v>
      </c>
      <c r="K36" s="260">
        <f>SUM(K22:K31)</f>
        <v>0</v>
      </c>
      <c r="L36" s="261" t="str">
        <f>IF(NOT($C36=0), G36/$C36, "---")</f>
        <v>---</v>
      </c>
      <c r="M36" s="262" t="str">
        <f t="shared" si="21"/>
        <v>---</v>
      </c>
      <c r="N36" s="263" t="str">
        <f>IF(NOT($C36=0), (H36+I36)/$C36, "---")</f>
        <v>---</v>
      </c>
      <c r="O36" s="264">
        <f>SUM(O22:O31)</f>
        <v>0</v>
      </c>
      <c r="P36" s="265">
        <f>SUM(P22:P31)</f>
        <v>0</v>
      </c>
      <c r="Q36" s="266">
        <f>SUM(Q22:Q31)</f>
        <v>0</v>
      </c>
      <c r="R36" s="265">
        <f>SUM(R22:R31)</f>
        <v>0</v>
      </c>
      <c r="S36" s="266">
        <f>SUM(S22:S31)</f>
        <v>0</v>
      </c>
      <c r="T36" s="267" t="str">
        <f>IF(NOT($B36=0), O36/$B36, "---")</f>
        <v>---</v>
      </c>
      <c r="U36" s="268" t="str">
        <f t="shared" si="20"/>
        <v>---</v>
      </c>
      <c r="V36" s="269" t="str">
        <f t="shared" si="16"/>
        <v>---</v>
      </c>
    </row>
    <row r="37" spans="1:22" ht="15.75" thickBot="1" x14ac:dyDescent="0.3">
      <c r="A37" s="245"/>
      <c r="B37" s="245"/>
      <c r="C37" s="245"/>
      <c r="D37" s="245"/>
      <c r="E37" s="245"/>
      <c r="F37" s="245"/>
      <c r="G37" s="245"/>
      <c r="H37" s="245"/>
      <c r="I37" s="245"/>
      <c r="J37" s="245"/>
      <c r="K37" s="245"/>
      <c r="L37" s="245"/>
      <c r="M37" s="245"/>
      <c r="N37" s="245"/>
      <c r="O37" s="245"/>
      <c r="P37" s="245"/>
      <c r="Q37" s="245"/>
      <c r="R37" s="245"/>
      <c r="S37" s="245"/>
      <c r="T37" s="245"/>
      <c r="U37" s="245"/>
      <c r="V37" s="245"/>
    </row>
    <row r="38" spans="1:22" ht="15.75" thickBot="1" x14ac:dyDescent="0.3">
      <c r="A38" s="215" t="s">
        <v>33</v>
      </c>
      <c r="B38" s="608" t="s">
        <v>166</v>
      </c>
      <c r="C38" s="608"/>
      <c r="D38" s="608"/>
      <c r="E38" s="608"/>
      <c r="F38" s="608"/>
      <c r="G38" s="609" t="s">
        <v>177</v>
      </c>
      <c r="H38" s="610"/>
      <c r="I38" s="610"/>
      <c r="J38" s="610"/>
      <c r="K38" s="610"/>
      <c r="L38" s="610"/>
      <c r="M38" s="610"/>
      <c r="N38" s="611"/>
      <c r="O38" s="612" t="s">
        <v>144</v>
      </c>
      <c r="P38" s="613"/>
      <c r="Q38" s="613"/>
      <c r="R38" s="613"/>
      <c r="S38" s="613"/>
      <c r="T38" s="613"/>
      <c r="U38" s="613"/>
      <c r="V38" s="614"/>
    </row>
    <row r="39" spans="1:22" s="249" customFormat="1" ht="15.75" thickBot="1" x14ac:dyDescent="0.3">
      <c r="A39" s="253" t="s">
        <v>88</v>
      </c>
      <c r="B39" s="310" t="s">
        <v>167</v>
      </c>
      <c r="C39" s="311" t="s">
        <v>128</v>
      </c>
      <c r="D39" s="312" t="s">
        <v>105</v>
      </c>
      <c r="E39" s="312" t="s">
        <v>173</v>
      </c>
      <c r="F39" s="313" t="s">
        <v>175</v>
      </c>
      <c r="G39" s="314" t="s">
        <v>132</v>
      </c>
      <c r="H39" s="315" t="s">
        <v>30</v>
      </c>
      <c r="I39" s="315" t="s">
        <v>135</v>
      </c>
      <c r="J39" s="315" t="s">
        <v>36</v>
      </c>
      <c r="K39" s="315" t="s">
        <v>138</v>
      </c>
      <c r="L39" s="315" t="s">
        <v>184</v>
      </c>
      <c r="M39" s="315" t="s">
        <v>140</v>
      </c>
      <c r="N39" s="316" t="s">
        <v>187</v>
      </c>
      <c r="O39" s="317" t="s">
        <v>132</v>
      </c>
      <c r="P39" s="318" t="s">
        <v>30</v>
      </c>
      <c r="Q39" s="318" t="s">
        <v>135</v>
      </c>
      <c r="R39" s="318" t="s">
        <v>36</v>
      </c>
      <c r="S39" s="318" t="s">
        <v>138</v>
      </c>
      <c r="T39" s="318" t="s">
        <v>184</v>
      </c>
      <c r="U39" s="318" t="s">
        <v>140</v>
      </c>
      <c r="V39" s="319" t="s">
        <v>187</v>
      </c>
    </row>
    <row r="40" spans="1:22" x14ac:dyDescent="0.25">
      <c r="A40" s="331" t="s">
        <v>423</v>
      </c>
      <c r="B40" s="250">
        <f>SUMIFS('Diags Raw Data'!$L$6:$L$4766,'Diags Raw Data'!$D$6:$D$4766,$A40,'Diags Raw Data'!$M$6:$M$4766,"Legacy")</f>
        <v>0</v>
      </c>
      <c r="C40" s="240">
        <f>SUMIFS('Diags Raw Data'!$R$6:$R$4766,'Diags Raw Data'!$D$6:$D$4766,$A40,'Diags Raw Data'!$M$6:$M$4766,"Legacy")</f>
        <v>0</v>
      </c>
      <c r="D40" s="240">
        <f>SUMIFS('Diags Raw Data'!$K$6:$K$4766,'Diags Raw Data'!$D$6:$D$4766,$A40,'Diags Raw Data'!$M$6:$M$4766,"Legacy")</f>
        <v>0</v>
      </c>
      <c r="E40" s="240">
        <f>SUMIFS('Diags Raw Data'!$O$6:$O$4766,'Diags Raw Data'!$D$6:$D$4766,$A40,'Diags Raw Data'!$M$6:$M$4766,"Legacy")</f>
        <v>0</v>
      </c>
      <c r="F40" s="246" t="str">
        <f>IF(NOT($B40=0), E40/$B40, "---")</f>
        <v>---</v>
      </c>
      <c r="G40" s="218">
        <f>SUMIFS('Diags Raw Data'!$S$6:$S$4766,'Diags Raw Data'!$D$6:$D$4766,$A40,'Diags Raw Data'!$M$6:$M$4766,"Legacy")</f>
        <v>0</v>
      </c>
      <c r="H40" s="219">
        <f>SUMIFS('Diags Raw Data'!$T$6:$T$4766,'Diags Raw Data'!$D$6:$D$4766,$A40,'Diags Raw Data'!$M$6:$M$4766,"Legacy")</f>
        <v>0</v>
      </c>
      <c r="I40" s="221">
        <f>SUMIFS('Diags Raw Data'!$U$6:$U$4766,'Diags Raw Data'!$D$6:$D$4766,$A40,'Diags Raw Data'!$M$6:$M$4766,"Legacy")</f>
        <v>0</v>
      </c>
      <c r="J40" s="219">
        <f>SUMIFS('Diags Raw Data'!$V$6:$V$4766,'Diags Raw Data'!$D$6:$D$4766,$A40,'Diags Raw Data'!$M$6:$M$4766,"Legacy")</f>
        <v>0</v>
      </c>
      <c r="K40" s="221">
        <f>SUMIFS('Diags Raw Data'!$W$6:$W$4766,'Diags Raw Data'!$D$6:$D$4766,$A40,'Diags Raw Data'!$M$6:$M$4766,"Legacy")</f>
        <v>0</v>
      </c>
      <c r="L40" s="220" t="str">
        <f>IF(NOT($C40=0), G40/$C40, "---")</f>
        <v>---</v>
      </c>
      <c r="M40" s="222" t="str">
        <f>IF(NOT($G40=0), (H40+I40)/$G40, "---")</f>
        <v>---</v>
      </c>
      <c r="N40" s="224" t="str">
        <f>IF(NOT($C40=0), (H40+I40)/$C40, "---")</f>
        <v>---</v>
      </c>
      <c r="O40" s="211">
        <f>SUMIFS('Diags Raw Data'!$Z$6:$Z$4766,'Diags Raw Data'!$D$6:$D$4766,$A40,'Diags Raw Data'!$M$6:$M$4766,"Legacy")</f>
        <v>0</v>
      </c>
      <c r="P40" s="208">
        <f>SUMIFS('Diags Raw Data'!$AA$6:$AA$4766,'Diags Raw Data'!$D$6:$D$4766,$A40,'Diags Raw Data'!$M$6:$M$4766,"Legacy")</f>
        <v>0</v>
      </c>
      <c r="Q40" s="210">
        <f>SUMIFS('Diags Raw Data'!$AB$6:$AB$4766,'Diags Raw Data'!$D$6:$D$4766,$A40,'Diags Raw Data'!$M$6:$M$4766,"Legacy")</f>
        <v>0</v>
      </c>
      <c r="R40" s="208">
        <f>SUMIFS('Diags Raw Data'!$AC$6:$AC$4766,'Diags Raw Data'!$D$6:$D$4766,$A40,'Diags Raw Data'!$M$6:$M$4766,"Legacy")</f>
        <v>0</v>
      </c>
      <c r="S40" s="210">
        <f>SUMIFS('Diags Raw Data'!$AD$6:$AD$4766,'Diags Raw Data'!$D$6:$D$4766,$A40,'Diags Raw Data'!$M$6:$M$4766,"Legacy")</f>
        <v>0</v>
      </c>
      <c r="T40" s="209" t="str">
        <f>IF(NOT($B40=0), O40/$B40, "---")</f>
        <v>---</v>
      </c>
      <c r="U40" s="223" t="str">
        <f>IF(NOT($O40=0), (P40+Q40)/$O40, "---")</f>
        <v>---</v>
      </c>
      <c r="V40" s="239" t="str">
        <f>IF(NOT($B40=0), (P40+Q40)/$B40, "---")</f>
        <v>---</v>
      </c>
    </row>
    <row r="41" spans="1:22" x14ac:dyDescent="0.25">
      <c r="A41" s="331" t="s">
        <v>445</v>
      </c>
      <c r="B41" s="251">
        <f>SUMIFS('Diags Raw Data'!$L$6:$L$4766,'Diags Raw Data'!$D$6:$D$4766,$A41,'Diags Raw Data'!$M$6:$M$4766,"Legacy")</f>
        <v>0</v>
      </c>
      <c r="C41" s="241">
        <f>SUMIFS('Diags Raw Data'!$R$6:$R$4766,'Diags Raw Data'!$D$6:$D$4766,$A41,'Diags Raw Data'!$M$6:$M$4766,"Legacy")</f>
        <v>0</v>
      </c>
      <c r="D41" s="241">
        <f>SUMIFS('Diags Raw Data'!$K$6:$K$4766,'Diags Raw Data'!$D$6:$D$4766,$A41,'Diags Raw Data'!$M$6:$M$4766,"Legacy")</f>
        <v>0</v>
      </c>
      <c r="E41" s="241">
        <f>SUMIFS('Diags Raw Data'!$O$6:$O$4766,'Diags Raw Data'!$D$6:$D$4766,$A41,'Diags Raw Data'!$M$6:$M$4766,"Legacy")</f>
        <v>0</v>
      </c>
      <c r="F41" s="247" t="str">
        <f t="shared" ref="F41:F48" si="36">IF(NOT($B41=0), E41/$B41, "---")</f>
        <v>---</v>
      </c>
      <c r="G41" s="229">
        <f>SUMIFS('Diags Raw Data'!$S$6:$S$4766,'Diags Raw Data'!$D$6:$D$4766,$A41,'Diags Raw Data'!$M$6:$M$4766,"Legacy")</f>
        <v>0</v>
      </c>
      <c r="H41" s="225">
        <f>SUMIFS('Diags Raw Data'!$T$6:$T$4766,'Diags Raw Data'!$D$6:$D$4766,$A41,'Diags Raw Data'!$M$6:$M$4766,"Legacy")</f>
        <v>0</v>
      </c>
      <c r="I41" s="226">
        <f>SUMIFS('Diags Raw Data'!$U$6:$U$4766,'Diags Raw Data'!$D$6:$D$4766,$A41,'Diags Raw Data'!$M$6:$M$4766,"Legacy")</f>
        <v>0</v>
      </c>
      <c r="J41" s="225">
        <f>SUMIFS('Diags Raw Data'!$V$6:$V$4766,'Diags Raw Data'!$D$6:$D$4766,$A41,'Diags Raw Data'!$M$6:$M$4766,"Legacy")</f>
        <v>0</v>
      </c>
      <c r="K41" s="226">
        <f>SUMIFS('Diags Raw Data'!$W$6:$W$4766,'Diags Raw Data'!$D$6:$D$4766,$A41,'Diags Raw Data'!$M$6:$M$4766,"Legacy")</f>
        <v>0</v>
      </c>
      <c r="L41" s="242" t="str">
        <f t="shared" ref="L41:L48" si="37">IF(NOT($C41=0), G41/$C41, "---")</f>
        <v>---</v>
      </c>
      <c r="M41" s="227" t="str">
        <f t="shared" ref="M41:M54" si="38">IF(NOT($G41=0), (H41+I41)/$G41, "---")</f>
        <v>---</v>
      </c>
      <c r="N41" s="236" t="str">
        <f t="shared" ref="N41:N54" si="39">IF(NOT($C41=0), (H41+I41)/$C41, "---")</f>
        <v>---</v>
      </c>
      <c r="O41" s="212">
        <f>SUMIFS('Diags Raw Data'!$Z$6:$Z$4766,'Diags Raw Data'!$D$6:$D$4766,$A41,'Diags Raw Data'!$M$6:$M$4766,"Legacy")</f>
        <v>0</v>
      </c>
      <c r="P41" s="202">
        <f>SUMIFS('Diags Raw Data'!$AA$6:$AA$4766,'Diags Raw Data'!$D$6:$D$4766,$A41,'Diags Raw Data'!$M$6:$M$4766,"Legacy")</f>
        <v>0</v>
      </c>
      <c r="Q41" s="204">
        <f>SUMIFS('Diags Raw Data'!$AB$6:$AB$4766,'Diags Raw Data'!$D$6:$D$4766,$A41,'Diags Raw Data'!$M$6:$M$4766,"Legacy")</f>
        <v>0</v>
      </c>
      <c r="R41" s="202">
        <f>SUMIFS('Diags Raw Data'!$AC$6:$AC$4766,'Diags Raw Data'!$D$6:$D$4766,$A41,'Diags Raw Data'!$M$6:$M$4766,"Legacy")</f>
        <v>0</v>
      </c>
      <c r="S41" s="204">
        <f>SUMIFS('Diags Raw Data'!$AD$6:$AD$4766,'Diags Raw Data'!$D$6:$D$4766,$A41,'Diags Raw Data'!$M$6:$M$4766,"Legacy")</f>
        <v>0</v>
      </c>
      <c r="T41" s="203" t="str">
        <f t="shared" ref="T41:T48" si="40">IF(NOT($B41=0), O41/$B41, "---")</f>
        <v>---</v>
      </c>
      <c r="U41" s="228" t="str">
        <f t="shared" ref="U41:U54" si="41">IF(NOT($O41=0), (P41+Q41)/$O41, "---")</f>
        <v>---</v>
      </c>
      <c r="V41" s="230" t="str">
        <f t="shared" ref="V41:V48" si="42">IF(NOT($B41=0), (P41+Q41)/$B41, "---")</f>
        <v>---</v>
      </c>
    </row>
    <row r="42" spans="1:22" x14ac:dyDescent="0.25">
      <c r="A42" s="331" t="s">
        <v>551</v>
      </c>
      <c r="B42" s="251">
        <f>SUMIFS('Diags Raw Data'!$L$6:$L$4766,'Diags Raw Data'!$D$6:$D$4766,$A42,'Diags Raw Data'!$M$6:$M$4766,"Legacy")</f>
        <v>0</v>
      </c>
      <c r="C42" s="241">
        <f>SUMIFS('Diags Raw Data'!$R$6:$R$4766,'Diags Raw Data'!$D$6:$D$4766,$A42,'Diags Raw Data'!$M$6:$M$4766,"Legacy")</f>
        <v>0</v>
      </c>
      <c r="D42" s="241">
        <f>SUMIFS('Diags Raw Data'!$K$6:$K$4766,'Diags Raw Data'!$D$6:$D$4766,$A42,'Diags Raw Data'!$M$6:$M$4766,"Legacy")</f>
        <v>0</v>
      </c>
      <c r="E42" s="241">
        <f>SUMIFS('Diags Raw Data'!$O$6:$O$4766,'Diags Raw Data'!$D$6:$D$4766,$A42,'Diags Raw Data'!$M$6:$M$4766,"Legacy")</f>
        <v>0</v>
      </c>
      <c r="F42" s="247" t="str">
        <f t="shared" si="36"/>
        <v>---</v>
      </c>
      <c r="G42" s="229">
        <f>SUMIFS('Diags Raw Data'!$S$6:$S$4766,'Diags Raw Data'!$D$6:$D$4766,$A42,'Diags Raw Data'!$M$6:$M$4766,"Legacy")</f>
        <v>0</v>
      </c>
      <c r="H42" s="225">
        <f>SUMIFS('Diags Raw Data'!$T$6:$T$4766,'Diags Raw Data'!$D$6:$D$4766,$A42,'Diags Raw Data'!$M$6:$M$4766,"Legacy")</f>
        <v>0</v>
      </c>
      <c r="I42" s="226">
        <f>SUMIFS('Diags Raw Data'!$U$6:$U$4766,'Diags Raw Data'!$D$6:$D$4766,$A42,'Diags Raw Data'!$M$6:$M$4766,"Legacy")</f>
        <v>0</v>
      </c>
      <c r="J42" s="225">
        <f>SUMIFS('Diags Raw Data'!$V$6:$V$4766,'Diags Raw Data'!$D$6:$D$4766,$A42,'Diags Raw Data'!$M$6:$M$4766,"Legacy")</f>
        <v>0</v>
      </c>
      <c r="K42" s="226">
        <f>SUMIFS('Diags Raw Data'!$W$6:$W$4766,'Diags Raw Data'!$D$6:$D$4766,$A42,'Diags Raw Data'!$M$6:$M$4766,"Legacy")</f>
        <v>0</v>
      </c>
      <c r="L42" s="242" t="str">
        <f t="shared" si="37"/>
        <v>---</v>
      </c>
      <c r="M42" s="227" t="str">
        <f t="shared" si="38"/>
        <v>---</v>
      </c>
      <c r="N42" s="236" t="str">
        <f t="shared" si="39"/>
        <v>---</v>
      </c>
      <c r="O42" s="212">
        <f>SUMIFS('Diags Raw Data'!$Z$6:$Z$4766,'Diags Raw Data'!$D$6:$D$4766,$A42,'Diags Raw Data'!$M$6:$M$4766,"Legacy")</f>
        <v>0</v>
      </c>
      <c r="P42" s="202">
        <f>SUMIFS('Diags Raw Data'!$AA$6:$AA$4766,'Diags Raw Data'!$D$6:$D$4766,$A42,'Diags Raw Data'!$M$6:$M$4766,"Legacy")</f>
        <v>0</v>
      </c>
      <c r="Q42" s="204">
        <f>SUMIFS('Diags Raw Data'!$AB$6:$AB$4766,'Diags Raw Data'!$D$6:$D$4766,$A42,'Diags Raw Data'!$M$6:$M$4766,"Legacy")</f>
        <v>0</v>
      </c>
      <c r="R42" s="202">
        <f>SUMIFS('Diags Raw Data'!$AC$6:$AC$4766,'Diags Raw Data'!$D$6:$D$4766,$A42,'Diags Raw Data'!$M$6:$M$4766,"Legacy")</f>
        <v>0</v>
      </c>
      <c r="S42" s="204">
        <f>SUMIFS('Diags Raw Data'!$AD$6:$AD$4766,'Diags Raw Data'!$D$6:$D$4766,$A42,'Diags Raw Data'!$M$6:$M$4766,"Legacy")</f>
        <v>0</v>
      </c>
      <c r="T42" s="203" t="str">
        <f t="shared" si="40"/>
        <v>---</v>
      </c>
      <c r="U42" s="228" t="str">
        <f t="shared" si="41"/>
        <v>---</v>
      </c>
      <c r="V42" s="230" t="str">
        <f t="shared" si="42"/>
        <v>---</v>
      </c>
    </row>
    <row r="43" spans="1:22" x14ac:dyDescent="0.25">
      <c r="A43" s="331" t="s">
        <v>570</v>
      </c>
      <c r="B43" s="251">
        <f>SUMIFS('Diags Raw Data'!$L$6:$L$4766,'Diags Raw Data'!$D$6:$D$4766,$A43,'Diags Raw Data'!$M$6:$M$4766,"Legacy")</f>
        <v>0</v>
      </c>
      <c r="C43" s="241">
        <f>SUMIFS('Diags Raw Data'!$R$6:$R$4766,'Diags Raw Data'!$D$6:$D$4766,$A43,'Diags Raw Data'!$M$6:$M$4766,"Legacy")</f>
        <v>0</v>
      </c>
      <c r="D43" s="241">
        <f>SUMIFS('Diags Raw Data'!$K$6:$K$4766,'Diags Raw Data'!$D$6:$D$4766,$A43,'Diags Raw Data'!$M$6:$M$4766,"Legacy")</f>
        <v>0</v>
      </c>
      <c r="E43" s="241">
        <f>SUMIFS('Diags Raw Data'!$O$6:$O$4766,'Diags Raw Data'!$D$6:$D$4766,$A43,'Diags Raw Data'!$M$6:$M$4766,"Legacy")</f>
        <v>0</v>
      </c>
      <c r="F43" s="247" t="str">
        <f t="shared" si="36"/>
        <v>---</v>
      </c>
      <c r="G43" s="229">
        <f>SUMIFS('Diags Raw Data'!$S$6:$S$4766,'Diags Raw Data'!$D$6:$D$4766,$A43,'Diags Raw Data'!$M$6:$M$4766,"Legacy")</f>
        <v>0</v>
      </c>
      <c r="H43" s="225">
        <f>SUMIFS('Diags Raw Data'!$T$6:$T$4766,'Diags Raw Data'!$D$6:$D$4766,$A43,'Diags Raw Data'!$M$6:$M$4766,"Legacy")</f>
        <v>0</v>
      </c>
      <c r="I43" s="226">
        <f>SUMIFS('Diags Raw Data'!$U$6:$U$4766,'Diags Raw Data'!$D$6:$D$4766,$A43,'Diags Raw Data'!$M$6:$M$4766,"Legacy")</f>
        <v>0</v>
      </c>
      <c r="J43" s="225">
        <f>SUMIFS('Diags Raw Data'!$V$6:$V$4766,'Diags Raw Data'!$D$6:$D$4766,$A43,'Diags Raw Data'!$M$6:$M$4766,"Legacy")</f>
        <v>0</v>
      </c>
      <c r="K43" s="226">
        <f>SUMIFS('Diags Raw Data'!$W$6:$W$4766,'Diags Raw Data'!$D$6:$D$4766,$A43,'Diags Raw Data'!$M$6:$M$4766,"Legacy")</f>
        <v>0</v>
      </c>
      <c r="L43" s="242" t="str">
        <f t="shared" si="37"/>
        <v>---</v>
      </c>
      <c r="M43" s="227" t="str">
        <f t="shared" si="38"/>
        <v>---</v>
      </c>
      <c r="N43" s="236" t="str">
        <f t="shared" si="39"/>
        <v>---</v>
      </c>
      <c r="O43" s="212">
        <f>SUMIFS('Diags Raw Data'!$Z$6:$Z$4766,'Diags Raw Data'!$D$6:$D$4766,$A43,'Diags Raw Data'!$M$6:$M$4766,"Legacy")</f>
        <v>0</v>
      </c>
      <c r="P43" s="202">
        <f>SUMIFS('Diags Raw Data'!$AA$6:$AA$4766,'Diags Raw Data'!$D$6:$D$4766,$A43,'Diags Raw Data'!$M$6:$M$4766,"Legacy")</f>
        <v>0</v>
      </c>
      <c r="Q43" s="204">
        <f>SUMIFS('Diags Raw Data'!$AB$6:$AB$4766,'Diags Raw Data'!$D$6:$D$4766,$A43,'Diags Raw Data'!$M$6:$M$4766,"Legacy")</f>
        <v>0</v>
      </c>
      <c r="R43" s="202">
        <f>SUMIFS('Diags Raw Data'!$AC$6:$AC$4766,'Diags Raw Data'!$D$6:$D$4766,$A43,'Diags Raw Data'!$M$6:$M$4766,"Legacy")</f>
        <v>0</v>
      </c>
      <c r="S43" s="204">
        <f>SUMIFS('Diags Raw Data'!$AD$6:$AD$4766,'Diags Raw Data'!$D$6:$D$4766,$A43,'Diags Raw Data'!$M$6:$M$4766,"Legacy")</f>
        <v>0</v>
      </c>
      <c r="T43" s="203" t="str">
        <f t="shared" si="40"/>
        <v>---</v>
      </c>
      <c r="U43" s="228" t="str">
        <f t="shared" si="41"/>
        <v>---</v>
      </c>
      <c r="V43" s="230" t="str">
        <f t="shared" si="42"/>
        <v>---</v>
      </c>
    </row>
    <row r="44" spans="1:22" x14ac:dyDescent="0.25">
      <c r="A44" s="331" t="s">
        <v>602</v>
      </c>
      <c r="B44" s="251">
        <f>SUMIFS('Diags Raw Data'!$L$6:$L$4766,'Diags Raw Data'!$D$6:$D$4766,$A44,'Diags Raw Data'!$M$6:$M$4766,"Legacy")</f>
        <v>0</v>
      </c>
      <c r="C44" s="241">
        <f>SUMIFS('Diags Raw Data'!$R$6:$R$4766,'Diags Raw Data'!$D$6:$D$4766,$A44,'Diags Raw Data'!$M$6:$M$4766,"Legacy")</f>
        <v>0</v>
      </c>
      <c r="D44" s="241">
        <f>SUMIFS('Diags Raw Data'!$K$6:$K$4766,'Diags Raw Data'!$D$6:$D$4766,$A44,'Diags Raw Data'!$M$6:$M$4766,"Legacy")</f>
        <v>0</v>
      </c>
      <c r="E44" s="241">
        <f>SUMIFS('Diags Raw Data'!$O$6:$O$4766,'Diags Raw Data'!$D$6:$D$4766,$A44,'Diags Raw Data'!$M$6:$M$4766,"Legacy")</f>
        <v>0</v>
      </c>
      <c r="F44" s="247" t="str">
        <f t="shared" si="36"/>
        <v>---</v>
      </c>
      <c r="G44" s="229">
        <f>SUMIFS('Diags Raw Data'!$S$6:$S$4766,'Diags Raw Data'!$D$6:$D$4766,$A44,'Diags Raw Data'!$M$6:$M$4766,"Legacy")</f>
        <v>0</v>
      </c>
      <c r="H44" s="225">
        <f>SUMIFS('Diags Raw Data'!$T$6:$T$4766,'Diags Raw Data'!$D$6:$D$4766,$A44,'Diags Raw Data'!$M$6:$M$4766,"Legacy")</f>
        <v>0</v>
      </c>
      <c r="I44" s="226">
        <f>SUMIFS('Diags Raw Data'!$U$6:$U$4766,'Diags Raw Data'!$D$6:$D$4766,$A44,'Diags Raw Data'!$M$6:$M$4766,"Legacy")</f>
        <v>0</v>
      </c>
      <c r="J44" s="225">
        <f>SUMIFS('Diags Raw Data'!$V$6:$V$4766,'Diags Raw Data'!$D$6:$D$4766,$A44,'Diags Raw Data'!$M$6:$M$4766,"Legacy")</f>
        <v>0</v>
      </c>
      <c r="K44" s="226">
        <f>SUMIFS('Diags Raw Data'!$W$6:$W$4766,'Diags Raw Data'!$D$6:$D$4766,$A44,'Diags Raw Data'!$M$6:$M$4766,"Legacy")</f>
        <v>0</v>
      </c>
      <c r="L44" s="242" t="str">
        <f t="shared" si="37"/>
        <v>---</v>
      </c>
      <c r="M44" s="227" t="str">
        <f t="shared" si="38"/>
        <v>---</v>
      </c>
      <c r="N44" s="236" t="str">
        <f t="shared" si="39"/>
        <v>---</v>
      </c>
      <c r="O44" s="212">
        <f>SUMIFS('Diags Raw Data'!$Z$6:$Z$4766,'Diags Raw Data'!$D$6:$D$4766,$A44,'Diags Raw Data'!$M$6:$M$4766,"Legacy")</f>
        <v>0</v>
      </c>
      <c r="P44" s="202">
        <f>SUMIFS('Diags Raw Data'!$AA$6:$AA$4766,'Diags Raw Data'!$D$6:$D$4766,$A44,'Diags Raw Data'!$M$6:$M$4766,"Legacy")</f>
        <v>0</v>
      </c>
      <c r="Q44" s="204">
        <f>SUMIFS('Diags Raw Data'!$AB$6:$AB$4766,'Diags Raw Data'!$D$6:$D$4766,$A44,'Diags Raw Data'!$M$6:$M$4766,"Legacy")</f>
        <v>0</v>
      </c>
      <c r="R44" s="202">
        <f>SUMIFS('Diags Raw Data'!$AC$6:$AC$4766,'Diags Raw Data'!$D$6:$D$4766,$A44,'Diags Raw Data'!$M$6:$M$4766,"Legacy")</f>
        <v>0</v>
      </c>
      <c r="S44" s="204">
        <f>SUMIFS('Diags Raw Data'!$AD$6:$AD$4766,'Diags Raw Data'!$D$6:$D$4766,$A44,'Diags Raw Data'!$M$6:$M$4766,"Legacy")</f>
        <v>0</v>
      </c>
      <c r="T44" s="203" t="str">
        <f t="shared" si="40"/>
        <v>---</v>
      </c>
      <c r="U44" s="228" t="str">
        <f t="shared" si="41"/>
        <v>---</v>
      </c>
      <c r="V44" s="230" t="str">
        <f t="shared" si="42"/>
        <v>---</v>
      </c>
    </row>
    <row r="45" spans="1:22" x14ac:dyDescent="0.25">
      <c r="A45" s="331" t="s">
        <v>620</v>
      </c>
      <c r="B45" s="251">
        <f>SUMIFS('Diags Raw Data'!$L$6:$L$4766,'Diags Raw Data'!$D$6:$D$4766,$A45,'Diags Raw Data'!$M$6:$M$4766,"Legacy")</f>
        <v>0</v>
      </c>
      <c r="C45" s="241">
        <f>SUMIFS('Diags Raw Data'!$R$6:$R$4766,'Diags Raw Data'!$D$6:$D$4766,$A45,'Diags Raw Data'!$M$6:$M$4766,"Legacy")</f>
        <v>0</v>
      </c>
      <c r="D45" s="241">
        <f>SUMIFS('Diags Raw Data'!$K$6:$K$4766,'Diags Raw Data'!$D$6:$D$4766,$A45,'Diags Raw Data'!$M$6:$M$4766,"Legacy")</f>
        <v>0</v>
      </c>
      <c r="E45" s="241">
        <f>SUMIFS('Diags Raw Data'!$O$6:$O$4766,'Diags Raw Data'!$D$6:$D$4766,$A45,'Diags Raw Data'!$M$6:$M$4766,"Legacy")</f>
        <v>0</v>
      </c>
      <c r="F45" s="247" t="str">
        <f t="shared" si="36"/>
        <v>---</v>
      </c>
      <c r="G45" s="229">
        <f>SUMIFS('Diags Raw Data'!$S$6:$S$4766,'Diags Raw Data'!$D$6:$D$4766,$A45,'Diags Raw Data'!$M$6:$M$4766,"Legacy")</f>
        <v>0</v>
      </c>
      <c r="H45" s="225">
        <f>SUMIFS('Diags Raw Data'!$T$6:$T$4766,'Diags Raw Data'!$D$6:$D$4766,$A45,'Diags Raw Data'!$M$6:$M$4766,"Legacy")</f>
        <v>0</v>
      </c>
      <c r="I45" s="226">
        <f>SUMIFS('Diags Raw Data'!$U$6:$U$4766,'Diags Raw Data'!$D$6:$D$4766,$A45,'Diags Raw Data'!$M$6:$M$4766,"Legacy")</f>
        <v>0</v>
      </c>
      <c r="J45" s="225">
        <f>SUMIFS('Diags Raw Data'!$V$6:$V$4766,'Diags Raw Data'!$D$6:$D$4766,$A45,'Diags Raw Data'!$M$6:$M$4766,"Legacy")</f>
        <v>0</v>
      </c>
      <c r="K45" s="226">
        <f>SUMIFS('Diags Raw Data'!$W$6:$W$4766,'Diags Raw Data'!$D$6:$D$4766,$A45,'Diags Raw Data'!$M$6:$M$4766,"Legacy")</f>
        <v>0</v>
      </c>
      <c r="L45" s="242" t="str">
        <f t="shared" si="37"/>
        <v>---</v>
      </c>
      <c r="M45" s="227" t="str">
        <f t="shared" si="38"/>
        <v>---</v>
      </c>
      <c r="N45" s="236" t="str">
        <f t="shared" si="39"/>
        <v>---</v>
      </c>
      <c r="O45" s="212">
        <f>SUMIFS('Diags Raw Data'!$Z$6:$Z$4766,'Diags Raw Data'!$D$6:$D$4766,$A45,'Diags Raw Data'!$M$6:$M$4766,"Legacy")</f>
        <v>0</v>
      </c>
      <c r="P45" s="202">
        <f>SUMIFS('Diags Raw Data'!$AA$6:$AA$4766,'Diags Raw Data'!$D$6:$D$4766,$A45,'Diags Raw Data'!$M$6:$M$4766,"Legacy")</f>
        <v>0</v>
      </c>
      <c r="Q45" s="204">
        <f>SUMIFS('Diags Raw Data'!$AB$6:$AB$4766,'Diags Raw Data'!$D$6:$D$4766,$A45,'Diags Raw Data'!$M$6:$M$4766,"Legacy")</f>
        <v>0</v>
      </c>
      <c r="R45" s="202">
        <f>SUMIFS('Diags Raw Data'!$AC$6:$AC$4766,'Diags Raw Data'!$D$6:$D$4766,$A45,'Diags Raw Data'!$M$6:$M$4766,"Legacy")</f>
        <v>0</v>
      </c>
      <c r="S45" s="204">
        <f>SUMIFS('Diags Raw Data'!$AD$6:$AD$4766,'Diags Raw Data'!$D$6:$D$4766,$A45,'Diags Raw Data'!$M$6:$M$4766,"Legacy")</f>
        <v>0</v>
      </c>
      <c r="T45" s="203" t="str">
        <f t="shared" si="40"/>
        <v>---</v>
      </c>
      <c r="U45" s="228" t="str">
        <f t="shared" si="41"/>
        <v>---</v>
      </c>
      <c r="V45" s="230" t="str">
        <f t="shared" si="42"/>
        <v>---</v>
      </c>
    </row>
    <row r="46" spans="1:22" x14ac:dyDescent="0.25">
      <c r="A46" s="331" t="s">
        <v>686</v>
      </c>
      <c r="B46" s="251">
        <f>SUMIFS('Diags Raw Data'!$L$6:$L$4766,'Diags Raw Data'!$D$6:$D$4766,$A46,'Diags Raw Data'!$M$6:$M$4766,"Legacy")</f>
        <v>0</v>
      </c>
      <c r="C46" s="241">
        <f>SUMIFS('Diags Raw Data'!$R$6:$R$4766,'Diags Raw Data'!$D$6:$D$4766,$A46,'Diags Raw Data'!$M$6:$M$4766,"Legacy")</f>
        <v>0</v>
      </c>
      <c r="D46" s="241">
        <f>SUMIFS('Diags Raw Data'!$K$6:$K$4766,'Diags Raw Data'!$D$6:$D$4766,$A46,'Diags Raw Data'!$M$6:$M$4766,"Legacy")</f>
        <v>0</v>
      </c>
      <c r="E46" s="241">
        <f>SUMIFS('Diags Raw Data'!$O$6:$O$4766,'Diags Raw Data'!$D$6:$D$4766,$A46,'Diags Raw Data'!$M$6:$M$4766,"Legacy")</f>
        <v>0</v>
      </c>
      <c r="F46" s="247" t="str">
        <f t="shared" si="36"/>
        <v>---</v>
      </c>
      <c r="G46" s="229">
        <f>SUMIFS('Diags Raw Data'!$S$6:$S$4766,'Diags Raw Data'!$D$6:$D$4766,$A46,'Diags Raw Data'!$M$6:$M$4766,"Legacy")</f>
        <v>0</v>
      </c>
      <c r="H46" s="225">
        <f>SUMIFS('Diags Raw Data'!$T$6:$T$4766,'Diags Raw Data'!$D$6:$D$4766,$A46,'Diags Raw Data'!$M$6:$M$4766,"Legacy")</f>
        <v>0</v>
      </c>
      <c r="I46" s="226">
        <f>SUMIFS('Diags Raw Data'!$U$6:$U$4766,'Diags Raw Data'!$D$6:$D$4766,$A46,'Diags Raw Data'!$M$6:$M$4766,"Legacy")</f>
        <v>0</v>
      </c>
      <c r="J46" s="225">
        <f>SUMIFS('Diags Raw Data'!$V$6:$V$4766,'Diags Raw Data'!$D$6:$D$4766,$A46,'Diags Raw Data'!$M$6:$M$4766,"Legacy")</f>
        <v>0</v>
      </c>
      <c r="K46" s="226">
        <f>SUMIFS('Diags Raw Data'!$W$6:$W$4766,'Diags Raw Data'!$D$6:$D$4766,$A46,'Diags Raw Data'!$M$6:$M$4766,"Legacy")</f>
        <v>0</v>
      </c>
      <c r="L46" s="242" t="str">
        <f t="shared" si="37"/>
        <v>---</v>
      </c>
      <c r="M46" s="227" t="str">
        <f t="shared" si="38"/>
        <v>---</v>
      </c>
      <c r="N46" s="236" t="str">
        <f t="shared" si="39"/>
        <v>---</v>
      </c>
      <c r="O46" s="212">
        <f>SUMIFS('Diags Raw Data'!$Z$6:$Z$4766,'Diags Raw Data'!$D$6:$D$4766,$A46,'Diags Raw Data'!$M$6:$M$4766,"Legacy")</f>
        <v>0</v>
      </c>
      <c r="P46" s="202">
        <f>SUMIFS('Diags Raw Data'!$AA$6:$AA$4766,'Diags Raw Data'!$D$6:$D$4766,$A46,'Diags Raw Data'!$M$6:$M$4766,"Legacy")</f>
        <v>0</v>
      </c>
      <c r="Q46" s="204">
        <f>SUMIFS('Diags Raw Data'!$AB$6:$AB$4766,'Diags Raw Data'!$D$6:$D$4766,$A46,'Diags Raw Data'!$M$6:$M$4766,"Legacy")</f>
        <v>0</v>
      </c>
      <c r="R46" s="202">
        <f>SUMIFS('Diags Raw Data'!$AC$6:$AC$4766,'Diags Raw Data'!$D$6:$D$4766,$A46,'Diags Raw Data'!$M$6:$M$4766,"Legacy")</f>
        <v>0</v>
      </c>
      <c r="S46" s="204">
        <f>SUMIFS('Diags Raw Data'!$AD$6:$AD$4766,'Diags Raw Data'!$D$6:$D$4766,$A46,'Diags Raw Data'!$M$6:$M$4766,"Legacy")</f>
        <v>0</v>
      </c>
      <c r="T46" s="203" t="str">
        <f t="shared" si="40"/>
        <v>---</v>
      </c>
      <c r="U46" s="228" t="str">
        <f t="shared" si="41"/>
        <v>---</v>
      </c>
      <c r="V46" s="230" t="str">
        <f t="shared" si="42"/>
        <v>---</v>
      </c>
    </row>
    <row r="47" spans="1:22" x14ac:dyDescent="0.25">
      <c r="A47" s="331" t="s">
        <v>963</v>
      </c>
      <c r="B47" s="251">
        <f>SUMIFS('Diags Raw Data'!$L$6:$L$4766,'Diags Raw Data'!$D$6:$D$4766,$A47,'Diags Raw Data'!$M$6:$M$4766,"Legacy")</f>
        <v>0</v>
      </c>
      <c r="C47" s="241">
        <f>SUMIFS('Diags Raw Data'!$R$6:$R$4766,'Diags Raw Data'!$D$6:$D$4766,$A47,'Diags Raw Data'!$M$6:$M$4766,"Legacy")</f>
        <v>0</v>
      </c>
      <c r="D47" s="241">
        <f>SUMIFS('Diags Raw Data'!$K$6:$K$4766,'Diags Raw Data'!$D$6:$D$4766,$A47,'Diags Raw Data'!$M$6:$M$4766,"Legacy")</f>
        <v>0</v>
      </c>
      <c r="E47" s="241">
        <f>SUMIFS('Diags Raw Data'!$O$6:$O$4766,'Diags Raw Data'!$D$6:$D$4766,$A47,'Diags Raw Data'!$M$6:$M$4766,"Legacy")</f>
        <v>0</v>
      </c>
      <c r="F47" s="247" t="str">
        <f t="shared" si="36"/>
        <v>---</v>
      </c>
      <c r="G47" s="229">
        <f>SUMIFS('Diags Raw Data'!$S$6:$S$4766,'Diags Raw Data'!$D$6:$D$4766,$A47,'Diags Raw Data'!$M$6:$M$4766,"Legacy")</f>
        <v>0</v>
      </c>
      <c r="H47" s="225">
        <f>SUMIFS('Diags Raw Data'!$T$6:$T$4766,'Diags Raw Data'!$D$6:$D$4766,$A47,'Diags Raw Data'!$M$6:$M$4766,"Legacy")</f>
        <v>0</v>
      </c>
      <c r="I47" s="226">
        <f>SUMIFS('Diags Raw Data'!$U$6:$U$4766,'Diags Raw Data'!$D$6:$D$4766,$A47,'Diags Raw Data'!$M$6:$M$4766,"Legacy")</f>
        <v>0</v>
      </c>
      <c r="J47" s="225">
        <f>SUMIFS('Diags Raw Data'!$V$6:$V$4766,'Diags Raw Data'!$D$6:$D$4766,$A47,'Diags Raw Data'!$M$6:$M$4766,"Legacy")</f>
        <v>0</v>
      </c>
      <c r="K47" s="226">
        <f>SUMIFS('Diags Raw Data'!$W$6:$W$4766,'Diags Raw Data'!$D$6:$D$4766,$A47,'Diags Raw Data'!$M$6:$M$4766,"Legacy")</f>
        <v>0</v>
      </c>
      <c r="L47" s="242" t="str">
        <f t="shared" si="37"/>
        <v>---</v>
      </c>
      <c r="M47" s="227" t="str">
        <f t="shared" si="38"/>
        <v>---</v>
      </c>
      <c r="N47" s="236" t="str">
        <f t="shared" si="39"/>
        <v>---</v>
      </c>
      <c r="O47" s="212">
        <f>SUMIFS('Diags Raw Data'!$Z$6:$Z$4766,'Diags Raw Data'!$D$6:$D$4766,$A47,'Diags Raw Data'!$M$6:$M$4766,"Legacy")</f>
        <v>0</v>
      </c>
      <c r="P47" s="202">
        <f>SUMIFS('Diags Raw Data'!$AA$6:$AA$4766,'Diags Raw Data'!$D$6:$D$4766,$A47,'Diags Raw Data'!$M$6:$M$4766,"Legacy")</f>
        <v>0</v>
      </c>
      <c r="Q47" s="204">
        <f>SUMIFS('Diags Raw Data'!$AB$6:$AB$4766,'Diags Raw Data'!$D$6:$D$4766,$A47,'Diags Raw Data'!$M$6:$M$4766,"Legacy")</f>
        <v>0</v>
      </c>
      <c r="R47" s="202">
        <f>SUMIFS('Diags Raw Data'!$AC$6:$AC$4766,'Diags Raw Data'!$D$6:$D$4766,$A47,'Diags Raw Data'!$M$6:$M$4766,"Legacy")</f>
        <v>0</v>
      </c>
      <c r="S47" s="204">
        <f>SUMIFS('Diags Raw Data'!$AD$6:$AD$4766,'Diags Raw Data'!$D$6:$D$4766,$A47,'Diags Raw Data'!$M$6:$M$4766,"Legacy")</f>
        <v>0</v>
      </c>
      <c r="T47" s="203" t="str">
        <f t="shared" si="40"/>
        <v>---</v>
      </c>
      <c r="U47" s="228" t="str">
        <f t="shared" si="41"/>
        <v>---</v>
      </c>
      <c r="V47" s="230" t="str">
        <f t="shared" si="42"/>
        <v>---</v>
      </c>
    </row>
    <row r="48" spans="1:22" x14ac:dyDescent="0.25">
      <c r="A48" s="331" t="s">
        <v>318</v>
      </c>
      <c r="B48" s="251">
        <f>SUMIFS('Diags Raw Data'!$L$6:$L$4766,'Diags Raw Data'!$D$6:$D$4766,$A48,'Diags Raw Data'!$M$6:$M$4766,"Legacy")</f>
        <v>0</v>
      </c>
      <c r="C48" s="241">
        <f>SUMIFS('Diags Raw Data'!$R$6:$R$4766,'Diags Raw Data'!$D$6:$D$4766,$A48,'Diags Raw Data'!$M$6:$M$4766,"Legacy")</f>
        <v>0</v>
      </c>
      <c r="D48" s="241">
        <f>SUMIFS('Diags Raw Data'!$K$6:$K$4766,'Diags Raw Data'!$D$6:$D$4766,$A48,'Diags Raw Data'!$M$6:$M$4766,"Legacy")</f>
        <v>0</v>
      </c>
      <c r="E48" s="241">
        <f>SUMIFS('Diags Raw Data'!$O$6:$O$4766,'Diags Raw Data'!$D$6:$D$4766,$A48,'Diags Raw Data'!$M$6:$M$4766,"Legacy")</f>
        <v>0</v>
      </c>
      <c r="F48" s="247" t="str">
        <f t="shared" si="36"/>
        <v>---</v>
      </c>
      <c r="G48" s="229">
        <f>SUMIFS('Diags Raw Data'!$S$6:$S$4766,'Diags Raw Data'!$D$6:$D$4766,$A48,'Diags Raw Data'!$M$6:$M$4766,"Legacy")</f>
        <v>0</v>
      </c>
      <c r="H48" s="225">
        <f>SUMIFS('Diags Raw Data'!$T$6:$T$4766,'Diags Raw Data'!$D$6:$D$4766,$A48,'Diags Raw Data'!$M$6:$M$4766,"Legacy")</f>
        <v>0</v>
      </c>
      <c r="I48" s="226">
        <f>SUMIFS('Diags Raw Data'!$U$6:$U$4766,'Diags Raw Data'!$D$6:$D$4766,$A48,'Diags Raw Data'!$M$6:$M$4766,"Legacy")</f>
        <v>0</v>
      </c>
      <c r="J48" s="225">
        <f>SUMIFS('Diags Raw Data'!$V$6:$V$4766,'Diags Raw Data'!$D$6:$D$4766,$A48,'Diags Raw Data'!$M$6:$M$4766,"Legacy")</f>
        <v>0</v>
      </c>
      <c r="K48" s="226">
        <f>SUMIFS('Diags Raw Data'!$W$6:$W$4766,'Diags Raw Data'!$D$6:$D$4766,$A48,'Diags Raw Data'!$M$6:$M$4766,"Legacy")</f>
        <v>0</v>
      </c>
      <c r="L48" s="242" t="str">
        <f t="shared" si="37"/>
        <v>---</v>
      </c>
      <c r="M48" s="227" t="str">
        <f t="shared" si="38"/>
        <v>---</v>
      </c>
      <c r="N48" s="236" t="str">
        <f t="shared" si="39"/>
        <v>---</v>
      </c>
      <c r="O48" s="212">
        <f>SUMIFS('Diags Raw Data'!$Z$6:$Z$4766,'Diags Raw Data'!$D$6:$D$4766,$A48,'Diags Raw Data'!$M$6:$M$4766,"Legacy")</f>
        <v>0</v>
      </c>
      <c r="P48" s="202">
        <f>SUMIFS('Diags Raw Data'!$AA$6:$AA$4766,'Diags Raw Data'!$D$6:$D$4766,$A48,'Diags Raw Data'!$M$6:$M$4766,"Legacy")</f>
        <v>0</v>
      </c>
      <c r="Q48" s="204">
        <f>SUMIFS('Diags Raw Data'!$AB$6:$AB$4766,'Diags Raw Data'!$D$6:$D$4766,$A48,'Diags Raw Data'!$M$6:$M$4766,"Legacy")</f>
        <v>0</v>
      </c>
      <c r="R48" s="202">
        <f>SUMIFS('Diags Raw Data'!$AC$6:$AC$4766,'Diags Raw Data'!$D$6:$D$4766,$A48,'Diags Raw Data'!$M$6:$M$4766,"Legacy")</f>
        <v>0</v>
      </c>
      <c r="S48" s="204">
        <f>SUMIFS('Diags Raw Data'!$AD$6:$AD$4766,'Diags Raw Data'!$D$6:$D$4766,$A48,'Diags Raw Data'!$M$6:$M$4766,"Legacy")</f>
        <v>0</v>
      </c>
      <c r="T48" s="203" t="str">
        <f t="shared" si="40"/>
        <v>---</v>
      </c>
      <c r="U48" s="228" t="str">
        <f t="shared" si="41"/>
        <v>---</v>
      </c>
      <c r="V48" s="230" t="str">
        <f t="shared" si="42"/>
        <v>---</v>
      </c>
    </row>
    <row r="49" spans="1:22" ht="15.75" thickBot="1" x14ac:dyDescent="0.3">
      <c r="A49" s="331" t="s">
        <v>707</v>
      </c>
      <c r="B49" s="252">
        <f>SUMIFS('Diags Raw Data'!$L$6:$L$4766,'Diags Raw Data'!$D$6:$D$4766,$A49,'Diags Raw Data'!$M$6:$M$4766,"Legacy")</f>
        <v>0</v>
      </c>
      <c r="C49" s="243">
        <f>SUMIFS('Diags Raw Data'!$R$6:$R$4766,'Diags Raw Data'!$D$6:$D$4766,$A49,'Diags Raw Data'!$M$6:$M$4766,"Legacy")</f>
        <v>0</v>
      </c>
      <c r="D49" s="243">
        <f>SUMIFS('Diags Raw Data'!$K$6:$K$4766,'Diags Raw Data'!$D$6:$D$4766,$A49,'Diags Raw Data'!$M$6:$M$4766,"Legacy")</f>
        <v>0</v>
      </c>
      <c r="E49" s="243">
        <f>SUMIFS('Diags Raw Data'!$O$6:$O$4766,'Diags Raw Data'!$D$6:$D$4766,$A49,'Diags Raw Data'!$M$6:$M$4766,"Legacy")</f>
        <v>0</v>
      </c>
      <c r="F49" s="248" t="str">
        <f>IF(NOT($B49=0), E49/$B49, "---")</f>
        <v>---</v>
      </c>
      <c r="G49" s="231">
        <f>SUMIFS('Diags Raw Data'!$S$6:$S$4766,'Diags Raw Data'!$D$6:$D$4766,$A49,'Diags Raw Data'!$M$6:$M$4766,"Legacy")</f>
        <v>0</v>
      </c>
      <c r="H49" s="232">
        <f>SUMIFS('Diags Raw Data'!$T$6:$T$4766,'Diags Raw Data'!$D$6:$D$4766,$A49,'Diags Raw Data'!$M$6:$M$4766,"Legacy")</f>
        <v>0</v>
      </c>
      <c r="I49" s="233">
        <f>SUMIFS('Diags Raw Data'!$U$6:$U$4766,'Diags Raw Data'!$D$6:$D$4766,$A49,'Diags Raw Data'!$M$6:$M$4766,"Legacy")</f>
        <v>0</v>
      </c>
      <c r="J49" s="232">
        <f>SUMIFS('Diags Raw Data'!$V$6:$V$4766,'Diags Raw Data'!$D$6:$D$4766,$A49,'Diags Raw Data'!$M$6:$M$4766,"Legacy")</f>
        <v>0</v>
      </c>
      <c r="K49" s="233">
        <f>SUMIFS('Diags Raw Data'!$W$6:$W$4766,'Diags Raw Data'!$D$6:$D$4766,$A49,'Diags Raw Data'!$M$6:$M$4766,"Legacy")</f>
        <v>0</v>
      </c>
      <c r="L49" s="244" t="str">
        <f>IF(NOT($C49=0), G49/$C49, "---")</f>
        <v>---</v>
      </c>
      <c r="M49" s="234" t="str">
        <f>IF(NOT($G49=0), (H49+I49)/$G49, "---")</f>
        <v>---</v>
      </c>
      <c r="N49" s="237" t="str">
        <f>IF(NOT($C49=0), (H49+I49)/$C49, "---")</f>
        <v>---</v>
      </c>
      <c r="O49" s="213">
        <f>SUMIFS('Diags Raw Data'!$Z$6:$Z$4766,'Diags Raw Data'!$D$6:$D$4766,$A49,'Diags Raw Data'!$M$6:$M$4766,"Legacy")</f>
        <v>0</v>
      </c>
      <c r="P49" s="205">
        <f>SUMIFS('Diags Raw Data'!$AA$6:$AA$4766,'Diags Raw Data'!$D$6:$D$4766,$A49,'Diags Raw Data'!$M$6:$M$4766,"Legacy")</f>
        <v>0</v>
      </c>
      <c r="Q49" s="207">
        <f>SUMIFS('Diags Raw Data'!$AB$6:$AB$4766,'Diags Raw Data'!$D$6:$D$4766,$A49,'Diags Raw Data'!$M$6:$M$4766,"Legacy")</f>
        <v>0</v>
      </c>
      <c r="R49" s="205">
        <f>SUMIFS('Diags Raw Data'!$AC$6:$AC$4766,'Diags Raw Data'!$D$6:$D$4766,$A49,'Diags Raw Data'!$M$6:$M$4766,"Legacy")</f>
        <v>0</v>
      </c>
      <c r="S49" s="207">
        <f>SUMIFS('Diags Raw Data'!$AD$6:$AD$4766,'Diags Raw Data'!$D$6:$D$4766,$A49,'Diags Raw Data'!$M$6:$M$4766,"Legacy")</f>
        <v>0</v>
      </c>
      <c r="T49" s="206" t="str">
        <f>IF(NOT($B49=0), O49/$B49, "---")</f>
        <v>---</v>
      </c>
      <c r="U49" s="238" t="str">
        <f>IF(NOT($O49=0), (P49+Q49)/$O49, "---")</f>
        <v>---</v>
      </c>
      <c r="V49" s="235" t="str">
        <f>IF(NOT($B49=0), (P49+Q49)/$B49, "---")</f>
        <v>---</v>
      </c>
    </row>
    <row r="50" spans="1:22" ht="15.75" thickBot="1" x14ac:dyDescent="0.3">
      <c r="A50" s="331" t="s">
        <v>879</v>
      </c>
      <c r="B50" s="252">
        <f>SUMIFS('Diags Raw Data'!$L$6:$L$4766,'Diags Raw Data'!$D$6:$D$4766,$A50,'Diags Raw Data'!$M$6:$M$4766,"Legacy")</f>
        <v>0</v>
      </c>
      <c r="C50" s="243">
        <f>SUMIFS('Diags Raw Data'!$R$6:$R$4766,'Diags Raw Data'!$D$6:$D$4766,$A50,'Diags Raw Data'!$M$6:$M$4766,"Legacy")</f>
        <v>0</v>
      </c>
      <c r="D50" s="243">
        <f>SUMIFS('Diags Raw Data'!$K$6:$K$4766,'Diags Raw Data'!$D$6:$D$4766,$A50,'Diags Raw Data'!$M$6:$M$4766,"Legacy")</f>
        <v>0</v>
      </c>
      <c r="E50" s="243">
        <f>SUMIFS('Diags Raw Data'!$O$6:$O$4766,'Diags Raw Data'!$D$6:$D$4766,$A50,'Diags Raw Data'!$M$6:$M$4766,"Legacy")</f>
        <v>0</v>
      </c>
      <c r="F50" s="248" t="str">
        <f t="shared" ref="F50:F53" si="43">IF(NOT($B50=0), E50/$B50, "---")</f>
        <v>---</v>
      </c>
      <c r="G50" s="231">
        <f>SUMIFS('Diags Raw Data'!$S$6:$S$4766,'Diags Raw Data'!$D$6:$D$4766,$A50,'Diags Raw Data'!$M$6:$M$4766,"Legacy")</f>
        <v>0</v>
      </c>
      <c r="H50" s="232">
        <f>SUMIFS('Diags Raw Data'!$T$6:$T$4766,'Diags Raw Data'!$D$6:$D$4766,$A50,'Diags Raw Data'!$M$6:$M$4766,"Legacy")</f>
        <v>0</v>
      </c>
      <c r="I50" s="233">
        <f>SUMIFS('Diags Raw Data'!$U$6:$U$4766,'Diags Raw Data'!$D$6:$D$4766,$A50,'Diags Raw Data'!$M$6:$M$4766,"Legacy")</f>
        <v>0</v>
      </c>
      <c r="J50" s="232">
        <f>SUMIFS('Diags Raw Data'!$V$6:$V$4766,'Diags Raw Data'!$D$6:$D$4766,$A50,'Diags Raw Data'!$M$6:$M$4766,"Legacy")</f>
        <v>0</v>
      </c>
      <c r="K50" s="233">
        <f>SUMIFS('Diags Raw Data'!$W$6:$W$4766,'Diags Raw Data'!$D$6:$D$4766,$A50,'Diags Raw Data'!$M$6:$M$4766,"Legacy")</f>
        <v>0</v>
      </c>
      <c r="L50" s="244" t="str">
        <f t="shared" ref="L50:L53" si="44">IF(NOT($C50=0), G50/$C50, "---")</f>
        <v>---</v>
      </c>
      <c r="M50" s="234" t="str">
        <f t="shared" ref="M50:M53" si="45">IF(NOT($G50=0), (H50+I50)/$G50, "---")</f>
        <v>---</v>
      </c>
      <c r="N50" s="237" t="str">
        <f t="shared" ref="N50:N53" si="46">IF(NOT($C50=0), (H50+I50)/$C50, "---")</f>
        <v>---</v>
      </c>
      <c r="O50" s="213">
        <f>SUMIFS('Diags Raw Data'!$Z$6:$Z$4766,'Diags Raw Data'!$D$6:$D$4766,$A50,'Diags Raw Data'!$M$6:$M$4766,"Legacy")</f>
        <v>0</v>
      </c>
      <c r="P50" s="205">
        <f>SUMIFS('Diags Raw Data'!$AA$6:$AA$4766,'Diags Raw Data'!$D$6:$D$4766,$A50,'Diags Raw Data'!$M$6:$M$4766,"Legacy")</f>
        <v>0</v>
      </c>
      <c r="Q50" s="207">
        <f>SUMIFS('Diags Raw Data'!$AB$6:$AB$4766,'Diags Raw Data'!$D$6:$D$4766,$A50,'Diags Raw Data'!$M$6:$M$4766,"Legacy")</f>
        <v>0</v>
      </c>
      <c r="R50" s="205">
        <f>SUMIFS('Diags Raw Data'!$AC$6:$AC$4766,'Diags Raw Data'!$D$6:$D$4766,$A50,'Diags Raw Data'!$M$6:$M$4766,"Legacy")</f>
        <v>0</v>
      </c>
      <c r="S50" s="207">
        <f>SUMIFS('Diags Raw Data'!$AD$6:$AD$4766,'Diags Raw Data'!$D$6:$D$4766,$A50,'Diags Raw Data'!$M$6:$M$4766,"Legacy")</f>
        <v>0</v>
      </c>
      <c r="T50" s="206" t="str">
        <f t="shared" ref="T50:T53" si="47">IF(NOT($B50=0), O50/$B50, "---")</f>
        <v>---</v>
      </c>
      <c r="U50" s="238" t="str">
        <f t="shared" ref="U50:U53" si="48">IF(NOT($O50=0), (P50+Q50)/$O50, "---")</f>
        <v>---</v>
      </c>
      <c r="V50" s="235" t="str">
        <f t="shared" ref="V50:V53" si="49">IF(NOT($B50=0), (P50+Q50)/$B50, "---")</f>
        <v>---</v>
      </c>
    </row>
    <row r="51" spans="1:22" ht="15.75" thickBot="1" x14ac:dyDescent="0.3">
      <c r="A51" s="332" t="s">
        <v>865</v>
      </c>
      <c r="B51" s="252">
        <f>SUMIFS('Diags Raw Data'!$L$6:$L$4766,'Diags Raw Data'!$D$6:$D$4766,$A51,'Diags Raw Data'!$M$6:$M$4766,"Legacy")</f>
        <v>0</v>
      </c>
      <c r="C51" s="243">
        <f>SUMIFS('Diags Raw Data'!$R$6:$R$4766,'Diags Raw Data'!$D$6:$D$4766,$A51,'Diags Raw Data'!$M$6:$M$4766,"Legacy")</f>
        <v>0</v>
      </c>
      <c r="D51" s="243">
        <f>SUMIFS('Diags Raw Data'!$K$6:$K$4766,'Diags Raw Data'!$D$6:$D$4766,$A51,'Diags Raw Data'!$M$6:$M$4766,"Legacy")</f>
        <v>0</v>
      </c>
      <c r="E51" s="243">
        <f>SUMIFS('Diags Raw Data'!$O$6:$O$4766,'Diags Raw Data'!$D$6:$D$4766,$A51,'Diags Raw Data'!$M$6:$M$4766,"Legacy")</f>
        <v>0</v>
      </c>
      <c r="F51" s="248" t="str">
        <f t="shared" si="43"/>
        <v>---</v>
      </c>
      <c r="G51" s="231">
        <f>SUMIFS('Diags Raw Data'!$S$6:$S$4766,'Diags Raw Data'!$D$6:$D$4766,$A51,'Diags Raw Data'!$M$6:$M$4766,"Legacy")</f>
        <v>0</v>
      </c>
      <c r="H51" s="232">
        <f>SUMIFS('Diags Raw Data'!$T$6:$T$4766,'Diags Raw Data'!$D$6:$D$4766,$A51,'Diags Raw Data'!$M$6:$M$4766,"Legacy")</f>
        <v>0</v>
      </c>
      <c r="I51" s="233">
        <f>SUMIFS('Diags Raw Data'!$U$6:$U$4766,'Diags Raw Data'!$D$6:$D$4766,$A51,'Diags Raw Data'!$M$6:$M$4766,"Legacy")</f>
        <v>0</v>
      </c>
      <c r="J51" s="232">
        <f>SUMIFS('Diags Raw Data'!$V$6:$V$4766,'Diags Raw Data'!$D$6:$D$4766,$A51,'Diags Raw Data'!$M$6:$M$4766,"Legacy")</f>
        <v>0</v>
      </c>
      <c r="K51" s="233">
        <f>SUMIFS('Diags Raw Data'!$W$6:$W$4766,'Diags Raw Data'!$D$6:$D$4766,$A51,'Diags Raw Data'!$M$6:$M$4766,"Legacy")</f>
        <v>0</v>
      </c>
      <c r="L51" s="244" t="str">
        <f t="shared" si="44"/>
        <v>---</v>
      </c>
      <c r="M51" s="234" t="str">
        <f t="shared" si="45"/>
        <v>---</v>
      </c>
      <c r="N51" s="237" t="str">
        <f t="shared" si="46"/>
        <v>---</v>
      </c>
      <c r="O51" s="213">
        <f>SUMIFS('Diags Raw Data'!$Z$6:$Z$4766,'Diags Raw Data'!$D$6:$D$4766,$A51,'Diags Raw Data'!$M$6:$M$4766,"Legacy")</f>
        <v>0</v>
      </c>
      <c r="P51" s="205">
        <f>SUMIFS('Diags Raw Data'!$AA$6:$AA$4766,'Diags Raw Data'!$D$6:$D$4766,$A51,'Diags Raw Data'!$M$6:$M$4766,"Legacy")</f>
        <v>0</v>
      </c>
      <c r="Q51" s="207">
        <f>SUMIFS('Diags Raw Data'!$AB$6:$AB$4766,'Diags Raw Data'!$D$6:$D$4766,$A51,'Diags Raw Data'!$M$6:$M$4766,"Legacy")</f>
        <v>0</v>
      </c>
      <c r="R51" s="205">
        <f>SUMIFS('Diags Raw Data'!$AC$6:$AC$4766,'Diags Raw Data'!$D$6:$D$4766,$A51,'Diags Raw Data'!$M$6:$M$4766,"Legacy")</f>
        <v>0</v>
      </c>
      <c r="S51" s="207">
        <f>SUMIFS('Diags Raw Data'!$AD$6:$AD$4766,'Diags Raw Data'!$D$6:$D$4766,$A51,'Diags Raw Data'!$M$6:$M$4766,"Legacy")</f>
        <v>0</v>
      </c>
      <c r="T51" s="206" t="str">
        <f t="shared" si="47"/>
        <v>---</v>
      </c>
      <c r="U51" s="238" t="str">
        <f t="shared" si="48"/>
        <v>---</v>
      </c>
      <c r="V51" s="235" t="str">
        <f t="shared" si="49"/>
        <v>---</v>
      </c>
    </row>
    <row r="52" spans="1:22" ht="15.75" thickBot="1" x14ac:dyDescent="0.3">
      <c r="A52" s="331" t="s">
        <v>899</v>
      </c>
      <c r="B52" s="252">
        <f>SUMIFS('Diags Raw Data'!$L$6:$L$4766,'Diags Raw Data'!$D$6:$D$4766,$A52,'Diags Raw Data'!$M$6:$M$4766,"Legacy")</f>
        <v>0</v>
      </c>
      <c r="C52" s="243">
        <f>SUMIFS('Diags Raw Data'!$R$6:$R$4766,'Diags Raw Data'!$D$6:$D$4766,$A52,'Diags Raw Data'!$M$6:$M$4766,"Legacy")</f>
        <v>0</v>
      </c>
      <c r="D52" s="243">
        <f>SUMIFS('Diags Raw Data'!$K$6:$K$4766,'Diags Raw Data'!$D$6:$D$4766,$A52,'Diags Raw Data'!$M$6:$M$4766,"Legacy")</f>
        <v>0</v>
      </c>
      <c r="E52" s="243">
        <f>SUMIFS('Diags Raw Data'!$O$6:$O$4766,'Diags Raw Data'!$D$6:$D$4766,$A52,'Diags Raw Data'!$M$6:$M$4766,"Legacy")</f>
        <v>0</v>
      </c>
      <c r="F52" s="248" t="str">
        <f t="shared" si="43"/>
        <v>---</v>
      </c>
      <c r="G52" s="231">
        <f>SUMIFS('Diags Raw Data'!$S$6:$S$4766,'Diags Raw Data'!$D$6:$D$4766,$A52,'Diags Raw Data'!$M$6:$M$4766,"Legacy")</f>
        <v>0</v>
      </c>
      <c r="H52" s="232">
        <f>SUMIFS('Diags Raw Data'!$T$6:$T$4766,'Diags Raw Data'!$D$6:$D$4766,$A52,'Diags Raw Data'!$M$6:$M$4766,"Legacy")</f>
        <v>0</v>
      </c>
      <c r="I52" s="233">
        <f>SUMIFS('Diags Raw Data'!$U$6:$U$4766,'Diags Raw Data'!$D$6:$D$4766,$A52,'Diags Raw Data'!$M$6:$M$4766,"Legacy")</f>
        <v>0</v>
      </c>
      <c r="J52" s="232">
        <f>SUMIFS('Diags Raw Data'!$V$6:$V$4766,'Diags Raw Data'!$D$6:$D$4766,$A52,'Diags Raw Data'!$M$6:$M$4766,"Legacy")</f>
        <v>0</v>
      </c>
      <c r="K52" s="233">
        <f>SUMIFS('Diags Raw Data'!$W$6:$W$4766,'Diags Raw Data'!$D$6:$D$4766,$A52,'Diags Raw Data'!$M$6:$M$4766,"Legacy")</f>
        <v>0</v>
      </c>
      <c r="L52" s="244" t="str">
        <f t="shared" si="44"/>
        <v>---</v>
      </c>
      <c r="M52" s="234" t="str">
        <f t="shared" si="45"/>
        <v>---</v>
      </c>
      <c r="N52" s="237" t="str">
        <f t="shared" si="46"/>
        <v>---</v>
      </c>
      <c r="O52" s="213">
        <f>SUMIFS('Diags Raw Data'!$Z$6:$Z$4766,'Diags Raw Data'!$D$6:$D$4766,$A52,'Diags Raw Data'!$M$6:$M$4766,"Legacy")</f>
        <v>0</v>
      </c>
      <c r="P52" s="205">
        <f>SUMIFS('Diags Raw Data'!$AA$6:$AA$4766,'Diags Raw Data'!$D$6:$D$4766,$A52,'Diags Raw Data'!$M$6:$M$4766,"Legacy")</f>
        <v>0</v>
      </c>
      <c r="Q52" s="207">
        <f>SUMIFS('Diags Raw Data'!$AB$6:$AB$4766,'Diags Raw Data'!$D$6:$D$4766,$A52,'Diags Raw Data'!$M$6:$M$4766,"Legacy")</f>
        <v>0</v>
      </c>
      <c r="R52" s="205">
        <f>SUMIFS('Diags Raw Data'!$AC$6:$AC$4766,'Diags Raw Data'!$D$6:$D$4766,$A52,'Diags Raw Data'!$M$6:$M$4766,"Legacy")</f>
        <v>0</v>
      </c>
      <c r="S52" s="207">
        <f>SUMIFS('Diags Raw Data'!$AD$6:$AD$4766,'Diags Raw Data'!$D$6:$D$4766,$A52,'Diags Raw Data'!$M$6:$M$4766,"Legacy")</f>
        <v>0</v>
      </c>
      <c r="T52" s="206" t="str">
        <f t="shared" si="47"/>
        <v>---</v>
      </c>
      <c r="U52" s="238" t="str">
        <f t="shared" si="48"/>
        <v>---</v>
      </c>
      <c r="V52" s="235" t="str">
        <f t="shared" si="49"/>
        <v>---</v>
      </c>
    </row>
    <row r="53" spans="1:22" ht="15.75" thickBot="1" x14ac:dyDescent="0.3">
      <c r="A53" s="331" t="s">
        <v>964</v>
      </c>
      <c r="B53" s="252">
        <f>SUMIFS('Diags Raw Data'!$L$6:$L$4766,'Diags Raw Data'!$D$6:$D$4766,$A53,'Diags Raw Data'!$M$6:$M$4766,"Legacy")</f>
        <v>0</v>
      </c>
      <c r="C53" s="243">
        <f>SUMIFS('Diags Raw Data'!$R$6:$R$4766,'Diags Raw Data'!$D$6:$D$4766,$A53,'Diags Raw Data'!$M$6:$M$4766,"Legacy")</f>
        <v>0</v>
      </c>
      <c r="D53" s="243">
        <f>SUMIFS('Diags Raw Data'!$K$6:$K$4766,'Diags Raw Data'!$D$6:$D$4766,$A53,'Diags Raw Data'!$M$6:$M$4766,"Legacy")</f>
        <v>0</v>
      </c>
      <c r="E53" s="243">
        <f>SUMIFS('Diags Raw Data'!$O$6:$O$4766,'Diags Raw Data'!$D$6:$D$4766,$A53,'Diags Raw Data'!$M$6:$M$4766,"Legacy")</f>
        <v>0</v>
      </c>
      <c r="F53" s="248" t="str">
        <f t="shared" si="43"/>
        <v>---</v>
      </c>
      <c r="G53" s="231">
        <f>SUMIFS('Diags Raw Data'!$S$6:$S$4766,'Diags Raw Data'!$D$6:$D$4766,$A53,'Diags Raw Data'!$M$6:$M$4766,"Legacy")</f>
        <v>0</v>
      </c>
      <c r="H53" s="232">
        <f>SUMIFS('Diags Raw Data'!$T$6:$T$4766,'Diags Raw Data'!$D$6:$D$4766,$A53,'Diags Raw Data'!$M$6:$M$4766,"Legacy")</f>
        <v>0</v>
      </c>
      <c r="I53" s="233">
        <f>SUMIFS('Diags Raw Data'!$U$6:$U$4766,'Diags Raw Data'!$D$6:$D$4766,$A53,'Diags Raw Data'!$M$6:$M$4766,"Legacy")</f>
        <v>0</v>
      </c>
      <c r="J53" s="232">
        <f>SUMIFS('Diags Raw Data'!$V$6:$V$4766,'Diags Raw Data'!$D$6:$D$4766,$A53,'Diags Raw Data'!$M$6:$M$4766,"Legacy")</f>
        <v>0</v>
      </c>
      <c r="K53" s="233">
        <f>SUMIFS('Diags Raw Data'!$W$6:$W$4766,'Diags Raw Data'!$D$6:$D$4766,$A53,'Diags Raw Data'!$M$6:$M$4766,"Legacy")</f>
        <v>0</v>
      </c>
      <c r="L53" s="244" t="str">
        <f t="shared" si="44"/>
        <v>---</v>
      </c>
      <c r="M53" s="234" t="str">
        <f t="shared" si="45"/>
        <v>---</v>
      </c>
      <c r="N53" s="237" t="str">
        <f t="shared" si="46"/>
        <v>---</v>
      </c>
      <c r="O53" s="213">
        <f>SUMIFS('Diags Raw Data'!$Z$6:$Z$4766,'Diags Raw Data'!$D$6:$D$4766,$A53,'Diags Raw Data'!$M$6:$M$4766,"Legacy")</f>
        <v>0</v>
      </c>
      <c r="P53" s="205">
        <f>SUMIFS('Diags Raw Data'!$AA$6:$AA$4766,'Diags Raw Data'!$D$6:$D$4766,$A53,'Diags Raw Data'!$M$6:$M$4766,"Legacy")</f>
        <v>0</v>
      </c>
      <c r="Q53" s="207">
        <f>SUMIFS('Diags Raw Data'!$AB$6:$AB$4766,'Diags Raw Data'!$D$6:$D$4766,$A53,'Diags Raw Data'!$M$6:$M$4766,"Legacy")</f>
        <v>0</v>
      </c>
      <c r="R53" s="205">
        <f>SUMIFS('Diags Raw Data'!$AC$6:$AC$4766,'Diags Raw Data'!$D$6:$D$4766,$A53,'Diags Raw Data'!$M$6:$M$4766,"Legacy")</f>
        <v>0</v>
      </c>
      <c r="S53" s="207">
        <f>SUMIFS('Diags Raw Data'!$AD$6:$AD$4766,'Diags Raw Data'!$D$6:$D$4766,$A53,'Diags Raw Data'!$M$6:$M$4766,"Legacy")</f>
        <v>0</v>
      </c>
      <c r="T53" s="206" t="str">
        <f t="shared" si="47"/>
        <v>---</v>
      </c>
      <c r="U53" s="238" t="str">
        <f t="shared" si="48"/>
        <v>---</v>
      </c>
      <c r="V53" s="235" t="str">
        <f t="shared" si="49"/>
        <v>---</v>
      </c>
    </row>
    <row r="54" spans="1:22" ht="16.5" thickBot="1" x14ac:dyDescent="0.3">
      <c r="A54" s="270" t="s">
        <v>968</v>
      </c>
      <c r="B54" s="255">
        <f>SUM(B40:B49)</f>
        <v>0</v>
      </c>
      <c r="C54" s="256">
        <f>SUM(C40:C49)</f>
        <v>0</v>
      </c>
      <c r="D54" s="256">
        <f>SUM(D40:D49)</f>
        <v>0</v>
      </c>
      <c r="E54" s="256">
        <f>SUM(E40:E49)</f>
        <v>0</v>
      </c>
      <c r="F54" s="257" t="e" cm="1">
        <f t="array" ref="F54">SUMPRODUCT(--(ISNUMBER(SEARCH("Legacy",'Diags Raw Data'!$M$6:$M$4766))),'Diags Raw Data'!$K$6:$K$4766,'Diags Raw Data'!$P$6:$P$4766)/D54</f>
        <v>#DIV/0!</v>
      </c>
      <c r="G54" s="258">
        <f>SUM(G40:G49)</f>
        <v>0</v>
      </c>
      <c r="H54" s="259">
        <f>SUM(H40:H49)</f>
        <v>0</v>
      </c>
      <c r="I54" s="260">
        <f>SUM(I40:I49)</f>
        <v>0</v>
      </c>
      <c r="J54" s="259">
        <f>SUM(J40:J49)</f>
        <v>0</v>
      </c>
      <c r="K54" s="260">
        <f>SUM(K40:K49)</f>
        <v>0</v>
      </c>
      <c r="L54" s="261" t="str">
        <f>IF(NOT($C54=0), G54/$C54, "---")</f>
        <v>---</v>
      </c>
      <c r="M54" s="262" t="str">
        <f t="shared" si="38"/>
        <v>---</v>
      </c>
      <c r="N54" s="263" t="str">
        <f t="shared" si="39"/>
        <v>---</v>
      </c>
      <c r="O54" s="264">
        <f>SUM(O40:O49)</f>
        <v>0</v>
      </c>
      <c r="P54" s="265">
        <f>SUM(P40:P49)</f>
        <v>0</v>
      </c>
      <c r="Q54" s="266">
        <f>SUM(Q40:Q49)</f>
        <v>0</v>
      </c>
      <c r="R54" s="265">
        <f>SUM(R40:R49)</f>
        <v>0</v>
      </c>
      <c r="S54" s="266">
        <f>SUM(S40:S49)</f>
        <v>0</v>
      </c>
      <c r="T54" s="267" t="str">
        <f>IF(NOT($B54=0), O54/$B54, "---")</f>
        <v>---</v>
      </c>
      <c r="U54" s="268" t="str">
        <f t="shared" si="41"/>
        <v>---</v>
      </c>
      <c r="V54" s="269" t="str">
        <f>IF(NOT($B54=0), (P54+Q54)/$B54, "---")</f>
        <v>---</v>
      </c>
    </row>
    <row r="55" spans="1:22" x14ac:dyDescent="0.25">
      <c r="A55" s="245"/>
      <c r="B55" s="245"/>
      <c r="C55" s="245"/>
      <c r="D55" s="245"/>
      <c r="E55" s="245"/>
      <c r="F55" s="245"/>
      <c r="G55" s="245"/>
      <c r="H55" s="245"/>
      <c r="I55" s="245"/>
      <c r="J55" s="245"/>
      <c r="K55" s="245"/>
      <c r="L55" s="245"/>
      <c r="M55" s="245"/>
      <c r="N55" s="245"/>
      <c r="O55" s="245"/>
      <c r="P55" s="245"/>
      <c r="Q55" s="245"/>
      <c r="R55" s="245"/>
      <c r="S55" s="245"/>
      <c r="T55" s="245"/>
      <c r="U55" s="245"/>
      <c r="V55" s="245"/>
    </row>
    <row r="57" spans="1:22" x14ac:dyDescent="0.25">
      <c r="F57" s="130"/>
    </row>
    <row r="60" spans="1:22" x14ac:dyDescent="0.25">
      <c r="F60" s="383"/>
    </row>
    <row r="61" spans="1:22" x14ac:dyDescent="0.25">
      <c r="F61" s="382"/>
    </row>
    <row r="62" spans="1:22" x14ac:dyDescent="0.25">
      <c r="F62" s="382"/>
    </row>
  </sheetData>
  <mergeCells count="10">
    <mergeCell ref="A1:V1"/>
    <mergeCell ref="B20:F20"/>
    <mergeCell ref="B38:F38"/>
    <mergeCell ref="G38:N38"/>
    <mergeCell ref="O38:V38"/>
    <mergeCell ref="G20:N20"/>
    <mergeCell ref="O20:V20"/>
    <mergeCell ref="B2:F2"/>
    <mergeCell ref="G2:N2"/>
    <mergeCell ref="O2:V2"/>
  </mergeCells>
  <phoneticPr fontId="30" type="noConversion"/>
  <conditionalFormatting sqref="F4:F17">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2:F35">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0:F53">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7">
    <cfRule type="colorScale" priority="10">
      <colorScale>
        <cfvo type="percent" val="0"/>
        <cfvo type="percent" val="50"/>
        <cfvo type="percent" val="100"/>
        <color rgb="FFF8696B"/>
        <color rgb="FFFFEB84"/>
        <color rgb="FF63BE7B"/>
      </colorScale>
    </cfRule>
  </conditionalFormatting>
  <conditionalFormatting sqref="L22:L35 N22:N35">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0:L53">
    <cfRule type="colorScale" priority="49">
      <colorScale>
        <cfvo type="percent" val="0"/>
        <cfvo type="percent" val="50"/>
        <cfvo type="percent" val="100"/>
        <color rgb="FFF8696B"/>
        <color rgb="FFFFEB84"/>
        <color rgb="FF63BE7B"/>
      </colorScale>
    </cfRule>
  </conditionalFormatting>
  <conditionalFormatting sqref="L4:N17">
    <cfRule type="colorScale" priority="2">
      <colorScale>
        <cfvo type="percent" val="0"/>
        <cfvo type="percent" val="50"/>
        <cfvo type="percent" val="100"/>
        <color rgb="FFF8696B"/>
        <color rgb="FFFFEB84"/>
        <color rgb="FF63BE7B"/>
      </colorScale>
    </cfRule>
  </conditionalFormatting>
  <conditionalFormatting sqref="L22:N35">
    <cfRule type="colorScale" priority="23">
      <colorScale>
        <cfvo type="percent" val="0"/>
        <cfvo type="percentile" val="50"/>
        <cfvo type="percent" val="100"/>
        <color rgb="FFF8696B"/>
        <color rgb="FFFFEB84"/>
        <color rgb="FF63BE7B"/>
      </colorScale>
    </cfRule>
  </conditionalFormatting>
  <conditionalFormatting sqref="L40:N53">
    <cfRule type="colorScale" priority="21">
      <colorScale>
        <cfvo type="percent" val="0"/>
        <cfvo type="percent" val="50"/>
        <cfvo type="percent" val="100"/>
        <color rgb="FFF8696B"/>
        <color rgb="FFFFEB84"/>
        <color rgb="FF63BE7B"/>
      </colorScale>
    </cfRule>
  </conditionalFormatting>
  <conditionalFormatting sqref="M4:M17">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2:M35">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0:M53">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7">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0:N53">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7">
    <cfRule type="colorScale" priority="9">
      <colorScale>
        <cfvo type="percent" val="0"/>
        <cfvo type="percent" val="50"/>
        <cfvo type="percent" val="100"/>
        <color rgb="FFF8696B"/>
        <color rgb="FFFFEB84"/>
        <color rgb="FF63BE7B"/>
      </colorScale>
    </cfRule>
  </conditionalFormatting>
  <conditionalFormatting sqref="T22:T35 V22:V35">
    <cfRule type="colorScale" priority="50">
      <colorScale>
        <cfvo type="percent" val="0"/>
        <cfvo type="percent" val="50"/>
        <cfvo type="percent" val="100"/>
        <color rgb="FFF8696B"/>
        <color rgb="FFFFEB84"/>
        <color rgb="FF63BE7B"/>
      </colorScale>
    </cfRule>
  </conditionalFormatting>
  <conditionalFormatting sqref="T40:T53">
    <cfRule type="colorScale" priority="48">
      <colorScale>
        <cfvo type="percent" val="0"/>
        <cfvo type="percent" val="50"/>
        <cfvo type="percent" val="100"/>
        <color rgb="FFF8696B"/>
        <color rgb="FFFFEB84"/>
        <color rgb="FF63BE7B"/>
      </colorScale>
    </cfRule>
  </conditionalFormatting>
  <conditionalFormatting sqref="T4:V17">
    <cfRule type="colorScale" priority="1">
      <colorScale>
        <cfvo type="percent" val="0"/>
        <cfvo type="percent" val="50"/>
        <cfvo type="percent" val="100"/>
        <color rgb="FFF8696B"/>
        <color rgb="FFFFEB84"/>
        <color rgb="FF63BE7B"/>
      </colorScale>
    </cfRule>
  </conditionalFormatting>
  <conditionalFormatting sqref="T22:V35">
    <cfRule type="colorScale" priority="22">
      <colorScale>
        <cfvo type="percent" val="0"/>
        <cfvo type="percent" val="50"/>
        <cfvo type="percent" val="100"/>
        <color rgb="FFF8696B"/>
        <color rgb="FFFFEB84"/>
        <color rgb="FF63BE7B"/>
      </colorScale>
    </cfRule>
  </conditionalFormatting>
  <conditionalFormatting sqref="T40:V53">
    <cfRule type="colorScale" priority="20">
      <colorScale>
        <cfvo type="percent" val="0"/>
        <cfvo type="percent" val="50"/>
        <cfvo type="percent" val="100"/>
        <color rgb="FFF8696B"/>
        <color rgb="FFFFEB84"/>
        <color rgb="FF63BE7B"/>
      </colorScale>
    </cfRule>
  </conditionalFormatting>
  <conditionalFormatting sqref="U4:U17">
    <cfRule type="colorScale" priority="6">
      <colorScale>
        <cfvo type="percent" val="0"/>
        <cfvo type="percent" val="50"/>
        <cfvo type="percent" val="100"/>
        <color rgb="FFF8696B"/>
        <color rgb="FFFFEB84"/>
        <color rgb="FF63BE7B"/>
      </colorScale>
    </cfRule>
  </conditionalFormatting>
  <conditionalFormatting sqref="U22:U35">
    <cfRule type="colorScale" priority="40">
      <colorScale>
        <cfvo type="percent" val="0"/>
        <cfvo type="percent" val="50"/>
        <cfvo type="percent" val="100"/>
        <color rgb="FFF8696B"/>
        <color rgb="FFFFEB84"/>
        <color rgb="FF63BE7B"/>
      </colorScale>
    </cfRule>
  </conditionalFormatting>
  <conditionalFormatting sqref="U40:U53">
    <cfRule type="colorScale" priority="31">
      <colorScale>
        <cfvo type="percent" val="0"/>
        <cfvo type="percent" val="50"/>
        <cfvo type="percent" val="100"/>
        <color rgb="FFF8696B"/>
        <color rgb="FFFFEB84"/>
        <color rgb="FF63BE7B"/>
      </colorScale>
    </cfRule>
  </conditionalFormatting>
  <conditionalFormatting sqref="V4:V17">
    <cfRule type="colorScale" priority="3">
      <colorScale>
        <cfvo type="percent" val="0"/>
        <cfvo type="percent" val="50"/>
        <cfvo type="percent" val="100"/>
        <color rgb="FFF8696B"/>
        <color rgb="FFFFEB84"/>
        <color rgb="FF63BE7B"/>
      </colorScale>
    </cfRule>
  </conditionalFormatting>
  <conditionalFormatting sqref="V40:V53">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5982E-3296-49AA-BE1D-623902544B23}">
  <dimension ref="A1:I151"/>
  <sheetViews>
    <sheetView topLeftCell="A108" workbookViewId="0">
      <selection activeCell="A143" sqref="A143"/>
    </sheetView>
  </sheetViews>
  <sheetFormatPr defaultRowHeight="15" x14ac:dyDescent="0.25"/>
  <cols>
    <col min="1" max="1" width="16.85546875" bestFit="1" customWidth="1"/>
    <col min="2" max="2" width="108.855468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15" t="s">
        <v>969</v>
      </c>
      <c r="B1" s="616"/>
      <c r="C1" s="616"/>
      <c r="D1" s="616"/>
      <c r="E1" s="616"/>
      <c r="F1" s="616"/>
      <c r="G1" s="616"/>
      <c r="H1" s="616"/>
      <c r="I1" s="617"/>
    </row>
    <row r="2" spans="1:9" s="79" customFormat="1" ht="15.75" thickBot="1" x14ac:dyDescent="0.3">
      <c r="A2" s="377" t="s">
        <v>77</v>
      </c>
      <c r="B2" s="378" t="s">
        <v>81</v>
      </c>
      <c r="C2" s="379" t="s">
        <v>96</v>
      </c>
      <c r="D2" s="379" t="s">
        <v>202</v>
      </c>
      <c r="E2" s="380" t="s">
        <v>1</v>
      </c>
    </row>
    <row r="3" spans="1:9" ht="15.75" thickBot="1" x14ac:dyDescent="0.3">
      <c r="A3" s="321" t="s">
        <v>315</v>
      </c>
      <c r="B3" s="322" t="s">
        <v>316</v>
      </c>
      <c r="C3" s="462" t="s">
        <v>970</v>
      </c>
      <c r="D3" s="462" t="s">
        <v>34</v>
      </c>
      <c r="E3" s="465" t="s">
        <v>33</v>
      </c>
      <c r="G3" s="288" t="s">
        <v>77</v>
      </c>
      <c r="H3" s="289" t="s">
        <v>971</v>
      </c>
      <c r="I3" s="458">
        <f>COUNTA(A3:A3812)</f>
        <v>143</v>
      </c>
    </row>
    <row r="4" spans="1:9" x14ac:dyDescent="0.25">
      <c r="A4" s="321" t="s">
        <v>325</v>
      </c>
      <c r="B4" s="322" t="s">
        <v>326</v>
      </c>
      <c r="C4" s="463" t="s">
        <v>970</v>
      </c>
      <c r="D4" s="463" t="s">
        <v>34</v>
      </c>
      <c r="E4" s="466" t="s">
        <v>33</v>
      </c>
      <c r="G4" s="618" t="s">
        <v>96</v>
      </c>
      <c r="H4" s="290" t="s">
        <v>972</v>
      </c>
      <c r="I4" s="459">
        <f>COUNTIFS($C3:$C3812,"P1")</f>
        <v>36</v>
      </c>
    </row>
    <row r="5" spans="1:9" x14ac:dyDescent="0.25">
      <c r="A5" s="321" t="s">
        <v>329</v>
      </c>
      <c r="B5" s="322" t="s">
        <v>330</v>
      </c>
      <c r="C5" s="463" t="s">
        <v>970</v>
      </c>
      <c r="D5" s="463" t="s">
        <v>34</v>
      </c>
      <c r="E5" s="466" t="s">
        <v>33</v>
      </c>
      <c r="G5" s="619"/>
      <c r="H5" s="291" t="s">
        <v>973</v>
      </c>
      <c r="I5" s="460">
        <f>COUNTIFS($C3:$C3812,"P2")</f>
        <v>45</v>
      </c>
    </row>
    <row r="6" spans="1:9" ht="15.75" thickBot="1" x14ac:dyDescent="0.3">
      <c r="A6" s="321" t="s">
        <v>333</v>
      </c>
      <c r="B6" s="322" t="s">
        <v>334</v>
      </c>
      <c r="C6" s="463" t="s">
        <v>970</v>
      </c>
      <c r="D6" s="463" t="s">
        <v>34</v>
      </c>
      <c r="E6" s="466" t="s">
        <v>33</v>
      </c>
      <c r="G6" s="620"/>
      <c r="H6" s="292" t="s">
        <v>974</v>
      </c>
      <c r="I6" s="461">
        <f>COUNTIFS($C3:$C3812,"P3")</f>
        <v>15</v>
      </c>
    </row>
    <row r="7" spans="1:9" x14ac:dyDescent="0.25">
      <c r="A7" s="321" t="s">
        <v>339</v>
      </c>
      <c r="B7" s="322" t="s">
        <v>340</v>
      </c>
      <c r="C7" s="463" t="s">
        <v>970</v>
      </c>
      <c r="D7" s="463" t="s">
        <v>34</v>
      </c>
      <c r="E7" s="466" t="s">
        <v>33</v>
      </c>
      <c r="G7" s="621" t="s">
        <v>202</v>
      </c>
      <c r="H7" s="290" t="s">
        <v>975</v>
      </c>
      <c r="I7" s="459">
        <f>COUNTIFS($D3:$D3812,"Diagnostics")</f>
        <v>143</v>
      </c>
    </row>
    <row r="8" spans="1:9" x14ac:dyDescent="0.25">
      <c r="A8" s="321" t="s">
        <v>343</v>
      </c>
      <c r="B8" s="322" t="s">
        <v>344</v>
      </c>
      <c r="C8" s="463" t="s">
        <v>970</v>
      </c>
      <c r="D8" s="463" t="s">
        <v>34</v>
      </c>
      <c r="E8" s="466" t="s">
        <v>33</v>
      </c>
      <c r="G8" s="622"/>
      <c r="H8" s="291" t="s">
        <v>976</v>
      </c>
      <c r="I8" s="460">
        <f>COUNTIFS($D3:$D3812,"Driver")</f>
        <v>0</v>
      </c>
    </row>
    <row r="9" spans="1:9" x14ac:dyDescent="0.25">
      <c r="A9" s="321" t="s">
        <v>346</v>
      </c>
      <c r="B9" s="322" t="s">
        <v>347</v>
      </c>
      <c r="C9" s="463" t="s">
        <v>970</v>
      </c>
      <c r="D9" s="463" t="s">
        <v>34</v>
      </c>
      <c r="E9" s="466" t="s">
        <v>33</v>
      </c>
      <c r="G9" s="622"/>
      <c r="H9" s="291" t="s">
        <v>977</v>
      </c>
      <c r="I9" s="460">
        <f>COUNTIFS($D3:$D3812,"IPSE")</f>
        <v>0</v>
      </c>
    </row>
    <row r="10" spans="1:9" ht="15.75" thickBot="1" x14ac:dyDescent="0.3">
      <c r="A10" s="321" t="s">
        <v>350</v>
      </c>
      <c r="B10" s="322" t="s">
        <v>351</v>
      </c>
      <c r="C10" s="463" t="s">
        <v>970</v>
      </c>
      <c r="D10" s="463" t="s">
        <v>34</v>
      </c>
      <c r="E10" s="466" t="s">
        <v>33</v>
      </c>
      <c r="G10" s="623"/>
      <c r="H10" s="292" t="s">
        <v>978</v>
      </c>
      <c r="I10" s="461">
        <f>COUNTIFS($D3:$D3812,"N/A")</f>
        <v>0</v>
      </c>
    </row>
    <row r="11" spans="1:9" x14ac:dyDescent="0.25">
      <c r="A11" s="321" t="s">
        <v>353</v>
      </c>
      <c r="B11" s="322" t="s">
        <v>354</v>
      </c>
      <c r="C11" s="463" t="s">
        <v>970</v>
      </c>
      <c r="D11" s="463" t="s">
        <v>34</v>
      </c>
      <c r="E11" s="466" t="s">
        <v>33</v>
      </c>
      <c r="G11" s="621" t="s">
        <v>1</v>
      </c>
      <c r="H11" s="290" t="s">
        <v>979</v>
      </c>
      <c r="I11" s="459">
        <f>COUNTIFS($E3:$E3812,"Legacy")</f>
        <v>125</v>
      </c>
    </row>
    <row r="12" spans="1:9" x14ac:dyDescent="0.25">
      <c r="A12" s="321" t="s">
        <v>357</v>
      </c>
      <c r="B12" s="322" t="s">
        <v>358</v>
      </c>
      <c r="C12" s="463" t="s">
        <v>970</v>
      </c>
      <c r="D12" s="463" t="s">
        <v>34</v>
      </c>
      <c r="E12" s="466" t="s">
        <v>33</v>
      </c>
      <c r="G12" s="622"/>
      <c r="H12" s="291" t="s">
        <v>980</v>
      </c>
      <c r="I12" s="460">
        <f>COUNTIFS($E3:$E3812,"Delta")</f>
        <v>17</v>
      </c>
    </row>
    <row r="13" spans="1:9" ht="15.75" thickBot="1" x14ac:dyDescent="0.3">
      <c r="A13" s="321" t="s">
        <v>361</v>
      </c>
      <c r="B13" s="322" t="s">
        <v>362</v>
      </c>
      <c r="C13" s="463" t="s">
        <v>970</v>
      </c>
      <c r="D13" s="463" t="s">
        <v>34</v>
      </c>
      <c r="E13" s="466" t="s">
        <v>33</v>
      </c>
      <c r="G13" s="623"/>
      <c r="H13" s="292" t="s">
        <v>981</v>
      </c>
      <c r="I13" s="461">
        <f>COUNTIFS($E3:$E3812,"New")</f>
        <v>1</v>
      </c>
    </row>
    <row r="14" spans="1:9" ht="15.75" thickBot="1" x14ac:dyDescent="0.3">
      <c r="A14" s="321" t="s">
        <v>364</v>
      </c>
      <c r="B14" s="322" t="s">
        <v>365</v>
      </c>
      <c r="C14" s="463" t="s">
        <v>970</v>
      </c>
      <c r="D14" s="463" t="s">
        <v>34</v>
      </c>
      <c r="E14" s="466" t="s">
        <v>33</v>
      </c>
      <c r="G14" s="523"/>
      <c r="H14" s="292" t="s">
        <v>981</v>
      </c>
      <c r="I14" s="461">
        <f>COUNTIFS($E4:$E3813,"New")</f>
        <v>1</v>
      </c>
    </row>
    <row r="15" spans="1:9" ht="15.75" thickBot="1" x14ac:dyDescent="0.3">
      <c r="A15" s="321" t="s">
        <v>367</v>
      </c>
      <c r="B15" s="322" t="s">
        <v>368</v>
      </c>
      <c r="C15" s="463" t="s">
        <v>970</v>
      </c>
      <c r="D15" s="463" t="s">
        <v>34</v>
      </c>
      <c r="E15" s="466" t="s">
        <v>33</v>
      </c>
      <c r="G15" s="381" t="s">
        <v>207</v>
      </c>
      <c r="H15" s="624"/>
      <c r="I15" s="625"/>
    </row>
    <row r="16" spans="1:9" x14ac:dyDescent="0.25">
      <c r="A16" s="321" t="s">
        <v>372</v>
      </c>
      <c r="B16" s="322" t="s">
        <v>373</v>
      </c>
      <c r="C16" s="463" t="s">
        <v>259</v>
      </c>
      <c r="D16" s="463" t="s">
        <v>34</v>
      </c>
      <c r="E16" s="466" t="s">
        <v>33</v>
      </c>
    </row>
    <row r="17" spans="1:5" x14ac:dyDescent="0.25">
      <c r="A17" s="321" t="s">
        <v>377</v>
      </c>
      <c r="B17" s="322" t="s">
        <v>378</v>
      </c>
      <c r="C17" s="463" t="s">
        <v>259</v>
      </c>
      <c r="D17" s="463" t="s">
        <v>34</v>
      </c>
      <c r="E17" s="466" t="s">
        <v>33</v>
      </c>
    </row>
    <row r="18" spans="1:5" x14ac:dyDescent="0.25">
      <c r="A18" s="321" t="s">
        <v>379</v>
      </c>
      <c r="B18" s="322" t="s">
        <v>380</v>
      </c>
      <c r="C18" s="463" t="s">
        <v>259</v>
      </c>
      <c r="D18" s="463" t="s">
        <v>34</v>
      </c>
      <c r="E18" s="466" t="s">
        <v>33</v>
      </c>
    </row>
    <row r="19" spans="1:5" x14ac:dyDescent="0.25">
      <c r="A19" s="321" t="s">
        <v>382</v>
      </c>
      <c r="B19" s="322" t="s">
        <v>383</v>
      </c>
      <c r="C19" s="463" t="s">
        <v>284</v>
      </c>
      <c r="D19" s="463" t="s">
        <v>34</v>
      </c>
      <c r="E19" s="466" t="s">
        <v>33</v>
      </c>
    </row>
    <row r="20" spans="1:5" x14ac:dyDescent="0.25">
      <c r="A20" s="321" t="s">
        <v>387</v>
      </c>
      <c r="B20" s="322" t="s">
        <v>388</v>
      </c>
      <c r="C20" s="463" t="s">
        <v>970</v>
      </c>
      <c r="D20" s="463" t="s">
        <v>34</v>
      </c>
      <c r="E20" s="466" t="s">
        <v>33</v>
      </c>
    </row>
    <row r="21" spans="1:5" x14ac:dyDescent="0.25">
      <c r="A21" s="321" t="s">
        <v>392</v>
      </c>
      <c r="B21" s="322" t="s">
        <v>393</v>
      </c>
      <c r="C21" s="463" t="s">
        <v>970</v>
      </c>
      <c r="D21" s="463" t="s">
        <v>34</v>
      </c>
      <c r="E21" s="466" t="s">
        <v>33</v>
      </c>
    </row>
    <row r="22" spans="1:5" x14ac:dyDescent="0.25">
      <c r="A22" s="321" t="s">
        <v>399</v>
      </c>
      <c r="B22" s="322" t="s">
        <v>982</v>
      </c>
      <c r="C22" s="463" t="s">
        <v>280</v>
      </c>
      <c r="D22" s="463" t="s">
        <v>34</v>
      </c>
      <c r="E22" s="466" t="s">
        <v>39</v>
      </c>
    </row>
    <row r="23" spans="1:5" x14ac:dyDescent="0.25">
      <c r="A23" s="321" t="s">
        <v>402</v>
      </c>
      <c r="B23" s="322" t="s">
        <v>403</v>
      </c>
      <c r="C23" s="463" t="s">
        <v>970</v>
      </c>
      <c r="D23" s="463" t="s">
        <v>34</v>
      </c>
      <c r="E23" s="466" t="s">
        <v>33</v>
      </c>
    </row>
    <row r="24" spans="1:5" x14ac:dyDescent="0.25">
      <c r="A24" s="321" t="s">
        <v>406</v>
      </c>
      <c r="B24" s="322" t="s">
        <v>407</v>
      </c>
      <c r="C24" s="463" t="s">
        <v>970</v>
      </c>
      <c r="D24" s="463" t="s">
        <v>34</v>
      </c>
      <c r="E24" s="466" t="s">
        <v>33</v>
      </c>
    </row>
    <row r="25" spans="1:5" x14ac:dyDescent="0.25">
      <c r="A25" s="321" t="s">
        <v>411</v>
      </c>
      <c r="B25" s="322" t="s">
        <v>412</v>
      </c>
      <c r="C25" s="463" t="s">
        <v>280</v>
      </c>
      <c r="D25" s="463" t="s">
        <v>34</v>
      </c>
      <c r="E25" s="466" t="s">
        <v>33</v>
      </c>
    </row>
    <row r="26" spans="1:5" x14ac:dyDescent="0.25">
      <c r="A26" s="321" t="s">
        <v>416</v>
      </c>
      <c r="B26" s="322" t="s">
        <v>417</v>
      </c>
      <c r="C26" s="463" t="s">
        <v>259</v>
      </c>
      <c r="D26" s="463" t="s">
        <v>34</v>
      </c>
      <c r="E26" s="466" t="s">
        <v>39</v>
      </c>
    </row>
    <row r="27" spans="1:5" x14ac:dyDescent="0.25">
      <c r="A27" s="321" t="s">
        <v>421</v>
      </c>
      <c r="B27" s="322" t="s">
        <v>422</v>
      </c>
      <c r="C27" s="463" t="s">
        <v>970</v>
      </c>
      <c r="D27" s="463" t="s">
        <v>34</v>
      </c>
      <c r="E27" s="466" t="s">
        <v>33</v>
      </c>
    </row>
    <row r="28" spans="1:5" x14ac:dyDescent="0.25">
      <c r="A28" s="321" t="s">
        <v>428</v>
      </c>
      <c r="B28" s="322" t="s">
        <v>429</v>
      </c>
      <c r="C28" s="463" t="s">
        <v>970</v>
      </c>
      <c r="D28" s="463" t="s">
        <v>34</v>
      </c>
      <c r="E28" s="466" t="s">
        <v>33</v>
      </c>
    </row>
    <row r="29" spans="1:5" x14ac:dyDescent="0.25">
      <c r="A29" s="321" t="s">
        <v>433</v>
      </c>
      <c r="B29" s="322" t="s">
        <v>434</v>
      </c>
      <c r="C29" s="463" t="s">
        <v>259</v>
      </c>
      <c r="D29" s="463" t="s">
        <v>34</v>
      </c>
      <c r="E29" s="466" t="s">
        <v>33</v>
      </c>
    </row>
    <row r="30" spans="1:5" x14ac:dyDescent="0.25">
      <c r="A30" s="321" t="s">
        <v>438</v>
      </c>
      <c r="B30" s="322" t="s">
        <v>439</v>
      </c>
      <c r="C30" s="463" t="s">
        <v>970</v>
      </c>
      <c r="D30" s="463" t="s">
        <v>34</v>
      </c>
      <c r="E30" s="466" t="s">
        <v>33</v>
      </c>
    </row>
    <row r="31" spans="1:5" x14ac:dyDescent="0.25">
      <c r="A31" s="321" t="s">
        <v>443</v>
      </c>
      <c r="B31" s="322" t="s">
        <v>444</v>
      </c>
      <c r="C31" s="463" t="s">
        <v>259</v>
      </c>
      <c r="D31" s="463" t="s">
        <v>34</v>
      </c>
      <c r="E31" s="466" t="s">
        <v>39</v>
      </c>
    </row>
    <row r="32" spans="1:5" x14ac:dyDescent="0.25">
      <c r="A32" s="321" t="s">
        <v>450</v>
      </c>
      <c r="B32" s="322" t="s">
        <v>451</v>
      </c>
      <c r="C32" s="463" t="s">
        <v>284</v>
      </c>
      <c r="D32" s="463" t="s">
        <v>34</v>
      </c>
      <c r="E32" s="466" t="s">
        <v>39</v>
      </c>
    </row>
    <row r="33" spans="1:5" x14ac:dyDescent="0.25">
      <c r="A33" s="321" t="s">
        <v>456</v>
      </c>
      <c r="B33" s="322" t="s">
        <v>457</v>
      </c>
      <c r="C33" s="463" t="s">
        <v>284</v>
      </c>
      <c r="D33" s="463" t="s">
        <v>34</v>
      </c>
      <c r="E33" s="466" t="s">
        <v>39</v>
      </c>
    </row>
    <row r="34" spans="1:5" x14ac:dyDescent="0.25">
      <c r="A34" s="321" t="s">
        <v>460</v>
      </c>
      <c r="B34" s="322" t="s">
        <v>461</v>
      </c>
      <c r="C34" s="463" t="s">
        <v>970</v>
      </c>
      <c r="D34" s="463" t="s">
        <v>34</v>
      </c>
      <c r="E34" s="466" t="s">
        <v>33</v>
      </c>
    </row>
    <row r="35" spans="1:5" x14ac:dyDescent="0.25">
      <c r="A35" s="321" t="s">
        <v>465</v>
      </c>
      <c r="B35" s="322" t="s">
        <v>466</v>
      </c>
      <c r="C35" s="463" t="s">
        <v>970</v>
      </c>
      <c r="D35" s="463" t="s">
        <v>34</v>
      </c>
      <c r="E35" s="466" t="s">
        <v>33</v>
      </c>
    </row>
    <row r="36" spans="1:5" x14ac:dyDescent="0.25">
      <c r="A36" s="321" t="s">
        <v>470</v>
      </c>
      <c r="B36" s="406" t="s">
        <v>471</v>
      </c>
      <c r="C36" s="463" t="s">
        <v>259</v>
      </c>
      <c r="D36" s="463" t="s">
        <v>34</v>
      </c>
      <c r="E36" s="466" t="s">
        <v>33</v>
      </c>
    </row>
    <row r="37" spans="1:5" x14ac:dyDescent="0.25">
      <c r="A37" s="321" t="s">
        <v>475</v>
      </c>
      <c r="B37" s="322" t="s">
        <v>476</v>
      </c>
      <c r="C37" s="463" t="s">
        <v>284</v>
      </c>
      <c r="D37" s="463" t="s">
        <v>34</v>
      </c>
      <c r="E37" s="466" t="s">
        <v>39</v>
      </c>
    </row>
    <row r="38" spans="1:5" x14ac:dyDescent="0.25">
      <c r="A38" s="321" t="s">
        <v>480</v>
      </c>
      <c r="B38" s="322" t="s">
        <v>481</v>
      </c>
      <c r="C38" s="463" t="s">
        <v>970</v>
      </c>
      <c r="D38" s="463" t="s">
        <v>34</v>
      </c>
      <c r="E38" s="466" t="s">
        <v>33</v>
      </c>
    </row>
    <row r="39" spans="1:5" x14ac:dyDescent="0.25">
      <c r="A39" s="321" t="s">
        <v>485</v>
      </c>
      <c r="B39" s="322" t="s">
        <v>486</v>
      </c>
      <c r="C39" s="463" t="s">
        <v>970</v>
      </c>
      <c r="D39" s="463" t="s">
        <v>34</v>
      </c>
      <c r="E39" s="466" t="s">
        <v>33</v>
      </c>
    </row>
    <row r="40" spans="1:5" x14ac:dyDescent="0.25">
      <c r="A40" s="321" t="s">
        <v>490</v>
      </c>
      <c r="B40" s="322" t="s">
        <v>491</v>
      </c>
      <c r="C40" s="463" t="s">
        <v>259</v>
      </c>
      <c r="D40" s="463" t="s">
        <v>34</v>
      </c>
      <c r="E40" s="466" t="s">
        <v>33</v>
      </c>
    </row>
    <row r="41" spans="1:5" x14ac:dyDescent="0.25">
      <c r="A41" s="321" t="s">
        <v>499</v>
      </c>
      <c r="B41" s="322" t="s">
        <v>500</v>
      </c>
      <c r="C41" s="463" t="s">
        <v>970</v>
      </c>
      <c r="D41" s="463" t="s">
        <v>34</v>
      </c>
      <c r="E41" s="466" t="s">
        <v>33</v>
      </c>
    </row>
    <row r="42" spans="1:5" x14ac:dyDescent="0.25">
      <c r="A42" s="321" t="s">
        <v>504</v>
      </c>
      <c r="B42" s="322" t="s">
        <v>505</v>
      </c>
      <c r="C42" s="463" t="s">
        <v>284</v>
      </c>
      <c r="D42" s="463" t="s">
        <v>34</v>
      </c>
      <c r="E42" s="466" t="s">
        <v>33</v>
      </c>
    </row>
    <row r="43" spans="1:5" x14ac:dyDescent="0.25">
      <c r="A43" s="321" t="s">
        <v>509</v>
      </c>
      <c r="B43" s="322" t="s">
        <v>510</v>
      </c>
      <c r="C43" s="463" t="s">
        <v>970</v>
      </c>
      <c r="D43" s="463" t="s">
        <v>34</v>
      </c>
      <c r="E43" s="466" t="s">
        <v>33</v>
      </c>
    </row>
    <row r="44" spans="1:5" x14ac:dyDescent="0.25">
      <c r="A44" s="321" t="s">
        <v>514</v>
      </c>
      <c r="B44" s="322" t="s">
        <v>515</v>
      </c>
      <c r="C44" s="463" t="s">
        <v>970</v>
      </c>
      <c r="D44" s="463" t="s">
        <v>34</v>
      </c>
      <c r="E44" s="466" t="s">
        <v>33</v>
      </c>
    </row>
    <row r="45" spans="1:5" x14ac:dyDescent="0.25">
      <c r="A45" s="321" t="s">
        <v>519</v>
      </c>
      <c r="B45" s="322" t="s">
        <v>520</v>
      </c>
      <c r="C45" s="463" t="s">
        <v>970</v>
      </c>
      <c r="D45" s="463" t="s">
        <v>34</v>
      </c>
      <c r="E45" s="463" t="s">
        <v>33</v>
      </c>
    </row>
    <row r="46" spans="1:5" x14ac:dyDescent="0.25">
      <c r="A46" s="321" t="s">
        <v>524</v>
      </c>
      <c r="B46" s="322" t="s">
        <v>525</v>
      </c>
      <c r="C46" s="463" t="s">
        <v>259</v>
      </c>
      <c r="D46" s="463" t="s">
        <v>34</v>
      </c>
      <c r="E46" s="466" t="s">
        <v>33</v>
      </c>
    </row>
    <row r="47" spans="1:5" x14ac:dyDescent="0.25">
      <c r="A47" s="321" t="s">
        <v>530</v>
      </c>
      <c r="B47" s="322" t="s">
        <v>531</v>
      </c>
      <c r="C47" s="463" t="s">
        <v>970</v>
      </c>
      <c r="D47" s="463" t="s">
        <v>34</v>
      </c>
      <c r="E47" s="466" t="s">
        <v>33</v>
      </c>
    </row>
    <row r="48" spans="1:5" x14ac:dyDescent="0.25">
      <c r="A48" s="321" t="s">
        <v>534</v>
      </c>
      <c r="B48" s="322" t="s">
        <v>535</v>
      </c>
      <c r="C48" s="463" t="s">
        <v>970</v>
      </c>
      <c r="D48" s="463" t="s">
        <v>34</v>
      </c>
      <c r="E48" s="466" t="s">
        <v>33</v>
      </c>
    </row>
    <row r="49" spans="1:5" x14ac:dyDescent="0.25">
      <c r="A49" s="321" t="s">
        <v>538</v>
      </c>
      <c r="B49" s="322" t="s">
        <v>539</v>
      </c>
      <c r="C49" s="463" t="s">
        <v>970</v>
      </c>
      <c r="D49" s="463" t="s">
        <v>34</v>
      </c>
      <c r="E49" s="466" t="s">
        <v>39</v>
      </c>
    </row>
    <row r="50" spans="1:5" x14ac:dyDescent="0.25">
      <c r="A50" s="321" t="s">
        <v>543</v>
      </c>
      <c r="B50" s="322" t="s">
        <v>544</v>
      </c>
      <c r="C50" s="463" t="s">
        <v>970</v>
      </c>
      <c r="D50" s="463" t="s">
        <v>34</v>
      </c>
      <c r="E50" s="466" t="s">
        <v>39</v>
      </c>
    </row>
    <row r="51" spans="1:5" x14ac:dyDescent="0.25">
      <c r="A51" s="321" t="s">
        <v>548</v>
      </c>
      <c r="B51" s="322" t="s">
        <v>549</v>
      </c>
      <c r="C51" s="463" t="s">
        <v>970</v>
      </c>
      <c r="D51" s="463" t="s">
        <v>34</v>
      </c>
      <c r="E51" s="466" t="s">
        <v>33</v>
      </c>
    </row>
    <row r="52" spans="1:5" x14ac:dyDescent="0.25">
      <c r="A52" s="321" t="s">
        <v>555</v>
      </c>
      <c r="B52" s="322" t="s">
        <v>556</v>
      </c>
      <c r="C52" s="463" t="s">
        <v>259</v>
      </c>
      <c r="D52" s="463" t="s">
        <v>34</v>
      </c>
      <c r="E52" s="466" t="s">
        <v>39</v>
      </c>
    </row>
    <row r="53" spans="1:5" x14ac:dyDescent="0.25">
      <c r="A53" s="321" t="s">
        <v>559</v>
      </c>
      <c r="B53" s="322" t="s">
        <v>560</v>
      </c>
      <c r="C53" s="463" t="s">
        <v>284</v>
      </c>
      <c r="D53" s="463" t="s">
        <v>34</v>
      </c>
      <c r="E53" s="466" t="s">
        <v>33</v>
      </c>
    </row>
    <row r="54" spans="1:5" x14ac:dyDescent="0.25">
      <c r="A54" s="321" t="s">
        <v>563</v>
      </c>
      <c r="B54" s="322" t="s">
        <v>564</v>
      </c>
      <c r="C54" s="463" t="s">
        <v>259</v>
      </c>
      <c r="D54" s="463" t="s">
        <v>34</v>
      </c>
      <c r="E54" s="466" t="s">
        <v>33</v>
      </c>
    </row>
    <row r="55" spans="1:5" x14ac:dyDescent="0.25">
      <c r="A55" s="321" t="s">
        <v>567</v>
      </c>
      <c r="B55" s="322" t="s">
        <v>568</v>
      </c>
      <c r="C55" s="463" t="s">
        <v>970</v>
      </c>
      <c r="D55" s="463" t="s">
        <v>34</v>
      </c>
      <c r="E55" s="466" t="s">
        <v>33</v>
      </c>
    </row>
    <row r="56" spans="1:5" x14ac:dyDescent="0.25">
      <c r="A56" s="321" t="s">
        <v>574</v>
      </c>
      <c r="B56" s="322" t="s">
        <v>575</v>
      </c>
      <c r="C56" s="463" t="s">
        <v>970</v>
      </c>
      <c r="D56" s="463" t="s">
        <v>34</v>
      </c>
      <c r="E56" s="466" t="s">
        <v>33</v>
      </c>
    </row>
    <row r="57" spans="1:5" x14ac:dyDescent="0.25">
      <c r="A57" s="321" t="s">
        <v>576</v>
      </c>
      <c r="B57" s="322" t="s">
        <v>577</v>
      </c>
      <c r="C57" s="463" t="s">
        <v>970</v>
      </c>
      <c r="D57" s="463" t="s">
        <v>34</v>
      </c>
      <c r="E57" s="466" t="s">
        <v>33</v>
      </c>
    </row>
    <row r="58" spans="1:5" x14ac:dyDescent="0.25">
      <c r="A58" s="321" t="s">
        <v>578</v>
      </c>
      <c r="B58" s="322" t="s">
        <v>579</v>
      </c>
      <c r="C58" s="463" t="s">
        <v>259</v>
      </c>
      <c r="D58" s="463" t="s">
        <v>34</v>
      </c>
      <c r="E58" s="463" t="s">
        <v>39</v>
      </c>
    </row>
    <row r="59" spans="1:5" x14ac:dyDescent="0.25">
      <c r="A59" s="321" t="s">
        <v>582</v>
      </c>
      <c r="B59" s="322" t="s">
        <v>583</v>
      </c>
      <c r="C59" s="463" t="s">
        <v>284</v>
      </c>
      <c r="D59" s="463" t="s">
        <v>34</v>
      </c>
      <c r="E59" s="466" t="s">
        <v>39</v>
      </c>
    </row>
    <row r="60" spans="1:5" x14ac:dyDescent="0.25">
      <c r="A60" s="321" t="s">
        <v>588</v>
      </c>
      <c r="B60" s="322" t="s">
        <v>589</v>
      </c>
      <c r="C60" s="463" t="s">
        <v>970</v>
      </c>
      <c r="D60" s="463" t="s">
        <v>34</v>
      </c>
      <c r="E60" s="466" t="s">
        <v>33</v>
      </c>
    </row>
    <row r="61" spans="1:5" x14ac:dyDescent="0.25">
      <c r="A61" s="321" t="s">
        <v>591</v>
      </c>
      <c r="B61" s="322" t="s">
        <v>983</v>
      </c>
      <c r="C61" s="463" t="s">
        <v>970</v>
      </c>
      <c r="D61" s="463" t="s">
        <v>34</v>
      </c>
      <c r="E61" s="466" t="s">
        <v>33</v>
      </c>
    </row>
    <row r="62" spans="1:5" x14ac:dyDescent="0.25">
      <c r="A62" s="321" t="s">
        <v>594</v>
      </c>
      <c r="B62" s="322" t="s">
        <v>595</v>
      </c>
      <c r="C62" s="463" t="s">
        <v>970</v>
      </c>
      <c r="D62" s="463" t="s">
        <v>34</v>
      </c>
      <c r="E62" s="466" t="s">
        <v>44</v>
      </c>
    </row>
    <row r="63" spans="1:5" x14ac:dyDescent="0.25">
      <c r="A63" s="321" t="s">
        <v>599</v>
      </c>
      <c r="B63" s="322" t="s">
        <v>600</v>
      </c>
      <c r="C63" s="463" t="s">
        <v>284</v>
      </c>
      <c r="D63" s="463" t="s">
        <v>34</v>
      </c>
      <c r="E63" s="466" t="s">
        <v>33</v>
      </c>
    </row>
    <row r="64" spans="1:5" x14ac:dyDescent="0.25">
      <c r="A64" s="321" t="s">
        <v>607</v>
      </c>
      <c r="B64" s="322" t="s">
        <v>608</v>
      </c>
      <c r="C64" s="463" t="s">
        <v>284</v>
      </c>
      <c r="D64" s="463" t="s">
        <v>34</v>
      </c>
      <c r="E64" s="466" t="s">
        <v>33</v>
      </c>
    </row>
    <row r="65" spans="1:5" x14ac:dyDescent="0.25">
      <c r="A65" s="321" t="s">
        <v>613</v>
      </c>
      <c r="B65" s="322" t="s">
        <v>614</v>
      </c>
      <c r="C65" s="463" t="s">
        <v>280</v>
      </c>
      <c r="D65" s="463" t="s">
        <v>34</v>
      </c>
      <c r="E65" s="466" t="s">
        <v>33</v>
      </c>
    </row>
    <row r="66" spans="1:5" x14ac:dyDescent="0.25">
      <c r="A66" s="321" t="s">
        <v>618</v>
      </c>
      <c r="B66" s="322" t="s">
        <v>619</v>
      </c>
      <c r="C66" s="463" t="s">
        <v>259</v>
      </c>
      <c r="D66" s="463" t="s">
        <v>34</v>
      </c>
      <c r="E66" s="466" t="s">
        <v>33</v>
      </c>
    </row>
    <row r="67" spans="1:5" x14ac:dyDescent="0.25">
      <c r="A67" s="321" t="s">
        <v>624</v>
      </c>
      <c r="B67" s="322" t="s">
        <v>625</v>
      </c>
      <c r="C67" s="463" t="s">
        <v>284</v>
      </c>
      <c r="D67" s="463" t="s">
        <v>34</v>
      </c>
      <c r="E67" s="466" t="s">
        <v>33</v>
      </c>
    </row>
    <row r="68" spans="1:5" x14ac:dyDescent="0.25">
      <c r="A68" s="322" t="s">
        <v>626</v>
      </c>
      <c r="B68" s="322" t="s">
        <v>627</v>
      </c>
      <c r="C68" s="463" t="s">
        <v>259</v>
      </c>
      <c r="D68" s="463" t="s">
        <v>34</v>
      </c>
      <c r="E68" s="466" t="s">
        <v>33</v>
      </c>
    </row>
    <row r="69" spans="1:5" x14ac:dyDescent="0.25">
      <c r="A69" s="321" t="s">
        <v>630</v>
      </c>
      <c r="B69" s="322" t="s">
        <v>631</v>
      </c>
      <c r="C69" s="463" t="s">
        <v>970</v>
      </c>
      <c r="D69" s="463" t="s">
        <v>34</v>
      </c>
      <c r="E69" s="466" t="s">
        <v>33</v>
      </c>
    </row>
    <row r="70" spans="1:5" x14ac:dyDescent="0.25">
      <c r="A70" s="321" t="s">
        <v>635</v>
      </c>
      <c r="B70" s="322" t="s">
        <v>636</v>
      </c>
      <c r="C70" s="463" t="s">
        <v>284</v>
      </c>
      <c r="D70" s="463" t="s">
        <v>34</v>
      </c>
      <c r="E70" s="466" t="s">
        <v>33</v>
      </c>
    </row>
    <row r="71" spans="1:5" x14ac:dyDescent="0.25">
      <c r="A71" s="321" t="s">
        <v>641</v>
      </c>
      <c r="B71" s="322" t="s">
        <v>642</v>
      </c>
      <c r="C71" s="463" t="s">
        <v>259</v>
      </c>
      <c r="D71" s="463" t="s">
        <v>34</v>
      </c>
      <c r="E71" s="466" t="s">
        <v>33</v>
      </c>
    </row>
    <row r="72" spans="1:5" x14ac:dyDescent="0.25">
      <c r="A72" s="321" t="s">
        <v>646</v>
      </c>
      <c r="B72" s="322" t="s">
        <v>642</v>
      </c>
      <c r="C72" s="463" t="s">
        <v>259</v>
      </c>
      <c r="D72" s="463" t="s">
        <v>34</v>
      </c>
      <c r="E72" s="466" t="s">
        <v>33</v>
      </c>
    </row>
    <row r="73" spans="1:5" x14ac:dyDescent="0.25">
      <c r="A73" s="321" t="s">
        <v>648</v>
      </c>
      <c r="B73" s="322" t="s">
        <v>984</v>
      </c>
      <c r="C73" s="463" t="s">
        <v>280</v>
      </c>
      <c r="D73" s="463" t="s">
        <v>34</v>
      </c>
      <c r="E73" s="466" t="s">
        <v>39</v>
      </c>
    </row>
    <row r="74" spans="1:5" x14ac:dyDescent="0.25">
      <c r="A74" s="321" t="s">
        <v>652</v>
      </c>
      <c r="B74" s="322" t="s">
        <v>653</v>
      </c>
      <c r="C74" s="463" t="s">
        <v>284</v>
      </c>
      <c r="D74" s="463" t="s">
        <v>34</v>
      </c>
      <c r="E74" s="466" t="s">
        <v>39</v>
      </c>
    </row>
    <row r="75" spans="1:5" x14ac:dyDescent="0.25">
      <c r="A75" s="321" t="s">
        <v>658</v>
      </c>
      <c r="B75" s="322" t="s">
        <v>659</v>
      </c>
      <c r="C75" s="463" t="s">
        <v>284</v>
      </c>
      <c r="D75" s="463" t="s">
        <v>34</v>
      </c>
      <c r="E75" s="466" t="s">
        <v>39</v>
      </c>
    </row>
    <row r="76" spans="1:5" x14ac:dyDescent="0.25">
      <c r="A76" s="321" t="s">
        <v>662</v>
      </c>
      <c r="B76" s="322" t="s">
        <v>663</v>
      </c>
      <c r="C76" s="463" t="s">
        <v>284</v>
      </c>
      <c r="D76" s="463" t="s">
        <v>34</v>
      </c>
      <c r="E76" s="466" t="s">
        <v>39</v>
      </c>
    </row>
    <row r="77" spans="1:5" x14ac:dyDescent="0.25">
      <c r="A77" s="321" t="s">
        <v>664</v>
      </c>
      <c r="B77" s="322" t="s">
        <v>665</v>
      </c>
      <c r="C77" s="463" t="s">
        <v>970</v>
      </c>
      <c r="D77" s="463" t="s">
        <v>34</v>
      </c>
      <c r="E77" s="466" t="s">
        <v>33</v>
      </c>
    </row>
    <row r="78" spans="1:5" x14ac:dyDescent="0.25">
      <c r="A78" s="321" t="s">
        <v>669</v>
      </c>
      <c r="B78" s="322" t="s">
        <v>985</v>
      </c>
      <c r="C78" s="463" t="s">
        <v>970</v>
      </c>
      <c r="D78" s="463" t="s">
        <v>34</v>
      </c>
      <c r="E78" s="466" t="s">
        <v>33</v>
      </c>
    </row>
    <row r="79" spans="1:5" x14ac:dyDescent="0.25">
      <c r="A79" s="321" t="s">
        <v>672</v>
      </c>
      <c r="B79" s="322" t="s">
        <v>673</v>
      </c>
      <c r="C79" s="463" t="s">
        <v>284</v>
      </c>
      <c r="D79" s="463" t="s">
        <v>34</v>
      </c>
      <c r="E79" s="466" t="s">
        <v>39</v>
      </c>
    </row>
    <row r="80" spans="1:5" x14ac:dyDescent="0.25">
      <c r="A80" s="321" t="s">
        <v>678</v>
      </c>
      <c r="B80" s="322" t="s">
        <v>679</v>
      </c>
      <c r="C80" s="463" t="s">
        <v>970</v>
      </c>
      <c r="D80" s="463" t="s">
        <v>34</v>
      </c>
      <c r="E80" s="466" t="s">
        <v>33</v>
      </c>
    </row>
    <row r="81" spans="1:5" x14ac:dyDescent="0.25">
      <c r="A81" s="321" t="s">
        <v>683</v>
      </c>
      <c r="B81" s="322" t="s">
        <v>684</v>
      </c>
      <c r="C81" s="463" t="s">
        <v>970</v>
      </c>
      <c r="D81" s="463" t="s">
        <v>34</v>
      </c>
      <c r="E81" s="466" t="s">
        <v>33</v>
      </c>
    </row>
    <row r="82" spans="1:5" x14ac:dyDescent="0.25">
      <c r="A82" s="321" t="s">
        <v>692</v>
      </c>
      <c r="B82" s="322" t="s">
        <v>986</v>
      </c>
      <c r="C82" s="463" t="s">
        <v>970</v>
      </c>
      <c r="D82" s="463" t="s">
        <v>34</v>
      </c>
      <c r="E82" s="466" t="s">
        <v>39</v>
      </c>
    </row>
    <row r="83" spans="1:5" x14ac:dyDescent="0.25">
      <c r="A83" s="321" t="s">
        <v>695</v>
      </c>
      <c r="B83" s="322" t="s">
        <v>696</v>
      </c>
      <c r="C83" s="463" t="s">
        <v>970</v>
      </c>
      <c r="D83" s="463" t="s">
        <v>34</v>
      </c>
      <c r="E83" s="466" t="s">
        <v>33</v>
      </c>
    </row>
    <row r="84" spans="1:5" x14ac:dyDescent="0.25">
      <c r="A84" s="321" t="s">
        <v>701</v>
      </c>
      <c r="B84" s="322" t="s">
        <v>702</v>
      </c>
      <c r="C84" s="463" t="s">
        <v>259</v>
      </c>
      <c r="D84" s="463" t="s">
        <v>34</v>
      </c>
      <c r="E84" s="466" t="s">
        <v>33</v>
      </c>
    </row>
    <row r="85" spans="1:5" x14ac:dyDescent="0.25">
      <c r="A85" s="321" t="s">
        <v>705</v>
      </c>
      <c r="B85" s="322" t="s">
        <v>706</v>
      </c>
      <c r="C85" s="463" t="s">
        <v>259</v>
      </c>
      <c r="D85" s="463" t="s">
        <v>34</v>
      </c>
      <c r="E85" s="466" t="s">
        <v>33</v>
      </c>
    </row>
    <row r="86" spans="1:5" x14ac:dyDescent="0.25">
      <c r="A86" s="321" t="s">
        <v>712</v>
      </c>
      <c r="B86" s="322" t="s">
        <v>713</v>
      </c>
      <c r="C86" s="463" t="s">
        <v>280</v>
      </c>
      <c r="D86" s="463" t="s">
        <v>34</v>
      </c>
      <c r="E86" s="466" t="s">
        <v>33</v>
      </c>
    </row>
    <row r="87" spans="1:5" ht="15.75" thickBot="1" x14ac:dyDescent="0.3">
      <c r="A87" s="321" t="s">
        <v>718</v>
      </c>
      <c r="B87" s="322" t="s">
        <v>719</v>
      </c>
      <c r="C87" s="464" t="s">
        <v>259</v>
      </c>
      <c r="D87" s="464" t="s">
        <v>34</v>
      </c>
      <c r="E87" s="466" t="s">
        <v>33</v>
      </c>
    </row>
    <row r="88" spans="1:5" ht="15.75" thickBot="1" x14ac:dyDescent="0.3">
      <c r="A88" s="321" t="s">
        <v>724</v>
      </c>
      <c r="B88" s="322" t="s">
        <v>725</v>
      </c>
      <c r="C88" s="463" t="s">
        <v>259</v>
      </c>
      <c r="D88" s="464" t="s">
        <v>34</v>
      </c>
      <c r="E88" s="466" t="s">
        <v>33</v>
      </c>
    </row>
    <row r="89" spans="1:5" ht="15.75" thickBot="1" x14ac:dyDescent="0.3">
      <c r="A89" s="321" t="s">
        <v>730</v>
      </c>
      <c r="B89" s="322" t="s">
        <v>731</v>
      </c>
      <c r="C89" s="463" t="s">
        <v>280</v>
      </c>
      <c r="D89" s="464" t="s">
        <v>34</v>
      </c>
      <c r="E89" s="466" t="s">
        <v>33</v>
      </c>
    </row>
    <row r="90" spans="1:5" ht="15.75" thickBot="1" x14ac:dyDescent="0.3">
      <c r="A90" s="321" t="s">
        <v>736</v>
      </c>
      <c r="B90" s="322" t="s">
        <v>737</v>
      </c>
      <c r="C90" s="463" t="s">
        <v>280</v>
      </c>
      <c r="D90" s="464" t="s">
        <v>34</v>
      </c>
      <c r="E90" s="466" t="s">
        <v>33</v>
      </c>
    </row>
    <row r="91" spans="1:5" ht="15.75" thickBot="1" x14ac:dyDescent="0.3">
      <c r="A91" s="321" t="s">
        <v>741</v>
      </c>
      <c r="B91" s="322" t="s">
        <v>742</v>
      </c>
      <c r="C91" s="463" t="s">
        <v>280</v>
      </c>
      <c r="D91" s="464" t="s">
        <v>34</v>
      </c>
      <c r="E91" s="466" t="s">
        <v>33</v>
      </c>
    </row>
    <row r="92" spans="1:5" ht="15.75" thickBot="1" x14ac:dyDescent="0.3">
      <c r="A92" s="321" t="s">
        <v>747</v>
      </c>
      <c r="B92" s="322" t="s">
        <v>748</v>
      </c>
      <c r="C92" s="463" t="s">
        <v>280</v>
      </c>
      <c r="D92" s="464" t="s">
        <v>34</v>
      </c>
      <c r="E92" s="466" t="s">
        <v>33</v>
      </c>
    </row>
    <row r="93" spans="1:5" ht="15.75" thickBot="1" x14ac:dyDescent="0.3">
      <c r="A93" s="321" t="s">
        <v>753</v>
      </c>
      <c r="B93" s="322" t="s">
        <v>754</v>
      </c>
      <c r="C93" s="463" t="s">
        <v>259</v>
      </c>
      <c r="D93" s="464" t="s">
        <v>34</v>
      </c>
      <c r="E93" s="466" t="s">
        <v>33</v>
      </c>
    </row>
    <row r="94" spans="1:5" ht="15.75" thickBot="1" x14ac:dyDescent="0.3">
      <c r="A94" s="321" t="s">
        <v>759</v>
      </c>
      <c r="B94" s="322" t="s">
        <v>760</v>
      </c>
      <c r="C94" s="463" t="s">
        <v>280</v>
      </c>
      <c r="D94" s="464" t="s">
        <v>34</v>
      </c>
      <c r="E94" s="466" t="s">
        <v>33</v>
      </c>
    </row>
    <row r="95" spans="1:5" ht="15.75" thickBot="1" x14ac:dyDescent="0.3">
      <c r="A95" s="321" t="s">
        <v>764</v>
      </c>
      <c r="B95" s="322" t="s">
        <v>765</v>
      </c>
      <c r="C95" s="463" t="s">
        <v>280</v>
      </c>
      <c r="D95" s="464" t="s">
        <v>34</v>
      </c>
      <c r="E95" s="466" t="s">
        <v>33</v>
      </c>
    </row>
    <row r="96" spans="1:5" ht="15.75" thickBot="1" x14ac:dyDescent="0.3">
      <c r="A96" s="321" t="s">
        <v>770</v>
      </c>
      <c r="B96" s="322" t="s">
        <v>771</v>
      </c>
      <c r="C96" s="463" t="s">
        <v>280</v>
      </c>
      <c r="D96" s="464" t="s">
        <v>34</v>
      </c>
      <c r="E96" s="466" t="s">
        <v>33</v>
      </c>
    </row>
    <row r="97" spans="1:5" ht="15.75" thickBot="1" x14ac:dyDescent="0.3">
      <c r="A97" s="321" t="s">
        <v>776</v>
      </c>
      <c r="B97" s="322" t="s">
        <v>777</v>
      </c>
      <c r="C97" s="463" t="s">
        <v>280</v>
      </c>
      <c r="D97" s="464" t="s">
        <v>34</v>
      </c>
      <c r="E97" s="466" t="s">
        <v>33</v>
      </c>
    </row>
    <row r="98" spans="1:5" ht="15.75" thickBot="1" x14ac:dyDescent="0.3">
      <c r="A98" s="321" t="s">
        <v>781</v>
      </c>
      <c r="B98" s="322" t="s">
        <v>782</v>
      </c>
      <c r="C98" s="463" t="s">
        <v>259</v>
      </c>
      <c r="D98" s="464" t="s">
        <v>34</v>
      </c>
      <c r="E98" s="466" t="s">
        <v>33</v>
      </c>
    </row>
    <row r="99" spans="1:5" ht="15.75" thickBot="1" x14ac:dyDescent="0.3">
      <c r="A99" s="321" t="s">
        <v>787</v>
      </c>
      <c r="B99" s="322" t="s">
        <v>788</v>
      </c>
      <c r="C99" s="463" t="s">
        <v>259</v>
      </c>
      <c r="D99" s="464" t="s">
        <v>34</v>
      </c>
      <c r="E99" s="466" t="s">
        <v>33</v>
      </c>
    </row>
    <row r="100" spans="1:5" ht="15.75" thickBot="1" x14ac:dyDescent="0.3">
      <c r="A100" s="321" t="s">
        <v>793</v>
      </c>
      <c r="B100" s="322" t="s">
        <v>794</v>
      </c>
      <c r="C100" s="463" t="s">
        <v>280</v>
      </c>
      <c r="D100" s="464" t="s">
        <v>34</v>
      </c>
      <c r="E100" s="466" t="s">
        <v>33</v>
      </c>
    </row>
    <row r="101" spans="1:5" ht="15.75" thickBot="1" x14ac:dyDescent="0.3">
      <c r="A101" s="321" t="s">
        <v>798</v>
      </c>
      <c r="B101" s="322" t="s">
        <v>799</v>
      </c>
      <c r="C101" s="463" t="s">
        <v>280</v>
      </c>
      <c r="D101" s="464" t="s">
        <v>34</v>
      </c>
      <c r="E101" s="466" t="s">
        <v>33</v>
      </c>
    </row>
    <row r="102" spans="1:5" ht="15.75" thickBot="1" x14ac:dyDescent="0.3">
      <c r="A102" s="321" t="s">
        <v>805</v>
      </c>
      <c r="B102" s="322" t="s">
        <v>806</v>
      </c>
      <c r="C102" s="463" t="s">
        <v>259</v>
      </c>
      <c r="D102" s="464" t="s">
        <v>34</v>
      </c>
      <c r="E102" s="466" t="s">
        <v>33</v>
      </c>
    </row>
    <row r="103" spans="1:5" ht="15.75" thickBot="1" x14ac:dyDescent="0.3">
      <c r="A103" s="321" t="s">
        <v>811</v>
      </c>
      <c r="B103" s="322" t="s">
        <v>812</v>
      </c>
      <c r="C103" s="463" t="s">
        <v>259</v>
      </c>
      <c r="D103" s="464" t="s">
        <v>34</v>
      </c>
      <c r="E103" s="466" t="s">
        <v>33</v>
      </c>
    </row>
    <row r="104" spans="1:5" ht="15.75" thickBot="1" x14ac:dyDescent="0.3">
      <c r="A104" s="321" t="s">
        <v>817</v>
      </c>
      <c r="B104" s="322" t="s">
        <v>818</v>
      </c>
      <c r="C104" s="463" t="s">
        <v>259</v>
      </c>
      <c r="D104" s="464" t="s">
        <v>34</v>
      </c>
      <c r="E104" s="466" t="s">
        <v>33</v>
      </c>
    </row>
    <row r="105" spans="1:5" ht="15.75" thickBot="1" x14ac:dyDescent="0.3">
      <c r="A105" s="321" t="s">
        <v>823</v>
      </c>
      <c r="B105" s="322" t="s">
        <v>824</v>
      </c>
      <c r="C105" s="463" t="s">
        <v>259</v>
      </c>
      <c r="D105" s="464" t="s">
        <v>34</v>
      </c>
      <c r="E105" s="466" t="s">
        <v>33</v>
      </c>
    </row>
    <row r="106" spans="1:5" ht="15.75" thickBot="1" x14ac:dyDescent="0.3">
      <c r="A106" s="321" t="s">
        <v>829</v>
      </c>
      <c r="B106" s="322" t="s">
        <v>830</v>
      </c>
      <c r="C106" s="463" t="s">
        <v>280</v>
      </c>
      <c r="D106" s="464" t="s">
        <v>34</v>
      </c>
      <c r="E106" s="466" t="s">
        <v>33</v>
      </c>
    </row>
    <row r="107" spans="1:5" ht="15.75" thickBot="1" x14ac:dyDescent="0.3">
      <c r="A107" s="321" t="s">
        <v>835</v>
      </c>
      <c r="B107" s="322" t="s">
        <v>836</v>
      </c>
      <c r="C107" s="463" t="s">
        <v>280</v>
      </c>
      <c r="D107" s="464" t="s">
        <v>34</v>
      </c>
      <c r="E107" s="466" t="s">
        <v>33</v>
      </c>
    </row>
    <row r="108" spans="1:5" ht="15.75" thickBot="1" x14ac:dyDescent="0.3">
      <c r="A108" s="321" t="s">
        <v>841</v>
      </c>
      <c r="B108" s="322" t="s">
        <v>842</v>
      </c>
      <c r="C108" s="463" t="s">
        <v>280</v>
      </c>
      <c r="D108" s="464" t="s">
        <v>34</v>
      </c>
      <c r="E108" s="466" t="s">
        <v>33</v>
      </c>
    </row>
    <row r="109" spans="1:5" ht="15.75" thickBot="1" x14ac:dyDescent="0.3">
      <c r="A109" s="321" t="s">
        <v>847</v>
      </c>
      <c r="B109" s="322" t="s">
        <v>848</v>
      </c>
      <c r="C109" s="463" t="s">
        <v>280</v>
      </c>
      <c r="D109" s="464" t="s">
        <v>34</v>
      </c>
      <c r="E109" s="466" t="s">
        <v>33</v>
      </c>
    </row>
    <row r="110" spans="1:5" ht="15.75" thickBot="1" x14ac:dyDescent="0.3">
      <c r="A110" s="321" t="s">
        <v>851</v>
      </c>
      <c r="B110" s="322" t="s">
        <v>852</v>
      </c>
      <c r="C110" s="463" t="s">
        <v>280</v>
      </c>
      <c r="D110" s="464" t="s">
        <v>34</v>
      </c>
      <c r="E110" s="466" t="s">
        <v>33</v>
      </c>
    </row>
    <row r="111" spans="1:5" ht="15.75" thickBot="1" x14ac:dyDescent="0.3">
      <c r="A111" s="321" t="s">
        <v>857</v>
      </c>
      <c r="B111" s="322" t="s">
        <v>858</v>
      </c>
      <c r="C111" s="463" t="s">
        <v>280</v>
      </c>
      <c r="D111" s="464" t="s">
        <v>34</v>
      </c>
      <c r="E111" s="466" t="s">
        <v>33</v>
      </c>
    </row>
    <row r="112" spans="1:5" ht="15.75" thickBot="1" x14ac:dyDescent="0.3">
      <c r="A112" s="321" t="s">
        <v>863</v>
      </c>
      <c r="B112" s="322" t="s">
        <v>864</v>
      </c>
      <c r="C112" s="463" t="s">
        <v>280</v>
      </c>
      <c r="D112" s="464" t="s">
        <v>34</v>
      </c>
      <c r="E112" s="466" t="s">
        <v>33</v>
      </c>
    </row>
    <row r="113" spans="1:5" ht="15.75" thickBot="1" x14ac:dyDescent="0.3">
      <c r="A113" s="321" t="s">
        <v>869</v>
      </c>
      <c r="B113" s="322" t="s">
        <v>870</v>
      </c>
      <c r="C113" s="463" t="s">
        <v>970</v>
      </c>
      <c r="D113" s="464" t="s">
        <v>34</v>
      </c>
      <c r="E113" s="466" t="s">
        <v>33</v>
      </c>
    </row>
    <row r="114" spans="1:5" ht="15.75" thickBot="1" x14ac:dyDescent="0.3">
      <c r="A114" s="321" t="s">
        <v>873</v>
      </c>
      <c r="B114" s="322" t="s">
        <v>874</v>
      </c>
      <c r="C114" s="463" t="s">
        <v>259</v>
      </c>
      <c r="D114" s="464" t="s">
        <v>34</v>
      </c>
      <c r="E114" s="466" t="s">
        <v>33</v>
      </c>
    </row>
    <row r="115" spans="1:5" ht="15.75" thickBot="1" x14ac:dyDescent="0.3">
      <c r="A115" s="321" t="s">
        <v>877</v>
      </c>
      <c r="B115" s="322" t="s">
        <v>878</v>
      </c>
      <c r="C115" s="463" t="s">
        <v>259</v>
      </c>
      <c r="D115" s="464" t="s">
        <v>34</v>
      </c>
      <c r="E115" s="466" t="s">
        <v>33</v>
      </c>
    </row>
    <row r="116" spans="1:5" ht="15.75" thickBot="1" x14ac:dyDescent="0.3">
      <c r="A116" s="321" t="s">
        <v>884</v>
      </c>
      <c r="B116" s="322" t="s">
        <v>885</v>
      </c>
      <c r="C116" s="463" t="s">
        <v>259</v>
      </c>
      <c r="D116" s="464" t="s">
        <v>34</v>
      </c>
      <c r="E116" s="466" t="s">
        <v>33</v>
      </c>
    </row>
    <row r="117" spans="1:5" ht="15.75" thickBot="1" x14ac:dyDescent="0.3">
      <c r="A117" s="321" t="s">
        <v>887</v>
      </c>
      <c r="B117" s="322" t="s">
        <v>888</v>
      </c>
      <c r="C117" s="463" t="s">
        <v>259</v>
      </c>
      <c r="D117" s="464" t="s">
        <v>34</v>
      </c>
      <c r="E117" s="466" t="s">
        <v>33</v>
      </c>
    </row>
    <row r="118" spans="1:5" ht="15.75" thickBot="1" x14ac:dyDescent="0.3">
      <c r="A118" s="321" t="s">
        <v>890</v>
      </c>
      <c r="B118" s="322" t="s">
        <v>987</v>
      </c>
      <c r="C118" s="463" t="s">
        <v>259</v>
      </c>
      <c r="D118" s="464" t="s">
        <v>34</v>
      </c>
      <c r="E118" s="466" t="s">
        <v>33</v>
      </c>
    </row>
    <row r="119" spans="1:5" ht="15.75" thickBot="1" x14ac:dyDescent="0.3">
      <c r="A119" s="321" t="s">
        <v>892</v>
      </c>
      <c r="B119" s="322" t="s">
        <v>893</v>
      </c>
      <c r="C119" s="463" t="s">
        <v>259</v>
      </c>
      <c r="D119" s="464" t="s">
        <v>34</v>
      </c>
      <c r="E119" s="466" t="s">
        <v>33</v>
      </c>
    </row>
    <row r="120" spans="1:5" ht="15.75" thickBot="1" x14ac:dyDescent="0.3">
      <c r="A120" s="321" t="s">
        <v>895</v>
      </c>
      <c r="B120" s="322" t="s">
        <v>896</v>
      </c>
      <c r="C120" s="463" t="s">
        <v>259</v>
      </c>
      <c r="D120" s="464" t="s">
        <v>34</v>
      </c>
      <c r="E120" s="466" t="s">
        <v>33</v>
      </c>
    </row>
    <row r="121" spans="1:5" ht="30.75" thickBot="1" x14ac:dyDescent="0.3">
      <c r="A121" s="321" t="s">
        <v>898</v>
      </c>
      <c r="B121" s="322" t="s">
        <v>988</v>
      </c>
      <c r="C121" s="463" t="s">
        <v>280</v>
      </c>
      <c r="D121" s="464" t="s">
        <v>34</v>
      </c>
      <c r="E121" s="466" t="s">
        <v>33</v>
      </c>
    </row>
    <row r="122" spans="1:5" ht="30.75" thickBot="1" x14ac:dyDescent="0.3">
      <c r="A122" s="321" t="s">
        <v>903</v>
      </c>
      <c r="B122" s="322" t="s">
        <v>989</v>
      </c>
      <c r="C122" s="463" t="s">
        <v>280</v>
      </c>
      <c r="D122" s="464" t="s">
        <v>34</v>
      </c>
      <c r="E122" s="466" t="s">
        <v>33</v>
      </c>
    </row>
    <row r="123" spans="1:5" ht="30.75" thickBot="1" x14ac:dyDescent="0.3">
      <c r="A123" s="321" t="s">
        <v>906</v>
      </c>
      <c r="B123" s="322" t="s">
        <v>990</v>
      </c>
      <c r="C123" s="463" t="s">
        <v>280</v>
      </c>
      <c r="D123" s="464" t="s">
        <v>34</v>
      </c>
      <c r="E123" s="466" t="s">
        <v>33</v>
      </c>
    </row>
    <row r="124" spans="1:5" ht="30.75" thickBot="1" x14ac:dyDescent="0.3">
      <c r="A124" s="321" t="s">
        <v>909</v>
      </c>
      <c r="B124" s="322" t="s">
        <v>991</v>
      </c>
      <c r="C124" s="463" t="s">
        <v>280</v>
      </c>
      <c r="D124" s="464" t="s">
        <v>34</v>
      </c>
      <c r="E124" s="466" t="s">
        <v>33</v>
      </c>
    </row>
    <row r="125" spans="1:5" ht="30.75" thickBot="1" x14ac:dyDescent="0.3">
      <c r="A125" s="321" t="s">
        <v>912</v>
      </c>
      <c r="B125" s="322" t="s">
        <v>992</v>
      </c>
      <c r="C125" s="463" t="s">
        <v>280</v>
      </c>
      <c r="D125" s="464" t="s">
        <v>34</v>
      </c>
      <c r="E125" s="466" t="s">
        <v>33</v>
      </c>
    </row>
    <row r="126" spans="1:5" ht="30.75" thickBot="1" x14ac:dyDescent="0.3">
      <c r="A126" s="321" t="s">
        <v>914</v>
      </c>
      <c r="B126" s="322" t="s">
        <v>993</v>
      </c>
      <c r="C126" s="463" t="s">
        <v>280</v>
      </c>
      <c r="D126" s="464" t="s">
        <v>34</v>
      </c>
      <c r="E126" s="466" t="s">
        <v>33</v>
      </c>
    </row>
    <row r="127" spans="1:5" ht="30.75" thickBot="1" x14ac:dyDescent="0.3">
      <c r="A127" s="321" t="s">
        <v>916</v>
      </c>
      <c r="B127" s="322" t="s">
        <v>994</v>
      </c>
      <c r="C127" s="463" t="s">
        <v>280</v>
      </c>
      <c r="D127" s="464" t="s">
        <v>34</v>
      </c>
      <c r="E127" s="466" t="s">
        <v>33</v>
      </c>
    </row>
    <row r="128" spans="1:5" ht="30.75" thickBot="1" x14ac:dyDescent="0.3">
      <c r="A128" s="321" t="s">
        <v>918</v>
      </c>
      <c r="B128" s="322" t="s">
        <v>992</v>
      </c>
      <c r="C128" s="463" t="s">
        <v>280</v>
      </c>
      <c r="D128" s="464" t="s">
        <v>34</v>
      </c>
      <c r="E128" s="466" t="s">
        <v>33</v>
      </c>
    </row>
    <row r="129" spans="1:5" ht="30.75" thickBot="1" x14ac:dyDescent="0.3">
      <c r="A129" s="321" t="s">
        <v>920</v>
      </c>
      <c r="B129" s="322" t="s">
        <v>995</v>
      </c>
      <c r="C129" s="463" t="s">
        <v>280</v>
      </c>
      <c r="D129" s="464" t="s">
        <v>34</v>
      </c>
      <c r="E129" s="466" t="s">
        <v>33</v>
      </c>
    </row>
    <row r="130" spans="1:5" ht="30.75" thickBot="1" x14ac:dyDescent="0.3">
      <c r="A130" s="321" t="s">
        <v>922</v>
      </c>
      <c r="B130" s="322" t="s">
        <v>996</v>
      </c>
      <c r="C130" s="463" t="s">
        <v>280</v>
      </c>
      <c r="D130" s="464" t="s">
        <v>34</v>
      </c>
      <c r="E130" s="466" t="s">
        <v>33</v>
      </c>
    </row>
    <row r="131" spans="1:5" ht="30.75" thickBot="1" x14ac:dyDescent="0.3">
      <c r="A131" s="321" t="s">
        <v>925</v>
      </c>
      <c r="B131" s="322" t="s">
        <v>997</v>
      </c>
      <c r="C131" s="463" t="s">
        <v>280</v>
      </c>
      <c r="D131" s="464" t="s">
        <v>34</v>
      </c>
      <c r="E131" s="466" t="s">
        <v>33</v>
      </c>
    </row>
    <row r="132" spans="1:5" ht="30.75" thickBot="1" x14ac:dyDescent="0.3">
      <c r="A132" s="321" t="s">
        <v>927</v>
      </c>
      <c r="B132" s="322" t="s">
        <v>998</v>
      </c>
      <c r="C132" s="463" t="s">
        <v>280</v>
      </c>
      <c r="D132" s="464" t="s">
        <v>34</v>
      </c>
      <c r="E132" s="466" t="s">
        <v>33</v>
      </c>
    </row>
    <row r="133" spans="1:5" ht="30.75" thickBot="1" x14ac:dyDescent="0.3">
      <c r="A133" s="321" t="s">
        <v>929</v>
      </c>
      <c r="B133" s="322" t="s">
        <v>999</v>
      </c>
      <c r="C133" s="463" t="s">
        <v>280</v>
      </c>
      <c r="D133" s="464" t="s">
        <v>34</v>
      </c>
      <c r="E133" s="466" t="s">
        <v>33</v>
      </c>
    </row>
    <row r="134" spans="1:5" ht="30.75" thickBot="1" x14ac:dyDescent="0.3">
      <c r="A134" s="321" t="s">
        <v>931</v>
      </c>
      <c r="B134" s="322" t="s">
        <v>1000</v>
      </c>
      <c r="C134" s="463" t="s">
        <v>280</v>
      </c>
      <c r="D134" s="464" t="s">
        <v>34</v>
      </c>
      <c r="E134" s="466" t="s">
        <v>33</v>
      </c>
    </row>
    <row r="135" spans="1:5" ht="30.75" thickBot="1" x14ac:dyDescent="0.3">
      <c r="A135" s="321" t="s">
        <v>933</v>
      </c>
      <c r="B135" s="322" t="s">
        <v>1001</v>
      </c>
      <c r="C135" s="463" t="s">
        <v>280</v>
      </c>
      <c r="D135" s="464" t="s">
        <v>34</v>
      </c>
      <c r="E135" s="466" t="s">
        <v>33</v>
      </c>
    </row>
    <row r="136" spans="1:5" ht="30.75" thickBot="1" x14ac:dyDescent="0.3">
      <c r="A136" s="321" t="s">
        <v>935</v>
      </c>
      <c r="B136" s="322" t="s">
        <v>1002</v>
      </c>
      <c r="C136" s="463" t="s">
        <v>280</v>
      </c>
      <c r="D136" s="464" t="s">
        <v>34</v>
      </c>
      <c r="E136" s="466" t="s">
        <v>33</v>
      </c>
    </row>
    <row r="137" spans="1:5" ht="30.75" thickBot="1" x14ac:dyDescent="0.3">
      <c r="A137" s="321" t="s">
        <v>937</v>
      </c>
      <c r="B137" s="322" t="s">
        <v>1003</v>
      </c>
      <c r="C137" s="463" t="s">
        <v>280</v>
      </c>
      <c r="D137" s="464" t="s">
        <v>34</v>
      </c>
      <c r="E137" s="466" t="s">
        <v>33</v>
      </c>
    </row>
    <row r="138" spans="1:5" ht="30.75" thickBot="1" x14ac:dyDescent="0.3">
      <c r="A138" s="321" t="s">
        <v>940</v>
      </c>
      <c r="B138" s="322" t="s">
        <v>1004</v>
      </c>
      <c r="C138" s="463" t="s">
        <v>280</v>
      </c>
      <c r="D138" s="464" t="s">
        <v>34</v>
      </c>
      <c r="E138" s="466" t="s">
        <v>33</v>
      </c>
    </row>
    <row r="139" spans="1:5" ht="30.75" thickBot="1" x14ac:dyDescent="0.3">
      <c r="A139" s="321" t="s">
        <v>942</v>
      </c>
      <c r="B139" s="322" t="s">
        <v>1005</v>
      </c>
      <c r="C139" s="463" t="s">
        <v>280</v>
      </c>
      <c r="D139" s="464" t="s">
        <v>34</v>
      </c>
      <c r="E139" s="466" t="s">
        <v>33</v>
      </c>
    </row>
    <row r="140" spans="1:5" ht="30.75" thickBot="1" x14ac:dyDescent="0.3">
      <c r="A140" s="321" t="s">
        <v>1006</v>
      </c>
      <c r="B140" s="322" t="s">
        <v>1007</v>
      </c>
      <c r="C140" s="463" t="s">
        <v>280</v>
      </c>
      <c r="D140" s="464" t="s">
        <v>34</v>
      </c>
      <c r="E140" s="466" t="s">
        <v>33</v>
      </c>
    </row>
    <row r="141" spans="1:5" ht="30.75" thickBot="1" x14ac:dyDescent="0.3">
      <c r="A141" s="321" t="s">
        <v>946</v>
      </c>
      <c r="B141" s="322" t="s">
        <v>1008</v>
      </c>
      <c r="C141" s="463" t="s">
        <v>280</v>
      </c>
      <c r="D141" s="464" t="s">
        <v>34</v>
      </c>
      <c r="E141" s="466" t="s">
        <v>33</v>
      </c>
    </row>
    <row r="142" spans="1:5" ht="30.75" thickBot="1" x14ac:dyDescent="0.3">
      <c r="A142" s="321" t="s">
        <v>948</v>
      </c>
      <c r="B142" s="322" t="s">
        <v>1009</v>
      </c>
      <c r="C142" s="463" t="s">
        <v>280</v>
      </c>
      <c r="D142" s="464" t="s">
        <v>34</v>
      </c>
      <c r="E142" s="466" t="s">
        <v>33</v>
      </c>
    </row>
    <row r="143" spans="1:5" ht="30.75" thickBot="1" x14ac:dyDescent="0.3">
      <c r="A143" s="321" t="s">
        <v>950</v>
      </c>
      <c r="B143" s="322" t="s">
        <v>1010</v>
      </c>
      <c r="C143" s="463" t="s">
        <v>280</v>
      </c>
      <c r="D143" s="464" t="s">
        <v>34</v>
      </c>
      <c r="E143" s="466" t="s">
        <v>33</v>
      </c>
    </row>
    <row r="144" spans="1:5" ht="15.75" thickBot="1" x14ac:dyDescent="0.3">
      <c r="A144" s="321" t="s">
        <v>952</v>
      </c>
      <c r="B144" s="322" t="s">
        <v>953</v>
      </c>
      <c r="C144" s="463" t="s">
        <v>259</v>
      </c>
      <c r="D144" s="464" t="s">
        <v>34</v>
      </c>
      <c r="E144" s="466" t="s">
        <v>33</v>
      </c>
    </row>
    <row r="145" spans="1:5" ht="15.75" thickBot="1" x14ac:dyDescent="0.3">
      <c r="A145" s="321" t="s">
        <v>956</v>
      </c>
      <c r="B145" s="322" t="s">
        <v>957</v>
      </c>
      <c r="C145" s="463" t="s">
        <v>259</v>
      </c>
      <c r="D145" s="464" t="s">
        <v>34</v>
      </c>
      <c r="E145" s="466" t="s">
        <v>33</v>
      </c>
    </row>
    <row r="146" spans="1:5" ht="15.75" thickBot="1" x14ac:dyDescent="0.3">
      <c r="A146" s="321"/>
      <c r="B146" s="322"/>
      <c r="C146" s="493"/>
      <c r="D146" s="464"/>
      <c r="E146" s="466"/>
    </row>
    <row r="147" spans="1:5" ht="15.75" thickBot="1" x14ac:dyDescent="0.3">
      <c r="A147" s="321"/>
      <c r="B147" s="322"/>
      <c r="C147" s="493"/>
      <c r="D147" s="464"/>
      <c r="E147" s="466"/>
    </row>
    <row r="148" spans="1:5" ht="15.75" thickBot="1" x14ac:dyDescent="0.3">
      <c r="A148" s="321"/>
      <c r="B148" s="322"/>
      <c r="C148" s="493"/>
      <c r="D148" s="464"/>
      <c r="E148" s="466"/>
    </row>
    <row r="149" spans="1:5" ht="15.75" thickBot="1" x14ac:dyDescent="0.3">
      <c r="A149" s="321"/>
      <c r="B149" s="322"/>
      <c r="C149" s="493"/>
      <c r="D149" s="464"/>
      <c r="E149" s="466"/>
    </row>
    <row r="150" spans="1:5" ht="15.75" thickBot="1" x14ac:dyDescent="0.3">
      <c r="A150" s="321"/>
      <c r="B150" s="322"/>
      <c r="C150" s="493"/>
      <c r="D150" s="464"/>
      <c r="E150" s="466"/>
    </row>
    <row r="151" spans="1:5" ht="15.75" thickBot="1" x14ac:dyDescent="0.3">
      <c r="A151" s="321"/>
      <c r="B151" s="322"/>
      <c r="C151" s="493"/>
      <c r="D151" s="464"/>
      <c r="E151" s="466"/>
    </row>
  </sheetData>
  <mergeCells count="5">
    <mergeCell ref="A1:I1"/>
    <mergeCell ref="G4:G6"/>
    <mergeCell ref="G7:G10"/>
    <mergeCell ref="G11:G13"/>
    <mergeCell ref="H15:I15"/>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57"/>
  <sheetViews>
    <sheetView zoomScale="57" zoomScaleNormal="57" workbookViewId="0">
      <pane xSplit="4" ySplit="6" topLeftCell="O20" activePane="bottomRight" state="frozen"/>
      <selection pane="topRight" activeCell="D1" sqref="D1"/>
      <selection pane="bottomLeft" activeCell="A3" sqref="A3"/>
      <selection pane="bottomRight" activeCell="D24" sqref="D24"/>
    </sheetView>
  </sheetViews>
  <sheetFormatPr defaultColWidth="8.5703125" defaultRowHeight="15" x14ac:dyDescent="0.25"/>
  <cols>
    <col min="1" max="1" width="16.85546875" style="182" bestFit="1" customWidth="1"/>
    <col min="2" max="2" width="28.28515625" style="189" bestFit="1" customWidth="1"/>
    <col min="3" max="3" width="9.85546875" style="189" bestFit="1" customWidth="1"/>
    <col min="4" max="4" width="68" style="182"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19.42578125" style="182" customWidth="1"/>
    <col min="22" max="22" width="45.7109375" style="182" customWidth="1"/>
    <col min="23" max="16384" width="8.5703125" style="182"/>
  </cols>
  <sheetData>
    <row r="1" spans="1:22" s="177" customFormat="1" ht="19.5" thickBot="1" x14ac:dyDescent="0.3">
      <c r="A1" s="578" t="s">
        <v>1011</v>
      </c>
      <c r="B1" s="579"/>
      <c r="C1" s="579"/>
      <c r="D1" s="579"/>
      <c r="E1" s="579"/>
      <c r="F1" s="579"/>
      <c r="G1" s="579"/>
      <c r="H1" s="579"/>
      <c r="I1" s="579"/>
      <c r="J1" s="579"/>
      <c r="K1" s="579"/>
      <c r="L1" s="579"/>
      <c r="M1" s="579"/>
      <c r="N1" s="579"/>
      <c r="O1" s="579"/>
      <c r="P1" s="579"/>
      <c r="Q1" s="579"/>
      <c r="R1" s="579"/>
      <c r="S1" s="579"/>
      <c r="T1" s="579"/>
      <c r="U1" s="674"/>
      <c r="V1" s="490"/>
    </row>
    <row r="2" spans="1:22" s="186" customFormat="1" ht="18.75" x14ac:dyDescent="0.25">
      <c r="A2" s="637" t="s">
        <v>302</v>
      </c>
      <c r="B2" s="638"/>
      <c r="C2" s="638"/>
      <c r="D2" s="638"/>
      <c r="E2" s="638"/>
      <c r="F2" s="639"/>
      <c r="G2" s="375">
        <f>COUNTIF(G7:G152,"Yes")</f>
        <v>142</v>
      </c>
      <c r="H2" s="375">
        <f>COUNTIF(H7:H152,"Yes")</f>
        <v>142</v>
      </c>
      <c r="I2" s="670">
        <f>'Diags Raw Data'!K152</f>
        <v>170</v>
      </c>
      <c r="J2" s="679">
        <f>'Diags Raw Data'!L152</f>
        <v>141</v>
      </c>
      <c r="K2" s="681">
        <f>'Diags Raw Data'!N152</f>
        <v>1</v>
      </c>
      <c r="L2" s="683">
        <f>'Diags Raw Data'!P152</f>
        <v>1</v>
      </c>
      <c r="M2" s="685">
        <f>'Diags Raw Data'!R152</f>
        <v>48458</v>
      </c>
      <c r="N2" s="652">
        <f>SUM('Diags Raw Data'!T152+'Diags Raw Data'!U152)</f>
        <v>48588</v>
      </c>
      <c r="O2" s="675">
        <f>IF((M155=0),0,N155/M155)</f>
        <v>1.0026827355648191</v>
      </c>
      <c r="P2" s="677">
        <f>'Diags Raw Data'!Z152</f>
        <v>88733</v>
      </c>
      <c r="Q2" s="668">
        <f>SUM('Diags Raw Data'!AA152+'Diags Raw Data'!AB152)</f>
        <v>88733</v>
      </c>
      <c r="R2" s="663">
        <f>IF((J155=0),0,P155/J155)</f>
        <v>629.3120567375887</v>
      </c>
      <c r="S2" s="663">
        <f>IF((P155=0),0,Q155/P155)</f>
        <v>1</v>
      </c>
      <c r="T2" s="663">
        <f>R155*S155</f>
        <v>629.3120567375887</v>
      </c>
      <c r="U2" s="665">
        <f>T2-'Diags Raw Data'!AK2</f>
        <v>629.3120567375887</v>
      </c>
      <c r="V2" s="654" t="s">
        <v>1012</v>
      </c>
    </row>
    <row r="3" spans="1:22" ht="19.5" thickBot="1" x14ac:dyDescent="0.3">
      <c r="A3" s="640"/>
      <c r="B3" s="641"/>
      <c r="C3" s="641"/>
      <c r="D3" s="641"/>
      <c r="E3" s="641"/>
      <c r="F3" s="642"/>
      <c r="G3" s="376">
        <f>COUNTIF(G7:G152,"Yes")/COUNTA(A7:A152)</f>
        <v>0.99300699300699302</v>
      </c>
      <c r="H3" s="376">
        <f>(COUNTIF(H7:H152,"Yes")/G155)</f>
        <v>1</v>
      </c>
      <c r="I3" s="671"/>
      <c r="J3" s="680"/>
      <c r="K3" s="682"/>
      <c r="L3" s="684"/>
      <c r="M3" s="686"/>
      <c r="N3" s="653"/>
      <c r="O3" s="676"/>
      <c r="P3" s="678"/>
      <c r="Q3" s="669"/>
      <c r="R3" s="664"/>
      <c r="S3" s="664"/>
      <c r="T3" s="664"/>
      <c r="U3" s="666"/>
      <c r="V3" s="655"/>
    </row>
    <row r="4" spans="1:22" ht="19.5" thickBot="1" x14ac:dyDescent="0.3">
      <c r="A4" s="580" t="s">
        <v>1013</v>
      </c>
      <c r="B4" s="581"/>
      <c r="C4" s="581"/>
      <c r="D4" s="581"/>
      <c r="E4" s="581"/>
      <c r="F4" s="581"/>
      <c r="G4" s="581"/>
      <c r="H4" s="581"/>
      <c r="I4" s="581"/>
      <c r="J4" s="581"/>
      <c r="K4" s="581"/>
      <c r="L4" s="581"/>
      <c r="M4" s="581"/>
      <c r="N4" s="581"/>
      <c r="O4" s="581"/>
      <c r="P4" s="581"/>
      <c r="Q4" s="581"/>
      <c r="R4" s="581"/>
      <c r="S4" s="581"/>
      <c r="T4" s="581"/>
      <c r="U4" s="656"/>
      <c r="V4" s="491"/>
    </row>
    <row r="5" spans="1:22" s="177" customFormat="1" ht="31.5" customHeight="1" thickBot="1" x14ac:dyDescent="0.3">
      <c r="A5" s="628" t="s">
        <v>76</v>
      </c>
      <c r="B5" s="629"/>
      <c r="C5" s="629"/>
      <c r="D5" s="629"/>
      <c r="E5" s="629"/>
      <c r="F5" s="629"/>
      <c r="G5" s="629"/>
      <c r="H5" s="629"/>
      <c r="I5" s="629"/>
      <c r="J5" s="630"/>
      <c r="K5" s="626" t="s">
        <v>113</v>
      </c>
      <c r="L5" s="627"/>
      <c r="M5" s="631" t="s">
        <v>124</v>
      </c>
      <c r="N5" s="632"/>
      <c r="O5" s="633"/>
      <c r="P5" s="634" t="s">
        <v>144</v>
      </c>
      <c r="Q5" s="635"/>
      <c r="R5" s="635"/>
      <c r="S5" s="635"/>
      <c r="T5" s="635"/>
      <c r="U5" s="636"/>
      <c r="V5" s="176"/>
    </row>
    <row r="6" spans="1:22" s="179" customFormat="1" ht="15.75" thickBot="1" x14ac:dyDescent="0.3">
      <c r="A6" s="343" t="s">
        <v>77</v>
      </c>
      <c r="B6" s="359" t="s">
        <v>81</v>
      </c>
      <c r="C6" s="359" t="s">
        <v>96</v>
      </c>
      <c r="D6" s="359" t="s">
        <v>212</v>
      </c>
      <c r="E6" s="359" t="s">
        <v>88</v>
      </c>
      <c r="F6" s="359" t="s">
        <v>1</v>
      </c>
      <c r="G6" s="360" t="s">
        <v>215</v>
      </c>
      <c r="H6" s="360" t="s">
        <v>218</v>
      </c>
      <c r="I6" s="361" t="s">
        <v>105</v>
      </c>
      <c r="J6" s="361" t="s">
        <v>221</v>
      </c>
      <c r="K6" s="344" t="s">
        <v>114</v>
      </c>
      <c r="L6" s="345" t="s">
        <v>121</v>
      </c>
      <c r="M6" s="336" t="s">
        <v>227</v>
      </c>
      <c r="N6" s="337" t="s">
        <v>229</v>
      </c>
      <c r="O6" s="335" t="s">
        <v>187</v>
      </c>
      <c r="P6" s="346" t="s">
        <v>232</v>
      </c>
      <c r="Q6" s="338" t="s">
        <v>229</v>
      </c>
      <c r="R6" s="339" t="s">
        <v>184</v>
      </c>
      <c r="S6" s="339" t="s">
        <v>140</v>
      </c>
      <c r="T6" s="340" t="s">
        <v>187</v>
      </c>
      <c r="U6" s="341" t="s">
        <v>1014</v>
      </c>
      <c r="V6" s="178"/>
    </row>
    <row r="7" spans="1:22" ht="75.75" thickBot="1" x14ac:dyDescent="0.3">
      <c r="A7" s="321" t="s">
        <v>315</v>
      </c>
      <c r="B7" s="407" t="str">
        <f>VLOOKUP(A7,'Feature Raw Data'!$A$3:$B$3847,2,FALSE)</f>
        <v>WS.Storm.Core.ISA.1</v>
      </c>
      <c r="C7" s="408" t="str">
        <f>VLOOKUP(A7,'Feature Raw Data'!$A$3:$C$3929,3,FALSE)</f>
        <v>P4</v>
      </c>
      <c r="D7" s="409" t="str" cm="1">
        <f t="array" ref="D7">_xlfn.TEXTJOIN("",TRUE,IF(ISNUMBER(SEARCH($A7,'Diags Raw Data'!$A$6:$A$3768)),CONCATENATE('Diags Raw Data'!$H$6:$H$3768,", "),""))</f>
        <v xml:space="preserve">all_insts.yml, </v>
      </c>
      <c r="E7" s="410" t="str">
        <f>VLOOKUP(A7,'Diags Raw Data'!$A$6:$D$3768,4,FALSE)</f>
        <v>CORE-09</v>
      </c>
      <c r="F7" s="410" t="str">
        <f>VLOOKUP(A7,'Feature Raw Data'!$A$3:$E$3847,5,FALSE)</f>
        <v>Legacy</v>
      </c>
      <c r="G7" s="410" t="str">
        <f t="shared" ref="G7" si="0">IF(D7="","No","Yes")</f>
        <v>Yes</v>
      </c>
      <c r="H7" s="410" t="str">
        <f t="shared" ref="H7" si="1">IF(D7="","No","Yes")</f>
        <v>Yes</v>
      </c>
      <c r="I7" s="412">
        <f>SUMIF('Diags Raw Data'!$A$6:$A$3768,"*"&amp;$A7&amp;"*",'Diags Raw Data'!$K$6:$K$3768)</f>
        <v>1</v>
      </c>
      <c r="J7" s="413">
        <f>SUMIF('Diags Raw Data'!$A$6:$A$3768,"*"&amp;$A7&amp;"*",'Diags Raw Data'!$L$6:$L$3768)</f>
        <v>1</v>
      </c>
      <c r="K7" s="432" cm="1">
        <f t="array" ref="K7">IF(D7="",0, SUMPRODUCT(--(ISNUMBER(SEARCH($A7,'Diags Raw Data'!$A$6:$A$3766))),'Diags Raw Data'!$L$6:$L$3766,'Diags Raw Data'!$N$6:$N$3766)/J7)</f>
        <v>1</v>
      </c>
      <c r="L7" s="433" cm="1">
        <f t="array" ref="L7">IF(D7="",0, SUMPRODUCT(--(ISNUMBER(SEARCH($A7,'Diags Raw Data'!$A$6:$A$3766))),'Diags Raw Data'!$L$6:$L$3766,'Diags Raw Data'!$P$6:$P$3766)/J7)</f>
        <v>1</v>
      </c>
      <c r="M7" s="434" cm="1">
        <f t="array" ref="M7">SUMPRODUCT(--(ISNUMBER(SEARCH($A7,'Diags Raw Data'!$A$6:$A$3766))),--('Diags Raw Data'!$Q$6:$Q$3766&lt;&gt;"N/A"),'Diags Raw Data'!$T$6:$T$3766)+SUMPRODUCT(--(ISNUMBER(SEARCH($A7,'Diags Raw Data'!$A$6:$A$3766))),--('Diags Raw Data'!$Q$6:$Q$3766&lt;&gt;"N/A"),'Diags Raw Data'!$U$6:$U$3766)</f>
        <v>2000</v>
      </c>
      <c r="N7" s="434" cm="1">
        <f t="array" ref="N7">SUMPRODUCT(--(ISNUMBER(SEARCH($A7,'Diags Raw Data'!$A$6:$A$3766))),--('Diags Raw Data'!$Q$6:$Q$3766&lt;&gt;"N/A"),'Diags Raw Data'!$T$6:$T$3766)+SUMPRODUCT(--(ISNUMBER(SEARCH($A7,'Diags Raw Data'!$A$6:$A$3766))),--('Diags Raw Data'!$Q$6:$Q$3766&lt;&gt;"N/A"),'Diags Raw Data'!$U$6:$U$3766)</f>
        <v>2000</v>
      </c>
      <c r="O7" s="435">
        <f>IF((M7=0),0,N7/M7)</f>
        <v>1</v>
      </c>
      <c r="P7" s="436">
        <f>SUMIF('Diags Raw Data'!$A$6:$A$3766,"*"&amp;$A7&amp;"*",'Diags Raw Data'!$Z$6:$Z$3766)</f>
        <v>6000</v>
      </c>
      <c r="Q7" s="437">
        <f>SUM(SUMIF('Diags Raw Data'!$A$6:$A$3766,"*"&amp;$A7&amp;"*",'Diags Raw Data'!$AA$6:$AA$3766),SUMIF('Diags Raw Data'!$A$6:$A$3766,"*"&amp;$A7&amp;"*",'Diags Raw Data'!$AB$6:$AB$3766))</f>
        <v>6000</v>
      </c>
      <c r="R7" s="438">
        <f>IF((J7=0),0,P7/J7)</f>
        <v>6000</v>
      </c>
      <c r="S7" s="438">
        <f>IF((P7=0),0,Q7/P7)</f>
        <v>1</v>
      </c>
      <c r="T7" s="439">
        <f>R7*S7</f>
        <v>6000</v>
      </c>
      <c r="U7" s="411" t="s">
        <v>1015</v>
      </c>
      <c r="V7" s="181"/>
    </row>
    <row r="8" spans="1:22" ht="75.75" thickBot="1" x14ac:dyDescent="0.3">
      <c r="A8" s="321" t="s">
        <v>325</v>
      </c>
      <c r="B8" s="407" t="str">
        <f>VLOOKUP(A8,'Feature Raw Data'!$A$3:$B$3847,2,FALSE)</f>
        <v>WS.Storm.Core.ISA.2</v>
      </c>
      <c r="C8" s="408" t="str">
        <f>VLOOKUP(A8,'Feature Raw Data'!$A$3:$C$3929,3,FALSE)</f>
        <v>P4</v>
      </c>
      <c r="D8" s="409" t="str" cm="1">
        <f t="array" ref="D8">_xlfn.TEXTJOIN("",TRUE,IF(ISNUMBER(SEARCH($A8,'Diags Raw Data'!$A$6:$A$3768)),CONCATENATE('Diags Raw Data'!$H$6:$H$3768,", "),""))</f>
        <v xml:space="preserve">all_insts_in_guest_mode.yml, </v>
      </c>
      <c r="E8" s="410" t="str">
        <f>VLOOKUP(A8,'Diags Raw Data'!$A$6:$D$3768,4,FALSE)</f>
        <v>CORE-09</v>
      </c>
      <c r="F8" s="410" t="str">
        <f>VLOOKUP(A8,'Feature Raw Data'!$A$3:$E$3847,5,FALSE)</f>
        <v>Legacy</v>
      </c>
      <c r="G8" s="410" t="str">
        <f t="shared" ref="G8" si="2">IF(D8="","No","Yes")</f>
        <v>Yes</v>
      </c>
      <c r="H8" s="410" t="str">
        <f t="shared" ref="H8" si="3">IF(D8="","No","Yes")</f>
        <v>Yes</v>
      </c>
      <c r="I8" s="412">
        <f>SUMIF('Diags Raw Data'!$A$6:$A$3768,"*"&amp;$A8&amp;"*",'Diags Raw Data'!$K$6:$K$3768)</f>
        <v>1</v>
      </c>
      <c r="J8" s="413">
        <f>SUMIF('Diags Raw Data'!$A$6:$A$3768,"*"&amp;$A8&amp;"*",'Diags Raw Data'!$L$6:$L$3768)</f>
        <v>1</v>
      </c>
      <c r="K8" s="432" cm="1">
        <f t="array" ref="K8">IF(D8="",0, SUMPRODUCT(--(ISNUMBER(SEARCH($A8,'Diags Raw Data'!$A$6:$A$3766))),'Diags Raw Data'!$L$6:$L$3766,'Diags Raw Data'!$N$6:$N$3766)/J8)</f>
        <v>1</v>
      </c>
      <c r="L8" s="433" cm="1">
        <f t="array" ref="L8">IF(D8="",0, SUMPRODUCT(--(ISNUMBER(SEARCH($A8,'Diags Raw Data'!$A$6:$A$3766))),'Diags Raw Data'!$L$6:$L$3766,'Diags Raw Data'!$P$6:$P$3766)/J8)</f>
        <v>1</v>
      </c>
      <c r="M8" s="434" cm="1">
        <f t="array" ref="M8">SUMPRODUCT(--(ISNUMBER(SEARCH($A8,'Diags Raw Data'!$A$6:$A$3766))),--('Diags Raw Data'!$Q$6:$Q$3766&lt;&gt;"N/A"),'Diags Raw Data'!$T$6:$T$3766)+SUMPRODUCT(--(ISNUMBER(SEARCH($A8,'Diags Raw Data'!$A$6:$A$3766))),--('Diags Raw Data'!$Q$6:$Q$3766&lt;&gt;"N/A"),'Diags Raw Data'!$U$6:$U$3766)</f>
        <v>2173</v>
      </c>
      <c r="N8" s="434" cm="1">
        <f t="array" ref="N8">SUMPRODUCT(--(ISNUMBER(SEARCH($A8,'Diags Raw Data'!$A$6:$A$3766))),--('Diags Raw Data'!$Q$6:$Q$3766&lt;&gt;"N/A"),'Diags Raw Data'!$T$6:$T$3766)+SUMPRODUCT(--(ISNUMBER(SEARCH($A8,'Diags Raw Data'!$A$6:$A$3766))),--('Diags Raw Data'!$Q$6:$Q$3766&lt;&gt;"N/A"),'Diags Raw Data'!$U$6:$U$3766)</f>
        <v>2173</v>
      </c>
      <c r="O8" s="435">
        <f t="shared" ref="O8:O64" si="4">IF((M8=0),0,N8/M8)</f>
        <v>1</v>
      </c>
      <c r="P8" s="436">
        <f>SUMIF('Diags Raw Data'!$A$6:$A$3766,"*"&amp;$A8&amp;"*",'Diags Raw Data'!$Z$6:$Z$3766)</f>
        <v>1000</v>
      </c>
      <c r="Q8" s="437">
        <f>SUM(SUMIF('Diags Raw Data'!$A$6:$A$3766,"*"&amp;$A8&amp;"*",'Diags Raw Data'!$AA$6:$AA$3766),SUMIF('Diags Raw Data'!$A$6:$A$3766,"*"&amp;$A8&amp;"*",'Diags Raw Data'!$AB$6:$AB$3766))</f>
        <v>1000</v>
      </c>
      <c r="R8" s="438">
        <f t="shared" ref="R8:R64" si="5">IF((J8=0),0,P8/J8)</f>
        <v>1000</v>
      </c>
      <c r="S8" s="438">
        <f t="shared" ref="S8:S64" si="6">IF((P8=0),0,Q8/P8)</f>
        <v>1</v>
      </c>
      <c r="T8" s="439">
        <f t="shared" ref="T8:T64" si="7">R8*S8</f>
        <v>1000</v>
      </c>
      <c r="U8" s="414" t="s">
        <v>1015</v>
      </c>
      <c r="V8" s="181"/>
    </row>
    <row r="9" spans="1:22" ht="75.75" thickBot="1" x14ac:dyDescent="0.3">
      <c r="A9" s="321" t="s">
        <v>329</v>
      </c>
      <c r="B9" s="407" t="str">
        <f>VLOOKUP(A9,'Feature Raw Data'!$A$3:$B$3847,2,FALSE)</f>
        <v>WS.Storm.Core.ISA.3</v>
      </c>
      <c r="C9" s="408" t="str">
        <f>VLOOKUP(A9,'Feature Raw Data'!$A$3:$C$3929,3,FALSE)</f>
        <v>P4</v>
      </c>
      <c r="D9" s="409" t="str" cm="1">
        <f t="array" ref="D9">_xlfn.TEXTJOIN("",TRUE,IF(ISNUMBER(SEARCH($A9,'Diags Raw Data'!$A$6:$A$3768)),CONCATENATE('Diags Raw Data'!$H$6:$H$3768,", "),""))</f>
        <v xml:space="preserve">deluge.yml, </v>
      </c>
      <c r="E9" s="410" t="str">
        <f>VLOOKUP(A9,'Diags Raw Data'!$A$6:$D$3768,4,FALSE)</f>
        <v>CORE-09</v>
      </c>
      <c r="F9" s="410" t="str">
        <f>VLOOKUP(A9,'Feature Raw Data'!$A$3:$E$3847,5,FALSE)</f>
        <v>Legacy</v>
      </c>
      <c r="G9" s="410" t="str">
        <f t="shared" ref="G9" si="8">IF(D9="","No","Yes")</f>
        <v>Yes</v>
      </c>
      <c r="H9" s="410" t="str">
        <f t="shared" ref="H9" si="9">IF(D9="","No","Yes")</f>
        <v>Yes</v>
      </c>
      <c r="I9" s="412">
        <f>SUMIF('Diags Raw Data'!$A$6:$A$3768,"*"&amp;$A9&amp;"*",'Diags Raw Data'!$K$6:$K$3768)</f>
        <v>1</v>
      </c>
      <c r="J9" s="413">
        <f>SUMIF('Diags Raw Data'!$A$6:$A$3768,"*"&amp;$A9&amp;"*",'Diags Raw Data'!$L$6:$L$3768)</f>
        <v>1</v>
      </c>
      <c r="K9" s="432" cm="1">
        <f t="array" ref="K9">IF(D9="",0, SUMPRODUCT(--(ISNUMBER(SEARCH($A9,'Diags Raw Data'!$A$6:$A$3766))),'Diags Raw Data'!$L$6:$L$3766,'Diags Raw Data'!$N$6:$N$3766)/J9)</f>
        <v>1</v>
      </c>
      <c r="L9" s="433" cm="1">
        <f t="array" ref="L9">IF(D9="",0, SUMPRODUCT(--(ISNUMBER(SEARCH($A9,'Diags Raw Data'!$A$6:$A$3766))),'Diags Raw Data'!$L$6:$L$3766,'Diags Raw Data'!$P$6:$P$3766)/J9)</f>
        <v>1</v>
      </c>
      <c r="M9" s="434" cm="1">
        <f t="array" ref="M9">SUMPRODUCT(--(ISNUMBER(SEARCH($A9,'Diags Raw Data'!$A$6:$A$3766))),--('Diags Raw Data'!$Q$6:$Q$3766&lt;&gt;"N/A"),'Diags Raw Data'!$T$6:$T$3766)+SUMPRODUCT(--(ISNUMBER(SEARCH($A9,'Diags Raw Data'!$A$6:$A$3766))),--('Diags Raw Data'!$Q$6:$Q$3766&lt;&gt;"N/A"),'Diags Raw Data'!$U$6:$U$3766)</f>
        <v>1000</v>
      </c>
      <c r="N9" s="434" cm="1">
        <f t="array" ref="N9">SUMPRODUCT(--(ISNUMBER(SEARCH($A9,'Diags Raw Data'!$A$6:$A$3766))),--('Diags Raw Data'!$Q$6:$Q$3766&lt;&gt;"N/A"),'Diags Raw Data'!$T$6:$T$3766)+SUMPRODUCT(--(ISNUMBER(SEARCH($A9,'Diags Raw Data'!$A$6:$A$3766))),--('Diags Raw Data'!$Q$6:$Q$3766&lt;&gt;"N/A"),'Diags Raw Data'!$U$6:$U$3766)</f>
        <v>1000</v>
      </c>
      <c r="O9" s="435">
        <f t="shared" si="4"/>
        <v>1</v>
      </c>
      <c r="P9" s="436">
        <f>SUMIF('Diags Raw Data'!$A$6:$A$3766,"*"&amp;$A9&amp;"*",'Diags Raw Data'!$Z$6:$Z$3766)</f>
        <v>2000</v>
      </c>
      <c r="Q9" s="437">
        <f>SUM(SUMIF('Diags Raw Data'!$A$6:$A$3766,"*"&amp;$A9&amp;"*",'Diags Raw Data'!$AA$6:$AA$3766),SUMIF('Diags Raw Data'!$A$6:$A$3766,"*"&amp;$A9&amp;"*",'Diags Raw Data'!$AB$6:$AB$3766))</f>
        <v>2000</v>
      </c>
      <c r="R9" s="438">
        <f t="shared" si="5"/>
        <v>2000</v>
      </c>
      <c r="S9" s="438">
        <f t="shared" si="6"/>
        <v>1</v>
      </c>
      <c r="T9" s="439">
        <f t="shared" si="7"/>
        <v>2000</v>
      </c>
      <c r="U9" s="414" t="s">
        <v>1015</v>
      </c>
      <c r="V9" s="181"/>
    </row>
    <row r="10" spans="1:22" ht="75.75" thickBot="1" x14ac:dyDescent="0.3">
      <c r="A10" s="321" t="s">
        <v>333</v>
      </c>
      <c r="B10" s="407" t="str">
        <f>VLOOKUP(A10,'Feature Raw Data'!$A$3:$B$3847,2,FALSE)</f>
        <v>WS.Storm.Core.ISA.4</v>
      </c>
      <c r="C10" s="408" t="str">
        <f>VLOOKUP(A10,'Feature Raw Data'!$A$3:$C$3929,3,FALSE)</f>
        <v>P4</v>
      </c>
      <c r="D10" s="409" t="str" cm="1">
        <f t="array" ref="D10">_xlfn.TEXTJOIN("",TRUE,IF(ISNUMBER(SEARCH($A10,'Diags Raw Data'!$A$6:$A$3768)),CONCATENATE('Diags Raw Data'!$H$6:$H$3768,", "),""))</f>
        <v xml:space="preserve">deluge_in_guest_mode.yml, </v>
      </c>
      <c r="E10" s="410" t="str">
        <f>VLOOKUP(A10,'Diags Raw Data'!$A$6:$D$3768,4,FALSE)</f>
        <v>CORE-09</v>
      </c>
      <c r="F10" s="410" t="str">
        <f>VLOOKUP(A10,'Feature Raw Data'!$A$3:$E$3847,5,FALSE)</f>
        <v>Legacy</v>
      </c>
      <c r="G10" s="410" t="str">
        <f t="shared" ref="G10:G73" si="10">IF(D10="","No","Yes")</f>
        <v>Yes</v>
      </c>
      <c r="H10" s="410" t="str">
        <f t="shared" ref="H10:H73" si="11">IF(D10="","No","Yes")</f>
        <v>Yes</v>
      </c>
      <c r="I10" s="412">
        <f>SUMIF('Diags Raw Data'!$A$6:$A$3768,"*"&amp;$A10&amp;"*",'Diags Raw Data'!$K$6:$K$3768)</f>
        <v>1</v>
      </c>
      <c r="J10" s="413">
        <f>SUMIF('Diags Raw Data'!$A$6:$A$3768,"*"&amp;$A10&amp;"*",'Diags Raw Data'!$L$6:$L$3768)</f>
        <v>1</v>
      </c>
      <c r="K10" s="432" cm="1">
        <f t="array" ref="K10">IF(D10="",0, SUMPRODUCT(--(ISNUMBER(SEARCH($A10,'Diags Raw Data'!$A$6:$A$3766))),'Diags Raw Data'!$L$6:$L$3766,'Diags Raw Data'!$N$6:$N$3766)/J10)</f>
        <v>1</v>
      </c>
      <c r="L10" s="433" cm="1">
        <f t="array" ref="L10">IF(D10="",0, SUMPRODUCT(--(ISNUMBER(SEARCH($A10,'Diags Raw Data'!$A$6:$A$3766))),'Diags Raw Data'!$L$6:$L$3766,'Diags Raw Data'!$P$6:$P$3766)/J10)</f>
        <v>1</v>
      </c>
      <c r="M10" s="434" cm="1">
        <f t="array" ref="M10">SUMPRODUCT(--(ISNUMBER(SEARCH($A10,'Diags Raw Data'!$A$6:$A$3766))),--('Diags Raw Data'!$Q$6:$Q$3766&lt;&gt;"N/A"),'Diags Raw Data'!$T$6:$T$3766)+SUMPRODUCT(--(ISNUMBER(SEARCH($A10,'Diags Raw Data'!$A$6:$A$3766))),--('Diags Raw Data'!$Q$6:$Q$3766&lt;&gt;"N/A"),'Diags Raw Data'!$U$6:$U$3766)</f>
        <v>1816</v>
      </c>
      <c r="N10" s="434" cm="1">
        <f t="array" ref="N10">SUMPRODUCT(--(ISNUMBER(SEARCH($A10,'Diags Raw Data'!$A$6:$A$3766))),--('Diags Raw Data'!$Q$6:$Q$3766&lt;&gt;"N/A"),'Diags Raw Data'!$T$6:$T$3766)+SUMPRODUCT(--(ISNUMBER(SEARCH($A10,'Diags Raw Data'!$A$6:$A$3766))),--('Diags Raw Data'!$Q$6:$Q$3766&lt;&gt;"N/A"),'Diags Raw Data'!$U$6:$U$3766)</f>
        <v>1816</v>
      </c>
      <c r="O10" s="435">
        <f t="shared" si="4"/>
        <v>1</v>
      </c>
      <c r="P10" s="436">
        <f>SUMIF('Diags Raw Data'!$A$6:$A$3766,"*"&amp;$A10&amp;"*",'Diags Raw Data'!$Z$6:$Z$3766)</f>
        <v>1000</v>
      </c>
      <c r="Q10" s="437">
        <f>SUM(SUMIF('Diags Raw Data'!$A$6:$A$3766,"*"&amp;$A10&amp;"*",'Diags Raw Data'!$AA$6:$AA$3766),SUMIF('Diags Raw Data'!$A$6:$A$3766,"*"&amp;$A10&amp;"*",'Diags Raw Data'!$AB$6:$AB$3766))</f>
        <v>1000</v>
      </c>
      <c r="R10" s="438">
        <f t="shared" si="5"/>
        <v>1000</v>
      </c>
      <c r="S10" s="438">
        <f t="shared" si="6"/>
        <v>1</v>
      </c>
      <c r="T10" s="439">
        <f t="shared" si="7"/>
        <v>1000</v>
      </c>
      <c r="U10" s="414" t="s">
        <v>1015</v>
      </c>
      <c r="V10" s="181"/>
    </row>
    <row r="11" spans="1:22" ht="75.75" thickBot="1" x14ac:dyDescent="0.3">
      <c r="A11" s="321" t="s">
        <v>339</v>
      </c>
      <c r="B11" s="407" t="str">
        <f>VLOOKUP(A11,'Feature Raw Data'!$A$3:$B$3847,2,FALSE)</f>
        <v>WS.Storm.Core.ISA.5</v>
      </c>
      <c r="C11" s="408" t="str">
        <f>VLOOKUP(A11,'Feature Raw Data'!$A$3:$C$3929,3,FALSE)</f>
        <v>P4</v>
      </c>
      <c r="D11" s="409" t="str" cm="1">
        <f t="array" ref="D11">_xlfn.TEXTJOIN("",TRUE,IF(ISNUMBER(SEARCH($A11,'Diags Raw Data'!$A$6:$A$3768)),CONCATENATE('Diags Raw Data'!$H$6:$H$3768,", "),""))</f>
        <v xml:space="preserve">rapid_deluge.yml, </v>
      </c>
      <c r="E11" s="410" t="str">
        <f>VLOOKUP(A11,'Diags Raw Data'!$A$6:$D$3768,4,FALSE)</f>
        <v>CORE-09</v>
      </c>
      <c r="F11" s="410" t="str">
        <f>VLOOKUP(A11,'Feature Raw Data'!$A$3:$E$3847,5,FALSE)</f>
        <v>Legacy</v>
      </c>
      <c r="G11" s="410" t="str">
        <f t="shared" si="10"/>
        <v>Yes</v>
      </c>
      <c r="H11" s="410" t="str">
        <f t="shared" si="11"/>
        <v>Yes</v>
      </c>
      <c r="I11" s="412">
        <f>SUMIF('Diags Raw Data'!$A$6:$A$3768,"*"&amp;$A11&amp;"*",'Diags Raw Data'!$K$6:$K$3768)</f>
        <v>1</v>
      </c>
      <c r="J11" s="413">
        <f>SUMIF('Diags Raw Data'!$A$6:$A$3768,"*"&amp;$A11&amp;"*",'Diags Raw Data'!$L$6:$L$3768)</f>
        <v>1</v>
      </c>
      <c r="K11" s="432" cm="1">
        <f t="array" ref="K11">IF(D11="",0, SUMPRODUCT(--(ISNUMBER(SEARCH($A11,'Diags Raw Data'!$A$6:$A$3766))),'Diags Raw Data'!$L$6:$L$3766,'Diags Raw Data'!$N$6:$N$3766)/J11)</f>
        <v>1</v>
      </c>
      <c r="L11" s="433" cm="1">
        <f t="array" ref="L11">IF(D11="",0, SUMPRODUCT(--(ISNUMBER(SEARCH($A11,'Diags Raw Data'!$A$6:$A$3766))),'Diags Raw Data'!$L$6:$L$3766,'Diags Raw Data'!$P$6:$P$3766)/J11)</f>
        <v>1</v>
      </c>
      <c r="M11" s="434" cm="1">
        <f t="array" ref="M11">SUMPRODUCT(--(ISNUMBER(SEARCH($A11,'Diags Raw Data'!$A$6:$A$3766))),--('Diags Raw Data'!$Q$6:$Q$3766&lt;&gt;"N/A"),'Diags Raw Data'!$T$6:$T$3766)+SUMPRODUCT(--(ISNUMBER(SEARCH($A11,'Diags Raw Data'!$A$6:$A$3766))),--('Diags Raw Data'!$Q$6:$Q$3766&lt;&gt;"N/A"),'Diags Raw Data'!$U$6:$U$3766)</f>
        <v>1782</v>
      </c>
      <c r="N11" s="434" cm="1">
        <f t="array" ref="N11">SUMPRODUCT(--(ISNUMBER(SEARCH($A11,'Diags Raw Data'!$A$6:$A$3766))),--('Diags Raw Data'!$Q$6:$Q$3766&lt;&gt;"N/A"),'Diags Raw Data'!$T$6:$T$3766)+SUMPRODUCT(--(ISNUMBER(SEARCH($A11,'Diags Raw Data'!$A$6:$A$3766))),--('Diags Raw Data'!$Q$6:$Q$3766&lt;&gt;"N/A"),'Diags Raw Data'!$U$6:$U$3766)</f>
        <v>1782</v>
      </c>
      <c r="O11" s="435">
        <f t="shared" si="4"/>
        <v>1</v>
      </c>
      <c r="P11" s="436">
        <f>SUMIF('Diags Raw Data'!$A$6:$A$3766,"*"&amp;$A11&amp;"*",'Diags Raw Data'!$Z$6:$Z$3766)</f>
        <v>3000</v>
      </c>
      <c r="Q11" s="437">
        <f>SUM(SUMIF('Diags Raw Data'!$A$6:$A$3766,"*"&amp;$A11&amp;"*",'Diags Raw Data'!$AA$6:$AA$3766),SUMIF('Diags Raw Data'!$A$6:$A$3766,"*"&amp;$A11&amp;"*",'Diags Raw Data'!$AB$6:$AB$3766))</f>
        <v>3000</v>
      </c>
      <c r="R11" s="438">
        <f t="shared" si="5"/>
        <v>3000</v>
      </c>
      <c r="S11" s="438">
        <f t="shared" si="6"/>
        <v>1</v>
      </c>
      <c r="T11" s="439">
        <f t="shared" si="7"/>
        <v>3000</v>
      </c>
      <c r="U11" s="414" t="s">
        <v>1015</v>
      </c>
      <c r="V11" s="181"/>
    </row>
    <row r="12" spans="1:22" ht="75.75" thickBot="1" x14ac:dyDescent="0.3">
      <c r="A12" s="321" t="s">
        <v>343</v>
      </c>
      <c r="B12" s="407" t="str">
        <f>VLOOKUP(A12,'Feature Raw Data'!$A$3:$B$3847,2,FALSE)</f>
        <v>WS.Storm.Core.ISA.6</v>
      </c>
      <c r="C12" s="408" t="str">
        <f>VLOOKUP(A12,'Feature Raw Data'!$A$3:$C$3929,3,FALSE)</f>
        <v>P4</v>
      </c>
      <c r="D12" s="409" t="str" cm="1">
        <f t="array" ref="D12">_xlfn.TEXTJOIN("",TRUE,IF(ISNUMBER(SEARCH($A12,'Diags Raw Data'!$A$6:$A$3768)),CONCATENATE('Diags Raw Data'!$H$6:$H$3768,", "),""))</f>
        <v xml:space="preserve">rapid_deluge_in_guest_mode.yml, </v>
      </c>
      <c r="E12" s="410" t="str">
        <f>VLOOKUP(A12,'Diags Raw Data'!$A$6:$D$3768,4,FALSE)</f>
        <v>CORE-09</v>
      </c>
      <c r="F12" s="410" t="str">
        <f>VLOOKUP(A12,'Feature Raw Data'!$A$3:$E$3847,5,FALSE)</f>
        <v>Legacy</v>
      </c>
      <c r="G12" s="410" t="str">
        <f t="shared" si="10"/>
        <v>Yes</v>
      </c>
      <c r="H12" s="410" t="str">
        <f t="shared" si="11"/>
        <v>Yes</v>
      </c>
      <c r="I12" s="412">
        <f>SUMIF('Diags Raw Data'!$A$6:$A$3768,"*"&amp;$A12&amp;"*",'Diags Raw Data'!$K$6:$K$3768)</f>
        <v>1</v>
      </c>
      <c r="J12" s="413">
        <f>SUMIF('Diags Raw Data'!$A$6:$A$3768,"*"&amp;$A12&amp;"*",'Diags Raw Data'!$L$6:$L$3768)</f>
        <v>1</v>
      </c>
      <c r="K12" s="432" cm="1">
        <f t="array" ref="K12">IF(D12="",0, SUMPRODUCT(--(ISNUMBER(SEARCH($A12,'Diags Raw Data'!$A$6:$A$3766))),'Diags Raw Data'!$L$6:$L$3766,'Diags Raw Data'!$N$6:$N$3766)/J12)</f>
        <v>1</v>
      </c>
      <c r="L12" s="433" cm="1">
        <f t="array" ref="L12">IF(D12="",0, SUMPRODUCT(--(ISNUMBER(SEARCH($A12,'Diags Raw Data'!$A$6:$A$3766))),'Diags Raw Data'!$L$6:$L$3766,'Diags Raw Data'!$P$6:$P$3766)/J12)</f>
        <v>1</v>
      </c>
      <c r="M12" s="434" cm="1">
        <f t="array" ref="M12">SUMPRODUCT(--(ISNUMBER(SEARCH($A12,'Diags Raw Data'!$A$6:$A$3766))),--('Diags Raw Data'!$Q$6:$Q$3766&lt;&gt;"N/A"),'Diags Raw Data'!$T$6:$T$3766)+SUMPRODUCT(--(ISNUMBER(SEARCH($A12,'Diags Raw Data'!$A$6:$A$3766))),--('Diags Raw Data'!$Q$6:$Q$3766&lt;&gt;"N/A"),'Diags Raw Data'!$U$6:$U$3766)</f>
        <v>2000</v>
      </c>
      <c r="N12" s="434" cm="1">
        <f t="array" ref="N12">SUMPRODUCT(--(ISNUMBER(SEARCH($A12,'Diags Raw Data'!$A$6:$A$3766))),--('Diags Raw Data'!$Q$6:$Q$3766&lt;&gt;"N/A"),'Diags Raw Data'!$T$6:$T$3766)+SUMPRODUCT(--(ISNUMBER(SEARCH($A12,'Diags Raw Data'!$A$6:$A$3766))),--('Diags Raw Data'!$Q$6:$Q$3766&lt;&gt;"N/A"),'Diags Raw Data'!$U$6:$U$3766)</f>
        <v>2000</v>
      </c>
      <c r="O12" s="435">
        <f t="shared" si="4"/>
        <v>1</v>
      </c>
      <c r="P12" s="436">
        <f>SUMIF('Diags Raw Data'!$A$6:$A$3766,"*"&amp;$A12&amp;"*",'Diags Raw Data'!$Z$6:$Z$3766)</f>
        <v>2000</v>
      </c>
      <c r="Q12" s="437">
        <f>SUM(SUMIF('Diags Raw Data'!$A$6:$A$3766,"*"&amp;$A12&amp;"*",'Diags Raw Data'!$AA$6:$AA$3766),SUMIF('Diags Raw Data'!$A$6:$A$3766,"*"&amp;$A12&amp;"*",'Diags Raw Data'!$AB$6:$AB$3766))</f>
        <v>2000</v>
      </c>
      <c r="R12" s="438">
        <f t="shared" si="5"/>
        <v>2000</v>
      </c>
      <c r="S12" s="438">
        <f t="shared" si="6"/>
        <v>1</v>
      </c>
      <c r="T12" s="439">
        <f t="shared" si="7"/>
        <v>2000</v>
      </c>
      <c r="U12" s="414" t="s">
        <v>1015</v>
      </c>
      <c r="V12" s="181"/>
    </row>
    <row r="13" spans="1:22" ht="75.75" thickBot="1" x14ac:dyDescent="0.3">
      <c r="A13" s="321" t="s">
        <v>346</v>
      </c>
      <c r="B13" s="407" t="str">
        <f>VLOOKUP(A13,'Feature Raw Data'!$A$3:$B$3847,2,FALSE)</f>
        <v>WS.Storm.CORE.Exerciser.1</v>
      </c>
      <c r="C13" s="408" t="str">
        <f>VLOOKUP(A13,'Feature Raw Data'!$A$3:$C$3929,3,FALSE)</f>
        <v>P4</v>
      </c>
      <c r="D13" s="409" t="str" cm="1">
        <f t="array" ref="D13">_xlfn.TEXTJOIN("",TRUE,IF(ISNUMBER(SEARCH($A13,'Diags Raw Data'!$A$6:$A$3768)),CONCATENATE('Diags Raw Data'!$H$6:$H$3768,", "),""))</f>
        <v xml:space="preserve">stateless_function_call.yml, </v>
      </c>
      <c r="E13" s="410" t="str">
        <f>VLOOKUP(A13,'Diags Raw Data'!$A$6:$D$3768,4,FALSE)</f>
        <v>CORE-09</v>
      </c>
      <c r="F13" s="410" t="str">
        <f>VLOOKUP(A13,'Feature Raw Data'!$A$3:$E$3847,5,FALSE)</f>
        <v>Legacy</v>
      </c>
      <c r="G13" s="410" t="str">
        <f t="shared" si="10"/>
        <v>Yes</v>
      </c>
      <c r="H13" s="410" t="str">
        <f t="shared" si="11"/>
        <v>Yes</v>
      </c>
      <c r="I13" s="412">
        <f>SUMIF('Diags Raw Data'!$A$6:$A$3768,"*"&amp;$A13&amp;"*",'Diags Raw Data'!$K$6:$K$3768)</f>
        <v>3</v>
      </c>
      <c r="J13" s="413">
        <f>SUMIF('Diags Raw Data'!$A$6:$A$3768,"*"&amp;$A13&amp;"*",'Diags Raw Data'!$L$6:$L$3768)</f>
        <v>1</v>
      </c>
      <c r="K13" s="432" cm="1">
        <f t="array" ref="K13">IF(D13="",0, SUMPRODUCT(--(ISNUMBER(SEARCH($A13,'Diags Raw Data'!$A$6:$A$3766))),'Diags Raw Data'!$L$6:$L$3766,'Diags Raw Data'!$N$6:$N$3766)/J13)</f>
        <v>1</v>
      </c>
      <c r="L13" s="433" cm="1">
        <f t="array" ref="L13">IF(D13="",0, SUMPRODUCT(--(ISNUMBER(SEARCH($A13,'Diags Raw Data'!$A$6:$A$3766))),'Diags Raw Data'!$L$6:$L$3766,'Diags Raw Data'!$P$6:$P$3766)/J13)</f>
        <v>1</v>
      </c>
      <c r="M13" s="434" cm="1">
        <f t="array" ref="M13">SUMPRODUCT(--(ISNUMBER(SEARCH($A13,'Diags Raw Data'!$A$6:$A$3766))),--('Diags Raw Data'!$Q$6:$Q$3766&lt;&gt;"N/A"),'Diags Raw Data'!$T$6:$T$3766)+SUMPRODUCT(--(ISNUMBER(SEARCH($A13,'Diags Raw Data'!$A$6:$A$3766))),--('Diags Raw Data'!$Q$6:$Q$3766&lt;&gt;"N/A"),'Diags Raw Data'!$U$6:$U$3766)</f>
        <v>4000</v>
      </c>
      <c r="N13" s="434" cm="1">
        <f t="array" ref="N13">SUMPRODUCT(--(ISNUMBER(SEARCH($A13,'Diags Raw Data'!$A$6:$A$3766))),--('Diags Raw Data'!$Q$6:$Q$3766&lt;&gt;"N/A"),'Diags Raw Data'!$T$6:$T$3766)+SUMPRODUCT(--(ISNUMBER(SEARCH($A13,'Diags Raw Data'!$A$6:$A$3766))),--('Diags Raw Data'!$Q$6:$Q$3766&lt;&gt;"N/A"),'Diags Raw Data'!$U$6:$U$3766)</f>
        <v>4000</v>
      </c>
      <c r="O13" s="435">
        <f t="shared" si="4"/>
        <v>1</v>
      </c>
      <c r="P13" s="436">
        <f>SUMIF('Diags Raw Data'!$A$6:$A$3766,"*"&amp;$A13&amp;"*",'Diags Raw Data'!$Z$6:$Z$3766)</f>
        <v>5000</v>
      </c>
      <c r="Q13" s="437">
        <f>SUM(SUMIF('Diags Raw Data'!$A$6:$A$3766,"*"&amp;$A13&amp;"*",'Diags Raw Data'!$AA$6:$AA$3766),SUMIF('Diags Raw Data'!$A$6:$A$3766,"*"&amp;$A13&amp;"*",'Diags Raw Data'!$AB$6:$AB$3766))</f>
        <v>5000</v>
      </c>
      <c r="R13" s="438">
        <f t="shared" si="5"/>
        <v>5000</v>
      </c>
      <c r="S13" s="438">
        <f t="shared" si="6"/>
        <v>1</v>
      </c>
      <c r="T13" s="439">
        <f t="shared" si="7"/>
        <v>5000</v>
      </c>
      <c r="U13" s="414" t="s">
        <v>1015</v>
      </c>
      <c r="V13" s="181"/>
    </row>
    <row r="14" spans="1:22" ht="75.75" thickBot="1" x14ac:dyDescent="0.3">
      <c r="A14" s="321" t="s">
        <v>350</v>
      </c>
      <c r="B14" s="407" t="str">
        <f>VLOOKUP(A14,'Feature Raw Data'!$A$3:$B$3847,2,FALSE)</f>
        <v>WS.Storm.CORE.Exerciser.2</v>
      </c>
      <c r="C14" s="408" t="str">
        <f>VLOOKUP(A14,'Feature Raw Data'!$A$3:$C$3929,3,FALSE)</f>
        <v>P4</v>
      </c>
      <c r="D14" s="409" t="str" cm="1">
        <f t="array" ref="D14">_xlfn.TEXTJOIN("",TRUE,IF(ISNUMBER(SEARCH($A14,'Diags Raw Data'!$A$6:$A$3768)),CONCATENATE('Diags Raw Data'!$H$6:$H$3768,", "),""))</f>
        <v xml:space="preserve">stateless_function_call_in_guest_mode.yml, </v>
      </c>
      <c r="E14" s="410" t="str">
        <f>VLOOKUP(A14,'Diags Raw Data'!$A$6:$D$3768,4,FALSE)</f>
        <v>CORE-09</v>
      </c>
      <c r="F14" s="410" t="str">
        <f>VLOOKUP(A14,'Feature Raw Data'!$A$3:$E$3847,5,FALSE)</f>
        <v>Legacy</v>
      </c>
      <c r="G14" s="410" t="str">
        <f t="shared" si="10"/>
        <v>Yes</v>
      </c>
      <c r="H14" s="410" t="str">
        <f t="shared" si="11"/>
        <v>Yes</v>
      </c>
      <c r="I14" s="412">
        <f>SUMIF('Diags Raw Data'!$A$6:$A$3768,"*"&amp;$A14&amp;"*",'Diags Raw Data'!$K$6:$K$3768)</f>
        <v>1</v>
      </c>
      <c r="J14" s="413">
        <f>SUMIF('Diags Raw Data'!$A$6:$A$3768,"*"&amp;$A14&amp;"*",'Diags Raw Data'!$L$6:$L$3768)</f>
        <v>1</v>
      </c>
      <c r="K14" s="432" cm="1">
        <f t="array" ref="K14">IF(D14="",0, SUMPRODUCT(--(ISNUMBER(SEARCH($A14,'Diags Raw Data'!$A$6:$A$3766))),'Diags Raw Data'!$L$6:$L$3766,'Diags Raw Data'!$N$6:$N$3766)/J14)</f>
        <v>1</v>
      </c>
      <c r="L14" s="433" cm="1">
        <f t="array" ref="L14">IF(D14="",0, SUMPRODUCT(--(ISNUMBER(SEARCH($A14,'Diags Raw Data'!$A$6:$A$3766))),'Diags Raw Data'!$L$6:$L$3766,'Diags Raw Data'!$P$6:$P$3766)/J14)</f>
        <v>1</v>
      </c>
      <c r="M14" s="434" cm="1">
        <f t="array" ref="M14">SUMPRODUCT(--(ISNUMBER(SEARCH($A14,'Diags Raw Data'!$A$6:$A$3766))),--('Diags Raw Data'!$Q$6:$Q$3766&lt;&gt;"N/A"),'Diags Raw Data'!$T$6:$T$3766)+SUMPRODUCT(--(ISNUMBER(SEARCH($A14,'Diags Raw Data'!$A$6:$A$3766))),--('Diags Raw Data'!$Q$6:$Q$3766&lt;&gt;"N/A"),'Diags Raw Data'!$U$6:$U$3766)</f>
        <v>1000</v>
      </c>
      <c r="N14" s="434" cm="1">
        <f t="array" ref="N14">SUMPRODUCT(--(ISNUMBER(SEARCH($A14,'Diags Raw Data'!$A$6:$A$3766))),--('Diags Raw Data'!$Q$6:$Q$3766&lt;&gt;"N/A"),'Diags Raw Data'!$T$6:$T$3766)+SUMPRODUCT(--(ISNUMBER(SEARCH($A14,'Diags Raw Data'!$A$6:$A$3766))),--('Diags Raw Data'!$Q$6:$Q$3766&lt;&gt;"N/A"),'Diags Raw Data'!$U$6:$U$3766)</f>
        <v>1000</v>
      </c>
      <c r="O14" s="435">
        <f t="shared" si="4"/>
        <v>1</v>
      </c>
      <c r="P14" s="436">
        <f>SUMIF('Diags Raw Data'!$A$6:$A$3766,"*"&amp;$A14&amp;"*",'Diags Raw Data'!$Z$6:$Z$3766)</f>
        <v>1000</v>
      </c>
      <c r="Q14" s="437">
        <f>SUM(SUMIF('Diags Raw Data'!$A$6:$A$3766,"*"&amp;$A14&amp;"*",'Diags Raw Data'!$AA$6:$AA$3766),SUMIF('Diags Raw Data'!$A$6:$A$3766,"*"&amp;$A14&amp;"*",'Diags Raw Data'!$AB$6:$AB$3766))</f>
        <v>1000</v>
      </c>
      <c r="R14" s="438">
        <f t="shared" si="5"/>
        <v>1000</v>
      </c>
      <c r="S14" s="438">
        <f t="shared" si="6"/>
        <v>1</v>
      </c>
      <c r="T14" s="439">
        <f t="shared" si="7"/>
        <v>1000</v>
      </c>
      <c r="U14" s="414" t="s">
        <v>1015</v>
      </c>
      <c r="V14" s="181"/>
    </row>
    <row r="15" spans="1:22" ht="75.75" thickBot="1" x14ac:dyDescent="0.3">
      <c r="A15" s="321" t="s">
        <v>353</v>
      </c>
      <c r="B15" s="407" t="str">
        <f>VLOOKUP(A15,'Feature Raw Data'!$A$3:$B$3847,2,FALSE)</f>
        <v>WS.Storm.CORE.Exerciser.3</v>
      </c>
      <c r="C15" s="408" t="str">
        <f>VLOOKUP(A15,'Feature Raw Data'!$A$3:$C$3929,3,FALSE)</f>
        <v>P4</v>
      </c>
      <c r="D15" s="409" t="str" cm="1">
        <f t="array" ref="D15">_xlfn.TEXTJOIN("",TRUE,IF(ISNUMBER(SEARCH($A15,'Diags Raw Data'!$A$6:$A$3768)),CONCATENATE('Diags Raw Data'!$H$6:$H$3768,", "),""))</f>
        <v xml:space="preserve">Riptide.yml, </v>
      </c>
      <c r="E15" s="410" t="str">
        <f>VLOOKUP(A15,'Diags Raw Data'!$A$6:$D$3768,4,FALSE)</f>
        <v>CORE-09</v>
      </c>
      <c r="F15" s="410" t="str">
        <f>VLOOKUP(A15,'Feature Raw Data'!$A$3:$E$3847,5,FALSE)</f>
        <v>Legacy</v>
      </c>
      <c r="G15" s="410" t="str">
        <f t="shared" si="10"/>
        <v>Yes</v>
      </c>
      <c r="H15" s="410" t="str">
        <f t="shared" si="11"/>
        <v>Yes</v>
      </c>
      <c r="I15" s="412">
        <f>SUMIF('Diags Raw Data'!$A$6:$A$3768,"*"&amp;$A15&amp;"*",'Diags Raw Data'!$K$6:$K$3768)</f>
        <v>10</v>
      </c>
      <c r="J15" s="413">
        <f>SUMIF('Diags Raw Data'!$A$6:$A$3768,"*"&amp;$A15&amp;"*",'Diags Raw Data'!$L$6:$L$3768)</f>
        <v>1</v>
      </c>
      <c r="K15" s="432" cm="1">
        <f t="array" ref="K15">IF(D15="",0, SUMPRODUCT(--(ISNUMBER(SEARCH($A15,'Diags Raw Data'!$A$6:$A$3766))),'Diags Raw Data'!$L$6:$L$3766,'Diags Raw Data'!$N$6:$N$3766)/J15)</f>
        <v>1</v>
      </c>
      <c r="L15" s="433" cm="1">
        <f t="array" ref="L15">IF(D15="",0, SUMPRODUCT(--(ISNUMBER(SEARCH($A15,'Diags Raw Data'!$A$6:$A$3766))),'Diags Raw Data'!$L$6:$L$3766,'Diags Raw Data'!$P$6:$P$3766)/J15)</f>
        <v>1</v>
      </c>
      <c r="M15" s="434" cm="1">
        <f t="array" ref="M15">SUMPRODUCT(--(ISNUMBER(SEARCH($A15,'Diags Raw Data'!$A$6:$A$3766))),--('Diags Raw Data'!$Q$6:$Q$3766&lt;&gt;"N/A"),'Diags Raw Data'!$T$6:$T$3766)+SUMPRODUCT(--(ISNUMBER(SEARCH($A15,'Diags Raw Data'!$A$6:$A$3766))),--('Diags Raw Data'!$Q$6:$Q$3766&lt;&gt;"N/A"),'Diags Raw Data'!$U$6:$U$3766)</f>
        <v>827</v>
      </c>
      <c r="N15" s="434" cm="1">
        <f t="array" ref="N15">SUMPRODUCT(--(ISNUMBER(SEARCH($A15,'Diags Raw Data'!$A$6:$A$3766))),--('Diags Raw Data'!$Q$6:$Q$3766&lt;&gt;"N/A"),'Diags Raw Data'!$T$6:$T$3766)+SUMPRODUCT(--(ISNUMBER(SEARCH($A15,'Diags Raw Data'!$A$6:$A$3766))),--('Diags Raw Data'!$Q$6:$Q$3766&lt;&gt;"N/A"),'Diags Raw Data'!$U$6:$U$3766)</f>
        <v>827</v>
      </c>
      <c r="O15" s="435">
        <f t="shared" si="4"/>
        <v>1</v>
      </c>
      <c r="P15" s="436">
        <f>SUMIF('Diags Raw Data'!$A$6:$A$3766,"*"&amp;$A15&amp;"*",'Diags Raw Data'!$Z$6:$Z$3766)</f>
        <v>10000</v>
      </c>
      <c r="Q15" s="437">
        <f>SUM(SUMIF('Diags Raw Data'!$A$6:$A$3766,"*"&amp;$A15&amp;"*",'Diags Raw Data'!$AA$6:$AA$3766),SUMIF('Diags Raw Data'!$A$6:$A$3766,"*"&amp;$A15&amp;"*",'Diags Raw Data'!$AB$6:$AB$3766))</f>
        <v>10000</v>
      </c>
      <c r="R15" s="438">
        <f t="shared" si="5"/>
        <v>10000</v>
      </c>
      <c r="S15" s="438">
        <f t="shared" si="6"/>
        <v>1</v>
      </c>
      <c r="T15" s="439">
        <f t="shared" si="7"/>
        <v>10000</v>
      </c>
      <c r="U15" s="414" t="s">
        <v>1015</v>
      </c>
      <c r="V15" s="181"/>
    </row>
    <row r="16" spans="1:22" ht="75.75" thickBot="1" x14ac:dyDescent="0.3">
      <c r="A16" s="321" t="s">
        <v>357</v>
      </c>
      <c r="B16" s="407" t="str">
        <f>VLOOKUP(A16,'Feature Raw Data'!$A$3:$B$3847,2,FALSE)</f>
        <v>WS.Storm.CORE.Exerciser.4</v>
      </c>
      <c r="C16" s="408" t="str">
        <f>VLOOKUP(A16,'Feature Raw Data'!$A$3:$C$3929,3,FALSE)</f>
        <v>P4</v>
      </c>
      <c r="D16" s="409" t="str" cm="1">
        <f t="array" ref="D16">_xlfn.TEXTJOIN("",TRUE,IF(ISNUMBER(SEARCH($A16,'Diags Raw Data'!$A$6:$A$3768)),CONCATENATE('Diags Raw Data'!$H$6:$H$3768,", "),""))</f>
        <v xml:space="preserve">ubursts.yml, </v>
      </c>
      <c r="E16" s="410" t="str">
        <f>VLOOKUP(A16,'Diags Raw Data'!$A$6:$D$3768,4,FALSE)</f>
        <v>CORE-09</v>
      </c>
      <c r="F16" s="410" t="str">
        <f>VLOOKUP(A16,'Feature Raw Data'!$A$3:$E$3847,5,FALSE)</f>
        <v>Legacy</v>
      </c>
      <c r="G16" s="410" t="str">
        <f t="shared" si="10"/>
        <v>Yes</v>
      </c>
      <c r="H16" s="410" t="str">
        <f t="shared" si="11"/>
        <v>Yes</v>
      </c>
      <c r="I16" s="412">
        <f>SUMIF('Diags Raw Data'!$A$6:$A$3768,"*"&amp;$A16&amp;"*",'Diags Raw Data'!$K$6:$K$3768)</f>
        <v>10</v>
      </c>
      <c r="J16" s="413">
        <f>SUMIF('Diags Raw Data'!$A$6:$A$3768,"*"&amp;$A16&amp;"*",'Diags Raw Data'!$L$6:$L$3768)</f>
        <v>1</v>
      </c>
      <c r="K16" s="432" cm="1">
        <f t="array" ref="K16">IF(D16="",0, SUMPRODUCT(--(ISNUMBER(SEARCH($A16,'Diags Raw Data'!$A$6:$A$3766))),'Diags Raw Data'!$L$6:$L$3766,'Diags Raw Data'!$N$6:$N$3766)/J16)</f>
        <v>1</v>
      </c>
      <c r="L16" s="433" cm="1">
        <f t="array" ref="L16">IF(D16="",0, SUMPRODUCT(--(ISNUMBER(SEARCH($A16,'Diags Raw Data'!$A$6:$A$3766))),'Diags Raw Data'!$L$6:$L$3766,'Diags Raw Data'!$P$6:$P$3766)/J16)</f>
        <v>1</v>
      </c>
      <c r="M16" s="434" cm="1">
        <f t="array" ref="M16">SUMPRODUCT(--(ISNUMBER(SEARCH($A16,'Diags Raw Data'!$A$6:$A$3766))),--('Diags Raw Data'!$Q$6:$Q$3766&lt;&gt;"N/A"),'Diags Raw Data'!$T$6:$T$3766)+SUMPRODUCT(--(ISNUMBER(SEARCH($A16,'Diags Raw Data'!$A$6:$A$3766))),--('Diags Raw Data'!$Q$6:$Q$3766&lt;&gt;"N/A"),'Diags Raw Data'!$U$6:$U$3766)</f>
        <v>520</v>
      </c>
      <c r="N16" s="434" cm="1">
        <f t="array" ref="N16">SUMPRODUCT(--(ISNUMBER(SEARCH($A16,'Diags Raw Data'!$A$6:$A$3766))),--('Diags Raw Data'!$Q$6:$Q$3766&lt;&gt;"N/A"),'Diags Raw Data'!$T$6:$T$3766)+SUMPRODUCT(--(ISNUMBER(SEARCH($A16,'Diags Raw Data'!$A$6:$A$3766))),--('Diags Raw Data'!$Q$6:$Q$3766&lt;&gt;"N/A"),'Diags Raw Data'!$U$6:$U$3766)</f>
        <v>520</v>
      </c>
      <c r="O16" s="435">
        <f t="shared" si="4"/>
        <v>1</v>
      </c>
      <c r="P16" s="436">
        <f>SUMIF('Diags Raw Data'!$A$6:$A$3766,"*"&amp;$A16&amp;"*",'Diags Raw Data'!$Z$6:$Z$3766)</f>
        <v>10000</v>
      </c>
      <c r="Q16" s="437">
        <f>SUM(SUMIF('Diags Raw Data'!$A$6:$A$3766,"*"&amp;$A16&amp;"*",'Diags Raw Data'!$AA$6:$AA$3766),SUMIF('Diags Raw Data'!$A$6:$A$3766,"*"&amp;$A16&amp;"*",'Diags Raw Data'!$AB$6:$AB$3766))</f>
        <v>10000</v>
      </c>
      <c r="R16" s="438">
        <f t="shared" si="5"/>
        <v>10000</v>
      </c>
      <c r="S16" s="438">
        <f t="shared" si="6"/>
        <v>1</v>
      </c>
      <c r="T16" s="439">
        <f t="shared" si="7"/>
        <v>10000</v>
      </c>
      <c r="U16" s="414" t="s">
        <v>1015</v>
      </c>
      <c r="V16" s="181"/>
    </row>
    <row r="17" spans="1:22" s="184" customFormat="1" ht="75.75" thickBot="1" x14ac:dyDescent="0.3">
      <c r="A17" s="321" t="s">
        <v>361</v>
      </c>
      <c r="B17" s="407" t="str">
        <f>VLOOKUP(A17,'Feature Raw Data'!$A$3:$B$3847,2,FALSE)</f>
        <v>WS.Storm.CORE.Exerciser.5</v>
      </c>
      <c r="C17" s="408" t="str">
        <f>VLOOKUP(A17,'Feature Raw Data'!$A$3:$C$3929,3,FALSE)</f>
        <v>P4</v>
      </c>
      <c r="D17" s="409" t="str" cm="1">
        <f t="array" ref="D17">_xlfn.TEXTJOIN("",TRUE,IF(ISNUMBER(SEARCH($A17,'Diags Raw Data'!$A$6:$A$3768)),CONCATENATE('Diags Raw Data'!$H$6:$H$3768,", "),""))</f>
        <v xml:space="preserve">supercell.yml, </v>
      </c>
      <c r="E17" s="410" t="str">
        <f>VLOOKUP(A17,'Diags Raw Data'!$A$6:$D$3768,4,FALSE)</f>
        <v>CORE-09</v>
      </c>
      <c r="F17" s="410" t="str">
        <f>VLOOKUP(A17,'Feature Raw Data'!$A$3:$E$3847,5,FALSE)</f>
        <v>Legacy</v>
      </c>
      <c r="G17" s="410" t="str">
        <f t="shared" si="10"/>
        <v>Yes</v>
      </c>
      <c r="H17" s="410" t="str">
        <f t="shared" si="11"/>
        <v>Yes</v>
      </c>
      <c r="I17" s="412">
        <f>SUMIF('Diags Raw Data'!$A$6:$A$3768,"*"&amp;$A17&amp;"*",'Diags Raw Data'!$K$6:$K$3768)</f>
        <v>3</v>
      </c>
      <c r="J17" s="413">
        <f>SUMIF('Diags Raw Data'!$A$6:$A$3768,"*"&amp;$A17&amp;"*",'Diags Raw Data'!$L$6:$L$3768)</f>
        <v>1</v>
      </c>
      <c r="K17" s="432" cm="1">
        <f t="array" ref="K17">IF(D17="",0, SUMPRODUCT(--(ISNUMBER(SEARCH($A17,'Diags Raw Data'!$A$6:$A$3766))),'Diags Raw Data'!$L$6:$L$3766,'Diags Raw Data'!$N$6:$N$3766)/J17)</f>
        <v>1</v>
      </c>
      <c r="L17" s="433" cm="1">
        <f t="array" ref="L17">IF(D17="",0, SUMPRODUCT(--(ISNUMBER(SEARCH($A17,'Diags Raw Data'!$A$6:$A$3766))),'Diags Raw Data'!$L$6:$L$3766,'Diags Raw Data'!$P$6:$P$3766)/J17)</f>
        <v>1</v>
      </c>
      <c r="M17" s="434" cm="1">
        <f t="array" ref="M17">SUMPRODUCT(--(ISNUMBER(SEARCH($A17,'Diags Raw Data'!$A$6:$A$3766))),--('Diags Raw Data'!$Q$6:$Q$3766&lt;&gt;"N/A"),'Diags Raw Data'!$T$6:$T$3766)+SUMPRODUCT(--(ISNUMBER(SEARCH($A17,'Diags Raw Data'!$A$6:$A$3766))),--('Diags Raw Data'!$Q$6:$Q$3766&lt;&gt;"N/A"),'Diags Raw Data'!$U$6:$U$3766)</f>
        <v>0</v>
      </c>
      <c r="N17" s="434" cm="1">
        <f t="array" ref="N17">SUMPRODUCT(--(ISNUMBER(SEARCH($A17,'Diags Raw Data'!$A$6:$A$3766))),--('Diags Raw Data'!$Q$6:$Q$3766&lt;&gt;"N/A"),'Diags Raw Data'!$T$6:$T$3766)+SUMPRODUCT(--(ISNUMBER(SEARCH($A17,'Diags Raw Data'!$A$6:$A$3766))),--('Diags Raw Data'!$Q$6:$Q$3766&lt;&gt;"N/A"),'Diags Raw Data'!$U$6:$U$3766)</f>
        <v>0</v>
      </c>
      <c r="O17" s="435">
        <f t="shared" si="4"/>
        <v>0</v>
      </c>
      <c r="P17" s="436">
        <f>SUMIF('Diags Raw Data'!$A$6:$A$3766,"*"&amp;$A17&amp;"*",'Diags Raw Data'!$Z$6:$Z$3766)</f>
        <v>0</v>
      </c>
      <c r="Q17" s="437">
        <f>SUM(SUMIF('Diags Raw Data'!$A$6:$A$3766,"*"&amp;$A17&amp;"*",'Diags Raw Data'!$AA$6:$AA$3766),SUMIF('Diags Raw Data'!$A$6:$A$3766,"*"&amp;$A17&amp;"*",'Diags Raw Data'!$AB$6:$AB$3766))</f>
        <v>0</v>
      </c>
      <c r="R17" s="438">
        <f t="shared" si="5"/>
        <v>0</v>
      </c>
      <c r="S17" s="438">
        <f t="shared" si="6"/>
        <v>0</v>
      </c>
      <c r="T17" s="439">
        <f t="shared" si="7"/>
        <v>0</v>
      </c>
      <c r="U17" s="414" t="s">
        <v>1015</v>
      </c>
      <c r="V17" s="183"/>
    </row>
    <row r="18" spans="1:22" s="184" customFormat="1" ht="75.75" thickBot="1" x14ac:dyDescent="0.3">
      <c r="A18" s="321" t="s">
        <v>364</v>
      </c>
      <c r="B18" s="407" t="str">
        <f>VLOOKUP(A18,'Feature Raw Data'!$A$3:$B$3847,2,FALSE)</f>
        <v>WS.Storm.CORE.Exerciser.6</v>
      </c>
      <c r="C18" s="408" t="str">
        <f>VLOOKUP(A18,'Feature Raw Data'!$A$3:$C$3929,3,FALSE)</f>
        <v>P4</v>
      </c>
      <c r="D18" s="409" t="str" cm="1">
        <f t="array" ref="D18">_xlfn.TEXTJOIN("",TRUE,IF(ISNUMBER(SEARCH($A18,'Diags Raw Data'!$A$6:$A$3768)),CONCATENATE('Diags Raw Data'!$H$6:$H$3768,", "),""))</f>
        <v xml:space="preserve">rep_op_generator.rb.yml, </v>
      </c>
      <c r="E18" s="410" t="str">
        <f>VLOOKUP(A18,'Diags Raw Data'!$A$6:$D$3768,4,FALSE)</f>
        <v>CORE-09</v>
      </c>
      <c r="F18" s="410" t="str">
        <f>VLOOKUP(A18,'Feature Raw Data'!$A$3:$E$3847,5,FALSE)</f>
        <v>Legacy</v>
      </c>
      <c r="G18" s="410" t="str">
        <f t="shared" si="10"/>
        <v>Yes</v>
      </c>
      <c r="H18" s="410" t="str">
        <f t="shared" si="11"/>
        <v>Yes</v>
      </c>
      <c r="I18" s="412">
        <f>SUMIF('Diags Raw Data'!$A$6:$A$3768,"*"&amp;$A18&amp;"*",'Diags Raw Data'!$K$6:$K$3768)</f>
        <v>3</v>
      </c>
      <c r="J18" s="413">
        <f>SUMIF('Diags Raw Data'!$A$6:$A$3768,"*"&amp;$A18&amp;"*",'Diags Raw Data'!$L$6:$L$3768)</f>
        <v>1</v>
      </c>
      <c r="K18" s="432" cm="1">
        <f t="array" ref="K18">IF(D18="",0, SUMPRODUCT(--(ISNUMBER(SEARCH($A18,'Diags Raw Data'!$A$6:$A$3766))),'Diags Raw Data'!$L$6:$L$3766,'Diags Raw Data'!$N$6:$N$3766)/J18)</f>
        <v>1</v>
      </c>
      <c r="L18" s="433" cm="1">
        <f t="array" ref="L18">IF(D18="",0, SUMPRODUCT(--(ISNUMBER(SEARCH($A18,'Diags Raw Data'!$A$6:$A$3766))),'Diags Raw Data'!$L$6:$L$3766,'Diags Raw Data'!$P$6:$P$3766)/J18)</f>
        <v>1</v>
      </c>
      <c r="M18" s="434" cm="1">
        <f t="array" ref="M18">SUMPRODUCT(--(ISNUMBER(SEARCH($A18,'Diags Raw Data'!$A$6:$A$3766))),--('Diags Raw Data'!$Q$6:$Q$3766&lt;&gt;"N/A"),'Diags Raw Data'!$T$6:$T$3766)+SUMPRODUCT(--(ISNUMBER(SEARCH($A18,'Diags Raw Data'!$A$6:$A$3766))),--('Diags Raw Data'!$Q$6:$Q$3766&lt;&gt;"N/A"),'Diags Raw Data'!$U$6:$U$3766)</f>
        <v>135</v>
      </c>
      <c r="N18" s="434" cm="1">
        <f t="array" ref="N18">SUMPRODUCT(--(ISNUMBER(SEARCH($A18,'Diags Raw Data'!$A$6:$A$3766))),--('Diags Raw Data'!$Q$6:$Q$3766&lt;&gt;"N/A"),'Diags Raw Data'!$T$6:$T$3766)+SUMPRODUCT(--(ISNUMBER(SEARCH($A18,'Diags Raw Data'!$A$6:$A$3766))),--('Diags Raw Data'!$Q$6:$Q$3766&lt;&gt;"N/A"),'Diags Raw Data'!$U$6:$U$3766)</f>
        <v>135</v>
      </c>
      <c r="O18" s="435">
        <f t="shared" ref="O18" si="12">IF((M18=0),0,N18/M18)</f>
        <v>1</v>
      </c>
      <c r="P18" s="436">
        <f>SUMIF('Diags Raw Data'!$A$6:$A$3766,"*"&amp;$A18&amp;"*",'Diags Raw Data'!$Z$6:$Z$3766)</f>
        <v>4000</v>
      </c>
      <c r="Q18" s="437">
        <f>SUM(SUMIF('Diags Raw Data'!$A$6:$A$3766,"*"&amp;$A18&amp;"*",'Diags Raw Data'!$AA$6:$AA$3766),SUMIF('Diags Raw Data'!$A$6:$A$3766,"*"&amp;$A18&amp;"*",'Diags Raw Data'!$AB$6:$AB$3766))</f>
        <v>4000</v>
      </c>
      <c r="R18" s="438">
        <f t="shared" ref="R18" si="13">IF((J18=0),0,P18/J18)</f>
        <v>4000</v>
      </c>
      <c r="S18" s="438">
        <f t="shared" ref="S18" si="14">IF((P18=0),0,Q18/P18)</f>
        <v>1</v>
      </c>
      <c r="T18" s="439">
        <f t="shared" ref="T18" si="15">R18*S18</f>
        <v>4000</v>
      </c>
      <c r="U18" s="414" t="s">
        <v>1015</v>
      </c>
      <c r="V18" s="183"/>
    </row>
    <row r="19" spans="1:22" ht="75.75" thickBot="1" x14ac:dyDescent="0.3">
      <c r="A19" s="321" t="s">
        <v>367</v>
      </c>
      <c r="B19" s="407" t="str">
        <f>VLOOKUP(A19,'Feature Raw Data'!$A$3:$B$3847,2,FALSE)</f>
        <v>WS.Storm.Core.SRB</v>
      </c>
      <c r="C19" s="408" t="str">
        <f>VLOOKUP(A19,'Feature Raw Data'!$A$3:$C$3929,3,FALSE)</f>
        <v>P4</v>
      </c>
      <c r="D19" s="409" t="str" cm="1">
        <f t="array" ref="D19">_xlfn.TEXTJOIN("",TRUE,IF(ISNUMBER(SEARCH($A19,'Diags Raw Data'!$A$6:$A$3768)),CONCATENATE('Diags Raw Data'!$H$6:$H$3768,", "),""))</f>
        <v xml:space="preserve">ssp_zp_compat_exsc_leg037_srb_registers.yml, </v>
      </c>
      <c r="E19" s="410" t="str">
        <f>VLOOKUP(A19,'Diags Raw Data'!$A$6:$D$3768,4,FALSE)</f>
        <v>CORE-09</v>
      </c>
      <c r="F19" s="410" t="str">
        <f>VLOOKUP(A19,'Feature Raw Data'!$A$3:$E$3847,5,FALSE)</f>
        <v>Legacy</v>
      </c>
      <c r="G19" s="410" t="str">
        <f t="shared" si="10"/>
        <v>Yes</v>
      </c>
      <c r="H19" s="410" t="str">
        <f t="shared" si="11"/>
        <v>Yes</v>
      </c>
      <c r="I19" s="412">
        <f>SUMIF('Diags Raw Data'!$A$6:$A$3768,"*"&amp;$A19&amp;"*",'Diags Raw Data'!$K$6:$K$3768)</f>
        <v>1</v>
      </c>
      <c r="J19" s="413">
        <f>SUMIF('Diags Raw Data'!$A$6:$A$3768,"*"&amp;$A19&amp;"*",'Diags Raw Data'!$L$6:$L$3768)</f>
        <v>1</v>
      </c>
      <c r="K19" s="432" cm="1">
        <f t="array" ref="K19">IF(D19="",0, SUMPRODUCT(--(ISNUMBER(SEARCH($A19,'Diags Raw Data'!$A$6:$A$3766))),'Diags Raw Data'!$L$6:$L$3766,'Diags Raw Data'!$N$6:$N$3766)/J19)</f>
        <v>1</v>
      </c>
      <c r="L19" s="433" cm="1">
        <f t="array" ref="L19">IF(D19="",0, SUMPRODUCT(--(ISNUMBER(SEARCH($A19,'Diags Raw Data'!$A$6:$A$3766))),'Diags Raw Data'!$L$6:$L$3766,'Diags Raw Data'!$P$6:$P$3766)/J19)</f>
        <v>1</v>
      </c>
      <c r="M19" s="434" cm="1">
        <f t="array" ref="M19">SUMPRODUCT(--(ISNUMBER(SEARCH($A19,'Diags Raw Data'!$A$6:$A$3766))),--('Diags Raw Data'!$Q$6:$Q$3766&lt;&gt;"N/A"),'Diags Raw Data'!$T$6:$T$3766)+SUMPRODUCT(--(ISNUMBER(SEARCH($A19,'Diags Raw Data'!$A$6:$A$3766))),--('Diags Raw Data'!$Q$6:$Q$3766&lt;&gt;"N/A"),'Diags Raw Data'!$U$6:$U$3766)</f>
        <v>1076</v>
      </c>
      <c r="N19" s="434" cm="1">
        <f t="array" ref="N19">SUMPRODUCT(--(ISNUMBER(SEARCH($A19,'Diags Raw Data'!$A$6:$A$3766))),--('Diags Raw Data'!$Q$6:$Q$3766&lt;&gt;"N/A"),'Diags Raw Data'!$T$6:$T$3766)+SUMPRODUCT(--(ISNUMBER(SEARCH($A19,'Diags Raw Data'!$A$6:$A$3766))),--('Diags Raw Data'!$Q$6:$Q$3766&lt;&gt;"N/A"),'Diags Raw Data'!$U$6:$U$3766)</f>
        <v>1076</v>
      </c>
      <c r="O19" s="435">
        <f t="shared" si="4"/>
        <v>1</v>
      </c>
      <c r="P19" s="436">
        <f>SUMIF('Diags Raw Data'!$A$6:$A$3766,"*"&amp;$A19&amp;"*",'Diags Raw Data'!$Z$6:$Z$3766)</f>
        <v>1000</v>
      </c>
      <c r="Q19" s="437">
        <f>SUM(SUMIF('Diags Raw Data'!$A$6:$A$3766,"*"&amp;$A19&amp;"*",'Diags Raw Data'!$AA$6:$AA$3766),SUMIF('Diags Raw Data'!$A$6:$A$3766,"*"&amp;$A19&amp;"*",'Diags Raw Data'!$AB$6:$AB$3766))</f>
        <v>1000</v>
      </c>
      <c r="R19" s="438">
        <f t="shared" si="5"/>
        <v>1000</v>
      </c>
      <c r="S19" s="438">
        <f t="shared" si="6"/>
        <v>1</v>
      </c>
      <c r="T19" s="439">
        <f t="shared" si="7"/>
        <v>1000</v>
      </c>
      <c r="U19" s="414" t="s">
        <v>1015</v>
      </c>
      <c r="V19" s="181"/>
    </row>
    <row r="20" spans="1:22" ht="91.5" customHeight="1" thickBot="1" x14ac:dyDescent="0.3">
      <c r="A20" s="321" t="s">
        <v>372</v>
      </c>
      <c r="B20" s="407" t="str">
        <f>VLOOKUP(A20,'Feature Raw Data'!$A$3:$B$3847,2,FALSE)</f>
        <v>WS.CDL.Core.TSCTestCases</v>
      </c>
      <c r="C20" s="408" t="str">
        <f>VLOOKUP(A20,'Feature Raw Data'!$A$3:$C$3929,3,FALSE)</f>
        <v>P1</v>
      </c>
      <c r="D20" s="409" t="str" cm="1">
        <f t="array" ref="D20">_xlfn.TEXTJOIN("",TRUE,IF(ISNUMBER(SEARCH($A20,'Diags Raw Data'!$A$6:$A$3768)),CONCATENATE('Diags Raw Data'!$H$6:$H$3768,", "),""))</f>
        <v xml:space="preserve">Core3-1-172_TSC_Sync_Correctness_Check.stf
Core_Group_18_TSC_Sync_Check_Using_RDTSC.stf
Core3-1-180_TSC_Check.stf
Rdtsc_Rollover.stf
Core_TSC_Stability_Check_With_External_Source.stf, </v>
      </c>
      <c r="E20" s="410" t="str">
        <f>VLOOKUP(A20,'Diags Raw Data'!$A$6:$D$3768,4,FALSE)</f>
        <v>CORE-09</v>
      </c>
      <c r="F20" s="410" t="str">
        <f>VLOOKUP(A20,'Feature Raw Data'!$A$3:$E$3847,5,FALSE)</f>
        <v>Legacy</v>
      </c>
      <c r="G20" s="410" t="str">
        <f t="shared" si="10"/>
        <v>Yes</v>
      </c>
      <c r="H20" s="410" t="str">
        <f t="shared" si="11"/>
        <v>Yes</v>
      </c>
      <c r="I20" s="412">
        <f>SUMIF('Diags Raw Data'!$A$6:$A$3768,"*"&amp;$A20&amp;"*",'Diags Raw Data'!$K$6:$K$3768)</f>
        <v>1</v>
      </c>
      <c r="J20" s="413">
        <f>SUMIF('Diags Raw Data'!$A$6:$A$3768,"*"&amp;$A20&amp;"*",'Diags Raw Data'!$L$6:$L$3768)</f>
        <v>1</v>
      </c>
      <c r="K20" s="432" cm="1">
        <f t="array" ref="K20">IF(D20="",0, SUMPRODUCT(--(ISNUMBER(SEARCH($A20,'Diags Raw Data'!$A$6:$A$3766))),'Diags Raw Data'!$L$6:$L$3766,'Diags Raw Data'!$N$6:$N$3766)/J20)</f>
        <v>1</v>
      </c>
      <c r="L20" s="433" cm="1">
        <f t="array" ref="L20">IF(D20="",0, SUMPRODUCT(--(ISNUMBER(SEARCH($A20,'Diags Raw Data'!$A$6:$A$3766))),'Diags Raw Data'!$L$6:$L$3766,'Diags Raw Data'!$P$6:$P$3766)/J20)</f>
        <v>1</v>
      </c>
      <c r="M20" s="434" cm="1">
        <f t="array" ref="M20">SUMPRODUCT(--(ISNUMBER(SEARCH($A20,'Diags Raw Data'!$A$6:$A$3766))),--('Diags Raw Data'!$Q$6:$Q$3766&lt;&gt;"N/A"),'Diags Raw Data'!$T$6:$T$3766)+SUMPRODUCT(--(ISNUMBER(SEARCH($A20,'Diags Raw Data'!$A$6:$A$3766))),--('Diags Raw Data'!$Q$6:$Q$3766&lt;&gt;"N/A"),'Diags Raw Data'!$U$6:$U$3766)</f>
        <v>5</v>
      </c>
      <c r="N20" s="434" cm="1">
        <f t="array" ref="N20">SUMPRODUCT(--(ISNUMBER(SEARCH($A20,'Diags Raw Data'!$A$6:$A$3766))),--('Diags Raw Data'!$Q$6:$Q$3766&lt;&gt;"N/A"),'Diags Raw Data'!$T$6:$T$3766)+SUMPRODUCT(--(ISNUMBER(SEARCH($A20,'Diags Raw Data'!$A$6:$A$3766))),--('Diags Raw Data'!$Q$6:$Q$3766&lt;&gt;"N/A"),'Diags Raw Data'!$U$6:$U$3766)</f>
        <v>5</v>
      </c>
      <c r="O20" s="435">
        <f t="shared" si="4"/>
        <v>1</v>
      </c>
      <c r="P20" s="436">
        <f>SUMIF('Diags Raw Data'!$A$6:$A$3766,"*"&amp;$A20&amp;"*",'Diags Raw Data'!$Z$6:$Z$3766)</f>
        <v>5</v>
      </c>
      <c r="Q20" s="437">
        <f>SUM(SUMIF('Diags Raw Data'!$A$6:$A$3766,"*"&amp;$A20&amp;"*",'Diags Raw Data'!$AA$6:$AA$3766),SUMIF('Diags Raw Data'!$A$6:$A$3766,"*"&amp;$A20&amp;"*",'Diags Raw Data'!$AB$6:$AB$3766))</f>
        <v>5</v>
      </c>
      <c r="R20" s="438">
        <f t="shared" si="5"/>
        <v>5</v>
      </c>
      <c r="S20" s="438">
        <f t="shared" si="6"/>
        <v>1</v>
      </c>
      <c r="T20" s="439">
        <f t="shared" si="7"/>
        <v>5</v>
      </c>
      <c r="U20" s="414"/>
      <c r="V20" s="181"/>
    </row>
    <row r="21" spans="1:22" ht="45" x14ac:dyDescent="0.25">
      <c r="A21" s="321" t="s">
        <v>377</v>
      </c>
      <c r="B21" s="407" t="str">
        <f>VLOOKUP(A21,'Feature Raw Data'!$A$3:$B$3847,2,FALSE)</f>
        <v>WS.CDL.Core.AperfMperfTestCases</v>
      </c>
      <c r="C21" s="408" t="str">
        <f>VLOOKUP(A21,'Feature Raw Data'!$A$3:$C$3929,3,FALSE)</f>
        <v>P1</v>
      </c>
      <c r="D21" s="409" t="s">
        <v>1016</v>
      </c>
      <c r="E21" s="410" t="str">
        <f>VLOOKUP(A21,'Diags Raw Data'!$A$6:$D$3768,4,FALSE)</f>
        <v>CORE-09</v>
      </c>
      <c r="F21" s="410" t="str">
        <f>VLOOKUP(A21,'Feature Raw Data'!$A$3:$E$3847,5,FALSE)</f>
        <v>Legacy</v>
      </c>
      <c r="G21" s="410" t="str">
        <f t="shared" si="10"/>
        <v>Yes</v>
      </c>
      <c r="H21" s="410" t="str">
        <f t="shared" si="11"/>
        <v>Yes</v>
      </c>
      <c r="I21" s="412">
        <f>SUMIF('Diags Raw Data'!$A$6:$A$3768,"*"&amp;$A21&amp;"*",'Diags Raw Data'!$K$6:$K$3768)</f>
        <v>1</v>
      </c>
      <c r="J21" s="413">
        <f>SUMIF('Diags Raw Data'!$A$6:$A$3768,"*"&amp;$A21&amp;"*",'Diags Raw Data'!$L$6:$L$3768)</f>
        <v>1</v>
      </c>
      <c r="K21" s="432" cm="1">
        <f t="array" ref="K21">IF(D21="",0, SUMPRODUCT(--(ISNUMBER(SEARCH($A21,'Diags Raw Data'!$A$6:$A$3766))),'Diags Raw Data'!$L$6:$L$3766,'Diags Raw Data'!$N$6:$N$3766)/J21)</f>
        <v>1</v>
      </c>
      <c r="L21" s="433" cm="1">
        <f t="array" ref="L21">IF(D21="",0, SUMPRODUCT(--(ISNUMBER(SEARCH($A21,'Diags Raw Data'!$A$6:$A$3766))),'Diags Raw Data'!$L$6:$L$3766,'Diags Raw Data'!$P$6:$P$3766)/J21)</f>
        <v>1</v>
      </c>
      <c r="M21" s="434" cm="1">
        <f t="array" ref="M21">SUMPRODUCT(--(ISNUMBER(SEARCH($A21,'Diags Raw Data'!$A$6:$A$3766))),--('Diags Raw Data'!$Q$6:$Q$3766&lt;&gt;"N/A"),'Diags Raw Data'!$T$6:$T$3766)+SUMPRODUCT(--(ISNUMBER(SEARCH($A21,'Diags Raw Data'!$A$6:$A$3766))),--('Diags Raw Data'!$Q$6:$Q$3766&lt;&gt;"N/A"),'Diags Raw Data'!$U$6:$U$3766)</f>
        <v>5</v>
      </c>
      <c r="N21" s="434" cm="1">
        <f t="array" ref="N21">SUMPRODUCT(--(ISNUMBER(SEARCH($A21,'Diags Raw Data'!$A$6:$A$3766))),--('Diags Raw Data'!$Q$6:$Q$3766&lt;&gt;"N/A"),'Diags Raw Data'!$T$6:$T$3766)+SUMPRODUCT(--(ISNUMBER(SEARCH($A21,'Diags Raw Data'!$A$6:$A$3766))),--('Diags Raw Data'!$Q$6:$Q$3766&lt;&gt;"N/A"),'Diags Raw Data'!$U$6:$U$3766)</f>
        <v>5</v>
      </c>
      <c r="O21" s="435">
        <f t="shared" si="4"/>
        <v>1</v>
      </c>
      <c r="P21" s="436">
        <f>SUMIF('Diags Raw Data'!$A$6:$A$3766,"*"&amp;$A21&amp;"*",'Diags Raw Data'!$Z$6:$Z$3766)</f>
        <v>5</v>
      </c>
      <c r="Q21" s="437">
        <f>SUM(SUMIF('Diags Raw Data'!$A$6:$A$3766,"*"&amp;$A21&amp;"*",'Diags Raw Data'!$AA$6:$AA$3766),SUMIF('Diags Raw Data'!$A$6:$A$3766,"*"&amp;$A21&amp;"*",'Diags Raw Data'!$AB$6:$AB$3766))</f>
        <v>5</v>
      </c>
      <c r="R21" s="438">
        <f t="shared" si="5"/>
        <v>5</v>
      </c>
      <c r="S21" s="438">
        <f t="shared" si="6"/>
        <v>1</v>
      </c>
      <c r="T21" s="439">
        <f t="shared" si="7"/>
        <v>5</v>
      </c>
      <c r="U21" s="414"/>
      <c r="V21" s="181"/>
    </row>
    <row r="22" spans="1:22" ht="45.75" thickBot="1" x14ac:dyDescent="0.3">
      <c r="A22" s="321" t="s">
        <v>379</v>
      </c>
      <c r="B22" s="407" t="str">
        <f>VLOOKUP(A22,'Feature Raw Data'!$A$3:$B$3847,2,FALSE)</f>
        <v>WS.CDL.Core.TSCSemTestCases</v>
      </c>
      <c r="C22" s="408" t="str">
        <f>VLOOKUP(A22,'Feature Raw Data'!$A$3:$C$3929,3,FALSE)</f>
        <v>P1</v>
      </c>
      <c r="D22" s="409" t="str" cm="1">
        <f t="array" ref="D22">_xlfn.TEXTJOIN("",TRUE,IF(ISNUMBER(SEARCH($A22,'Diags Raw Data'!$A$6:$A$3768)),CONCATENATE('Diags Raw Data'!$H$6:$H$3768,", "),""))</f>
        <v xml:space="preserve">Core_Group_15_TSC_Sync_Check_with_Semaphore_Lock.stf
Core_Group_16_TSC_Sync_Check_with_Semaphore_Lock_and_C6_Irritator.stf, </v>
      </c>
      <c r="E22" s="410" t="str">
        <f>VLOOKUP(A22,'Diags Raw Data'!$A$6:$D$3768,4,FALSE)</f>
        <v>CORE-09</v>
      </c>
      <c r="F22" s="410" t="str">
        <f>VLOOKUP(A22,'Feature Raw Data'!$A$3:$E$3847,5,FALSE)</f>
        <v>Legacy</v>
      </c>
      <c r="G22" s="410" t="str">
        <f t="shared" si="10"/>
        <v>Yes</v>
      </c>
      <c r="H22" s="410" t="str">
        <f t="shared" si="11"/>
        <v>Yes</v>
      </c>
      <c r="I22" s="412">
        <f>SUMIF('Diags Raw Data'!$A$6:$A$3768,"*"&amp;$A22&amp;"*",'Diags Raw Data'!$K$6:$K$3768)</f>
        <v>1</v>
      </c>
      <c r="J22" s="413">
        <f>SUMIF('Diags Raw Data'!$A$6:$A$3768,"*"&amp;$A22&amp;"*",'Diags Raw Data'!$L$6:$L$3768)</f>
        <v>1</v>
      </c>
      <c r="K22" s="432" cm="1">
        <f t="array" ref="K22">IF(D22="",0, SUMPRODUCT(--(ISNUMBER(SEARCH($A22,'Diags Raw Data'!$A$6:$A$3766))),'Diags Raw Data'!$L$6:$L$3766,'Diags Raw Data'!$N$6:$N$3766)/J22)</f>
        <v>1</v>
      </c>
      <c r="L22" s="433" cm="1">
        <f t="array" ref="L22">IF(D22="",0, SUMPRODUCT(--(ISNUMBER(SEARCH($A22,'Diags Raw Data'!$A$6:$A$3766))),'Diags Raw Data'!$L$6:$L$3766,'Diags Raw Data'!$P$6:$P$3766)/J22)</f>
        <v>1</v>
      </c>
      <c r="M22" s="434" cm="1">
        <f t="array" ref="M22">SUMPRODUCT(--(ISNUMBER(SEARCH($A22,'Diags Raw Data'!$A$6:$A$3766))),--('Diags Raw Data'!$Q$6:$Q$3766&lt;&gt;"N/A"),'Diags Raw Data'!$T$6:$T$3766)+SUMPRODUCT(--(ISNUMBER(SEARCH($A22,'Diags Raw Data'!$A$6:$A$3766))),--('Diags Raw Data'!$Q$6:$Q$3766&lt;&gt;"N/A"),'Diags Raw Data'!$U$6:$U$3766)</f>
        <v>2</v>
      </c>
      <c r="N22" s="434" cm="1">
        <f t="array" ref="N22">SUMPRODUCT(--(ISNUMBER(SEARCH($A22,'Diags Raw Data'!$A$6:$A$3766))),--('Diags Raw Data'!$Q$6:$Q$3766&lt;&gt;"N/A"),'Diags Raw Data'!$T$6:$T$3766)+SUMPRODUCT(--(ISNUMBER(SEARCH($A22,'Diags Raw Data'!$A$6:$A$3766))),--('Diags Raw Data'!$Q$6:$Q$3766&lt;&gt;"N/A"),'Diags Raw Data'!$U$6:$U$3766)</f>
        <v>2</v>
      </c>
      <c r="O22" s="435">
        <f t="shared" si="4"/>
        <v>1</v>
      </c>
      <c r="P22" s="436">
        <f>SUMIF('Diags Raw Data'!$A$6:$A$3766,"*"&amp;$A22&amp;"*",'Diags Raw Data'!$Z$6:$Z$3766)</f>
        <v>2</v>
      </c>
      <c r="Q22" s="437">
        <f>SUM(SUMIF('Diags Raw Data'!$A$6:$A$3766,"*"&amp;$A22&amp;"*",'Diags Raw Data'!$AA$6:$AA$3766),SUMIF('Diags Raw Data'!$A$6:$A$3766,"*"&amp;$A22&amp;"*",'Diags Raw Data'!$AB$6:$AB$3766))</f>
        <v>2</v>
      </c>
      <c r="R22" s="438">
        <f t="shared" si="5"/>
        <v>2</v>
      </c>
      <c r="S22" s="438">
        <f t="shared" si="6"/>
        <v>1</v>
      </c>
      <c r="T22" s="439">
        <f t="shared" si="7"/>
        <v>2</v>
      </c>
      <c r="U22" s="414"/>
      <c r="V22" s="181"/>
    </row>
    <row r="23" spans="1:22" ht="15.75" thickBot="1" x14ac:dyDescent="0.3">
      <c r="A23" s="321" t="s">
        <v>382</v>
      </c>
      <c r="B23" s="407" t="str">
        <f>VLOOKUP(A23,'Feature Raw Data'!$A$3:$B$3847,2,FALSE)</f>
        <v>WS.CDL.Core.Down-coring</v>
      </c>
      <c r="C23" s="408" t="str">
        <f>VLOOKUP(A23,'Feature Raw Data'!$A$3:$C$3929,3,FALSE)</f>
        <v>P3</v>
      </c>
      <c r="D23" s="409" t="str" cm="1">
        <f t="array" ref="D23">_xlfn.TEXTJOIN("",TRUE,IF(ISNUMBER(SEARCH($A23,'Diags Raw Data'!$A$6:$A$3768)),CONCATENATE('Diags Raw Data'!$H$6:$H$3768,", "),""))</f>
        <v xml:space="preserve">Manual, </v>
      </c>
      <c r="E23" s="410" t="str">
        <f>VLOOKUP(A23,'Diags Raw Data'!$A$6:$D$3768,4,FALSE)</f>
        <v>CORE-09</v>
      </c>
      <c r="F23" s="410" t="str">
        <f>VLOOKUP(A23,'Feature Raw Data'!$A$3:$E$3847,5,FALSE)</f>
        <v>Legacy</v>
      </c>
      <c r="G23" s="410" t="str">
        <f t="shared" si="10"/>
        <v>Yes</v>
      </c>
      <c r="H23" s="410" t="str">
        <f t="shared" si="11"/>
        <v>Yes</v>
      </c>
      <c r="I23" s="412">
        <f>SUMIF('Diags Raw Data'!$A$6:$A$3768,"*"&amp;$A23&amp;"*",'Diags Raw Data'!$K$6:$K$3768)</f>
        <v>1</v>
      </c>
      <c r="J23" s="413">
        <f>SUMIF('Diags Raw Data'!$A$6:$A$3768,"*"&amp;$A23&amp;"*",'Diags Raw Data'!$L$6:$L$3768)</f>
        <v>1</v>
      </c>
      <c r="K23" s="432" cm="1">
        <f t="array" ref="K23">IF(D23="",0, SUMPRODUCT(--(ISNUMBER(SEARCH($A23,'Diags Raw Data'!$A$6:$A$3766))),'Diags Raw Data'!$L$6:$L$3766,'Diags Raw Data'!$N$6:$N$3766)/J23)</f>
        <v>1</v>
      </c>
      <c r="L23" s="433" cm="1">
        <f t="array" ref="L23">IF(D23="",0, SUMPRODUCT(--(ISNUMBER(SEARCH($A23,'Diags Raw Data'!$A$6:$A$3766))),'Diags Raw Data'!$L$6:$L$3766,'Diags Raw Data'!$P$6:$P$3766)/J23)</f>
        <v>1</v>
      </c>
      <c r="M23" s="434" cm="1">
        <f t="array" ref="M23">SUMPRODUCT(--(ISNUMBER(SEARCH($A23,'Diags Raw Data'!$A$6:$A$3766))),--('Diags Raw Data'!$Q$6:$Q$3766&lt;&gt;"N/A"),'Diags Raw Data'!$T$6:$T$3766)+SUMPRODUCT(--(ISNUMBER(SEARCH($A23,'Diags Raw Data'!$A$6:$A$3766))),--('Diags Raw Data'!$Q$6:$Q$3766&lt;&gt;"N/A"),'Diags Raw Data'!$U$6:$U$3766)</f>
        <v>0</v>
      </c>
      <c r="N23" s="434" cm="1">
        <f t="array" ref="N23">SUMPRODUCT(--(ISNUMBER(SEARCH($A23,'Diags Raw Data'!$A$6:$A$3766))),--('Diags Raw Data'!$Q$6:$Q$3766&lt;&gt;"N/A"),'Diags Raw Data'!$T$6:$T$3766)+SUMPRODUCT(--(ISNUMBER(SEARCH($A23,'Diags Raw Data'!$A$6:$A$3766))),--('Diags Raw Data'!$Q$6:$Q$3766&lt;&gt;"N/A"),'Diags Raw Data'!$U$6:$U$3766)</f>
        <v>0</v>
      </c>
      <c r="O23" s="435">
        <f t="shared" si="4"/>
        <v>0</v>
      </c>
      <c r="P23" s="436">
        <f>SUMIF('Diags Raw Data'!$A$6:$A$3766,"*"&amp;$A23&amp;"*",'Diags Raw Data'!$Z$6:$Z$3766)</f>
        <v>1</v>
      </c>
      <c r="Q23" s="437">
        <f>SUM(SUMIF('Diags Raw Data'!$A$6:$A$3766,"*"&amp;$A23&amp;"*",'Diags Raw Data'!$AA$6:$AA$3766),SUMIF('Diags Raw Data'!$A$6:$A$3766,"*"&amp;$A23&amp;"*",'Diags Raw Data'!$AB$6:$AB$3766))</f>
        <v>1</v>
      </c>
      <c r="R23" s="438">
        <f t="shared" si="5"/>
        <v>1</v>
      </c>
      <c r="S23" s="438">
        <f t="shared" si="6"/>
        <v>1</v>
      </c>
      <c r="T23" s="439">
        <f t="shared" si="7"/>
        <v>1</v>
      </c>
      <c r="U23" s="414"/>
      <c r="V23" s="181"/>
    </row>
    <row r="24" spans="1:22" ht="75.75" thickBot="1" x14ac:dyDescent="0.3">
      <c r="A24" s="321" t="s">
        <v>387</v>
      </c>
      <c r="B24" s="407" t="str">
        <f>VLOOKUP(A24,'Feature Raw Data'!$A$3:$B$3847,2,FALSE)</f>
        <v>WS.Storm.CPU.CET</v>
      </c>
      <c r="C24" s="408" t="str">
        <f>VLOOKUP(A24,'Feature Raw Data'!$A$3:$C$3929,3,FALSE)</f>
        <v>P4</v>
      </c>
      <c r="D24" s="409" t="str" cm="1">
        <f t="array" ref="D24">_xlfn.TEXTJOIN("",TRUE,IF(ISNUMBER(SEARCH($A24,'Diags Raw Data'!$A$6:$A$3768)),CONCATENATE('Diags Raw Data'!$H$6:$H$3768,", "),""))</f>
        <v xml:space="preserve">shadowstack.yml, </v>
      </c>
      <c r="E24" s="410" t="str">
        <f>VLOOKUP(A24,'Diags Raw Data'!$A$6:$D$3768,4,FALSE)</f>
        <v>CORE-09</v>
      </c>
      <c r="F24" s="410" t="str">
        <f>VLOOKUP(A24,'Feature Raw Data'!$A$3:$E$3847,5,FALSE)</f>
        <v>Legacy</v>
      </c>
      <c r="G24" s="410" t="str">
        <f t="shared" si="10"/>
        <v>Yes</v>
      </c>
      <c r="H24" s="410" t="str">
        <f t="shared" si="11"/>
        <v>Yes</v>
      </c>
      <c r="I24" s="412">
        <f>SUMIF('Diags Raw Data'!$A$6:$A$3768,"*"&amp;$A24&amp;"*",'Diags Raw Data'!$K$6:$K$3768)</f>
        <v>1</v>
      </c>
      <c r="J24" s="413">
        <f>SUMIF('Diags Raw Data'!$A$6:$A$3768,"*"&amp;$A24&amp;"*",'Diags Raw Data'!$L$6:$L$3768)</f>
        <v>1</v>
      </c>
      <c r="K24" s="432" cm="1">
        <f t="array" ref="K24">IF(D24="",0, SUMPRODUCT(--(ISNUMBER(SEARCH($A24,'Diags Raw Data'!$A$6:$A$3766))),'Diags Raw Data'!$L$6:$L$3766,'Diags Raw Data'!$N$6:$N$3766)/J24)</f>
        <v>1</v>
      </c>
      <c r="L24" s="433" cm="1">
        <f t="array" ref="L24">IF(D24="",0, SUMPRODUCT(--(ISNUMBER(SEARCH($A24,'Diags Raw Data'!$A$6:$A$3766))),'Diags Raw Data'!$L$6:$L$3766,'Diags Raw Data'!$P$6:$P$3766)/J24)</f>
        <v>1</v>
      </c>
      <c r="M24" s="434" cm="1">
        <f t="array" ref="M24">SUMPRODUCT(--(ISNUMBER(SEARCH($A24,'Diags Raw Data'!$A$6:$A$3766))),--('Diags Raw Data'!$Q$6:$Q$3766&lt;&gt;"N/A"),'Diags Raw Data'!$T$6:$T$3766)+SUMPRODUCT(--(ISNUMBER(SEARCH($A24,'Diags Raw Data'!$A$6:$A$3766))),--('Diags Raw Data'!$Q$6:$Q$3766&lt;&gt;"N/A"),'Diags Raw Data'!$U$6:$U$3766)</f>
        <v>3400</v>
      </c>
      <c r="N24" s="434" cm="1">
        <f t="array" ref="N24">SUMPRODUCT(--(ISNUMBER(SEARCH($A24,'Diags Raw Data'!$A$6:$A$3766))),--('Diags Raw Data'!$Q$6:$Q$3766&lt;&gt;"N/A"),'Diags Raw Data'!$T$6:$T$3766)+SUMPRODUCT(--(ISNUMBER(SEARCH($A24,'Diags Raw Data'!$A$6:$A$3766))),--('Diags Raw Data'!$Q$6:$Q$3766&lt;&gt;"N/A"),'Diags Raw Data'!$U$6:$U$3766)</f>
        <v>3400</v>
      </c>
      <c r="O24" s="435">
        <f t="shared" si="4"/>
        <v>1</v>
      </c>
      <c r="P24" s="436">
        <f>SUMIF('Diags Raw Data'!$A$6:$A$3766,"*"&amp;$A24&amp;"*",'Diags Raw Data'!$Z$6:$Z$3766)</f>
        <v>3000</v>
      </c>
      <c r="Q24" s="437">
        <f>SUM(SUMIF('Diags Raw Data'!$A$6:$A$3766,"*"&amp;$A24&amp;"*",'Diags Raw Data'!$AA$6:$AA$3766),SUMIF('Diags Raw Data'!$A$6:$A$3766,"*"&amp;$A24&amp;"*",'Diags Raw Data'!$AB$6:$AB$3766))</f>
        <v>3000</v>
      </c>
      <c r="R24" s="438">
        <f t="shared" si="5"/>
        <v>3000</v>
      </c>
      <c r="S24" s="438">
        <f t="shared" si="6"/>
        <v>1</v>
      </c>
      <c r="T24" s="439">
        <f t="shared" si="7"/>
        <v>3000</v>
      </c>
      <c r="U24" s="414" t="s">
        <v>1015</v>
      </c>
      <c r="V24" s="181"/>
    </row>
    <row r="25" spans="1:22" ht="43.5" customHeight="1" thickBot="1" x14ac:dyDescent="0.3">
      <c r="A25" s="321" t="s">
        <v>392</v>
      </c>
      <c r="B25" s="407" t="str">
        <f>VLOOKUP(A25,'Feature Raw Data'!$A$3:$B$3847,2,FALSE)</f>
        <v>WS.CDL.CPU.PPIN</v>
      </c>
      <c r="C25" s="408" t="str">
        <f>VLOOKUP(A25,'Feature Raw Data'!$A$3:$C$3929,3,FALSE)</f>
        <v>P4</v>
      </c>
      <c r="D25" s="409" t="str" cm="1">
        <f t="array" ref="D25">_xlfn.TEXTJOIN("",TRUE,IF(ISNUMBER(SEARCH($A25,'Diags Raw Data'!$A$6:$A$3768)),CONCATENATE('Diags Raw Data'!$H$6:$H$3768,", "),""))</f>
        <v xml:space="preserve">ppin.stf, </v>
      </c>
      <c r="E25" s="410" t="str">
        <f>VLOOKUP(A25,'Diags Raw Data'!$A$6:$D$3768,4,FALSE)</f>
        <v>CORE-09</v>
      </c>
      <c r="F25" s="410" t="str">
        <f>VLOOKUP(A25,'Feature Raw Data'!$A$3:$E$3847,5,FALSE)</f>
        <v>Legacy</v>
      </c>
      <c r="G25" s="410" t="str">
        <f t="shared" si="10"/>
        <v>Yes</v>
      </c>
      <c r="H25" s="410" t="str">
        <f t="shared" si="11"/>
        <v>Yes</v>
      </c>
      <c r="I25" s="412">
        <f>SUMIF('Diags Raw Data'!$A$6:$A$3768,"*"&amp;$A25&amp;"*",'Diags Raw Data'!$K$6:$K$3768)</f>
        <v>1</v>
      </c>
      <c r="J25" s="413">
        <f>SUMIF('Diags Raw Data'!$A$6:$A$3768,"*"&amp;$A25&amp;"*",'Diags Raw Data'!$L$6:$L$3768)</f>
        <v>0</v>
      </c>
      <c r="K25" s="432" t="e" cm="1">
        <f t="array" ref="K25">IF(D25="",0, SUMPRODUCT(--(ISNUMBER(SEARCH($A25,'Diags Raw Data'!$A$6:$A$3766))),'Diags Raw Data'!$L$6:$L$3766,'Diags Raw Data'!$N$6:$N$3766)/J25)</f>
        <v>#DIV/0!</v>
      </c>
      <c r="L25" s="433" t="e" cm="1">
        <f t="array" ref="L25">IF(D25="",0, SUMPRODUCT(--(ISNUMBER(SEARCH($A25,'Diags Raw Data'!$A$6:$A$3766))),'Diags Raw Data'!$L$6:$L$3766,'Diags Raw Data'!$P$6:$P$3766)/J25)</f>
        <v>#DIV/0!</v>
      </c>
      <c r="M25" s="434" cm="1">
        <f t="array" ref="M25">SUMPRODUCT(--(ISNUMBER(SEARCH($A25,'Diags Raw Data'!$A$6:$A$3766))),--('Diags Raw Data'!$Q$6:$Q$3766&lt;&gt;"N/A"),'Diags Raw Data'!$T$6:$T$3766)+SUMPRODUCT(--(ISNUMBER(SEARCH($A25,'Diags Raw Data'!$A$6:$A$3766))),--('Diags Raw Data'!$Q$6:$Q$3766&lt;&gt;"N/A"),'Diags Raw Data'!$U$6:$U$3766)</f>
        <v>0</v>
      </c>
      <c r="N25" s="434" cm="1">
        <f t="array" ref="N25">SUMPRODUCT(--(ISNUMBER(SEARCH($A25,'Diags Raw Data'!$A$6:$A$3766))),--('Diags Raw Data'!$Q$6:$Q$3766&lt;&gt;"N/A"),'Diags Raw Data'!$T$6:$T$3766)+SUMPRODUCT(--(ISNUMBER(SEARCH($A25,'Diags Raw Data'!$A$6:$A$3766))),--('Diags Raw Data'!$Q$6:$Q$3766&lt;&gt;"N/A"),'Diags Raw Data'!$U$6:$U$3766)</f>
        <v>0</v>
      </c>
      <c r="O25" s="435">
        <f t="shared" si="4"/>
        <v>0</v>
      </c>
      <c r="P25" s="436">
        <f>SUMIF('Diags Raw Data'!$A$6:$A$3766,"*"&amp;$A25&amp;"*",'Diags Raw Data'!$Z$6:$Z$3766)</f>
        <v>1</v>
      </c>
      <c r="Q25" s="437">
        <f>SUM(SUMIF('Diags Raw Data'!$A$6:$A$3766,"*"&amp;$A25&amp;"*",'Diags Raw Data'!$AA$6:$AA$3766),SUMIF('Diags Raw Data'!$A$6:$A$3766,"*"&amp;$A25&amp;"*",'Diags Raw Data'!$AB$6:$AB$3766))</f>
        <v>1</v>
      </c>
      <c r="R25" s="438">
        <f t="shared" si="5"/>
        <v>0</v>
      </c>
      <c r="S25" s="438">
        <f t="shared" si="6"/>
        <v>1</v>
      </c>
      <c r="T25" s="439">
        <f t="shared" si="7"/>
        <v>0</v>
      </c>
      <c r="U25" s="414" t="s">
        <v>1017</v>
      </c>
      <c r="V25" s="181"/>
    </row>
    <row r="26" spans="1:22" ht="15.75" thickBot="1" x14ac:dyDescent="0.3">
      <c r="A26" s="321" t="s">
        <v>399</v>
      </c>
      <c r="B26" s="407" t="str">
        <f>VLOOKUP(A26,'Feature Raw Data'!$A$3:$B$3847,2,FALSE)</f>
        <v>WS.CDL.CPU.CPUID Values</v>
      </c>
      <c r="C26" s="408" t="str">
        <f>VLOOKUP(A26,'Feature Raw Data'!$A$3:$C$3929,3,FALSE)</f>
        <v>P2</v>
      </c>
      <c r="D26" s="409" t="str" cm="1">
        <f t="array" ref="D26">_xlfn.TEXTJOIN("",TRUE,IF(ISNUMBER(SEARCH($A26,'Diags Raw Data'!$A$6:$A$3768)),CONCATENATE('Diags Raw Data'!$H$6:$H$3768,", "),""))</f>
        <v xml:space="preserve">Core_3-1-65_CPUID_Values.stf, </v>
      </c>
      <c r="E26" s="410" t="str">
        <f>VLOOKUP(A26,'Diags Raw Data'!$A$6:$D$3768,4,FALSE)</f>
        <v>CORE-09</v>
      </c>
      <c r="F26" s="410" t="str">
        <f>VLOOKUP(A26,'Feature Raw Data'!$A$3:$E$3847,5,FALSE)</f>
        <v>Delta</v>
      </c>
      <c r="G26" s="410" t="str">
        <f t="shared" si="10"/>
        <v>Yes</v>
      </c>
      <c r="H26" s="410" t="str">
        <f t="shared" si="11"/>
        <v>Yes</v>
      </c>
      <c r="I26" s="412">
        <f>SUMIF('Diags Raw Data'!$A$6:$A$3768,"*"&amp;$A26&amp;"*",'Diags Raw Data'!$K$6:$K$3768)</f>
        <v>1</v>
      </c>
      <c r="J26" s="413">
        <f>SUMIF('Diags Raw Data'!$A$6:$A$3768,"*"&amp;$A26&amp;"*",'Diags Raw Data'!$L$6:$L$3768)</f>
        <v>1</v>
      </c>
      <c r="K26" s="432" cm="1">
        <f t="array" ref="K26">IF(D26="",0, SUMPRODUCT(--(ISNUMBER(SEARCH($A26,'Diags Raw Data'!$A$6:$A$3766))),'Diags Raw Data'!$L$6:$L$3766,'Diags Raw Data'!$N$6:$N$3766)/J26)</f>
        <v>1</v>
      </c>
      <c r="L26" s="433" cm="1">
        <f t="array" ref="L26">IF(D26="",0, SUMPRODUCT(--(ISNUMBER(SEARCH($A26,'Diags Raw Data'!$A$6:$A$3766))),'Diags Raw Data'!$L$6:$L$3766,'Diags Raw Data'!$P$6:$P$3766)/J26)</f>
        <v>1</v>
      </c>
      <c r="M26" s="434" cm="1">
        <f t="array" ref="M26">SUMPRODUCT(--(ISNUMBER(SEARCH($A26,'Diags Raw Data'!$A$6:$A$3766))),--('Diags Raw Data'!$Q$6:$Q$3766&lt;&gt;"N/A"),'Diags Raw Data'!$T$6:$T$3766)+SUMPRODUCT(--(ISNUMBER(SEARCH($A26,'Diags Raw Data'!$A$6:$A$3766))),--('Diags Raw Data'!$Q$6:$Q$3766&lt;&gt;"N/A"),'Diags Raw Data'!$U$6:$U$3766)</f>
        <v>1</v>
      </c>
      <c r="N26" s="434" cm="1">
        <f t="array" ref="N26">SUMPRODUCT(--(ISNUMBER(SEARCH($A26,'Diags Raw Data'!$A$6:$A$3766))),--('Diags Raw Data'!$Q$6:$Q$3766&lt;&gt;"N/A"),'Diags Raw Data'!$T$6:$T$3766)+SUMPRODUCT(--(ISNUMBER(SEARCH($A26,'Diags Raw Data'!$A$6:$A$3766))),--('Diags Raw Data'!$Q$6:$Q$3766&lt;&gt;"N/A"),'Diags Raw Data'!$U$6:$U$3766)</f>
        <v>1</v>
      </c>
      <c r="O26" s="435">
        <f t="shared" si="4"/>
        <v>1</v>
      </c>
      <c r="P26" s="436">
        <f>SUMIF('Diags Raw Data'!$A$6:$A$3766,"*"&amp;$A26&amp;"*",'Diags Raw Data'!$Z$6:$Z$3766)</f>
        <v>1</v>
      </c>
      <c r="Q26" s="437">
        <f>SUM(SUMIF('Diags Raw Data'!$A$6:$A$3766,"*"&amp;$A26&amp;"*",'Diags Raw Data'!$AA$6:$AA$3766),SUMIF('Diags Raw Data'!$A$6:$A$3766,"*"&amp;$A26&amp;"*",'Diags Raw Data'!$AB$6:$AB$3766))</f>
        <v>1</v>
      </c>
      <c r="R26" s="438">
        <f t="shared" si="5"/>
        <v>1</v>
      </c>
      <c r="S26" s="438">
        <f t="shared" si="6"/>
        <v>1</v>
      </c>
      <c r="T26" s="439">
        <f t="shared" si="7"/>
        <v>1</v>
      </c>
      <c r="U26" s="414" t="s">
        <v>1018</v>
      </c>
      <c r="V26" s="181"/>
    </row>
    <row r="27" spans="1:22" ht="83.25" customHeight="1" thickBot="1" x14ac:dyDescent="0.3">
      <c r="A27" s="321" t="s">
        <v>402</v>
      </c>
      <c r="B27" s="407" t="str">
        <f>VLOOKUP(A27,'Feature Raw Data'!$A$3:$B$3847,2,FALSE)</f>
        <v>WS.Storm.CPU.x86ExceptionHandling</v>
      </c>
      <c r="C27" s="408" t="str">
        <f>VLOOKUP(A27,'Feature Raw Data'!$A$3:$C$3929,3,FALSE)</f>
        <v>P4</v>
      </c>
      <c r="D27" s="409" t="str" cm="1">
        <f t="array" ref="D27">_xlfn.TEXTJOIN("",TRUE,IF(ISNUMBER(SEARCH($A27,'Diags Raw Data'!$A$6:$A$3768)),CONCATENATE('Diags Raw Data'!$H$6:$H$3768,", "),""))</f>
        <v xml:space="preserve">st341_rsa0_ps_only_cross_all_insts_all_excps.yml, </v>
      </c>
      <c r="E27" s="410" t="str">
        <f>VLOOKUP(A27,'Diags Raw Data'!$A$6:$D$3768,4,FALSE)</f>
        <v>CORE-09</v>
      </c>
      <c r="F27" s="410" t="str">
        <f>VLOOKUP(A27,'Feature Raw Data'!$A$3:$E$3847,5,FALSE)</f>
        <v>Legacy</v>
      </c>
      <c r="G27" s="410" t="str">
        <f t="shared" si="10"/>
        <v>Yes</v>
      </c>
      <c r="H27" s="410" t="str">
        <f t="shared" si="11"/>
        <v>Yes</v>
      </c>
      <c r="I27" s="412">
        <f>SUMIF('Diags Raw Data'!$A$6:$A$3768,"*"&amp;$A27&amp;"*",'Diags Raw Data'!$K$6:$K$3768)</f>
        <v>1</v>
      </c>
      <c r="J27" s="413">
        <f>SUMIF('Diags Raw Data'!$A$6:$A$3768,"*"&amp;$A27&amp;"*",'Diags Raw Data'!$L$6:$L$3768)</f>
        <v>1</v>
      </c>
      <c r="K27" s="432" cm="1">
        <f t="array" ref="K27">IF(D27="",0, SUMPRODUCT(--(ISNUMBER(SEARCH($A27,'Diags Raw Data'!$A$6:$A$3766))),'Diags Raw Data'!$L$6:$L$3766,'Diags Raw Data'!$N$6:$N$3766)/J27)</f>
        <v>1</v>
      </c>
      <c r="L27" s="433" cm="1">
        <f t="array" ref="L27">IF(D27="",0, SUMPRODUCT(--(ISNUMBER(SEARCH($A27,'Diags Raw Data'!$A$6:$A$3766))),'Diags Raw Data'!$L$6:$L$3766,'Diags Raw Data'!$P$6:$P$3766)/J27)</f>
        <v>1</v>
      </c>
      <c r="M27" s="434" cm="1">
        <f t="array" ref="M27">SUMPRODUCT(--(ISNUMBER(SEARCH($A27,'Diags Raw Data'!$A$6:$A$3766))),--('Diags Raw Data'!$Q$6:$Q$3766&lt;&gt;"N/A"),'Diags Raw Data'!$T$6:$T$3766)+SUMPRODUCT(--(ISNUMBER(SEARCH($A27,'Diags Raw Data'!$A$6:$A$3766))),--('Diags Raw Data'!$Q$6:$Q$3766&lt;&gt;"N/A"),'Diags Raw Data'!$U$6:$U$3766)</f>
        <v>1000</v>
      </c>
      <c r="N27" s="434" cm="1">
        <f t="array" ref="N27">SUMPRODUCT(--(ISNUMBER(SEARCH($A27,'Diags Raw Data'!$A$6:$A$3766))),--('Diags Raw Data'!$Q$6:$Q$3766&lt;&gt;"N/A"),'Diags Raw Data'!$T$6:$T$3766)+SUMPRODUCT(--(ISNUMBER(SEARCH($A27,'Diags Raw Data'!$A$6:$A$3766))),--('Diags Raw Data'!$Q$6:$Q$3766&lt;&gt;"N/A"),'Diags Raw Data'!$U$6:$U$3766)</f>
        <v>1000</v>
      </c>
      <c r="O27" s="435">
        <f t="shared" si="4"/>
        <v>1</v>
      </c>
      <c r="P27" s="436">
        <f>SUMIF('Diags Raw Data'!$A$6:$A$3766,"*"&amp;$A27&amp;"*",'Diags Raw Data'!$Z$6:$Z$3766)</f>
        <v>2000</v>
      </c>
      <c r="Q27" s="437">
        <f>SUM(SUMIF('Diags Raw Data'!$A$6:$A$3766,"*"&amp;$A27&amp;"*",'Diags Raw Data'!$AA$6:$AA$3766),SUMIF('Diags Raw Data'!$A$6:$A$3766,"*"&amp;$A27&amp;"*",'Diags Raw Data'!$AB$6:$AB$3766))</f>
        <v>2000</v>
      </c>
      <c r="R27" s="438">
        <f t="shared" si="5"/>
        <v>2000</v>
      </c>
      <c r="S27" s="438">
        <f t="shared" si="6"/>
        <v>1</v>
      </c>
      <c r="T27" s="439">
        <f t="shared" si="7"/>
        <v>2000</v>
      </c>
      <c r="U27" s="414"/>
      <c r="V27" s="181"/>
    </row>
    <row r="28" spans="1:22" ht="54.75" customHeight="1" thickBot="1" x14ac:dyDescent="0.3">
      <c r="A28" s="321" t="s">
        <v>406</v>
      </c>
      <c r="B28" s="407" t="str">
        <f>VLOOKUP(A28,'Feature Raw Data'!$A$3:$B$3847,2,FALSE)</f>
        <v>WS.CDL.CPU.BranchTraceHistoryBuffer</v>
      </c>
      <c r="C28" s="408" t="str">
        <f>VLOOKUP(A28,'Feature Raw Data'!$A$3:$C$3929,3,FALSE)</f>
        <v>P4</v>
      </c>
      <c r="D28" s="409" t="str" cm="1">
        <f t="array" ref="D28">_xlfn.TEXTJOIN("",TRUE,IF(ISNUMBER(SEARCH($A28,'Diags Raw Data'!$A$6:$A$3768)),CONCATENATE('Diags Raw Data'!$H$6:$H$3768,", "),""))</f>
        <v xml:space="preserve">Bthb_Trace.stf, </v>
      </c>
      <c r="E28" s="410" t="str">
        <f>VLOOKUP(A28,'Diags Raw Data'!$A$6:$D$3768,4,FALSE)</f>
        <v>CORE-09</v>
      </c>
      <c r="F28" s="410" t="str">
        <f>VLOOKUP(A28,'Feature Raw Data'!$A$3:$E$3847,5,FALSE)</f>
        <v>Legacy</v>
      </c>
      <c r="G28" s="410" t="str">
        <f t="shared" si="10"/>
        <v>Yes</v>
      </c>
      <c r="H28" s="410" t="str">
        <f t="shared" si="11"/>
        <v>Yes</v>
      </c>
      <c r="I28" s="412">
        <f>SUMIF('Diags Raw Data'!$A$6:$A$3768,"*"&amp;$A28&amp;"*",'Diags Raw Data'!$K$6:$K$3768)</f>
        <v>1</v>
      </c>
      <c r="J28" s="413">
        <f>SUMIF('Diags Raw Data'!$A$6:$A$3768,"*"&amp;$A28&amp;"*",'Diags Raw Data'!$L$6:$L$3768)</f>
        <v>1</v>
      </c>
      <c r="K28" s="432" cm="1">
        <f t="array" ref="K28">IF(D28="",0, SUMPRODUCT(--(ISNUMBER(SEARCH($A28,'Diags Raw Data'!$A$6:$A$3766))),'Diags Raw Data'!$L$6:$L$3766,'Diags Raw Data'!$N$6:$N$3766)/J28)</f>
        <v>1</v>
      </c>
      <c r="L28" s="433" cm="1">
        <f t="array" ref="L28">IF(D28="",0, SUMPRODUCT(--(ISNUMBER(SEARCH($A28,'Diags Raw Data'!$A$6:$A$3766))),'Diags Raw Data'!$L$6:$L$3766,'Diags Raw Data'!$P$6:$P$3766)/J28)</f>
        <v>1</v>
      </c>
      <c r="M28" s="434" cm="1">
        <f t="array" ref="M28">SUMPRODUCT(--(ISNUMBER(SEARCH($A28,'Diags Raw Data'!$A$6:$A$3766))),--('Diags Raw Data'!$Q$6:$Q$3766&lt;&gt;"N/A"),'Diags Raw Data'!$T$6:$T$3766)+SUMPRODUCT(--(ISNUMBER(SEARCH($A28,'Diags Raw Data'!$A$6:$A$3766))),--('Diags Raw Data'!$Q$6:$Q$3766&lt;&gt;"N/A"),'Diags Raw Data'!$U$6:$U$3766)</f>
        <v>1</v>
      </c>
      <c r="N28" s="434" cm="1">
        <f t="array" ref="N28">SUMPRODUCT(--(ISNUMBER(SEARCH($A28,'Diags Raw Data'!$A$6:$A$3766))),--('Diags Raw Data'!$Q$6:$Q$3766&lt;&gt;"N/A"),'Diags Raw Data'!$T$6:$T$3766)+SUMPRODUCT(--(ISNUMBER(SEARCH($A28,'Diags Raw Data'!$A$6:$A$3766))),--('Diags Raw Data'!$Q$6:$Q$3766&lt;&gt;"N/A"),'Diags Raw Data'!$U$6:$U$3766)</f>
        <v>1</v>
      </c>
      <c r="O28" s="435">
        <f t="shared" si="4"/>
        <v>1</v>
      </c>
      <c r="P28" s="436">
        <f>SUMIF('Diags Raw Data'!$A$6:$A$3766,"*"&amp;$A28&amp;"*",'Diags Raw Data'!$Z$6:$Z$3766)</f>
        <v>1</v>
      </c>
      <c r="Q28" s="437">
        <f>SUM(SUMIF('Diags Raw Data'!$A$6:$A$3766,"*"&amp;$A28&amp;"*",'Diags Raw Data'!$AA$6:$AA$3766),SUMIF('Diags Raw Data'!$A$6:$A$3766,"*"&amp;$A28&amp;"*",'Diags Raw Data'!$AB$6:$AB$3766))</f>
        <v>1</v>
      </c>
      <c r="R28" s="438">
        <f t="shared" si="5"/>
        <v>1</v>
      </c>
      <c r="S28" s="438">
        <f t="shared" si="6"/>
        <v>1</v>
      </c>
      <c r="T28" s="439">
        <f t="shared" si="7"/>
        <v>1</v>
      </c>
      <c r="U28" s="414" t="s">
        <v>1015</v>
      </c>
      <c r="V28" s="181"/>
    </row>
    <row r="29" spans="1:22" ht="75.75" thickBot="1" x14ac:dyDescent="0.3">
      <c r="A29" s="321" t="s">
        <v>411</v>
      </c>
      <c r="B29" s="407" t="str">
        <f>VLOOKUP(A29,'Feature Raw Data'!$A$3:$B$3847,2,FALSE)</f>
        <v>WS.CDL.CPU.SKINIT</v>
      </c>
      <c r="C29" s="408" t="str">
        <f>VLOOKUP(A29,'Feature Raw Data'!$A$3:$C$3929,3,FALSE)</f>
        <v>P2</v>
      </c>
      <c r="D29" s="409" t="str" cm="1">
        <f t="array" ref="D29">_xlfn.TEXTJOIN("",TRUE,IF(ISNUMBER(SEARCH($A29,'Diags Raw Data'!$A$6:$A$3768)),CONCATENATE('Diags Raw Data'!$H$6:$H$3768,", "),""))</f>
        <v xml:space="preserve">Manual, </v>
      </c>
      <c r="E29" s="410" t="str">
        <f>VLOOKUP(A29,'Diags Raw Data'!$A$6:$D$3768,4,FALSE)</f>
        <v>CORE-09</v>
      </c>
      <c r="F29" s="410" t="str">
        <f>VLOOKUP(A29,'Feature Raw Data'!$A$3:$E$3847,5,FALSE)</f>
        <v>Legacy</v>
      </c>
      <c r="G29" s="410" t="str">
        <f t="shared" si="10"/>
        <v>Yes</v>
      </c>
      <c r="H29" s="410" t="str">
        <f t="shared" si="11"/>
        <v>Yes</v>
      </c>
      <c r="I29" s="412">
        <f>SUMIF('Diags Raw Data'!$A$6:$A$3768,"*"&amp;$A29&amp;"*",'Diags Raw Data'!$K$6:$K$3768)</f>
        <v>1</v>
      </c>
      <c r="J29" s="413">
        <f>SUMIF('Diags Raw Data'!$A$6:$A$3768,"*"&amp;$A29&amp;"*",'Diags Raw Data'!$L$6:$L$3768)</f>
        <v>1</v>
      </c>
      <c r="K29" s="432" cm="1">
        <f t="array" ref="K29">IF(D29="",0, SUMPRODUCT(--(ISNUMBER(SEARCH($A29,'Diags Raw Data'!$A$6:$A$3766))),'Diags Raw Data'!$L$6:$L$3766,'Diags Raw Data'!$N$6:$N$3766)/J29)</f>
        <v>1</v>
      </c>
      <c r="L29" s="433" cm="1">
        <f t="array" ref="L29">IF(D29="",0, SUMPRODUCT(--(ISNUMBER(SEARCH($A29,'Diags Raw Data'!$A$6:$A$3766))),'Diags Raw Data'!$L$6:$L$3766,'Diags Raw Data'!$P$6:$P$3766)/J29)</f>
        <v>1</v>
      </c>
      <c r="M29" s="434" cm="1">
        <f t="array" ref="M29">SUMPRODUCT(--(ISNUMBER(SEARCH($A29,'Diags Raw Data'!$A$6:$A$3766))),--('Diags Raw Data'!$Q$6:$Q$3766&lt;&gt;"N/A"),'Diags Raw Data'!$T$6:$T$3766)+SUMPRODUCT(--(ISNUMBER(SEARCH($A29,'Diags Raw Data'!$A$6:$A$3766))),--('Diags Raw Data'!$Q$6:$Q$3766&lt;&gt;"N/A"),'Diags Raw Data'!$U$6:$U$3766)</f>
        <v>1</v>
      </c>
      <c r="N29" s="434" cm="1">
        <f t="array" ref="N29">SUMPRODUCT(--(ISNUMBER(SEARCH($A29,'Diags Raw Data'!$A$6:$A$3766))),--('Diags Raw Data'!$Q$6:$Q$3766&lt;&gt;"N/A"),'Diags Raw Data'!$T$6:$T$3766)+SUMPRODUCT(--(ISNUMBER(SEARCH($A29,'Diags Raw Data'!$A$6:$A$3766))),--('Diags Raw Data'!$Q$6:$Q$3766&lt;&gt;"N/A"),'Diags Raw Data'!$U$6:$U$3766)</f>
        <v>1</v>
      </c>
      <c r="O29" s="435">
        <f t="shared" si="4"/>
        <v>1</v>
      </c>
      <c r="P29" s="436">
        <f>SUMIF('Diags Raw Data'!$A$6:$A$3766,"*"&amp;$A29&amp;"*",'Diags Raw Data'!$Z$6:$Z$3766)</f>
        <v>1</v>
      </c>
      <c r="Q29" s="437">
        <f>SUM(SUMIF('Diags Raw Data'!$A$6:$A$3766,"*"&amp;$A29&amp;"*",'Diags Raw Data'!$AA$6:$AA$3766),SUMIF('Diags Raw Data'!$A$6:$A$3766,"*"&amp;$A29&amp;"*",'Diags Raw Data'!$AB$6:$AB$3766))</f>
        <v>1</v>
      </c>
      <c r="R29" s="438">
        <f t="shared" si="5"/>
        <v>1</v>
      </c>
      <c r="S29" s="438">
        <f t="shared" si="6"/>
        <v>1</v>
      </c>
      <c r="T29" s="439">
        <f t="shared" si="7"/>
        <v>1</v>
      </c>
      <c r="U29" s="414" t="s">
        <v>1015</v>
      </c>
      <c r="V29" s="181"/>
    </row>
    <row r="30" spans="1:22" ht="64.5" customHeight="1" thickBot="1" x14ac:dyDescent="0.3">
      <c r="A30" s="321" t="s">
        <v>416</v>
      </c>
      <c r="B30" s="407" t="str">
        <f>VLOOKUP(A30,'Feature Raw Data'!$A$3:$B$3847,2,FALSE)</f>
        <v>WS.CDL.ISA.RepInstructions</v>
      </c>
      <c r="C30" s="408" t="str">
        <f>VLOOKUP(A30,'Feature Raw Data'!$A$3:$C$3929,3,FALSE)</f>
        <v>P1</v>
      </c>
      <c r="D30" s="409" t="s">
        <v>1019</v>
      </c>
      <c r="E30" s="410" t="str">
        <f>VLOOKUP(A30,'Diags Raw Data'!$A$6:$D$3768,4,FALSE)</f>
        <v>CORE-09</v>
      </c>
      <c r="F30" s="410" t="str">
        <f>VLOOKUP(A30,'Feature Raw Data'!$A$3:$E$3847,5,FALSE)</f>
        <v>Delta</v>
      </c>
      <c r="G30" s="410" t="str">
        <f t="shared" si="10"/>
        <v>Yes</v>
      </c>
      <c r="H30" s="410" t="str">
        <f t="shared" si="11"/>
        <v>Yes</v>
      </c>
      <c r="I30" s="412">
        <f>SUMIF('Diags Raw Data'!$A$6:$A$3768,"*"&amp;$A30&amp;"*",'Diags Raw Data'!$K$6:$K$3768)</f>
        <v>1</v>
      </c>
      <c r="J30" s="413">
        <f>SUMIF('Diags Raw Data'!$A$6:$A$3768,"*"&amp;$A30&amp;"*",'Diags Raw Data'!$L$6:$L$3768)</f>
        <v>1</v>
      </c>
      <c r="K30" s="432" cm="1">
        <f t="array" ref="K30">IF(D30="",0, SUMPRODUCT(--(ISNUMBER(SEARCH($A30,'Diags Raw Data'!$A$6:$A$3766))),'Diags Raw Data'!$L$6:$L$3766,'Diags Raw Data'!$N$6:$N$3766)/J30)</f>
        <v>1</v>
      </c>
      <c r="L30" s="433" cm="1">
        <f t="array" ref="L30">IF(D30="",0, SUMPRODUCT(--(ISNUMBER(SEARCH($A30,'Diags Raw Data'!$A$6:$A$3766))),'Diags Raw Data'!$L$6:$L$3766,'Diags Raw Data'!$P$6:$P$3766)/J30)</f>
        <v>1</v>
      </c>
      <c r="M30" s="434" cm="1">
        <f t="array" ref="M30">SUMPRODUCT(--(ISNUMBER(SEARCH($A30,'Diags Raw Data'!$A$6:$A$3766))),--('Diags Raw Data'!$Q$6:$Q$3766&lt;&gt;"N/A"),'Diags Raw Data'!$T$6:$T$3766)+SUMPRODUCT(--(ISNUMBER(SEARCH($A30,'Diags Raw Data'!$A$6:$A$3766))),--('Diags Raw Data'!$Q$6:$Q$3766&lt;&gt;"N/A"),'Diags Raw Data'!$U$6:$U$3766)</f>
        <v>5</v>
      </c>
      <c r="N30" s="434" cm="1">
        <f t="array" ref="N30">SUMPRODUCT(--(ISNUMBER(SEARCH($A30,'Diags Raw Data'!$A$6:$A$3766))),--('Diags Raw Data'!$Q$6:$Q$3766&lt;&gt;"N/A"),'Diags Raw Data'!$T$6:$T$3766)+SUMPRODUCT(--(ISNUMBER(SEARCH($A30,'Diags Raw Data'!$A$6:$A$3766))),--('Diags Raw Data'!$Q$6:$Q$3766&lt;&gt;"N/A"),'Diags Raw Data'!$U$6:$U$3766)</f>
        <v>5</v>
      </c>
      <c r="O30" s="435">
        <f t="shared" si="4"/>
        <v>1</v>
      </c>
      <c r="P30" s="436">
        <f>SUMIF('Diags Raw Data'!$A$6:$A$3766,"*"&amp;$A30&amp;"*",'Diags Raw Data'!$Z$6:$Z$3766)</f>
        <v>8</v>
      </c>
      <c r="Q30" s="437">
        <f>SUM(SUMIF('Diags Raw Data'!$A$6:$A$3766,"*"&amp;$A30&amp;"*",'Diags Raw Data'!$AA$6:$AA$3766),SUMIF('Diags Raw Data'!$A$6:$A$3766,"*"&amp;$A30&amp;"*",'Diags Raw Data'!$AB$6:$AB$3766))</f>
        <v>8</v>
      </c>
      <c r="R30" s="438">
        <f t="shared" si="5"/>
        <v>8</v>
      </c>
      <c r="S30" s="438">
        <f t="shared" si="6"/>
        <v>1</v>
      </c>
      <c r="T30" s="439">
        <f t="shared" si="7"/>
        <v>8</v>
      </c>
      <c r="U30" s="414"/>
      <c r="V30" s="181"/>
    </row>
    <row r="31" spans="1:22" ht="75.75" thickBot="1" x14ac:dyDescent="0.3">
      <c r="A31" s="321" t="s">
        <v>421</v>
      </c>
      <c r="B31" s="407" t="str">
        <f>VLOOKUP(A31,'Feature Raw Data'!$A$3:$B$3847,2,FALSE)</f>
        <v>WS.Storm.EX.SchedulerQExerciser</v>
      </c>
      <c r="C31" s="408" t="str">
        <f>VLOOKUP(A31,'Feature Raw Data'!$A$3:$C$3929,3,FALSE)</f>
        <v>P4</v>
      </c>
      <c r="D31" s="409" t="str" cm="1">
        <f t="array" ref="D31">_xlfn.TEXTJOIN("",TRUE,IF(ISNUMBER(SEARCH($A31,'Diags Raw Data'!$A$6:$A$3768)),CONCATENATE('Diags Raw Data'!$H$6:$H$3768,", "),""))</f>
        <v xml:space="preserve">st279_gnb0_gna0_vmr_compat_deeper_scheduler.yml, </v>
      </c>
      <c r="E31" s="410" t="str">
        <f>VLOOKUP(A31,'Diags Raw Data'!$A$6:$D$3768,4,FALSE)</f>
        <v>EX-01</v>
      </c>
      <c r="F31" s="410" t="str">
        <f>VLOOKUP(A31,'Feature Raw Data'!$A$3:$E$3847,5,FALSE)</f>
        <v>Legacy</v>
      </c>
      <c r="G31" s="410" t="str">
        <f t="shared" si="10"/>
        <v>Yes</v>
      </c>
      <c r="H31" s="410" t="str">
        <f t="shared" si="11"/>
        <v>Yes</v>
      </c>
      <c r="I31" s="412">
        <f>SUMIF('Diags Raw Data'!$A$6:$A$3768,"*"&amp;$A31&amp;"*",'Diags Raw Data'!$K$6:$K$3768)</f>
        <v>1</v>
      </c>
      <c r="J31" s="413">
        <f>SUMIF('Diags Raw Data'!$A$6:$A$3768,"*"&amp;$A31&amp;"*",'Diags Raw Data'!$L$6:$L$3768)</f>
        <v>1</v>
      </c>
      <c r="K31" s="432" cm="1">
        <f t="array" ref="K31">IF(D31="",0, SUMPRODUCT(--(ISNUMBER(SEARCH($A31,'Diags Raw Data'!$A$6:$A$3766))),'Diags Raw Data'!$L$6:$L$3766,'Diags Raw Data'!$N$6:$N$3766)/J31)</f>
        <v>1</v>
      </c>
      <c r="L31" s="433" cm="1">
        <f t="array" ref="L31">IF(D31="",0, SUMPRODUCT(--(ISNUMBER(SEARCH($A31,'Diags Raw Data'!$A$6:$A$3766))),'Diags Raw Data'!$L$6:$L$3766,'Diags Raw Data'!$P$6:$P$3766)/J31)</f>
        <v>1</v>
      </c>
      <c r="M31" s="434" cm="1">
        <f t="array" ref="M31">SUMPRODUCT(--(ISNUMBER(SEARCH($A31,'Diags Raw Data'!$A$6:$A$3766))),--('Diags Raw Data'!$Q$6:$Q$3766&lt;&gt;"N/A"),'Diags Raw Data'!$T$6:$T$3766)+SUMPRODUCT(--(ISNUMBER(SEARCH($A31,'Diags Raw Data'!$A$6:$A$3766))),--('Diags Raw Data'!$Q$6:$Q$3766&lt;&gt;"N/A"),'Diags Raw Data'!$U$6:$U$3766)</f>
        <v>948</v>
      </c>
      <c r="N31" s="434" cm="1">
        <f t="array" ref="N31">SUMPRODUCT(--(ISNUMBER(SEARCH($A31,'Diags Raw Data'!$A$6:$A$3766))),--('Diags Raw Data'!$Q$6:$Q$3766&lt;&gt;"N/A"),'Diags Raw Data'!$T$6:$T$3766)+SUMPRODUCT(--(ISNUMBER(SEARCH($A31,'Diags Raw Data'!$A$6:$A$3766))),--('Diags Raw Data'!$Q$6:$Q$3766&lt;&gt;"N/A"),'Diags Raw Data'!$U$6:$U$3766)</f>
        <v>948</v>
      </c>
      <c r="O31" s="435">
        <f t="shared" si="4"/>
        <v>1</v>
      </c>
      <c r="P31" s="436">
        <f>SUMIF('Diags Raw Data'!$A$6:$A$3766,"*"&amp;$A31&amp;"*",'Diags Raw Data'!$Z$6:$Z$3766)</f>
        <v>2500</v>
      </c>
      <c r="Q31" s="437">
        <f>SUM(SUMIF('Diags Raw Data'!$A$6:$A$3766,"*"&amp;$A31&amp;"*",'Diags Raw Data'!$AA$6:$AA$3766),SUMIF('Diags Raw Data'!$A$6:$A$3766,"*"&amp;$A31&amp;"*",'Diags Raw Data'!$AB$6:$AB$3766))</f>
        <v>2500</v>
      </c>
      <c r="R31" s="438">
        <f t="shared" si="5"/>
        <v>2500</v>
      </c>
      <c r="S31" s="438">
        <f t="shared" si="6"/>
        <v>1</v>
      </c>
      <c r="T31" s="439">
        <f t="shared" si="7"/>
        <v>2500</v>
      </c>
      <c r="U31" s="414" t="s">
        <v>1015</v>
      </c>
      <c r="V31" s="181"/>
    </row>
    <row r="32" spans="1:22" ht="75.75" thickBot="1" x14ac:dyDescent="0.3">
      <c r="A32" s="321" t="s">
        <v>428</v>
      </c>
      <c r="B32" s="407" t="str">
        <f>VLOOKUP(A32,'Feature Raw Data'!$A$3:$B$3847,2,FALSE)</f>
        <v>WS.Storm.EX.RetireQExercisers</v>
      </c>
      <c r="C32" s="408" t="str">
        <f>VLOOKUP(A32,'Feature Raw Data'!$A$3:$C$3929,3,FALSE)</f>
        <v>P4</v>
      </c>
      <c r="D32" s="409" t="str" cm="1">
        <f t="array" ref="D32">_xlfn.TEXTJOIN("",TRUE,IF(ISNUMBER(SEARCH($A32,'Diags Raw Data'!$A$6:$A$3768)),CONCATENATE('Diags Raw Data'!$H$6:$H$3768,", "),""))</f>
        <v xml:space="preserve">st276_gnb0_gna0_vmr_compat_deeper_retire_queue.yml, </v>
      </c>
      <c r="E32" s="410" t="str">
        <f>VLOOKUP(A32,'Diags Raw Data'!$A$6:$D$3768,4,FALSE)</f>
        <v>EX-01</v>
      </c>
      <c r="F32" s="410" t="str">
        <f>VLOOKUP(A32,'Feature Raw Data'!$A$3:$E$3847,5,FALSE)</f>
        <v>Legacy</v>
      </c>
      <c r="G32" s="410" t="str">
        <f t="shared" si="10"/>
        <v>Yes</v>
      </c>
      <c r="H32" s="410" t="str">
        <f t="shared" si="11"/>
        <v>Yes</v>
      </c>
      <c r="I32" s="412">
        <f>SUMIF('Diags Raw Data'!$A$6:$A$3768,"*"&amp;$A32&amp;"*",'Diags Raw Data'!$K$6:$K$3768)</f>
        <v>1</v>
      </c>
      <c r="J32" s="413">
        <f>SUMIF('Diags Raw Data'!$A$6:$A$3768,"*"&amp;$A32&amp;"*",'Diags Raw Data'!$L$6:$L$3768)</f>
        <v>1</v>
      </c>
      <c r="K32" s="432" cm="1">
        <f t="array" ref="K32">IF(D32="",0, SUMPRODUCT(--(ISNUMBER(SEARCH($A32,'Diags Raw Data'!$A$6:$A$3766))),'Diags Raw Data'!$L$6:$L$3766,'Diags Raw Data'!$N$6:$N$3766)/J32)</f>
        <v>1</v>
      </c>
      <c r="L32" s="433" cm="1">
        <f t="array" ref="L32">IF(D32="",0, SUMPRODUCT(--(ISNUMBER(SEARCH($A32,'Diags Raw Data'!$A$6:$A$3766))),'Diags Raw Data'!$L$6:$L$3766,'Diags Raw Data'!$P$6:$P$3766)/J32)</f>
        <v>1</v>
      </c>
      <c r="M32" s="434" cm="1">
        <f t="array" ref="M32">SUMPRODUCT(--(ISNUMBER(SEARCH($A32,'Diags Raw Data'!$A$6:$A$3766))),--('Diags Raw Data'!$Q$6:$Q$3766&lt;&gt;"N/A"),'Diags Raw Data'!$T$6:$T$3766)+SUMPRODUCT(--(ISNUMBER(SEARCH($A32,'Diags Raw Data'!$A$6:$A$3766))),--('Diags Raw Data'!$Q$6:$Q$3766&lt;&gt;"N/A"),'Diags Raw Data'!$U$6:$U$3766)</f>
        <v>2640</v>
      </c>
      <c r="N32" s="434" cm="1">
        <f t="array" ref="N32">SUMPRODUCT(--(ISNUMBER(SEARCH($A32,'Diags Raw Data'!$A$6:$A$3766))),--('Diags Raw Data'!$Q$6:$Q$3766&lt;&gt;"N/A"),'Diags Raw Data'!$T$6:$T$3766)+SUMPRODUCT(--(ISNUMBER(SEARCH($A32,'Diags Raw Data'!$A$6:$A$3766))),--('Diags Raw Data'!$Q$6:$Q$3766&lt;&gt;"N/A"),'Diags Raw Data'!$U$6:$U$3766)</f>
        <v>2640</v>
      </c>
      <c r="O32" s="435">
        <f t="shared" si="4"/>
        <v>1</v>
      </c>
      <c r="P32" s="436">
        <f>SUMIF('Diags Raw Data'!$A$6:$A$3766,"*"&amp;$A32&amp;"*",'Diags Raw Data'!$Z$6:$Z$3766)</f>
        <v>2500</v>
      </c>
      <c r="Q32" s="437">
        <f>SUM(SUMIF('Diags Raw Data'!$A$6:$A$3766,"*"&amp;$A32&amp;"*",'Diags Raw Data'!$AA$6:$AA$3766),SUMIF('Diags Raw Data'!$A$6:$A$3766,"*"&amp;$A32&amp;"*",'Diags Raw Data'!$AB$6:$AB$3766))</f>
        <v>2500</v>
      </c>
      <c r="R32" s="438">
        <f t="shared" si="5"/>
        <v>2500</v>
      </c>
      <c r="S32" s="438">
        <f t="shared" si="6"/>
        <v>1</v>
      </c>
      <c r="T32" s="439">
        <f t="shared" si="7"/>
        <v>2500</v>
      </c>
      <c r="U32" s="414" t="s">
        <v>1015</v>
      </c>
      <c r="V32" s="181"/>
    </row>
    <row r="33" spans="1:22" ht="30.75" thickBot="1" x14ac:dyDescent="0.3">
      <c r="A33" s="321" t="s">
        <v>433</v>
      </c>
      <c r="B33" s="407" t="str">
        <f>VLOOKUP(A33,'Feature Raw Data'!$A$3:$B$3847,2,FALSE)</f>
        <v>WS.CDL.EX.IntegerUintExercisers</v>
      </c>
      <c r="C33" s="408" t="str">
        <f>VLOOKUP(A33,'Feature Raw Data'!$A$3:$C$3929,3,FALSE)</f>
        <v>P1</v>
      </c>
      <c r="D33" s="409" t="str" cm="1">
        <f t="array" ref="D33">_xlfn.TEXTJOIN("",TRUE,IF(ISNUMBER(SEARCH($A33,'Diags Raw Data'!$A$6:$A$3768)),CONCATENATE('Diags Raw Data'!$H$6:$H$3768,", "),""))</f>
        <v xml:space="preserve">Integer_Unit_Stress.stf, </v>
      </c>
      <c r="E33" s="410" t="str">
        <f>VLOOKUP(A33,'Diags Raw Data'!$A$6:$D$3768,4,FALSE)</f>
        <v>EX-01</v>
      </c>
      <c r="F33" s="410" t="str">
        <f>VLOOKUP(A33,'Feature Raw Data'!$A$3:$E$3847,5,FALSE)</f>
        <v>Legacy</v>
      </c>
      <c r="G33" s="410" t="str">
        <f t="shared" si="10"/>
        <v>Yes</v>
      </c>
      <c r="H33" s="410" t="str">
        <f t="shared" si="11"/>
        <v>Yes</v>
      </c>
      <c r="I33" s="412">
        <f>SUMIF('Diags Raw Data'!$A$6:$A$3768,"*"&amp;$A33&amp;"*",'Diags Raw Data'!$K$6:$K$3768)</f>
        <v>1</v>
      </c>
      <c r="J33" s="413">
        <f>SUMIF('Diags Raw Data'!$A$6:$A$3768,"*"&amp;$A33&amp;"*",'Diags Raw Data'!$L$6:$L$3768)</f>
        <v>1</v>
      </c>
      <c r="K33" s="432" cm="1">
        <f t="array" ref="K33">IF(D33="",0, SUMPRODUCT(--(ISNUMBER(SEARCH($A33,'Diags Raw Data'!$A$6:$A$3766))),'Diags Raw Data'!$L$6:$L$3766,'Diags Raw Data'!$N$6:$N$3766)/J33)</f>
        <v>1</v>
      </c>
      <c r="L33" s="433" cm="1">
        <f t="array" ref="L33">IF(D33="",0, SUMPRODUCT(--(ISNUMBER(SEARCH($A33,'Diags Raw Data'!$A$6:$A$3766))),'Diags Raw Data'!$L$6:$L$3766,'Diags Raw Data'!$P$6:$P$3766)/J33)</f>
        <v>1</v>
      </c>
      <c r="M33" s="434" cm="1">
        <f t="array" ref="M33">SUMPRODUCT(--(ISNUMBER(SEARCH($A33,'Diags Raw Data'!$A$6:$A$3766))),--('Diags Raw Data'!$Q$6:$Q$3766&lt;&gt;"N/A"),'Diags Raw Data'!$T$6:$T$3766)+SUMPRODUCT(--(ISNUMBER(SEARCH($A33,'Diags Raw Data'!$A$6:$A$3766))),--('Diags Raw Data'!$Q$6:$Q$3766&lt;&gt;"N/A"),'Diags Raw Data'!$U$6:$U$3766)</f>
        <v>1</v>
      </c>
      <c r="N33" s="434" cm="1">
        <f t="array" ref="N33">SUMPRODUCT(--(ISNUMBER(SEARCH($A33,'Diags Raw Data'!$A$6:$A$3766))),--('Diags Raw Data'!$Q$6:$Q$3766&lt;&gt;"N/A"),'Diags Raw Data'!$T$6:$T$3766)+SUMPRODUCT(--(ISNUMBER(SEARCH($A33,'Diags Raw Data'!$A$6:$A$3766))),--('Diags Raw Data'!$Q$6:$Q$3766&lt;&gt;"N/A"),'Diags Raw Data'!$U$6:$U$3766)</f>
        <v>1</v>
      </c>
      <c r="O33" s="435">
        <f t="shared" si="4"/>
        <v>1</v>
      </c>
      <c r="P33" s="436">
        <f>SUMIF('Diags Raw Data'!$A$6:$A$3766,"*"&amp;$A33&amp;"*",'Diags Raw Data'!$Z$6:$Z$3766)</f>
        <v>1</v>
      </c>
      <c r="Q33" s="437">
        <f>SUM(SUMIF('Diags Raw Data'!$A$6:$A$3766,"*"&amp;$A33&amp;"*",'Diags Raw Data'!$AA$6:$AA$3766),SUMIF('Diags Raw Data'!$A$6:$A$3766,"*"&amp;$A33&amp;"*",'Diags Raw Data'!$AB$6:$AB$3766))</f>
        <v>1</v>
      </c>
      <c r="R33" s="438">
        <f t="shared" si="5"/>
        <v>1</v>
      </c>
      <c r="S33" s="438">
        <f t="shared" si="6"/>
        <v>1</v>
      </c>
      <c r="T33" s="439">
        <f t="shared" si="7"/>
        <v>1</v>
      </c>
      <c r="U33" s="414"/>
      <c r="V33" s="181"/>
    </row>
    <row r="34" spans="1:22" ht="75.75" thickBot="1" x14ac:dyDescent="0.3">
      <c r="A34" s="321" t="s">
        <v>438</v>
      </c>
      <c r="B34" s="407" t="str">
        <f>VLOOKUP(A34,'Feature Raw Data'!$A$3:$B$3847,2,FALSE)</f>
        <v>WS.Storm.EX.InterfaceExerciser</v>
      </c>
      <c r="C34" s="408" t="str">
        <f>VLOOKUP(A34,'Feature Raw Data'!$A$3:$C$3929,3,FALSE)</f>
        <v>P4</v>
      </c>
      <c r="D34" s="409" t="str" cm="1">
        <f t="array" ref="D34">_xlfn.TEXTJOIN("",TRUE,IF(ISNUMBER(SEARCH($A34,'Diags Raw Data'!$A$6:$A$3768)),CONCATENATE('Diags Raw Data'!$H$6:$H$3768,", "),""))</f>
        <v xml:space="preserve">ssp_zp_compat_exsc_leg035_dispatch_retire_speclockmap_interface.yml, </v>
      </c>
      <c r="E34" s="410" t="str">
        <f>VLOOKUP(A34,'Diags Raw Data'!$A$6:$D$3768,4,FALSE)</f>
        <v>EX-01</v>
      </c>
      <c r="F34" s="410" t="str">
        <f>VLOOKUP(A34,'Feature Raw Data'!$A$3:$E$3847,5,FALSE)</f>
        <v>Legacy</v>
      </c>
      <c r="G34" s="410" t="str">
        <f t="shared" si="10"/>
        <v>Yes</v>
      </c>
      <c r="H34" s="410" t="str">
        <f t="shared" si="11"/>
        <v>Yes</v>
      </c>
      <c r="I34" s="412">
        <f>SUMIF('Diags Raw Data'!$A$6:$A$3768,"*"&amp;$A34&amp;"*",'Diags Raw Data'!$K$6:$K$3768)</f>
        <v>1</v>
      </c>
      <c r="J34" s="413">
        <f>SUMIF('Diags Raw Data'!$A$6:$A$3768,"*"&amp;$A34&amp;"*",'Diags Raw Data'!$L$6:$L$3768)</f>
        <v>1</v>
      </c>
      <c r="K34" s="432" cm="1">
        <f t="array" ref="K34">IF(D34="",0, SUMPRODUCT(--(ISNUMBER(SEARCH($A34,'Diags Raw Data'!$A$6:$A$3766))),'Diags Raw Data'!$L$6:$L$3766,'Diags Raw Data'!$N$6:$N$3766)/J34)</f>
        <v>1</v>
      </c>
      <c r="L34" s="433" cm="1">
        <f t="array" ref="L34">IF(D34="",0, SUMPRODUCT(--(ISNUMBER(SEARCH($A34,'Diags Raw Data'!$A$6:$A$3766))),'Diags Raw Data'!$L$6:$L$3766,'Diags Raw Data'!$P$6:$P$3766)/J34)</f>
        <v>1</v>
      </c>
      <c r="M34" s="434" cm="1">
        <f t="array" ref="M34">SUMPRODUCT(--(ISNUMBER(SEARCH($A34,'Diags Raw Data'!$A$6:$A$3766))),--('Diags Raw Data'!$Q$6:$Q$3766&lt;&gt;"N/A"),'Diags Raw Data'!$T$6:$T$3766)+SUMPRODUCT(--(ISNUMBER(SEARCH($A34,'Diags Raw Data'!$A$6:$A$3766))),--('Diags Raw Data'!$Q$6:$Q$3766&lt;&gt;"N/A"),'Diags Raw Data'!$U$6:$U$3766)</f>
        <v>1000</v>
      </c>
      <c r="N34" s="434" cm="1">
        <f t="array" ref="N34">SUMPRODUCT(--(ISNUMBER(SEARCH($A34,'Diags Raw Data'!$A$6:$A$3766))),--('Diags Raw Data'!$Q$6:$Q$3766&lt;&gt;"N/A"),'Diags Raw Data'!$T$6:$T$3766)+SUMPRODUCT(--(ISNUMBER(SEARCH($A34,'Diags Raw Data'!$A$6:$A$3766))),--('Diags Raw Data'!$Q$6:$Q$3766&lt;&gt;"N/A"),'Diags Raw Data'!$U$6:$U$3766)</f>
        <v>1000</v>
      </c>
      <c r="O34" s="435">
        <f t="shared" si="4"/>
        <v>1</v>
      </c>
      <c r="P34" s="436">
        <f>SUMIF('Diags Raw Data'!$A$6:$A$3766,"*"&amp;$A34&amp;"*",'Diags Raw Data'!$Z$6:$Z$3766)</f>
        <v>1000</v>
      </c>
      <c r="Q34" s="437">
        <f>SUM(SUMIF('Diags Raw Data'!$A$6:$A$3766,"*"&amp;$A34&amp;"*",'Diags Raw Data'!$AA$6:$AA$3766),SUMIF('Diags Raw Data'!$A$6:$A$3766,"*"&amp;$A34&amp;"*",'Diags Raw Data'!$AB$6:$AB$3766))</f>
        <v>1000</v>
      </c>
      <c r="R34" s="438">
        <f t="shared" si="5"/>
        <v>1000</v>
      </c>
      <c r="S34" s="438">
        <f t="shared" si="6"/>
        <v>1</v>
      </c>
      <c r="T34" s="439">
        <f t="shared" si="7"/>
        <v>1000</v>
      </c>
      <c r="U34" s="414" t="s">
        <v>1015</v>
      </c>
      <c r="V34" s="181"/>
    </row>
    <row r="35" spans="1:22" ht="30.75" thickBot="1" x14ac:dyDescent="0.3">
      <c r="A35" s="321" t="s">
        <v>443</v>
      </c>
      <c r="B35" s="407" t="str">
        <f>VLOOKUP(A35,'Feature Raw Data'!$A$3:$B$3847,2,FALSE)</f>
        <v>WS.CDL.LS.DataCacheExerciser</v>
      </c>
      <c r="C35" s="408" t="str">
        <f>VLOOKUP(A35,'Feature Raw Data'!$A$3:$C$3929,3,FALSE)</f>
        <v>P1</v>
      </c>
      <c r="D35" s="409" t="str" cm="1">
        <f t="array" ref="D35">_xlfn.TEXTJOIN("",TRUE,IF(ISNUMBER(SEARCH($A35,'Diags Raw Data'!$A$6:$A$3768)),CONCATENATE('Diags Raw Data'!$H$6:$H$3768,", "),""))</f>
        <v xml:space="preserve">Cache_L1_Cache_Coherency.stf, </v>
      </c>
      <c r="E35" s="410" t="str">
        <f>VLOOKUP(A35,'Diags Raw Data'!$A$6:$D$3768,4,FALSE)</f>
        <v>LS-02</v>
      </c>
      <c r="F35" s="410" t="str">
        <f>VLOOKUP(A35,'Feature Raw Data'!$A$3:$E$3847,5,FALSE)</f>
        <v>Delta</v>
      </c>
      <c r="G35" s="410" t="str">
        <f t="shared" si="10"/>
        <v>Yes</v>
      </c>
      <c r="H35" s="410" t="str">
        <f t="shared" si="11"/>
        <v>Yes</v>
      </c>
      <c r="I35" s="412">
        <f>SUMIF('Diags Raw Data'!$A$6:$A$3768,"*"&amp;$A35&amp;"*",'Diags Raw Data'!$K$6:$K$3768)</f>
        <v>1</v>
      </c>
      <c r="J35" s="413">
        <f>SUMIF('Diags Raw Data'!$A$6:$A$3768,"*"&amp;$A35&amp;"*",'Diags Raw Data'!$L$6:$L$3768)</f>
        <v>1</v>
      </c>
      <c r="K35" s="432" cm="1">
        <f t="array" ref="K35">IF(D35="",0, SUMPRODUCT(--(ISNUMBER(SEARCH($A35,'Diags Raw Data'!$A$6:$A$3766))),'Diags Raw Data'!$L$6:$L$3766,'Diags Raw Data'!$N$6:$N$3766)/J35)</f>
        <v>1</v>
      </c>
      <c r="L35" s="433" cm="1">
        <f t="array" ref="L35">IF(D35="",0, SUMPRODUCT(--(ISNUMBER(SEARCH($A35,'Diags Raw Data'!$A$6:$A$3766))),'Diags Raw Data'!$L$6:$L$3766,'Diags Raw Data'!$P$6:$P$3766)/J35)</f>
        <v>1</v>
      </c>
      <c r="M35" s="434" cm="1">
        <f t="array" ref="M35">SUMPRODUCT(--(ISNUMBER(SEARCH($A35,'Diags Raw Data'!$A$6:$A$3766))),--('Diags Raw Data'!$Q$6:$Q$3766&lt;&gt;"N/A"),'Diags Raw Data'!$T$6:$T$3766)+SUMPRODUCT(--(ISNUMBER(SEARCH($A35,'Diags Raw Data'!$A$6:$A$3766))),--('Diags Raw Data'!$Q$6:$Q$3766&lt;&gt;"N/A"),'Diags Raw Data'!$U$6:$U$3766)</f>
        <v>1</v>
      </c>
      <c r="N35" s="434" cm="1">
        <f t="array" ref="N35">SUMPRODUCT(--(ISNUMBER(SEARCH($A35,'Diags Raw Data'!$A$6:$A$3766))),--('Diags Raw Data'!$Q$6:$Q$3766&lt;&gt;"N/A"),'Diags Raw Data'!$T$6:$T$3766)+SUMPRODUCT(--(ISNUMBER(SEARCH($A35,'Diags Raw Data'!$A$6:$A$3766))),--('Diags Raw Data'!$Q$6:$Q$3766&lt;&gt;"N/A"),'Diags Raw Data'!$U$6:$U$3766)</f>
        <v>1</v>
      </c>
      <c r="O35" s="435">
        <f t="shared" si="4"/>
        <v>1</v>
      </c>
      <c r="P35" s="436">
        <f>SUMIF('Diags Raw Data'!$A$6:$A$3766,"*"&amp;$A35&amp;"*",'Diags Raw Data'!$Z$6:$Z$3766)</f>
        <v>1</v>
      </c>
      <c r="Q35" s="437">
        <f>SUM(SUMIF('Diags Raw Data'!$A$6:$A$3766,"*"&amp;$A35&amp;"*",'Diags Raw Data'!$AA$6:$AA$3766),SUMIF('Diags Raw Data'!$A$6:$A$3766,"*"&amp;$A35&amp;"*",'Diags Raw Data'!$AB$6:$AB$3766))</f>
        <v>1</v>
      </c>
      <c r="R35" s="438">
        <f t="shared" si="5"/>
        <v>1</v>
      </c>
      <c r="S35" s="438">
        <f t="shared" si="6"/>
        <v>1</v>
      </c>
      <c r="T35" s="439">
        <f t="shared" si="7"/>
        <v>1</v>
      </c>
      <c r="U35" s="414"/>
      <c r="V35" s="181"/>
    </row>
    <row r="36" spans="1:22" ht="75.75" thickBot="1" x14ac:dyDescent="0.3">
      <c r="A36" s="321" t="s">
        <v>450</v>
      </c>
      <c r="B36" s="407" t="str">
        <f>VLOOKUP(A36,'Feature Raw Data'!$A$3:$B$3847,2,FALSE)</f>
        <v>WS.CDL.LS.TLBExerciser</v>
      </c>
      <c r="C36" s="408" t="str">
        <f>VLOOKUP(A36,'Feature Raw Data'!$A$3:$C$3929,3,FALSE)</f>
        <v>P3</v>
      </c>
      <c r="D36" s="409" t="str" cm="1">
        <f t="array" ref="D36">_xlfn.TEXTJOIN("",TRUE,IF(ISNUMBER(SEARCH($A36,'Diags Raw Data'!$A$6:$A$3768)),CONCATENATE('Diags Raw Data'!$H$6:$H$3768,", "),""))</f>
        <v xml:space="preserve">LS01_TLB_Exerciser.stf
LS01_1_TLB_Exerciser.stf
LS01_2_TLB_Exerciser.stf
LS01_3_TLB_Exerciser.stf
LS01_4_TLB_Exerciser.stf, </v>
      </c>
      <c r="E36" s="410" t="str">
        <f>VLOOKUP(A36,'Diags Raw Data'!$A$6:$D$3768,4,FALSE)</f>
        <v>LS-02</v>
      </c>
      <c r="F36" s="410" t="str">
        <f>VLOOKUP(A36,'Feature Raw Data'!$A$3:$E$3847,5,FALSE)</f>
        <v>Delta</v>
      </c>
      <c r="G36" s="410" t="str">
        <f t="shared" si="10"/>
        <v>Yes</v>
      </c>
      <c r="H36" s="410" t="str">
        <f t="shared" si="11"/>
        <v>Yes</v>
      </c>
      <c r="I36" s="412">
        <f>SUMIF('Diags Raw Data'!$A$6:$A$3768,"*"&amp;$A36&amp;"*",'Diags Raw Data'!$K$6:$K$3768)</f>
        <v>1</v>
      </c>
      <c r="J36" s="413">
        <f>SUMIF('Diags Raw Data'!$A$6:$A$3768,"*"&amp;$A36&amp;"*",'Diags Raw Data'!$L$6:$L$3768)</f>
        <v>1</v>
      </c>
      <c r="K36" s="432" cm="1">
        <f t="array" ref="K36">IF(D36="",0, SUMPRODUCT(--(ISNUMBER(SEARCH($A36,'Diags Raw Data'!$A$6:$A$3766))),'Diags Raw Data'!$L$6:$L$3766,'Diags Raw Data'!$N$6:$N$3766)/J36)</f>
        <v>1</v>
      </c>
      <c r="L36" s="433" cm="1">
        <f t="array" ref="L36">IF(D36="",0, SUMPRODUCT(--(ISNUMBER(SEARCH($A36,'Diags Raw Data'!$A$6:$A$3766))),'Diags Raw Data'!$L$6:$L$3766,'Diags Raw Data'!$P$6:$P$3766)/J36)</f>
        <v>1</v>
      </c>
      <c r="M36" s="434" cm="1">
        <f t="array" ref="M36">SUMPRODUCT(--(ISNUMBER(SEARCH($A36,'Diags Raw Data'!$A$6:$A$3766))),--('Diags Raw Data'!$Q$6:$Q$3766&lt;&gt;"N/A"),'Diags Raw Data'!$T$6:$T$3766)+SUMPRODUCT(--(ISNUMBER(SEARCH($A36,'Diags Raw Data'!$A$6:$A$3766))),--('Diags Raw Data'!$Q$6:$Q$3766&lt;&gt;"N/A"),'Diags Raw Data'!$U$6:$U$3766)</f>
        <v>5</v>
      </c>
      <c r="N36" s="434" cm="1">
        <f t="array" ref="N36">SUMPRODUCT(--(ISNUMBER(SEARCH($A36,'Diags Raw Data'!$A$6:$A$3766))),--('Diags Raw Data'!$Q$6:$Q$3766&lt;&gt;"N/A"),'Diags Raw Data'!$T$6:$T$3766)+SUMPRODUCT(--(ISNUMBER(SEARCH($A36,'Diags Raw Data'!$A$6:$A$3766))),--('Diags Raw Data'!$Q$6:$Q$3766&lt;&gt;"N/A"),'Diags Raw Data'!$U$6:$U$3766)</f>
        <v>5</v>
      </c>
      <c r="O36" s="435">
        <f t="shared" si="4"/>
        <v>1</v>
      </c>
      <c r="P36" s="436">
        <f>SUMIF('Diags Raw Data'!$A$6:$A$3766,"*"&amp;$A36&amp;"*",'Diags Raw Data'!$Z$6:$Z$3766)</f>
        <v>6</v>
      </c>
      <c r="Q36" s="437">
        <f>SUM(SUMIF('Diags Raw Data'!$A$6:$A$3766,"*"&amp;$A36&amp;"*",'Diags Raw Data'!$AA$6:$AA$3766),SUMIF('Diags Raw Data'!$A$6:$A$3766,"*"&amp;$A36&amp;"*",'Diags Raw Data'!$AB$6:$AB$3766))</f>
        <v>6</v>
      </c>
      <c r="R36" s="438">
        <f t="shared" si="5"/>
        <v>6</v>
      </c>
      <c r="S36" s="438">
        <f t="shared" si="6"/>
        <v>1</v>
      </c>
      <c r="T36" s="439">
        <f t="shared" si="7"/>
        <v>6</v>
      </c>
      <c r="U36" s="414" t="s">
        <v>1015</v>
      </c>
      <c r="V36" s="181"/>
    </row>
    <row r="37" spans="1:22" ht="75.75" thickBot="1" x14ac:dyDescent="0.3">
      <c r="A37" s="321" t="s">
        <v>456</v>
      </c>
      <c r="B37" s="407" t="str">
        <f>VLOOKUP(A37,'Feature Raw Data'!$A$3:$B$3847,2,FALSE)</f>
        <v>WS.CDL.LS.WcbScbExerciser</v>
      </c>
      <c r="C37" s="408" t="str">
        <f>VLOOKUP(A37,'Feature Raw Data'!$A$3:$C$3929,3,FALSE)</f>
        <v>P3</v>
      </c>
      <c r="D37" s="409" t="str" cm="1">
        <f t="array" ref="D37">_xlfn.TEXTJOIN("",TRUE,IF(ISNUMBER(SEARCH($A37,'Diags Raw Data'!$A$6:$A$3768)),CONCATENATE('Diags Raw Data'!$H$6:$H$3768,", "),""))</f>
        <v xml:space="preserve">Write_Combining_Buffer.stf, </v>
      </c>
      <c r="E37" s="410" t="str">
        <f>VLOOKUP(A37,'Diags Raw Data'!$A$6:$D$3768,4,FALSE)</f>
        <v>LS-02</v>
      </c>
      <c r="F37" s="410" t="str">
        <f>VLOOKUP(A37,'Feature Raw Data'!$A$3:$E$3847,5,FALSE)</f>
        <v>Delta</v>
      </c>
      <c r="G37" s="410" t="str">
        <f t="shared" si="10"/>
        <v>Yes</v>
      </c>
      <c r="H37" s="410" t="str">
        <f t="shared" si="11"/>
        <v>Yes</v>
      </c>
      <c r="I37" s="412">
        <f>SUMIF('Diags Raw Data'!$A$6:$A$3768,"*"&amp;$A37&amp;"*",'Diags Raw Data'!$K$6:$K$3768)</f>
        <v>1</v>
      </c>
      <c r="J37" s="413">
        <f>SUMIF('Diags Raw Data'!$A$6:$A$3768,"*"&amp;$A37&amp;"*",'Diags Raw Data'!$L$6:$L$3768)</f>
        <v>1</v>
      </c>
      <c r="K37" s="432" cm="1">
        <f t="array" ref="K37">IF(D37="",0, SUMPRODUCT(--(ISNUMBER(SEARCH($A37,'Diags Raw Data'!$A$6:$A$3766))),'Diags Raw Data'!$L$6:$L$3766,'Diags Raw Data'!$N$6:$N$3766)/J37)</f>
        <v>1</v>
      </c>
      <c r="L37" s="433" cm="1">
        <f t="array" ref="L37">IF(D37="",0, SUMPRODUCT(--(ISNUMBER(SEARCH($A37,'Diags Raw Data'!$A$6:$A$3766))),'Diags Raw Data'!$L$6:$L$3766,'Diags Raw Data'!$P$6:$P$3766)/J37)</f>
        <v>1</v>
      </c>
      <c r="M37" s="434" cm="1">
        <f t="array" ref="M37">SUMPRODUCT(--(ISNUMBER(SEARCH($A37,'Diags Raw Data'!$A$6:$A$3766))),--('Diags Raw Data'!$Q$6:$Q$3766&lt;&gt;"N/A"),'Diags Raw Data'!$T$6:$T$3766)+SUMPRODUCT(--(ISNUMBER(SEARCH($A37,'Diags Raw Data'!$A$6:$A$3766))),--('Diags Raw Data'!$Q$6:$Q$3766&lt;&gt;"N/A"),'Diags Raw Data'!$U$6:$U$3766)</f>
        <v>5</v>
      </c>
      <c r="N37" s="434" cm="1">
        <f t="array" ref="N37">SUMPRODUCT(--(ISNUMBER(SEARCH($A37,'Diags Raw Data'!$A$6:$A$3766))),--('Diags Raw Data'!$Q$6:$Q$3766&lt;&gt;"N/A"),'Diags Raw Data'!$T$6:$T$3766)+SUMPRODUCT(--(ISNUMBER(SEARCH($A37,'Diags Raw Data'!$A$6:$A$3766))),--('Diags Raw Data'!$Q$6:$Q$3766&lt;&gt;"N/A"),'Diags Raw Data'!$U$6:$U$3766)</f>
        <v>5</v>
      </c>
      <c r="O37" s="435">
        <f t="shared" si="4"/>
        <v>1</v>
      </c>
      <c r="P37" s="436">
        <f>SUMIF('Diags Raw Data'!$A$6:$A$3766,"*"&amp;$A37&amp;"*",'Diags Raw Data'!$Z$6:$Z$3766)</f>
        <v>5</v>
      </c>
      <c r="Q37" s="437">
        <f>SUM(SUMIF('Diags Raw Data'!$A$6:$A$3766,"*"&amp;$A37&amp;"*",'Diags Raw Data'!$AA$6:$AA$3766),SUMIF('Diags Raw Data'!$A$6:$A$3766,"*"&amp;$A37&amp;"*",'Diags Raw Data'!$AB$6:$AB$3766))</f>
        <v>5</v>
      </c>
      <c r="R37" s="438">
        <f t="shared" si="5"/>
        <v>5</v>
      </c>
      <c r="S37" s="438">
        <f t="shared" si="6"/>
        <v>1</v>
      </c>
      <c r="T37" s="439">
        <f t="shared" si="7"/>
        <v>5</v>
      </c>
      <c r="U37" s="414" t="s">
        <v>1015</v>
      </c>
      <c r="V37" s="181"/>
    </row>
    <row r="38" spans="1:22" ht="75.75" thickBot="1" x14ac:dyDescent="0.3">
      <c r="A38" s="321" t="s">
        <v>460</v>
      </c>
      <c r="B38" s="407" t="str">
        <f>VLOOKUP(A38,'Feature Raw Data'!$A$3:$B$3847,2,FALSE)</f>
        <v>WS.Storm.LS.LdqExerciser</v>
      </c>
      <c r="C38" s="408" t="str">
        <f>VLOOKUP(A38,'Feature Raw Data'!$A$3:$C$3929,3,FALSE)</f>
        <v>P4</v>
      </c>
      <c r="D38" s="409" t="str" cm="1">
        <f t="array" ref="D38">_xlfn.TEXTJOIN("",TRUE,IF(ISNUMBER(SEARCH($A38,'Diags Raw Data'!$A$6:$A$3768)),CONCATENATE('Diags Raw Data'!$H$6:$H$3768,", "),""))</f>
        <v xml:space="preserve">ssp_zp_compat_lsdc_leg006_load_ordering_queue.yml, </v>
      </c>
      <c r="E38" s="410" t="str">
        <f>VLOOKUP(A38,'Diags Raw Data'!$A$6:$D$3768,4,FALSE)</f>
        <v>LS-02</v>
      </c>
      <c r="F38" s="410" t="str">
        <f>VLOOKUP(A38,'Feature Raw Data'!$A$3:$E$3847,5,FALSE)</f>
        <v>Legacy</v>
      </c>
      <c r="G38" s="410" t="str">
        <f t="shared" si="10"/>
        <v>Yes</v>
      </c>
      <c r="H38" s="410" t="str">
        <f t="shared" si="11"/>
        <v>Yes</v>
      </c>
      <c r="I38" s="412">
        <f>SUMIF('Diags Raw Data'!$A$6:$A$3768,"*"&amp;$A38&amp;"*",'Diags Raw Data'!$K$6:$K$3768)</f>
        <v>1</v>
      </c>
      <c r="J38" s="413">
        <f>SUMIF('Diags Raw Data'!$A$6:$A$3768,"*"&amp;$A38&amp;"*",'Diags Raw Data'!$L$6:$L$3768)</f>
        <v>1</v>
      </c>
      <c r="K38" s="432" cm="1">
        <f t="array" ref="K38">IF(D38="",0, SUMPRODUCT(--(ISNUMBER(SEARCH($A38,'Diags Raw Data'!$A$6:$A$3766))),'Diags Raw Data'!$L$6:$L$3766,'Diags Raw Data'!$N$6:$N$3766)/J38)</f>
        <v>1</v>
      </c>
      <c r="L38" s="433" cm="1">
        <f t="array" ref="L38">IF(D38="",0, SUMPRODUCT(--(ISNUMBER(SEARCH($A38,'Diags Raw Data'!$A$6:$A$3766))),'Diags Raw Data'!$L$6:$L$3766,'Diags Raw Data'!$P$6:$P$3766)/J38)</f>
        <v>1</v>
      </c>
      <c r="M38" s="434" cm="1">
        <f t="array" ref="M38">SUMPRODUCT(--(ISNUMBER(SEARCH($A38,'Diags Raw Data'!$A$6:$A$3766))),--('Diags Raw Data'!$Q$6:$Q$3766&lt;&gt;"N/A"),'Diags Raw Data'!$T$6:$T$3766)+SUMPRODUCT(--(ISNUMBER(SEARCH($A38,'Diags Raw Data'!$A$6:$A$3766))),--('Diags Raw Data'!$Q$6:$Q$3766&lt;&gt;"N/A"),'Diags Raw Data'!$U$6:$U$3766)</f>
        <v>500</v>
      </c>
      <c r="N38" s="434" cm="1">
        <f t="array" ref="N38">SUMPRODUCT(--(ISNUMBER(SEARCH($A38,'Diags Raw Data'!$A$6:$A$3766))),--('Diags Raw Data'!$Q$6:$Q$3766&lt;&gt;"N/A"),'Diags Raw Data'!$T$6:$T$3766)+SUMPRODUCT(--(ISNUMBER(SEARCH($A38,'Diags Raw Data'!$A$6:$A$3766))),--('Diags Raw Data'!$Q$6:$Q$3766&lt;&gt;"N/A"),'Diags Raw Data'!$U$6:$U$3766)</f>
        <v>500</v>
      </c>
      <c r="O38" s="435">
        <f t="shared" si="4"/>
        <v>1</v>
      </c>
      <c r="P38" s="436">
        <f>SUMIF('Diags Raw Data'!$A$6:$A$3766,"*"&amp;$A38&amp;"*",'Diags Raw Data'!$Z$6:$Z$3766)</f>
        <v>500</v>
      </c>
      <c r="Q38" s="437">
        <f>SUM(SUMIF('Diags Raw Data'!$A$6:$A$3766,"*"&amp;$A38&amp;"*",'Diags Raw Data'!$AA$6:$AA$3766),SUMIF('Diags Raw Data'!$A$6:$A$3766,"*"&amp;$A38&amp;"*",'Diags Raw Data'!$AB$6:$AB$3766))</f>
        <v>500</v>
      </c>
      <c r="R38" s="438">
        <f t="shared" si="5"/>
        <v>500</v>
      </c>
      <c r="S38" s="438">
        <f t="shared" si="6"/>
        <v>1</v>
      </c>
      <c r="T38" s="439">
        <f t="shared" si="7"/>
        <v>500</v>
      </c>
      <c r="U38" s="414" t="s">
        <v>1015</v>
      </c>
      <c r="V38" s="181"/>
    </row>
    <row r="39" spans="1:22" ht="75.75" thickBot="1" x14ac:dyDescent="0.3">
      <c r="A39" s="321" t="s">
        <v>465</v>
      </c>
      <c r="B39" s="407" t="str">
        <f>VLOOKUP(A39,'Feature Raw Data'!$A$3:$B$3847,2,FALSE)</f>
        <v>WS.Storm.LS.OobExerciser</v>
      </c>
      <c r="C39" s="408" t="str">
        <f>VLOOKUP(A39,'Feature Raw Data'!$A$3:$C$3929,3,FALSE)</f>
        <v>P4</v>
      </c>
      <c r="D39" s="409" t="str" cm="1">
        <f t="array" ref="D39">_xlfn.TEXTJOIN("",TRUE,IF(ISNUMBER(SEARCH($A39,'Diags Raw Data'!$A$6:$A$3768)),CONCATENATE('Diags Raw Data'!$H$6:$H$3768,", "),""))</f>
        <v xml:space="preserve">ssp_zp_compat_lsdc_leg007_out_of_order_buffer.yml, </v>
      </c>
      <c r="E39" s="410" t="str">
        <f>VLOOKUP(A39,'Diags Raw Data'!$A$6:$D$3768,4,FALSE)</f>
        <v>LS-02</v>
      </c>
      <c r="F39" s="410" t="str">
        <f>VLOOKUP(A39,'Feature Raw Data'!$A$3:$E$3847,5,FALSE)</f>
        <v>Legacy</v>
      </c>
      <c r="G39" s="410" t="str">
        <f t="shared" si="10"/>
        <v>Yes</v>
      </c>
      <c r="H39" s="410" t="str">
        <f t="shared" si="11"/>
        <v>Yes</v>
      </c>
      <c r="I39" s="412">
        <f>SUMIF('Diags Raw Data'!$A$6:$A$3768,"*"&amp;$A39&amp;"*",'Diags Raw Data'!$K$6:$K$3768)</f>
        <v>1</v>
      </c>
      <c r="J39" s="413">
        <f>SUMIF('Diags Raw Data'!$A$6:$A$3768,"*"&amp;$A39&amp;"*",'Diags Raw Data'!$L$6:$L$3768)</f>
        <v>1</v>
      </c>
      <c r="K39" s="432" cm="1">
        <f t="array" ref="K39">IF(D39="",0, SUMPRODUCT(--(ISNUMBER(SEARCH($A39,'Diags Raw Data'!$A$6:$A$3766))),'Diags Raw Data'!$L$6:$L$3766,'Diags Raw Data'!$N$6:$N$3766)/J39)</f>
        <v>1</v>
      </c>
      <c r="L39" s="433" cm="1">
        <f t="array" ref="L39">IF(D39="",0, SUMPRODUCT(--(ISNUMBER(SEARCH($A39,'Diags Raw Data'!$A$6:$A$3766))),'Diags Raw Data'!$L$6:$L$3766,'Diags Raw Data'!$P$6:$P$3766)/J39)</f>
        <v>1</v>
      </c>
      <c r="M39" s="434" cm="1">
        <f t="array" ref="M39">SUMPRODUCT(--(ISNUMBER(SEARCH($A39,'Diags Raw Data'!$A$6:$A$3766))),--('Diags Raw Data'!$Q$6:$Q$3766&lt;&gt;"N/A"),'Diags Raw Data'!$T$6:$T$3766)+SUMPRODUCT(--(ISNUMBER(SEARCH($A39,'Diags Raw Data'!$A$6:$A$3766))),--('Diags Raw Data'!$Q$6:$Q$3766&lt;&gt;"N/A"),'Diags Raw Data'!$U$6:$U$3766)</f>
        <v>500</v>
      </c>
      <c r="N39" s="434" cm="1">
        <f t="array" ref="N39">SUMPRODUCT(--(ISNUMBER(SEARCH($A39,'Diags Raw Data'!$A$6:$A$3766))),--('Diags Raw Data'!$Q$6:$Q$3766&lt;&gt;"N/A"),'Diags Raw Data'!$T$6:$T$3766)+SUMPRODUCT(--(ISNUMBER(SEARCH($A39,'Diags Raw Data'!$A$6:$A$3766))),--('Diags Raw Data'!$Q$6:$Q$3766&lt;&gt;"N/A"),'Diags Raw Data'!$U$6:$U$3766)</f>
        <v>500</v>
      </c>
      <c r="O39" s="435">
        <f t="shared" si="4"/>
        <v>1</v>
      </c>
      <c r="P39" s="436">
        <f>SUMIF('Diags Raw Data'!$A$6:$A$3766,"*"&amp;$A39&amp;"*",'Diags Raw Data'!$Z$6:$Z$3766)</f>
        <v>500</v>
      </c>
      <c r="Q39" s="437">
        <f>SUM(SUMIF('Diags Raw Data'!$A$6:$A$3766,"*"&amp;$A39&amp;"*",'Diags Raw Data'!$AA$6:$AA$3766),SUMIF('Diags Raw Data'!$A$6:$A$3766,"*"&amp;$A39&amp;"*",'Diags Raw Data'!$AB$6:$AB$3766))</f>
        <v>500</v>
      </c>
      <c r="R39" s="438">
        <f t="shared" si="5"/>
        <v>500</v>
      </c>
      <c r="S39" s="438">
        <f t="shared" si="6"/>
        <v>1</v>
      </c>
      <c r="T39" s="439">
        <f t="shared" si="7"/>
        <v>500</v>
      </c>
      <c r="U39" s="414" t="s">
        <v>1015</v>
      </c>
      <c r="V39" s="181"/>
    </row>
    <row r="40" spans="1:22" ht="30.75" thickBot="1" x14ac:dyDescent="0.3">
      <c r="A40" s="321" t="s">
        <v>470</v>
      </c>
      <c r="B40" s="407" t="str">
        <f>VLOOKUP(A40,'Feature Raw Data'!$A$3:$B$3847,2,FALSE)</f>
        <v>WS.CDL.LS.CacheLockBusLock</v>
      </c>
      <c r="C40" s="408" t="str">
        <f>VLOOKUP(A40,'Feature Raw Data'!$A$3:$C$3929,3,FALSE)</f>
        <v>P1</v>
      </c>
      <c r="D40" s="409" t="str" cm="1">
        <f t="array" ref="D40">_xlfn.TEXTJOIN("",TRUE,IF(ISNUMBER(SEARCH($A40,'Diags Raw Data'!$A$6:$A$3768)),CONCATENATE('Diags Raw Data'!$H$6:$H$3768,", "),""))</f>
        <v xml:space="preserve">Cache_Lock_And_Bus_Lock.stf
Cache_Lock_And_Bus_Lock_New.stf, </v>
      </c>
      <c r="E40" s="410" t="str">
        <f>VLOOKUP(A40,'Diags Raw Data'!$A$6:$D$3768,4,FALSE)</f>
        <v>LS-02</v>
      </c>
      <c r="F40" s="410" t="str">
        <f>VLOOKUP(A40,'Feature Raw Data'!$A$3:$E$3847,5,FALSE)</f>
        <v>Legacy</v>
      </c>
      <c r="G40" s="410" t="str">
        <f t="shared" si="10"/>
        <v>Yes</v>
      </c>
      <c r="H40" s="410" t="str">
        <f t="shared" si="11"/>
        <v>Yes</v>
      </c>
      <c r="I40" s="412">
        <f>SUMIF('Diags Raw Data'!$A$6:$A$3768,"*"&amp;$A40&amp;"*",'Diags Raw Data'!$K$6:$K$3768)</f>
        <v>1</v>
      </c>
      <c r="J40" s="413">
        <f>SUMIF('Diags Raw Data'!$A$6:$A$3768,"*"&amp;$A40&amp;"*",'Diags Raw Data'!$L$6:$L$3768)</f>
        <v>1</v>
      </c>
      <c r="K40" s="432" cm="1">
        <f t="array" ref="K40">IF(D40="",0, SUMPRODUCT(--(ISNUMBER(SEARCH($A40,'Diags Raw Data'!$A$6:$A$3766))),'Diags Raw Data'!$L$6:$L$3766,'Diags Raw Data'!$N$6:$N$3766)/J40)</f>
        <v>1</v>
      </c>
      <c r="L40" s="433" cm="1">
        <f t="array" ref="L40">IF(D40="",0, SUMPRODUCT(--(ISNUMBER(SEARCH($A40,'Diags Raw Data'!$A$6:$A$3766))),'Diags Raw Data'!$L$6:$L$3766,'Diags Raw Data'!$P$6:$P$3766)/J40)</f>
        <v>1</v>
      </c>
      <c r="M40" s="434" cm="1">
        <f t="array" ref="M40">SUMPRODUCT(--(ISNUMBER(SEARCH($A40,'Diags Raw Data'!$A$6:$A$3766))),--('Diags Raw Data'!$Q$6:$Q$3766&lt;&gt;"N/A"),'Diags Raw Data'!$T$6:$T$3766)+SUMPRODUCT(--(ISNUMBER(SEARCH($A40,'Diags Raw Data'!$A$6:$A$3766))),--('Diags Raw Data'!$Q$6:$Q$3766&lt;&gt;"N/A"),'Diags Raw Data'!$U$6:$U$3766)</f>
        <v>2</v>
      </c>
      <c r="N40" s="434" cm="1">
        <f t="array" ref="N40">SUMPRODUCT(--(ISNUMBER(SEARCH($A40,'Diags Raw Data'!$A$6:$A$3766))),--('Diags Raw Data'!$Q$6:$Q$3766&lt;&gt;"N/A"),'Diags Raw Data'!$T$6:$T$3766)+SUMPRODUCT(--(ISNUMBER(SEARCH($A40,'Diags Raw Data'!$A$6:$A$3766))),--('Diags Raw Data'!$Q$6:$Q$3766&lt;&gt;"N/A"),'Diags Raw Data'!$U$6:$U$3766)</f>
        <v>2</v>
      </c>
      <c r="O40" s="435">
        <f t="shared" si="4"/>
        <v>1</v>
      </c>
      <c r="P40" s="436">
        <f>SUMIF('Diags Raw Data'!$A$6:$A$3766,"*"&amp;$A40&amp;"*",'Diags Raw Data'!$Z$6:$Z$3766)</f>
        <v>2</v>
      </c>
      <c r="Q40" s="437">
        <f>SUM(SUMIF('Diags Raw Data'!$A$6:$A$3766,"*"&amp;$A40&amp;"*",'Diags Raw Data'!$AA$6:$AA$3766),SUMIF('Diags Raw Data'!$A$6:$A$3766,"*"&amp;$A40&amp;"*",'Diags Raw Data'!$AB$6:$AB$3766))</f>
        <v>2</v>
      </c>
      <c r="R40" s="438">
        <f t="shared" si="5"/>
        <v>2</v>
      </c>
      <c r="S40" s="438">
        <f t="shared" si="6"/>
        <v>1</v>
      </c>
      <c r="T40" s="439">
        <f t="shared" si="7"/>
        <v>2</v>
      </c>
      <c r="U40" s="414"/>
      <c r="V40" s="181"/>
    </row>
    <row r="41" spans="1:22" ht="75.75" thickBot="1" x14ac:dyDescent="0.3">
      <c r="A41" s="321" t="s">
        <v>475</v>
      </c>
      <c r="B41" s="407" t="str">
        <f>VLOOKUP(A41,'Feature Raw Data'!$A$3:$B$3847,2,FALSE)</f>
        <v>WS.CDL.LS.StlfStli</v>
      </c>
      <c r="C41" s="408" t="str">
        <f>VLOOKUP(A41,'Feature Raw Data'!$A$3:$C$3929,3,FALSE)</f>
        <v>P3</v>
      </c>
      <c r="D41" s="409" t="str" cm="1">
        <f t="array" ref="D41">_xlfn.TEXTJOIN("",TRUE,IF(ISNUMBER(SEARCH($A41,'Diags Raw Data'!$A$6:$A$3768)),CONCATENATE('Diags Raw Data'!$H$6:$H$3768,", "),""))</f>
        <v xml:space="preserve">STLF.stf, </v>
      </c>
      <c r="E41" s="410" t="str">
        <f>VLOOKUP(A41,'Diags Raw Data'!$A$6:$D$3768,4,FALSE)</f>
        <v>LS-02</v>
      </c>
      <c r="F41" s="410" t="str">
        <f>VLOOKUP(A41,'Feature Raw Data'!$A$3:$E$3847,5,FALSE)</f>
        <v>Delta</v>
      </c>
      <c r="G41" s="410" t="str">
        <f t="shared" si="10"/>
        <v>Yes</v>
      </c>
      <c r="H41" s="410" t="str">
        <f t="shared" si="11"/>
        <v>Yes</v>
      </c>
      <c r="I41" s="412">
        <f>SUMIF('Diags Raw Data'!$A$6:$A$3768,"*"&amp;$A41&amp;"*",'Diags Raw Data'!$K$6:$K$3768)</f>
        <v>1</v>
      </c>
      <c r="J41" s="413">
        <f>SUMIF('Diags Raw Data'!$A$6:$A$3768,"*"&amp;$A41&amp;"*",'Diags Raw Data'!$L$6:$L$3768)</f>
        <v>1</v>
      </c>
      <c r="K41" s="432" cm="1">
        <f t="array" ref="K41">IF(D41="",0, SUMPRODUCT(--(ISNUMBER(SEARCH($A41,'Diags Raw Data'!$A$6:$A$3766))),'Diags Raw Data'!$L$6:$L$3766,'Diags Raw Data'!$N$6:$N$3766)/J41)</f>
        <v>1</v>
      </c>
      <c r="L41" s="433" cm="1">
        <f t="array" ref="L41">IF(D41="",0, SUMPRODUCT(--(ISNUMBER(SEARCH($A41,'Diags Raw Data'!$A$6:$A$3766))),'Diags Raw Data'!$L$6:$L$3766,'Diags Raw Data'!$P$6:$P$3766)/J41)</f>
        <v>1</v>
      </c>
      <c r="M41" s="434" cm="1">
        <f t="array" ref="M41">SUMPRODUCT(--(ISNUMBER(SEARCH($A41,'Diags Raw Data'!$A$6:$A$3766))),--('Diags Raw Data'!$Q$6:$Q$3766&lt;&gt;"N/A"),'Diags Raw Data'!$T$6:$T$3766)+SUMPRODUCT(--(ISNUMBER(SEARCH($A41,'Diags Raw Data'!$A$6:$A$3766))),--('Diags Raw Data'!$Q$6:$Q$3766&lt;&gt;"N/A"),'Diags Raw Data'!$U$6:$U$3766)</f>
        <v>1</v>
      </c>
      <c r="N41" s="434" cm="1">
        <f t="array" ref="N41">SUMPRODUCT(--(ISNUMBER(SEARCH($A41,'Diags Raw Data'!$A$6:$A$3766))),--('Diags Raw Data'!$Q$6:$Q$3766&lt;&gt;"N/A"),'Diags Raw Data'!$T$6:$T$3766)+SUMPRODUCT(--(ISNUMBER(SEARCH($A41,'Diags Raw Data'!$A$6:$A$3766))),--('Diags Raw Data'!$Q$6:$Q$3766&lt;&gt;"N/A"),'Diags Raw Data'!$U$6:$U$3766)</f>
        <v>1</v>
      </c>
      <c r="O41" s="435">
        <f t="shared" si="4"/>
        <v>1</v>
      </c>
      <c r="P41" s="436">
        <f>SUMIF('Diags Raw Data'!$A$6:$A$3766,"*"&amp;$A41&amp;"*",'Diags Raw Data'!$Z$6:$Z$3766)</f>
        <v>1</v>
      </c>
      <c r="Q41" s="437">
        <f>SUM(SUMIF('Diags Raw Data'!$A$6:$A$3766,"*"&amp;$A41&amp;"*",'Diags Raw Data'!$AA$6:$AA$3766),SUMIF('Diags Raw Data'!$A$6:$A$3766,"*"&amp;$A41&amp;"*",'Diags Raw Data'!$AB$6:$AB$3766))</f>
        <v>1</v>
      </c>
      <c r="R41" s="438">
        <f t="shared" si="5"/>
        <v>1</v>
      </c>
      <c r="S41" s="438">
        <f t="shared" si="6"/>
        <v>1</v>
      </c>
      <c r="T41" s="439">
        <f t="shared" si="7"/>
        <v>1</v>
      </c>
      <c r="U41" s="414" t="s">
        <v>1015</v>
      </c>
      <c r="V41" s="181"/>
    </row>
    <row r="42" spans="1:22" ht="75.75" thickBot="1" x14ac:dyDescent="0.3">
      <c r="A42" s="321" t="s">
        <v>480</v>
      </c>
      <c r="B42" s="407" t="str">
        <f>VLOOKUP(A42,'Feature Raw Data'!$A$3:$B$3847,2,FALSE)</f>
        <v>WS.CDL.LS.SmcCmc</v>
      </c>
      <c r="C42" s="408" t="str">
        <f>VLOOKUP(A42,'Feature Raw Data'!$A$3:$C$3929,3,FALSE)</f>
        <v>P4</v>
      </c>
      <c r="D42" s="409" t="str" cm="1">
        <f t="array" ref="D42">_xlfn.TEXTJOIN("",TRUE,IF(ISNUMBER(SEARCH($A42,'Diags Raw Data'!$A$6:$A$3768)),CONCATENATE('Diags Raw Data'!$H$6:$H$3768,", "),""))</f>
        <v xml:space="preserve">Cross_Modifying_Code.stf, </v>
      </c>
      <c r="E42" s="410" t="str">
        <f>VLOOKUP(A42,'Diags Raw Data'!$A$6:$D$3768,4,FALSE)</f>
        <v>LS-02</v>
      </c>
      <c r="F42" s="410" t="str">
        <f>VLOOKUP(A42,'Feature Raw Data'!$A$3:$E$3847,5,FALSE)</f>
        <v>Legacy</v>
      </c>
      <c r="G42" s="410" t="str">
        <f t="shared" si="10"/>
        <v>Yes</v>
      </c>
      <c r="H42" s="410" t="str">
        <f t="shared" si="11"/>
        <v>Yes</v>
      </c>
      <c r="I42" s="412">
        <f>SUMIF('Diags Raw Data'!$A$6:$A$3768,"*"&amp;$A42&amp;"*",'Diags Raw Data'!$K$6:$K$3768)</f>
        <v>1</v>
      </c>
      <c r="J42" s="413">
        <f>SUMIF('Diags Raw Data'!$A$6:$A$3768,"*"&amp;$A42&amp;"*",'Diags Raw Data'!$L$6:$L$3768)</f>
        <v>1</v>
      </c>
      <c r="K42" s="432" cm="1">
        <f t="array" ref="K42">IF(D42="",0, SUMPRODUCT(--(ISNUMBER(SEARCH($A42,'Diags Raw Data'!$A$6:$A$3766))),'Diags Raw Data'!$L$6:$L$3766,'Diags Raw Data'!$N$6:$N$3766)/J42)</f>
        <v>1</v>
      </c>
      <c r="L42" s="433" cm="1">
        <f t="array" ref="L42">IF(D42="",0, SUMPRODUCT(--(ISNUMBER(SEARCH($A42,'Diags Raw Data'!$A$6:$A$3766))),'Diags Raw Data'!$L$6:$L$3766,'Diags Raw Data'!$P$6:$P$3766)/J42)</f>
        <v>1</v>
      </c>
      <c r="M42" s="434" cm="1">
        <f t="array" ref="M42">SUMPRODUCT(--(ISNUMBER(SEARCH($A42,'Diags Raw Data'!$A$6:$A$3766))),--('Diags Raw Data'!$Q$6:$Q$3766&lt;&gt;"N/A"),'Diags Raw Data'!$T$6:$T$3766)+SUMPRODUCT(--(ISNUMBER(SEARCH($A42,'Diags Raw Data'!$A$6:$A$3766))),--('Diags Raw Data'!$Q$6:$Q$3766&lt;&gt;"N/A"),'Diags Raw Data'!$U$6:$U$3766)</f>
        <v>0</v>
      </c>
      <c r="N42" s="434" cm="1">
        <f t="array" ref="N42">SUMPRODUCT(--(ISNUMBER(SEARCH($A42,'Diags Raw Data'!$A$6:$A$3766))),--('Diags Raw Data'!$Q$6:$Q$3766&lt;&gt;"N/A"),'Diags Raw Data'!$T$6:$T$3766)+SUMPRODUCT(--(ISNUMBER(SEARCH($A42,'Diags Raw Data'!$A$6:$A$3766))),--('Diags Raw Data'!$Q$6:$Q$3766&lt;&gt;"N/A"),'Diags Raw Data'!$U$6:$U$3766)</f>
        <v>0</v>
      </c>
      <c r="O42" s="435">
        <f>IF((M42=0),0,N42/M42)</f>
        <v>0</v>
      </c>
      <c r="P42" s="436">
        <f>SUMIF('Diags Raw Data'!$A$6:$A$3766,"*"&amp;$A42&amp;"*",'Diags Raw Data'!$Z$6:$Z$3766)</f>
        <v>1</v>
      </c>
      <c r="Q42" s="437">
        <f>SUM(SUMIF('Diags Raw Data'!$A$6:$A$3766,"*"&amp;$A42&amp;"*",'Diags Raw Data'!$AA$6:$AA$3766),SUMIF('Diags Raw Data'!$A$6:$A$3766,"*"&amp;$A42&amp;"*",'Diags Raw Data'!$AB$6:$AB$3766))</f>
        <v>1</v>
      </c>
      <c r="R42" s="438">
        <f t="shared" si="5"/>
        <v>1</v>
      </c>
      <c r="S42" s="438">
        <f t="shared" si="6"/>
        <v>1</v>
      </c>
      <c r="T42" s="439">
        <f t="shared" si="7"/>
        <v>1</v>
      </c>
      <c r="U42" s="414" t="s">
        <v>1015</v>
      </c>
      <c r="V42" s="181"/>
    </row>
    <row r="43" spans="1:22" ht="75.75" thickBot="1" x14ac:dyDescent="0.3">
      <c r="A43" s="321" t="s">
        <v>485</v>
      </c>
      <c r="B43" s="407" t="str">
        <f>VLOOKUP(A43,'Feature Raw Data'!$A$3:$B$3847,2,FALSE)</f>
        <v>WS.CDL.LS.StreamingStore</v>
      </c>
      <c r="C43" s="408" t="str">
        <f>VLOOKUP(A43,'Feature Raw Data'!$A$3:$C$3929,3,FALSE)</f>
        <v>P4</v>
      </c>
      <c r="D43" s="409" t="str" cm="1">
        <f t="array" ref="D43">_xlfn.TEXTJOIN("",TRUE,IF(ISNUMBER(SEARCH($A43,'Diags Raw Data'!$A$6:$A$3768)),CONCATENATE('Diags Raw Data'!$H$6:$H$3768,", "),""))</f>
        <v xml:space="preserve">Core_Streaming_Store_Instructions_1.stf
Core_Streaming_Store_Instructions_3.stf
Core_Streaming_Store_Instructions_6.stf
Core_Streaming_Store_Instructions_8.stf, </v>
      </c>
      <c r="E43" s="410" t="str">
        <f>VLOOKUP(A43,'Diags Raw Data'!$A$6:$D$3768,4,FALSE)</f>
        <v>LS-02</v>
      </c>
      <c r="F43" s="410" t="str">
        <f>VLOOKUP(A43,'Feature Raw Data'!$A$3:$E$3847,5,FALSE)</f>
        <v>Legacy</v>
      </c>
      <c r="G43" s="410" t="str">
        <f t="shared" si="10"/>
        <v>Yes</v>
      </c>
      <c r="H43" s="410" t="str">
        <f t="shared" si="11"/>
        <v>Yes</v>
      </c>
      <c r="I43" s="412">
        <f>SUMIF('Diags Raw Data'!$A$6:$A$3768,"*"&amp;$A43&amp;"*",'Diags Raw Data'!$K$6:$K$3768)</f>
        <v>1</v>
      </c>
      <c r="J43" s="413">
        <f>SUMIF('Diags Raw Data'!$A$6:$A$3768,"*"&amp;$A43&amp;"*",'Diags Raw Data'!$L$6:$L$3768)</f>
        <v>1</v>
      </c>
      <c r="K43" s="432" cm="1">
        <f t="array" ref="K43">IF(D43="",0, SUMPRODUCT(--(ISNUMBER(SEARCH($A43,'Diags Raw Data'!$A$6:$A$3766))),'Diags Raw Data'!$L$6:$L$3766,'Diags Raw Data'!$N$6:$N$3766)/J43)</f>
        <v>1</v>
      </c>
      <c r="L43" s="433" cm="1">
        <f t="array" ref="L43">IF(D43="",0, SUMPRODUCT(--(ISNUMBER(SEARCH($A43,'Diags Raw Data'!$A$6:$A$3766))),'Diags Raw Data'!$L$6:$L$3766,'Diags Raw Data'!$P$6:$P$3766)/J43)</f>
        <v>1</v>
      </c>
      <c r="M43" s="434" cm="1">
        <f t="array" ref="M43">SUMPRODUCT(--(ISNUMBER(SEARCH($A43,'Diags Raw Data'!$A$6:$A$3766))),--('Diags Raw Data'!$Q$6:$Q$3766&lt;&gt;"N/A"),'Diags Raw Data'!$T$6:$T$3766)+SUMPRODUCT(--(ISNUMBER(SEARCH($A43,'Diags Raw Data'!$A$6:$A$3766))),--('Diags Raw Data'!$Q$6:$Q$3766&lt;&gt;"N/A"),'Diags Raw Data'!$U$6:$U$3766)</f>
        <v>1</v>
      </c>
      <c r="N43" s="434" cm="1">
        <f t="array" ref="N43">SUMPRODUCT(--(ISNUMBER(SEARCH($A43,'Diags Raw Data'!$A$6:$A$3766))),--('Diags Raw Data'!$Q$6:$Q$3766&lt;&gt;"N/A"),'Diags Raw Data'!$T$6:$T$3766)+SUMPRODUCT(--(ISNUMBER(SEARCH($A43,'Diags Raw Data'!$A$6:$A$3766))),--('Diags Raw Data'!$Q$6:$Q$3766&lt;&gt;"N/A"),'Diags Raw Data'!$U$6:$U$3766)</f>
        <v>1</v>
      </c>
      <c r="O43" s="435">
        <f t="shared" si="4"/>
        <v>1</v>
      </c>
      <c r="P43" s="436">
        <f>SUMIF('Diags Raw Data'!$A$6:$A$3766,"*"&amp;$A43&amp;"*",'Diags Raw Data'!$Z$6:$Z$3766)</f>
        <v>1</v>
      </c>
      <c r="Q43" s="437">
        <f>SUM(SUMIF('Diags Raw Data'!$A$6:$A$3766,"*"&amp;$A43&amp;"*",'Diags Raw Data'!$AA$6:$AA$3766),SUMIF('Diags Raw Data'!$A$6:$A$3766,"*"&amp;$A43&amp;"*",'Diags Raw Data'!$AB$6:$AB$3766))</f>
        <v>1</v>
      </c>
      <c r="R43" s="438">
        <f t="shared" si="5"/>
        <v>1</v>
      </c>
      <c r="S43" s="438">
        <f t="shared" si="6"/>
        <v>1</v>
      </c>
      <c r="T43" s="439">
        <f t="shared" si="7"/>
        <v>1</v>
      </c>
      <c r="U43" s="414" t="s">
        <v>1015</v>
      </c>
      <c r="V43" s="181"/>
    </row>
    <row r="44" spans="1:22" ht="15.75" thickBot="1" x14ac:dyDescent="0.3">
      <c r="A44" s="321" t="s">
        <v>490</v>
      </c>
      <c r="B44" s="407" t="str">
        <f>VLOOKUP(A44,'Feature Raw Data'!$A$3:$B$3847,2,FALSE)</f>
        <v>WS.CDL.LS.MonitorMwait</v>
      </c>
      <c r="C44" s="408" t="str">
        <f>VLOOKUP(A44,'Feature Raw Data'!$A$3:$C$3929,3,FALSE)</f>
        <v>P1</v>
      </c>
      <c r="D44" s="409" t="str" cm="1">
        <f t="array" ref="D44">_xlfn.TEXTJOIN("",TRUE,IF(ISNUMBER(SEARCH($A44,'Diags Raw Data'!$A$6:$A$3768)),CONCATENATE('Diags Raw Data'!$H$6:$H$3768,", "),""))</f>
        <v xml:space="preserve">Monitor_Mwait.stf, </v>
      </c>
      <c r="E44" s="410" t="str">
        <f>VLOOKUP(A44,'Diags Raw Data'!$A$6:$D$3768,4,FALSE)</f>
        <v>LS-02</v>
      </c>
      <c r="F44" s="410" t="str">
        <f>VLOOKUP(A44,'Feature Raw Data'!$A$3:$E$3847,5,FALSE)</f>
        <v>Legacy</v>
      </c>
      <c r="G44" s="410" t="str">
        <f t="shared" si="10"/>
        <v>Yes</v>
      </c>
      <c r="H44" s="410" t="str">
        <f t="shared" si="11"/>
        <v>Yes</v>
      </c>
      <c r="I44" s="412">
        <f>SUMIF('Diags Raw Data'!$A$6:$A$3768,"*"&amp;$A44&amp;"*",'Diags Raw Data'!$K$6:$K$3768)</f>
        <v>1</v>
      </c>
      <c r="J44" s="413">
        <f>SUMIF('Diags Raw Data'!$A$6:$A$3768,"*"&amp;$A44&amp;"*",'Diags Raw Data'!$L$6:$L$3768)</f>
        <v>1</v>
      </c>
      <c r="K44" s="432" cm="1">
        <f t="array" ref="K44">IF(D44="",0, SUMPRODUCT(--(ISNUMBER(SEARCH($A44,'Diags Raw Data'!$A$6:$A$3766))),'Diags Raw Data'!$L$6:$L$3766,'Diags Raw Data'!$N$6:$N$3766)/J44)</f>
        <v>1</v>
      </c>
      <c r="L44" s="433" cm="1">
        <f t="array" ref="L44">IF(D44="",0, SUMPRODUCT(--(ISNUMBER(SEARCH($A44,'Diags Raw Data'!$A$6:$A$3766))),'Diags Raw Data'!$L$6:$L$3766,'Diags Raw Data'!$P$6:$P$3766)/J44)</f>
        <v>1</v>
      </c>
      <c r="M44" s="434" cm="1">
        <f t="array" ref="M44">SUMPRODUCT(--(ISNUMBER(SEARCH($A44,'Diags Raw Data'!$A$6:$A$3766))),--('Diags Raw Data'!$Q$6:$Q$3766&lt;&gt;"N/A"),'Diags Raw Data'!$T$6:$T$3766)+SUMPRODUCT(--(ISNUMBER(SEARCH($A44,'Diags Raw Data'!$A$6:$A$3766))),--('Diags Raw Data'!$Q$6:$Q$3766&lt;&gt;"N/A"),'Diags Raw Data'!$U$6:$U$3766)</f>
        <v>1</v>
      </c>
      <c r="N44" s="434" cm="1">
        <f t="array" ref="N44">SUMPRODUCT(--(ISNUMBER(SEARCH($A44,'Diags Raw Data'!$A$6:$A$3766))),--('Diags Raw Data'!$Q$6:$Q$3766&lt;&gt;"N/A"),'Diags Raw Data'!$T$6:$T$3766)+SUMPRODUCT(--(ISNUMBER(SEARCH($A44,'Diags Raw Data'!$A$6:$A$3766))),--('Diags Raw Data'!$Q$6:$Q$3766&lt;&gt;"N/A"),'Diags Raw Data'!$U$6:$U$3766)</f>
        <v>1</v>
      </c>
      <c r="O44" s="435">
        <f t="shared" si="4"/>
        <v>1</v>
      </c>
      <c r="P44" s="436">
        <f>SUMIF('Diags Raw Data'!$A$6:$A$3766,"*"&amp;$A44&amp;"*",'Diags Raw Data'!$Z$6:$Z$3766)</f>
        <v>1</v>
      </c>
      <c r="Q44" s="437">
        <f>SUM(SUMIF('Diags Raw Data'!$A$6:$A$3766,"*"&amp;$A44&amp;"*",'Diags Raw Data'!$AA$6:$AA$3766),SUMIF('Diags Raw Data'!$A$6:$A$3766,"*"&amp;$A44&amp;"*",'Diags Raw Data'!$AB$6:$AB$3766))</f>
        <v>1</v>
      </c>
      <c r="R44" s="438">
        <f t="shared" si="5"/>
        <v>1</v>
      </c>
      <c r="S44" s="438">
        <f t="shared" si="6"/>
        <v>1</v>
      </c>
      <c r="T44" s="439">
        <f t="shared" si="7"/>
        <v>1</v>
      </c>
      <c r="U44" s="414"/>
      <c r="V44" s="181"/>
    </row>
    <row r="45" spans="1:22" ht="75.75" thickBot="1" x14ac:dyDescent="0.3">
      <c r="A45" s="321" t="s">
        <v>499</v>
      </c>
      <c r="B45" s="407" t="str">
        <f>VLOOKUP(A45,'Feature Raw Data'!$A$3:$B$3847,2,FALSE)</f>
        <v>WS.Storm.LS.PageMigration</v>
      </c>
      <c r="C45" s="408" t="str">
        <f>VLOOKUP(A45,'Feature Raw Data'!$A$3:$C$3929,3,FALSE)</f>
        <v>P4</v>
      </c>
      <c r="D45" s="409" t="str" cm="1">
        <f t="array" ref="D45">_xlfn.TEXTJOIN("",TRUE,IF(ISNUMBER(SEARCH($A45,'Diags Raw Data'!$A$6:$A$3768)),CONCATENATE('Diags Raw Data'!$H$6:$H$3768,", "),""))</f>
        <v xml:space="preserve">Deluge_page_migration.yml, </v>
      </c>
      <c r="E45" s="410" t="str">
        <f>VLOOKUP(A45,'Diags Raw Data'!$A$6:$D$3768,4,FALSE)</f>
        <v>LS-02</v>
      </c>
      <c r="F45" s="410" t="str">
        <f>VLOOKUP(A45,'Feature Raw Data'!$A$3:$E$3847,5,FALSE)</f>
        <v>Legacy</v>
      </c>
      <c r="G45" s="410" t="str">
        <f t="shared" si="10"/>
        <v>Yes</v>
      </c>
      <c r="H45" s="410" t="str">
        <f t="shared" si="11"/>
        <v>Yes</v>
      </c>
      <c r="I45" s="412">
        <f>SUMIF('Diags Raw Data'!$A$6:$A$3768,"*"&amp;$A45&amp;"*",'Diags Raw Data'!$K$6:$K$3768)</f>
        <v>1</v>
      </c>
      <c r="J45" s="413">
        <f>SUMIF('Diags Raw Data'!$A$6:$A$3768,"*"&amp;$A45&amp;"*",'Diags Raw Data'!$L$6:$L$3768)</f>
        <v>1</v>
      </c>
      <c r="K45" s="432" cm="1">
        <f t="array" ref="K45">IF(D45="",0, SUMPRODUCT(--(ISNUMBER(SEARCH($A45,'Diags Raw Data'!$A$6:$A$3766))),'Diags Raw Data'!$L$6:$L$3766,'Diags Raw Data'!$N$6:$N$3766)/J45)</f>
        <v>1</v>
      </c>
      <c r="L45" s="433" cm="1">
        <f t="array" ref="L45">IF(D45="",0, SUMPRODUCT(--(ISNUMBER(SEARCH($A45,'Diags Raw Data'!$A$6:$A$3766))),'Diags Raw Data'!$L$6:$L$3766,'Diags Raw Data'!$P$6:$P$3766)/J45)</f>
        <v>1</v>
      </c>
      <c r="M45" s="434" cm="1">
        <f t="array" ref="M45">SUMPRODUCT(--(ISNUMBER(SEARCH($A45,'Diags Raw Data'!$A$6:$A$3766))),--('Diags Raw Data'!$Q$6:$Q$3766&lt;&gt;"N/A"),'Diags Raw Data'!$T$6:$T$3766)+SUMPRODUCT(--(ISNUMBER(SEARCH($A45,'Diags Raw Data'!$A$6:$A$3766))),--('Diags Raw Data'!$Q$6:$Q$3766&lt;&gt;"N/A"),'Diags Raw Data'!$U$6:$U$3766)</f>
        <v>2000</v>
      </c>
      <c r="N45" s="434" cm="1">
        <f t="array" ref="N45">SUMPRODUCT(--(ISNUMBER(SEARCH($A45,'Diags Raw Data'!$A$6:$A$3766))),--('Diags Raw Data'!$Q$6:$Q$3766&lt;&gt;"N/A"),'Diags Raw Data'!$T$6:$T$3766)+SUMPRODUCT(--(ISNUMBER(SEARCH($A45,'Diags Raw Data'!$A$6:$A$3766))),--('Diags Raw Data'!$Q$6:$Q$3766&lt;&gt;"N/A"),'Diags Raw Data'!$U$6:$U$3766)</f>
        <v>2000</v>
      </c>
      <c r="O45" s="435">
        <f t="shared" si="4"/>
        <v>1</v>
      </c>
      <c r="P45" s="436">
        <f>SUMIF('Diags Raw Data'!$A$6:$A$3766,"*"&amp;$A45&amp;"*",'Diags Raw Data'!$Z$6:$Z$3766)</f>
        <v>3500</v>
      </c>
      <c r="Q45" s="437">
        <f>SUM(SUMIF('Diags Raw Data'!$A$6:$A$3766,"*"&amp;$A45&amp;"*",'Diags Raw Data'!$AA$6:$AA$3766),SUMIF('Diags Raw Data'!$A$6:$A$3766,"*"&amp;$A45&amp;"*",'Diags Raw Data'!$AB$6:$AB$3766))</f>
        <v>3500</v>
      </c>
      <c r="R45" s="438">
        <f t="shared" si="5"/>
        <v>3500</v>
      </c>
      <c r="S45" s="438">
        <f t="shared" si="6"/>
        <v>1</v>
      </c>
      <c r="T45" s="439">
        <f t="shared" si="7"/>
        <v>3500</v>
      </c>
      <c r="U45" s="414" t="s">
        <v>1015</v>
      </c>
      <c r="V45" s="181"/>
    </row>
    <row r="46" spans="1:22" ht="105.75" thickBot="1" x14ac:dyDescent="0.3">
      <c r="A46" s="321" t="s">
        <v>504</v>
      </c>
      <c r="B46" s="407" t="str">
        <f>VLOOKUP(A46,'Feature Raw Data'!$A$3:$B$3847,2,FALSE)</f>
        <v>WS.CDL.LS.CacheFlush</v>
      </c>
      <c r="C46" s="408" t="str">
        <f>VLOOKUP(A46,'Feature Raw Data'!$A$3:$C$3929,3,FALSE)</f>
        <v>P3</v>
      </c>
      <c r="D46" s="409" t="str" cm="1">
        <f t="array" ref="D46">_xlfn.TEXTJOIN("",TRUE,IF(ISNUMBER(SEARCH($A46,'Diags Raw Data'!$A$6:$A$3768)),CONCATENATE('Diags Raw Data'!$H$6:$H$3768,", "),""))</f>
        <v xml:space="preserve">LS06_Cache_WBNOINVD.stf
LS06_1_Cache_WBNOINVD.stf
LS06_2_Cache_WBNOINVD.stf
LS06_3_Cache_WBNOINVD.stf
Cache_3-1-11_L2_L3_WBINVD_INVD.stf, </v>
      </c>
      <c r="E46" s="410" t="str">
        <f>VLOOKUP(A46,'Diags Raw Data'!$A$6:$D$3768,4,FALSE)</f>
        <v>LS-02</v>
      </c>
      <c r="F46" s="410" t="str">
        <f>VLOOKUP(A46,'Feature Raw Data'!$A$3:$E$3847,5,FALSE)</f>
        <v>Legacy</v>
      </c>
      <c r="G46" s="410" t="str">
        <f t="shared" si="10"/>
        <v>Yes</v>
      </c>
      <c r="H46" s="410" t="str">
        <f t="shared" si="11"/>
        <v>Yes</v>
      </c>
      <c r="I46" s="412">
        <f>SUMIF('Diags Raw Data'!$A$6:$A$3768,"*"&amp;$A46&amp;"*",'Diags Raw Data'!$K$6:$K$3768)</f>
        <v>1</v>
      </c>
      <c r="J46" s="413">
        <f>SUMIF('Diags Raw Data'!$A$6:$A$3768,"*"&amp;$A46&amp;"*",'Diags Raw Data'!$L$6:$L$3768)</f>
        <v>1</v>
      </c>
      <c r="K46" s="432" cm="1">
        <f t="array" ref="K46">IF(D46="",0, SUMPRODUCT(--(ISNUMBER(SEARCH($A46,'Diags Raw Data'!$A$6:$A$3766))),'Diags Raw Data'!$L$6:$L$3766,'Diags Raw Data'!$N$6:$N$3766)/J46)</f>
        <v>1</v>
      </c>
      <c r="L46" s="433" cm="1">
        <f t="array" ref="L46">IF(D46="",0, SUMPRODUCT(--(ISNUMBER(SEARCH($A46,'Diags Raw Data'!$A$6:$A$3766))),'Diags Raw Data'!$L$6:$L$3766,'Diags Raw Data'!$P$6:$P$3766)/J46)</f>
        <v>1</v>
      </c>
      <c r="M46" s="434" cm="1">
        <f t="array" ref="M46">SUMPRODUCT(--(ISNUMBER(SEARCH($A46,'Diags Raw Data'!$A$6:$A$3766))),--('Diags Raw Data'!$Q$6:$Q$3766&lt;&gt;"N/A"),'Diags Raw Data'!$T$6:$T$3766)+SUMPRODUCT(--(ISNUMBER(SEARCH($A46,'Diags Raw Data'!$A$6:$A$3766))),--('Diags Raw Data'!$Q$6:$Q$3766&lt;&gt;"N/A"),'Diags Raw Data'!$U$6:$U$3766)</f>
        <v>5</v>
      </c>
      <c r="N46" s="434" cm="1">
        <f t="array" ref="N46">SUMPRODUCT(--(ISNUMBER(SEARCH($A46,'Diags Raw Data'!$A$6:$A$3766))),--('Diags Raw Data'!$Q$6:$Q$3766&lt;&gt;"N/A"),'Diags Raw Data'!$T$6:$T$3766)+SUMPRODUCT(--(ISNUMBER(SEARCH($A46,'Diags Raw Data'!$A$6:$A$3766))),--('Diags Raw Data'!$Q$6:$Q$3766&lt;&gt;"N/A"),'Diags Raw Data'!$U$6:$U$3766)</f>
        <v>5</v>
      </c>
      <c r="O46" s="435">
        <f t="shared" si="4"/>
        <v>1</v>
      </c>
      <c r="P46" s="436">
        <f>SUMIF('Diags Raw Data'!$A$6:$A$3766,"*"&amp;$A46&amp;"*",'Diags Raw Data'!$Z$6:$Z$3766)</f>
        <v>5</v>
      </c>
      <c r="Q46" s="437">
        <f>SUM(SUMIF('Diags Raw Data'!$A$6:$A$3766,"*"&amp;$A46&amp;"*",'Diags Raw Data'!$AA$6:$AA$3766),SUMIF('Diags Raw Data'!$A$6:$A$3766,"*"&amp;$A46&amp;"*",'Diags Raw Data'!$AB$6:$AB$3766))</f>
        <v>5</v>
      </c>
      <c r="R46" s="438">
        <f t="shared" si="5"/>
        <v>5</v>
      </c>
      <c r="S46" s="438">
        <f t="shared" si="6"/>
        <v>1</v>
      </c>
      <c r="T46" s="439">
        <f t="shared" si="7"/>
        <v>5</v>
      </c>
      <c r="U46" s="414" t="s">
        <v>1015</v>
      </c>
      <c r="V46" s="181"/>
    </row>
    <row r="47" spans="1:22" ht="75.75" thickBot="1" x14ac:dyDescent="0.3">
      <c r="A47" s="321" t="s">
        <v>509</v>
      </c>
      <c r="B47" s="407" t="str">
        <f>VLOOKUP(A47,'Feature Raw Data'!$A$3:$B$3847,2,FALSE)</f>
        <v>WS.Storm.LS.TLBI.1</v>
      </c>
      <c r="C47" s="408" t="str">
        <f>VLOOKUP(A47,'Feature Raw Data'!$A$3:$C$3929,3,FALSE)</f>
        <v>P4</v>
      </c>
      <c r="D47" s="409" t="str" cm="1">
        <f t="array" ref="D47">_xlfn.TEXTJOIN("",TRUE,IF(ISNUMBER(SEARCH($A47,'Diags Raw Data'!$A$6:$A$3768)),CONCATENATE('Diags Raw Data'!$H$6:$H$3768,", "),""))</f>
        <v xml:space="preserve">tlbi_stress.rb, </v>
      </c>
      <c r="E47" s="410" t="str">
        <f>VLOOKUP(A47,'Diags Raw Data'!$A$6:$D$3768,4,FALSE)</f>
        <v>LS-02</v>
      </c>
      <c r="F47" s="410" t="str">
        <f>VLOOKUP(A47,'Feature Raw Data'!$A$3:$E$3847,5,FALSE)</f>
        <v>Legacy</v>
      </c>
      <c r="G47" s="410" t="str">
        <f t="shared" si="10"/>
        <v>Yes</v>
      </c>
      <c r="H47" s="410" t="str">
        <f t="shared" si="11"/>
        <v>Yes</v>
      </c>
      <c r="I47" s="412">
        <f>SUMIF('Diags Raw Data'!$A$6:$A$3768,"*"&amp;$A47&amp;"*",'Diags Raw Data'!$K$6:$K$3768)</f>
        <v>1</v>
      </c>
      <c r="J47" s="413">
        <f>SUMIF('Diags Raw Data'!$A$6:$A$3768,"*"&amp;$A47&amp;"*",'Diags Raw Data'!$L$6:$L$3768)</f>
        <v>1</v>
      </c>
      <c r="K47" s="432" cm="1">
        <f t="array" ref="K47">IF(D47="",0, SUMPRODUCT(--(ISNUMBER(SEARCH($A47,'Diags Raw Data'!$A$6:$A$3766))),'Diags Raw Data'!$L$6:$L$3766,'Diags Raw Data'!$N$6:$N$3766)/J47)</f>
        <v>1</v>
      </c>
      <c r="L47" s="433" cm="1">
        <f t="array" ref="L47">IF(D47="",0, SUMPRODUCT(--(ISNUMBER(SEARCH($A47,'Diags Raw Data'!$A$6:$A$3766))),'Diags Raw Data'!$L$6:$L$3766,'Diags Raw Data'!$P$6:$P$3766)/J47)</f>
        <v>1</v>
      </c>
      <c r="M47" s="434" cm="1">
        <f t="array" ref="M47">SUMPRODUCT(--(ISNUMBER(SEARCH($A47,'Diags Raw Data'!$A$6:$A$3766))),--('Diags Raw Data'!$Q$6:$Q$3766&lt;&gt;"N/A"),'Diags Raw Data'!$T$6:$T$3766)+SUMPRODUCT(--(ISNUMBER(SEARCH($A47,'Diags Raw Data'!$A$6:$A$3766))),--('Diags Raw Data'!$Q$6:$Q$3766&lt;&gt;"N/A"),'Diags Raw Data'!$U$6:$U$3766)</f>
        <v>3000</v>
      </c>
      <c r="N47" s="434" cm="1">
        <f t="array" ref="N47">SUMPRODUCT(--(ISNUMBER(SEARCH($A47,'Diags Raw Data'!$A$6:$A$3766))),--('Diags Raw Data'!$Q$6:$Q$3766&lt;&gt;"N/A"),'Diags Raw Data'!$T$6:$T$3766)+SUMPRODUCT(--(ISNUMBER(SEARCH($A47,'Diags Raw Data'!$A$6:$A$3766))),--('Diags Raw Data'!$Q$6:$Q$3766&lt;&gt;"N/A"),'Diags Raw Data'!$U$6:$U$3766)</f>
        <v>3000</v>
      </c>
      <c r="O47" s="435">
        <f t="shared" si="4"/>
        <v>1</v>
      </c>
      <c r="P47" s="436">
        <f>SUMIF('Diags Raw Data'!$A$6:$A$3766,"*"&amp;$A47&amp;"*",'Diags Raw Data'!$Z$6:$Z$3766)</f>
        <v>3500</v>
      </c>
      <c r="Q47" s="437">
        <f>SUM(SUMIF('Diags Raw Data'!$A$6:$A$3766,"*"&amp;$A47&amp;"*",'Diags Raw Data'!$AA$6:$AA$3766),SUMIF('Diags Raw Data'!$A$6:$A$3766,"*"&amp;$A47&amp;"*",'Diags Raw Data'!$AB$6:$AB$3766))</f>
        <v>3500</v>
      </c>
      <c r="R47" s="438">
        <f t="shared" si="5"/>
        <v>3500</v>
      </c>
      <c r="S47" s="438">
        <f t="shared" si="6"/>
        <v>1</v>
      </c>
      <c r="T47" s="439">
        <f t="shared" si="7"/>
        <v>3500</v>
      </c>
      <c r="U47" s="414" t="s">
        <v>1015</v>
      </c>
      <c r="V47" s="181"/>
    </row>
    <row r="48" spans="1:22" ht="15.75" thickBot="1" x14ac:dyDescent="0.3">
      <c r="A48" s="321" t="s">
        <v>514</v>
      </c>
      <c r="B48" s="407" t="str">
        <f>VLOOKUP(A48,'Feature Raw Data'!$A$3:$B$3847,2,FALSE)</f>
        <v>WS.CDL.LS.TLBI.2</v>
      </c>
      <c r="C48" s="408" t="str">
        <f>VLOOKUP(A48,'Feature Raw Data'!$A$3:$C$3929,3,FALSE)</f>
        <v>P4</v>
      </c>
      <c r="D48" s="409" t="str" cm="1">
        <f t="array" ref="D48">_xlfn.TEXTJOIN("",TRUE,IF(ISNUMBER(SEARCH($A48,'Diags Raw Data'!$A$6:$A$3768)),CONCATENATE('Diags Raw Data'!$H$6:$H$3768,", "),""))</f>
        <v xml:space="preserve">TBD, </v>
      </c>
      <c r="E48" s="410" t="str">
        <f>VLOOKUP(A48,'Diags Raw Data'!$A$6:$D$3768,4,FALSE)</f>
        <v>LS-02</v>
      </c>
      <c r="F48" s="410" t="str">
        <f>VLOOKUP(A48,'Feature Raw Data'!$A$3:$E$3847,5,FALSE)</f>
        <v>Legacy</v>
      </c>
      <c r="G48" s="410" t="str">
        <f t="shared" si="10"/>
        <v>Yes</v>
      </c>
      <c r="H48" s="410" t="str">
        <f t="shared" si="11"/>
        <v>Yes</v>
      </c>
      <c r="I48" s="412">
        <f>SUMIF('Diags Raw Data'!$A$6:$A$3768,"*"&amp;$A48&amp;"*",'Diags Raw Data'!$K$6:$K$3768)</f>
        <v>1</v>
      </c>
      <c r="J48" s="413">
        <f>SUMIF('Diags Raw Data'!$A$6:$A$3768,"*"&amp;$A48&amp;"*",'Diags Raw Data'!$L$6:$L$3768)</f>
        <v>1</v>
      </c>
      <c r="K48" s="432" cm="1">
        <f t="array" ref="K48">IF(D48="",0, SUMPRODUCT(--(ISNUMBER(SEARCH($A48,'Diags Raw Data'!$A$6:$A$3766))),'Diags Raw Data'!$L$6:$L$3766,'Diags Raw Data'!$N$6:$N$3766)/J48)</f>
        <v>1</v>
      </c>
      <c r="L48" s="433" cm="1">
        <f t="array" ref="L48">IF(D48="",0, SUMPRODUCT(--(ISNUMBER(SEARCH($A48,'Diags Raw Data'!$A$6:$A$3766))),'Diags Raw Data'!$L$6:$L$3766,'Diags Raw Data'!$P$6:$P$3766)/J48)</f>
        <v>1</v>
      </c>
      <c r="M48" s="434" cm="1">
        <f t="array" ref="M48">SUMPRODUCT(--(ISNUMBER(SEARCH($A48,'Diags Raw Data'!$A$6:$A$3766))),--('Diags Raw Data'!$Q$6:$Q$3766&lt;&gt;"N/A"),'Diags Raw Data'!$T$6:$T$3766)+SUMPRODUCT(--(ISNUMBER(SEARCH($A48,'Diags Raw Data'!$A$6:$A$3766))),--('Diags Raw Data'!$Q$6:$Q$3766&lt;&gt;"N/A"),'Diags Raw Data'!$U$6:$U$3766)</f>
        <v>0</v>
      </c>
      <c r="N48" s="434" cm="1">
        <f t="array" ref="N48">SUMPRODUCT(--(ISNUMBER(SEARCH($A48,'Diags Raw Data'!$A$6:$A$3766))),--('Diags Raw Data'!$Q$6:$Q$3766&lt;&gt;"N/A"),'Diags Raw Data'!$T$6:$T$3766)+SUMPRODUCT(--(ISNUMBER(SEARCH($A48,'Diags Raw Data'!$A$6:$A$3766))),--('Diags Raw Data'!$Q$6:$Q$3766&lt;&gt;"N/A"),'Diags Raw Data'!$U$6:$U$3766)</f>
        <v>0</v>
      </c>
      <c r="O48" s="435">
        <f t="shared" si="4"/>
        <v>0</v>
      </c>
      <c r="P48" s="436">
        <f>SUMIF('Diags Raw Data'!$A$6:$A$3766,"*"&amp;$A48&amp;"*",'Diags Raw Data'!$Z$6:$Z$3766)</f>
        <v>1</v>
      </c>
      <c r="Q48" s="437">
        <f>SUM(SUMIF('Diags Raw Data'!$A$6:$A$3766,"*"&amp;$A48&amp;"*",'Diags Raw Data'!$AA$6:$AA$3766),SUMIF('Diags Raw Data'!$A$6:$A$3766,"*"&amp;$A48&amp;"*",'Diags Raw Data'!$AB$6:$AB$3766))</f>
        <v>1</v>
      </c>
      <c r="R48" s="438">
        <f t="shared" si="5"/>
        <v>1</v>
      </c>
      <c r="S48" s="438">
        <f t="shared" si="6"/>
        <v>1</v>
      </c>
      <c r="T48" s="439">
        <f t="shared" si="7"/>
        <v>1</v>
      </c>
      <c r="U48" s="414" t="s">
        <v>1017</v>
      </c>
      <c r="V48" s="181"/>
    </row>
    <row r="49" spans="1:22" ht="75.75" thickBot="1" x14ac:dyDescent="0.3">
      <c r="A49" s="321" t="s">
        <v>519</v>
      </c>
      <c r="B49" s="407" t="str">
        <f>VLOOKUP(A49,'Feature Raw Data'!$A$3:$B$3847,2,FALSE)</f>
        <v>WS.Storm.LS.MPK</v>
      </c>
      <c r="C49" s="408" t="str">
        <f>VLOOKUP(A49,'Feature Raw Data'!$A$3:$C$3929,3,FALSE)</f>
        <v>P4</v>
      </c>
      <c r="D49" s="409" t="str" cm="1">
        <f t="array" ref="D49">_xlfn.TEXTJOIN("",TRUE,IF(ISNUMBER(SEARCH($A49,'Diags Raw Data'!$A$6:$A$3768)),CONCATENATE('Diags Raw Data'!$H$6:$H$3768,", "),""))</f>
        <v xml:space="preserve">/proj/diags_blr_storm/common_storm/yml/gna0_vmr_compat/cbb0_vmra0_paging_faults_for_mpk.yml, </v>
      </c>
      <c r="E49" s="410" t="str">
        <f>VLOOKUP(A49,'Diags Raw Data'!$A$6:$D$3768,4,FALSE)</f>
        <v>LS-02</v>
      </c>
      <c r="F49" s="410" t="str">
        <f>VLOOKUP(A49,'Feature Raw Data'!$A$3:$E$3847,5,FALSE)</f>
        <v>Legacy</v>
      </c>
      <c r="G49" s="410" t="str">
        <f t="shared" si="10"/>
        <v>Yes</v>
      </c>
      <c r="H49" s="410" t="str">
        <f t="shared" si="11"/>
        <v>Yes</v>
      </c>
      <c r="I49" s="412">
        <f>SUMIF('Diags Raw Data'!$A$6:$A$3768,"*"&amp;$A49&amp;"*",'Diags Raw Data'!$K$6:$K$3768)</f>
        <v>1</v>
      </c>
      <c r="J49" s="413">
        <f>SUMIF('Diags Raw Data'!$A$6:$A$3768,"*"&amp;$A49&amp;"*",'Diags Raw Data'!$L$6:$L$3768)</f>
        <v>1</v>
      </c>
      <c r="K49" s="432" cm="1">
        <f t="array" ref="K49">IF(D49="",0, SUMPRODUCT(--(ISNUMBER(SEARCH($A49,'Diags Raw Data'!$A$6:$A$3766))),'Diags Raw Data'!$L$6:$L$3766,'Diags Raw Data'!$N$6:$N$3766)/J49)</f>
        <v>1</v>
      </c>
      <c r="L49" s="433" cm="1">
        <f t="array" ref="L49">IF(D49="",0, SUMPRODUCT(--(ISNUMBER(SEARCH($A49,'Diags Raw Data'!$A$6:$A$3766))),'Diags Raw Data'!$L$6:$L$3766,'Diags Raw Data'!$P$6:$P$3766)/J49)</f>
        <v>1</v>
      </c>
      <c r="M49" s="434" cm="1">
        <f t="array" ref="M49">SUMPRODUCT(--(ISNUMBER(SEARCH($A49,'Diags Raw Data'!$A$6:$A$3766))),--('Diags Raw Data'!$Q$6:$Q$3766&lt;&gt;"N/A"),'Diags Raw Data'!$T$6:$T$3766)+SUMPRODUCT(--(ISNUMBER(SEARCH($A49,'Diags Raw Data'!$A$6:$A$3766))),--('Diags Raw Data'!$Q$6:$Q$3766&lt;&gt;"N/A"),'Diags Raw Data'!$U$6:$U$3766)</f>
        <v>2000</v>
      </c>
      <c r="N49" s="434" cm="1">
        <f t="array" ref="N49">SUMPRODUCT(--(ISNUMBER(SEARCH($A49,'Diags Raw Data'!$A$6:$A$3766))),--('Diags Raw Data'!$Q$6:$Q$3766&lt;&gt;"N/A"),'Diags Raw Data'!$T$6:$T$3766)+SUMPRODUCT(--(ISNUMBER(SEARCH($A49,'Diags Raw Data'!$A$6:$A$3766))),--('Diags Raw Data'!$Q$6:$Q$3766&lt;&gt;"N/A"),'Diags Raw Data'!$U$6:$U$3766)</f>
        <v>2000</v>
      </c>
      <c r="O49" s="435">
        <f t="shared" si="4"/>
        <v>1</v>
      </c>
      <c r="P49" s="436">
        <f>SUMIF('Diags Raw Data'!$A$6:$A$3766,"*"&amp;$A49&amp;"*",'Diags Raw Data'!$Z$6:$Z$3766)</f>
        <v>500</v>
      </c>
      <c r="Q49" s="437">
        <f>SUM(SUMIF('Diags Raw Data'!$A$6:$A$3766,"*"&amp;$A49&amp;"*",'Diags Raw Data'!$AA$6:$AA$3766),SUMIF('Diags Raw Data'!$A$6:$A$3766,"*"&amp;$A49&amp;"*",'Diags Raw Data'!$AB$6:$AB$3766))</f>
        <v>500</v>
      </c>
      <c r="R49" s="438">
        <f t="shared" si="5"/>
        <v>500</v>
      </c>
      <c r="S49" s="438">
        <f t="shared" si="6"/>
        <v>1</v>
      </c>
      <c r="T49" s="439">
        <f t="shared" si="7"/>
        <v>500</v>
      </c>
      <c r="U49" s="414" t="s">
        <v>1015</v>
      </c>
      <c r="V49" s="181"/>
    </row>
    <row r="50" spans="1:22" ht="56.25" customHeight="1" thickBot="1" x14ac:dyDescent="0.3">
      <c r="A50" s="321" t="s">
        <v>524</v>
      </c>
      <c r="B50" s="407" t="str">
        <f>VLOOKUP(A50,'Feature Raw Data'!$A$3:$B$3847,2,FALSE)</f>
        <v>WS.CDL.LS.MisallignedAccess</v>
      </c>
      <c r="C50" s="408" t="str">
        <f>VLOOKUP(A50,'Feature Raw Data'!$A$3:$C$3929,3,FALSE)</f>
        <v>P1</v>
      </c>
      <c r="D50" s="409" t="str" cm="1">
        <f t="array" ref="D50">_xlfn.TEXTJOIN("",TRUE,IF(ISNUMBER(SEARCH($A50,'Diags Raw Data'!$A$6:$A$3768)),CONCATENATE('Diags Raw Data'!$H$6:$H$3768,", "),""))</f>
        <v xml:space="preserve">LSDC_Stress.stf, </v>
      </c>
      <c r="E50" s="410" t="str">
        <f>VLOOKUP(A50,'Diags Raw Data'!$A$6:$D$3768,4,FALSE)</f>
        <v>LS-02</v>
      </c>
      <c r="F50" s="410" t="str">
        <f>VLOOKUP(A50,'Feature Raw Data'!$A$3:$E$3847,5,FALSE)</f>
        <v>Legacy</v>
      </c>
      <c r="G50" s="410" t="str">
        <f t="shared" si="10"/>
        <v>Yes</v>
      </c>
      <c r="H50" s="410" t="str">
        <f t="shared" si="11"/>
        <v>Yes</v>
      </c>
      <c r="I50" s="412">
        <f>SUMIF('Diags Raw Data'!$A$6:$A$3768,"*"&amp;$A50&amp;"*",'Diags Raw Data'!$K$6:$K$3768)</f>
        <v>1</v>
      </c>
      <c r="J50" s="413">
        <f>SUMIF('Diags Raw Data'!$A$6:$A$3768,"*"&amp;$A50&amp;"*",'Diags Raw Data'!$L$6:$L$3768)</f>
        <v>1</v>
      </c>
      <c r="K50" s="432" cm="1">
        <f t="array" ref="K50">IF(D50="",0, SUMPRODUCT(--(ISNUMBER(SEARCH($A50,'Diags Raw Data'!$A$6:$A$3766))),'Diags Raw Data'!$L$6:$L$3766,'Diags Raw Data'!$N$6:$N$3766)/J50)</f>
        <v>1</v>
      </c>
      <c r="L50" s="433" cm="1">
        <f t="array" ref="L50">IF(D50="",0, SUMPRODUCT(--(ISNUMBER(SEARCH($A50,'Diags Raw Data'!$A$6:$A$3766))),'Diags Raw Data'!$L$6:$L$3766,'Diags Raw Data'!$P$6:$P$3766)/J50)</f>
        <v>1</v>
      </c>
      <c r="M50" s="434" cm="1">
        <f t="array" ref="M50">SUMPRODUCT(--(ISNUMBER(SEARCH($A50,'Diags Raw Data'!$A$6:$A$3766))),--('Diags Raw Data'!$Q$6:$Q$3766&lt;&gt;"N/A"),'Diags Raw Data'!$T$6:$T$3766)+SUMPRODUCT(--(ISNUMBER(SEARCH($A50,'Diags Raw Data'!$A$6:$A$3766))),--('Diags Raw Data'!$Q$6:$Q$3766&lt;&gt;"N/A"),'Diags Raw Data'!$U$6:$U$3766)</f>
        <v>2</v>
      </c>
      <c r="N50" s="434" cm="1">
        <f t="array" ref="N50">SUMPRODUCT(--(ISNUMBER(SEARCH($A50,'Diags Raw Data'!$A$6:$A$3766))),--('Diags Raw Data'!$Q$6:$Q$3766&lt;&gt;"N/A"),'Diags Raw Data'!$T$6:$T$3766)+SUMPRODUCT(--(ISNUMBER(SEARCH($A50,'Diags Raw Data'!$A$6:$A$3766))),--('Diags Raw Data'!$Q$6:$Q$3766&lt;&gt;"N/A"),'Diags Raw Data'!$U$6:$U$3766)</f>
        <v>2</v>
      </c>
      <c r="O50" s="435">
        <f t="shared" si="4"/>
        <v>1</v>
      </c>
      <c r="P50" s="436">
        <f>SUMIF('Diags Raw Data'!$A$6:$A$3766,"*"&amp;$A50&amp;"*",'Diags Raw Data'!$Z$6:$Z$3766)</f>
        <v>5</v>
      </c>
      <c r="Q50" s="437">
        <f>SUM(SUMIF('Diags Raw Data'!$A$6:$A$3766,"*"&amp;$A50&amp;"*",'Diags Raw Data'!$AA$6:$AA$3766),SUMIF('Diags Raw Data'!$A$6:$A$3766,"*"&amp;$A50&amp;"*",'Diags Raw Data'!$AB$6:$AB$3766))</f>
        <v>5</v>
      </c>
      <c r="R50" s="438">
        <f t="shared" si="5"/>
        <v>5</v>
      </c>
      <c r="S50" s="438">
        <f t="shared" si="6"/>
        <v>1</v>
      </c>
      <c r="T50" s="439">
        <f t="shared" si="7"/>
        <v>5</v>
      </c>
      <c r="U50" s="414"/>
      <c r="V50" s="181"/>
    </row>
    <row r="51" spans="1:22" ht="75.75" thickBot="1" x14ac:dyDescent="0.3">
      <c r="A51" s="321" t="s">
        <v>530</v>
      </c>
      <c r="B51" s="407" t="str">
        <f>VLOOKUP(A51,'Feature Raw Data'!$A$3:$B$3847,2,FALSE)</f>
        <v>WS.Storm.LS.LargerVA</v>
      </c>
      <c r="C51" s="408" t="str">
        <f>VLOOKUP(A51,'Feature Raw Data'!$A$3:$C$3929,3,FALSE)</f>
        <v>P4</v>
      </c>
      <c r="D51" s="409" t="str" cm="1">
        <f t="array" ref="D51">_xlfn.TEXTJOIN("",TRUE,IF(ISNUMBER(SEARCH($A51,'Diags Raw Data'!$A$6:$A$3768)),CONCATENATE('Diags Raw Data'!$H$6:$H$3768,", "),""))</f>
        <v xml:space="preserve">deluge_for_larger_va.yml, </v>
      </c>
      <c r="E51" s="410" t="str">
        <f>VLOOKUP(A51,'Diags Raw Data'!$A$6:$D$3768,4,FALSE)</f>
        <v>LS-02</v>
      </c>
      <c r="F51" s="410" t="str">
        <f>VLOOKUP(A51,'Feature Raw Data'!$A$3:$E$3847,5,FALSE)</f>
        <v>Legacy</v>
      </c>
      <c r="G51" s="410" t="str">
        <f t="shared" si="10"/>
        <v>Yes</v>
      </c>
      <c r="H51" s="410" t="str">
        <f t="shared" si="11"/>
        <v>Yes</v>
      </c>
      <c r="I51" s="412">
        <f>SUMIF('Diags Raw Data'!$A$6:$A$3768,"*"&amp;$A51&amp;"*",'Diags Raw Data'!$K$6:$K$3768)</f>
        <v>1</v>
      </c>
      <c r="J51" s="413">
        <f>SUMIF('Diags Raw Data'!$A$6:$A$3768,"*"&amp;$A51&amp;"*",'Diags Raw Data'!$L$6:$L$3768)</f>
        <v>1</v>
      </c>
      <c r="K51" s="432" cm="1">
        <f t="array" ref="K51">IF(D51="",0, SUMPRODUCT(--(ISNUMBER(SEARCH($A51,'Diags Raw Data'!$A$6:$A$3766))),'Diags Raw Data'!$L$6:$L$3766,'Diags Raw Data'!$N$6:$N$3766)/J51)</f>
        <v>1</v>
      </c>
      <c r="L51" s="433" cm="1">
        <f t="array" ref="L51">IF(D51="",0, SUMPRODUCT(--(ISNUMBER(SEARCH($A51,'Diags Raw Data'!$A$6:$A$3766))),'Diags Raw Data'!$L$6:$L$3766,'Diags Raw Data'!$P$6:$P$3766)/J51)</f>
        <v>1</v>
      </c>
      <c r="M51" s="434" cm="1">
        <f t="array" ref="M51">SUMPRODUCT(--(ISNUMBER(SEARCH($A51,'Diags Raw Data'!$A$6:$A$3766))),--('Diags Raw Data'!$Q$6:$Q$3766&lt;&gt;"N/A"),'Diags Raw Data'!$T$6:$T$3766)+SUMPRODUCT(--(ISNUMBER(SEARCH($A51,'Diags Raw Data'!$A$6:$A$3766))),--('Diags Raw Data'!$Q$6:$Q$3766&lt;&gt;"N/A"),'Diags Raw Data'!$U$6:$U$3766)</f>
        <v>1</v>
      </c>
      <c r="N51" s="434" cm="1">
        <f t="array" ref="N51">SUMPRODUCT(--(ISNUMBER(SEARCH($A51,'Diags Raw Data'!$A$6:$A$3766))),--('Diags Raw Data'!$Q$6:$Q$3766&lt;&gt;"N/A"),'Diags Raw Data'!$T$6:$T$3766)+SUMPRODUCT(--(ISNUMBER(SEARCH($A51,'Diags Raw Data'!$A$6:$A$3766))),--('Diags Raw Data'!$Q$6:$Q$3766&lt;&gt;"N/A"),'Diags Raw Data'!$U$6:$U$3766)</f>
        <v>1</v>
      </c>
      <c r="O51" s="435">
        <f t="shared" si="4"/>
        <v>1</v>
      </c>
      <c r="P51" s="436">
        <f>SUMIF('Diags Raw Data'!$A$6:$A$3766,"*"&amp;$A51&amp;"*",'Diags Raw Data'!$Z$6:$Z$3766)</f>
        <v>1</v>
      </c>
      <c r="Q51" s="437">
        <f>SUM(SUMIF('Diags Raw Data'!$A$6:$A$3766,"*"&amp;$A51&amp;"*",'Diags Raw Data'!$AA$6:$AA$3766),SUMIF('Diags Raw Data'!$A$6:$A$3766,"*"&amp;$A51&amp;"*",'Diags Raw Data'!$AB$6:$AB$3766))</f>
        <v>1</v>
      </c>
      <c r="R51" s="438">
        <f t="shared" si="5"/>
        <v>1</v>
      </c>
      <c r="S51" s="438">
        <f t="shared" si="6"/>
        <v>1</v>
      </c>
      <c r="T51" s="439">
        <f t="shared" si="7"/>
        <v>1</v>
      </c>
      <c r="U51" s="414" t="s">
        <v>1015</v>
      </c>
      <c r="V51" s="181"/>
    </row>
    <row r="52" spans="1:22" ht="75.75" thickBot="1" x14ac:dyDescent="0.3">
      <c r="A52" s="321" t="s">
        <v>534</v>
      </c>
      <c r="B52" s="407" t="str">
        <f>VLOOKUP(A52,'Feature Raw Data'!$A$3:$B$3847,2,FALSE)</f>
        <v>WS.Storm.LS.UpperAddressIgnore</v>
      </c>
      <c r="C52" s="408" t="str">
        <f>VLOOKUP(A52,'Feature Raw Data'!$A$3:$C$3929,3,FALSE)</f>
        <v>P4</v>
      </c>
      <c r="D52" s="409" t="str" cm="1">
        <f t="array" ref="D52">_xlfn.TEXTJOIN("",TRUE,IF(ISNUMBER(SEARCH($A52,'Diags Raw Data'!$A$6:$A$3768)),CONCATENATE('Diags Raw Data'!$H$6:$H$3768,", "),""))</f>
        <v xml:space="preserve">deluge_for_upper_address_range.yml, </v>
      </c>
      <c r="E52" s="410" t="str">
        <f>VLOOKUP(A52,'Diags Raw Data'!$A$6:$D$3768,4,FALSE)</f>
        <v>LS-02</v>
      </c>
      <c r="F52" s="410" t="str">
        <f>VLOOKUP(A52,'Feature Raw Data'!$A$3:$E$3847,5,FALSE)</f>
        <v>Legacy</v>
      </c>
      <c r="G52" s="410" t="str">
        <f t="shared" si="10"/>
        <v>Yes</v>
      </c>
      <c r="H52" s="410" t="str">
        <f t="shared" si="11"/>
        <v>Yes</v>
      </c>
      <c r="I52" s="412">
        <f>SUMIF('Diags Raw Data'!$A$6:$A$3768,"*"&amp;$A52&amp;"*",'Diags Raw Data'!$K$6:$K$3768)</f>
        <v>1</v>
      </c>
      <c r="J52" s="413">
        <f>SUMIF('Diags Raw Data'!$A$6:$A$3768,"*"&amp;$A52&amp;"*",'Diags Raw Data'!$L$6:$L$3768)</f>
        <v>1</v>
      </c>
      <c r="K52" s="432" cm="1">
        <f t="array" ref="K52">IF(D52="",0, SUMPRODUCT(--(ISNUMBER(SEARCH($A52,'Diags Raw Data'!$A$6:$A$3766))),'Diags Raw Data'!$L$6:$L$3766,'Diags Raw Data'!$N$6:$N$3766)/J52)</f>
        <v>1</v>
      </c>
      <c r="L52" s="433" cm="1">
        <f t="array" ref="L52">IF(D52="",0, SUMPRODUCT(--(ISNUMBER(SEARCH($A52,'Diags Raw Data'!$A$6:$A$3766))),'Diags Raw Data'!$L$6:$L$3766,'Diags Raw Data'!$P$6:$P$3766)/J52)</f>
        <v>1</v>
      </c>
      <c r="M52" s="434" cm="1">
        <f t="array" ref="M52">SUMPRODUCT(--(ISNUMBER(SEARCH($A52,'Diags Raw Data'!$A$6:$A$3766))),--('Diags Raw Data'!$Q$6:$Q$3766&lt;&gt;"N/A"),'Diags Raw Data'!$T$6:$T$3766)+SUMPRODUCT(--(ISNUMBER(SEARCH($A52,'Diags Raw Data'!$A$6:$A$3766))),--('Diags Raw Data'!$Q$6:$Q$3766&lt;&gt;"N/A"),'Diags Raw Data'!$U$6:$U$3766)</f>
        <v>1900</v>
      </c>
      <c r="N52" s="434" cm="1">
        <f t="array" ref="N52">SUMPRODUCT(--(ISNUMBER(SEARCH($A52,'Diags Raw Data'!$A$6:$A$3766))),--('Diags Raw Data'!$Q$6:$Q$3766&lt;&gt;"N/A"),'Diags Raw Data'!$T$6:$T$3766)+SUMPRODUCT(--(ISNUMBER(SEARCH($A52,'Diags Raw Data'!$A$6:$A$3766))),--('Diags Raw Data'!$Q$6:$Q$3766&lt;&gt;"N/A"),'Diags Raw Data'!$U$6:$U$3766)</f>
        <v>1900</v>
      </c>
      <c r="O52" s="435">
        <f t="shared" si="4"/>
        <v>1</v>
      </c>
      <c r="P52" s="436">
        <f>SUMIF('Diags Raw Data'!$A$6:$A$3766,"*"&amp;$A52&amp;"*",'Diags Raw Data'!$Z$6:$Z$3766)</f>
        <v>4400</v>
      </c>
      <c r="Q52" s="437">
        <f>SUM(SUMIF('Diags Raw Data'!$A$6:$A$3766,"*"&amp;$A52&amp;"*",'Diags Raw Data'!$AA$6:$AA$3766),SUMIF('Diags Raw Data'!$A$6:$A$3766,"*"&amp;$A52&amp;"*",'Diags Raw Data'!$AB$6:$AB$3766))</f>
        <v>4400</v>
      </c>
      <c r="R52" s="438">
        <f t="shared" si="5"/>
        <v>4400</v>
      </c>
      <c r="S52" s="438">
        <f t="shared" si="6"/>
        <v>1</v>
      </c>
      <c r="T52" s="439">
        <f t="shared" si="7"/>
        <v>4400</v>
      </c>
      <c r="U52" s="414" t="s">
        <v>1015</v>
      </c>
      <c r="V52" s="181"/>
    </row>
    <row r="53" spans="1:22" ht="75.75" thickBot="1" x14ac:dyDescent="0.3">
      <c r="A53" s="321" t="s">
        <v>538</v>
      </c>
      <c r="B53" s="407" t="str">
        <f>VLOOKUP(A53,'Feature Raw Data'!$A$3:$B$3847,2,FALSE)</f>
        <v>SW.CDL.LS.Prefetch</v>
      </c>
      <c r="C53" s="408" t="str">
        <f>VLOOKUP(A53,'Feature Raw Data'!$A$3:$C$3929,3,FALSE)</f>
        <v>P4</v>
      </c>
      <c r="D53" s="409" t="str" cm="1">
        <f t="array" ref="D53">_xlfn.TEXTJOIN("",TRUE,IF(ISNUMBER(SEARCH($A53,'Diags Raw Data'!$A$6:$A$3768)),CONCATENATE('Diags Raw Data'!$H$6:$H$3768,", "),""))</f>
        <v xml:space="preserve">Core_3-1-20_Prefetch_Lock.stf 
LS11_0_Cache_Region_Prefetching.stf
LS11_1_Cache_Stream_Prefetching.stf, </v>
      </c>
      <c r="E53" s="410" t="str">
        <f>VLOOKUP(A53,'Diags Raw Data'!$A$6:$D$3768,4,FALSE)</f>
        <v>LS-02</v>
      </c>
      <c r="F53" s="410" t="str">
        <f>VLOOKUP(A53,'Feature Raw Data'!$A$3:$E$3847,5,FALSE)</f>
        <v>Delta</v>
      </c>
      <c r="G53" s="410" t="str">
        <f t="shared" si="10"/>
        <v>Yes</v>
      </c>
      <c r="H53" s="410" t="str">
        <f t="shared" si="11"/>
        <v>Yes</v>
      </c>
      <c r="I53" s="412">
        <f>SUMIF('Diags Raw Data'!$A$6:$A$3768,"*"&amp;$A53&amp;"*",'Diags Raw Data'!$K$6:$K$3768)</f>
        <v>1</v>
      </c>
      <c r="J53" s="413">
        <f>SUMIF('Diags Raw Data'!$A$6:$A$3768,"*"&amp;$A53&amp;"*",'Diags Raw Data'!$L$6:$L$3768)</f>
        <v>1</v>
      </c>
      <c r="K53" s="432" cm="1">
        <f t="array" ref="K53">IF(D53="",0, SUMPRODUCT(--(ISNUMBER(SEARCH($A53,'Diags Raw Data'!$A$6:$A$3766))),'Diags Raw Data'!$L$6:$L$3766,'Diags Raw Data'!$N$6:$N$3766)/J53)</f>
        <v>1</v>
      </c>
      <c r="L53" s="433" cm="1">
        <f t="array" ref="L53">IF(D53="",0, SUMPRODUCT(--(ISNUMBER(SEARCH($A53,'Diags Raw Data'!$A$6:$A$3766))),'Diags Raw Data'!$L$6:$L$3766,'Diags Raw Data'!$P$6:$P$3766)/J53)</f>
        <v>1</v>
      </c>
      <c r="M53" s="434" cm="1">
        <f t="array" ref="M53">SUMPRODUCT(--(ISNUMBER(SEARCH($A53,'Diags Raw Data'!$A$6:$A$3766))),--('Diags Raw Data'!$Q$6:$Q$3766&lt;&gt;"N/A"),'Diags Raw Data'!$T$6:$T$3766)+SUMPRODUCT(--(ISNUMBER(SEARCH($A53,'Diags Raw Data'!$A$6:$A$3766))),--('Diags Raw Data'!$Q$6:$Q$3766&lt;&gt;"N/A"),'Diags Raw Data'!$U$6:$U$3766)</f>
        <v>3</v>
      </c>
      <c r="N53" s="434" cm="1">
        <f t="array" ref="N53">SUMPRODUCT(--(ISNUMBER(SEARCH($A53,'Diags Raw Data'!$A$6:$A$3766))),--('Diags Raw Data'!$Q$6:$Q$3766&lt;&gt;"N/A"),'Diags Raw Data'!$T$6:$T$3766)+SUMPRODUCT(--(ISNUMBER(SEARCH($A53,'Diags Raw Data'!$A$6:$A$3766))),--('Diags Raw Data'!$Q$6:$Q$3766&lt;&gt;"N/A"),'Diags Raw Data'!$U$6:$U$3766)</f>
        <v>3</v>
      </c>
      <c r="O53" s="435">
        <f t="shared" si="4"/>
        <v>1</v>
      </c>
      <c r="P53" s="436">
        <f>SUMIF('Diags Raw Data'!$A$6:$A$3766,"*"&amp;$A53&amp;"*",'Diags Raw Data'!$Z$6:$Z$3766)</f>
        <v>3</v>
      </c>
      <c r="Q53" s="437">
        <f>SUM(SUMIF('Diags Raw Data'!$A$6:$A$3766,"*"&amp;$A53&amp;"*",'Diags Raw Data'!$AA$6:$AA$3766),SUMIF('Diags Raw Data'!$A$6:$A$3766,"*"&amp;$A53&amp;"*",'Diags Raw Data'!$AB$6:$AB$3766))</f>
        <v>3</v>
      </c>
      <c r="R53" s="438">
        <f t="shared" si="5"/>
        <v>3</v>
      </c>
      <c r="S53" s="438">
        <f t="shared" si="6"/>
        <v>1</v>
      </c>
      <c r="T53" s="439">
        <f t="shared" si="7"/>
        <v>3</v>
      </c>
      <c r="U53" s="414" t="s">
        <v>1015</v>
      </c>
      <c r="V53" s="181"/>
    </row>
    <row r="54" spans="1:22" ht="75.75" thickBot="1" x14ac:dyDescent="0.3">
      <c r="A54" s="321" t="s">
        <v>543</v>
      </c>
      <c r="B54" s="407" t="str">
        <f>VLOOKUP(A54,'Feature Raw Data'!$A$3:$B$3847,2,FALSE)</f>
        <v>WS.CDL.LS.DTLB</v>
      </c>
      <c r="C54" s="408" t="str">
        <f>VLOOKUP(A54,'Feature Raw Data'!$A$3:$C$3929,3,FALSE)</f>
        <v>P4</v>
      </c>
      <c r="D54" s="409" t="str" cm="1">
        <f t="array" ref="D54">_xlfn.TEXTJOIN("",TRUE,IF(ISNUMBER(SEARCH($A54,'Diags Raw Data'!$A$6:$A$3768)),CONCATENATE('Diags Raw Data'!$H$6:$H$3768,", "),""))</f>
        <v xml:space="preserve">DTLB_stress.stf, </v>
      </c>
      <c r="E54" s="410" t="str">
        <f>VLOOKUP(A54,'Diags Raw Data'!$A$6:$D$3768,4,FALSE)</f>
        <v>LS-02</v>
      </c>
      <c r="F54" s="410" t="str">
        <f>VLOOKUP(A54,'Feature Raw Data'!$A$3:$E$3847,5,FALSE)</f>
        <v>Delta</v>
      </c>
      <c r="G54" s="410" t="str">
        <f t="shared" si="10"/>
        <v>Yes</v>
      </c>
      <c r="H54" s="410" t="str">
        <f t="shared" si="11"/>
        <v>Yes</v>
      </c>
      <c r="I54" s="412">
        <f>SUMIF('Diags Raw Data'!$A$6:$A$3768,"*"&amp;$A54&amp;"*",'Diags Raw Data'!$K$6:$K$3768)</f>
        <v>1</v>
      </c>
      <c r="J54" s="413">
        <f>SUMIF('Diags Raw Data'!$A$6:$A$3768,"*"&amp;$A54&amp;"*",'Diags Raw Data'!$L$6:$L$3768)</f>
        <v>1</v>
      </c>
      <c r="K54" s="432" cm="1">
        <f t="array" ref="K54">IF(D54="",0, SUMPRODUCT(--(ISNUMBER(SEARCH($A54,'Diags Raw Data'!$A$6:$A$3766))),'Diags Raw Data'!$L$6:$L$3766,'Diags Raw Data'!$N$6:$N$3766)/J54)</f>
        <v>1</v>
      </c>
      <c r="L54" s="433" cm="1">
        <f t="array" ref="L54">IF(D54="",0, SUMPRODUCT(--(ISNUMBER(SEARCH($A54,'Diags Raw Data'!$A$6:$A$3766))),'Diags Raw Data'!$L$6:$L$3766,'Diags Raw Data'!$P$6:$P$3766)/J54)</f>
        <v>1</v>
      </c>
      <c r="M54" s="434" cm="1">
        <f t="array" ref="M54">SUMPRODUCT(--(ISNUMBER(SEARCH($A54,'Diags Raw Data'!$A$6:$A$3766))),--('Diags Raw Data'!$Q$6:$Q$3766&lt;&gt;"N/A"),'Diags Raw Data'!$T$6:$T$3766)+SUMPRODUCT(--(ISNUMBER(SEARCH($A54,'Diags Raw Data'!$A$6:$A$3766))),--('Diags Raw Data'!$Q$6:$Q$3766&lt;&gt;"N/A"),'Diags Raw Data'!$U$6:$U$3766)</f>
        <v>2</v>
      </c>
      <c r="N54" s="434" cm="1">
        <f t="array" ref="N54">SUMPRODUCT(--(ISNUMBER(SEARCH($A54,'Diags Raw Data'!$A$6:$A$3766))),--('Diags Raw Data'!$Q$6:$Q$3766&lt;&gt;"N/A"),'Diags Raw Data'!$T$6:$T$3766)+SUMPRODUCT(--(ISNUMBER(SEARCH($A54,'Diags Raw Data'!$A$6:$A$3766))),--('Diags Raw Data'!$Q$6:$Q$3766&lt;&gt;"N/A"),'Diags Raw Data'!$U$6:$U$3766)</f>
        <v>2</v>
      </c>
      <c r="O54" s="435">
        <f t="shared" si="4"/>
        <v>1</v>
      </c>
      <c r="P54" s="436">
        <f>SUMIF('Diags Raw Data'!$A$6:$A$3766,"*"&amp;$A54&amp;"*",'Diags Raw Data'!$Z$6:$Z$3766)</f>
        <v>2</v>
      </c>
      <c r="Q54" s="437">
        <f>SUM(SUMIF('Diags Raw Data'!$A$6:$A$3766,"*"&amp;$A54&amp;"*",'Diags Raw Data'!$AA$6:$AA$3766),SUMIF('Diags Raw Data'!$A$6:$A$3766,"*"&amp;$A54&amp;"*",'Diags Raw Data'!$AB$6:$AB$3766))</f>
        <v>2</v>
      </c>
      <c r="R54" s="438">
        <f t="shared" si="5"/>
        <v>2</v>
      </c>
      <c r="S54" s="438">
        <f t="shared" si="6"/>
        <v>1</v>
      </c>
      <c r="T54" s="439">
        <f t="shared" si="7"/>
        <v>2</v>
      </c>
      <c r="U54" s="414" t="s">
        <v>1015</v>
      </c>
      <c r="V54" s="181"/>
    </row>
    <row r="55" spans="1:22" ht="75.75" thickBot="1" x14ac:dyDescent="0.3">
      <c r="A55" s="321" t="s">
        <v>548</v>
      </c>
      <c r="B55" s="407" t="str">
        <f>VLOOKUP(A55,'Feature Raw Data'!$A$3:$B$3847,2,FALSE)</f>
        <v>WS.Storm.FP.Exerciser.1</v>
      </c>
      <c r="C55" s="408" t="str">
        <f>VLOOKUP(A55,'Feature Raw Data'!$A$3:$C$3929,3,FALSE)</f>
        <v>P4</v>
      </c>
      <c r="D55" s="409" t="str" cm="1">
        <f t="array" ref="D55">_xlfn.TEXTJOIN("",TRUE,IF(ISNUMBER(SEARCH($A55,'Diags Raw Data'!$A$6:$A$3768)),CONCATENATE('Diags Raw Data'!$H$6:$H$3768,", "),""))</f>
        <v xml:space="preserve">fp256.r, </v>
      </c>
      <c r="E55" s="410" t="str">
        <f>VLOOKUP(A55,'Diags Raw Data'!$A$6:$D$3768,4,FALSE)</f>
        <v>FP-03</v>
      </c>
      <c r="F55" s="410" t="str">
        <f>VLOOKUP(A55,'Feature Raw Data'!$A$3:$E$3847,5,FALSE)</f>
        <v>Legacy</v>
      </c>
      <c r="G55" s="410" t="str">
        <f t="shared" si="10"/>
        <v>Yes</v>
      </c>
      <c r="H55" s="410" t="str">
        <f t="shared" si="11"/>
        <v>Yes</v>
      </c>
      <c r="I55" s="412">
        <f>SUMIF('Diags Raw Data'!$A$6:$A$3768,"*"&amp;$A55&amp;"*",'Diags Raw Data'!$K$6:$K$3768)</f>
        <v>1</v>
      </c>
      <c r="J55" s="413">
        <f>SUMIF('Diags Raw Data'!$A$6:$A$3768,"*"&amp;$A55&amp;"*",'Diags Raw Data'!$L$6:$L$3768)</f>
        <v>1</v>
      </c>
      <c r="K55" s="432" cm="1">
        <f t="array" ref="K55">IF(D55="",0, SUMPRODUCT(--(ISNUMBER(SEARCH($A55,'Diags Raw Data'!$A$6:$A$3766))),'Diags Raw Data'!$L$6:$L$3766,'Diags Raw Data'!$N$6:$N$3766)/J55)</f>
        <v>1</v>
      </c>
      <c r="L55" s="433" cm="1">
        <f t="array" ref="L55">IF(D55="",0, SUMPRODUCT(--(ISNUMBER(SEARCH($A55,'Diags Raw Data'!$A$6:$A$3766))),'Diags Raw Data'!$L$6:$L$3766,'Diags Raw Data'!$P$6:$P$3766)/J55)</f>
        <v>1</v>
      </c>
      <c r="M55" s="434" cm="1">
        <f t="array" ref="M55">SUMPRODUCT(--(ISNUMBER(SEARCH($A55,'Diags Raw Data'!$A$6:$A$3766))),--('Diags Raw Data'!$Q$6:$Q$3766&lt;&gt;"N/A"),'Diags Raw Data'!$T$6:$T$3766)+SUMPRODUCT(--(ISNUMBER(SEARCH($A55,'Diags Raw Data'!$A$6:$A$3766))),--('Diags Raw Data'!$Q$6:$Q$3766&lt;&gt;"N/A"),'Diags Raw Data'!$U$6:$U$3766)</f>
        <v>2628</v>
      </c>
      <c r="N55" s="434" cm="1">
        <f t="array" ref="N55">SUMPRODUCT(--(ISNUMBER(SEARCH($A55,'Diags Raw Data'!$A$6:$A$3766))),--('Diags Raw Data'!$Q$6:$Q$3766&lt;&gt;"N/A"),'Diags Raw Data'!$T$6:$T$3766)+SUMPRODUCT(--(ISNUMBER(SEARCH($A55,'Diags Raw Data'!$A$6:$A$3766))),--('Diags Raw Data'!$Q$6:$Q$3766&lt;&gt;"N/A"),'Diags Raw Data'!$U$6:$U$3766)</f>
        <v>2628</v>
      </c>
      <c r="O55" s="435">
        <f t="shared" si="4"/>
        <v>1</v>
      </c>
      <c r="P55" s="436">
        <f>SUMIF('Diags Raw Data'!$A$6:$A$3766,"*"&amp;$A55&amp;"*",'Diags Raw Data'!$Z$6:$Z$3766)</f>
        <v>2000</v>
      </c>
      <c r="Q55" s="437">
        <f>SUM(SUMIF('Diags Raw Data'!$A$6:$A$3766,"*"&amp;$A55&amp;"*",'Diags Raw Data'!$AA$6:$AA$3766),SUMIF('Diags Raw Data'!$A$6:$A$3766,"*"&amp;$A55&amp;"*",'Diags Raw Data'!$AB$6:$AB$3766))</f>
        <v>2000</v>
      </c>
      <c r="R55" s="438">
        <f t="shared" si="5"/>
        <v>2000</v>
      </c>
      <c r="S55" s="438">
        <f t="shared" si="6"/>
        <v>1</v>
      </c>
      <c r="T55" s="439">
        <f t="shared" si="7"/>
        <v>2000</v>
      </c>
      <c r="U55" s="414" t="s">
        <v>1015</v>
      </c>
      <c r="V55" s="181"/>
    </row>
    <row r="56" spans="1:22" ht="30.75" thickBot="1" x14ac:dyDescent="0.3">
      <c r="A56" s="321" t="s">
        <v>555</v>
      </c>
      <c r="B56" s="407" t="str">
        <f>VLOOKUP(A56,'Feature Raw Data'!$A$3:$B$3847,2,FALSE)</f>
        <v>WS.CDL.FP.Exerciser.2</v>
      </c>
      <c r="C56" s="408" t="str">
        <f>VLOOKUP(A56,'Feature Raw Data'!$A$3:$C$3929,3,FALSE)</f>
        <v>P1</v>
      </c>
      <c r="D56" s="409" t="s">
        <v>1020</v>
      </c>
      <c r="E56" s="410" t="str">
        <f>VLOOKUP(A56,'Diags Raw Data'!$A$6:$D$3768,4,FALSE)</f>
        <v>FP-03</v>
      </c>
      <c r="F56" s="410" t="str">
        <f>VLOOKUP(A56,'Feature Raw Data'!$A$3:$E$3847,5,FALSE)</f>
        <v>Delta</v>
      </c>
      <c r="G56" s="410" t="str">
        <f t="shared" si="10"/>
        <v>Yes</v>
      </c>
      <c r="H56" s="410" t="str">
        <f t="shared" si="11"/>
        <v>Yes</v>
      </c>
      <c r="I56" s="412">
        <f>SUMIF('Diags Raw Data'!$A$6:$A$3768,"*"&amp;$A56&amp;"*",'Diags Raw Data'!$K$6:$K$3768)</f>
        <v>1</v>
      </c>
      <c r="J56" s="413">
        <f>SUMIF('Diags Raw Data'!$A$6:$A$3768,"*"&amp;$A56&amp;"*",'Diags Raw Data'!$L$6:$L$3768)</f>
        <v>1</v>
      </c>
      <c r="K56" s="432" cm="1">
        <f t="array" ref="K56">IF(D56="",0, SUMPRODUCT(--(ISNUMBER(SEARCH($A56,'Diags Raw Data'!$A$6:$A$3766))),'Diags Raw Data'!$L$6:$L$3766,'Diags Raw Data'!$N$6:$N$3766)/J56)</f>
        <v>1</v>
      </c>
      <c r="L56" s="433" cm="1">
        <f t="array" ref="L56">IF(D56="",0, SUMPRODUCT(--(ISNUMBER(SEARCH($A56,'Diags Raw Data'!$A$6:$A$3766))),'Diags Raw Data'!$L$6:$L$3766,'Diags Raw Data'!$P$6:$P$3766)/J56)</f>
        <v>1</v>
      </c>
      <c r="M56" s="434" cm="1">
        <f t="array" ref="M56">SUMPRODUCT(--(ISNUMBER(SEARCH($A56,'Diags Raw Data'!$A$6:$A$3766))),--('Diags Raw Data'!$Q$6:$Q$3766&lt;&gt;"N/A"),'Diags Raw Data'!$T$6:$T$3766)+SUMPRODUCT(--(ISNUMBER(SEARCH($A56,'Diags Raw Data'!$A$6:$A$3766))),--('Diags Raw Data'!$Q$6:$Q$3766&lt;&gt;"N/A"),'Diags Raw Data'!$U$6:$U$3766)</f>
        <v>11</v>
      </c>
      <c r="N56" s="434" cm="1">
        <f t="array" ref="N56">SUMPRODUCT(--(ISNUMBER(SEARCH($A56,'Diags Raw Data'!$A$6:$A$3766))),--('Diags Raw Data'!$Q$6:$Q$3766&lt;&gt;"N/A"),'Diags Raw Data'!$T$6:$T$3766)+SUMPRODUCT(--(ISNUMBER(SEARCH($A56,'Diags Raw Data'!$A$6:$A$3766))),--('Diags Raw Data'!$Q$6:$Q$3766&lt;&gt;"N/A"),'Diags Raw Data'!$U$6:$U$3766)</f>
        <v>11</v>
      </c>
      <c r="O56" s="435">
        <f t="shared" si="4"/>
        <v>1</v>
      </c>
      <c r="P56" s="436">
        <f>SUMIF('Diags Raw Data'!$A$6:$A$3766,"*"&amp;$A56&amp;"*",'Diags Raw Data'!$Z$6:$Z$3766)</f>
        <v>11</v>
      </c>
      <c r="Q56" s="437">
        <f>SUM(SUMIF('Diags Raw Data'!$A$6:$A$3766,"*"&amp;$A56&amp;"*",'Diags Raw Data'!$AA$6:$AA$3766),SUMIF('Diags Raw Data'!$A$6:$A$3766,"*"&amp;$A56&amp;"*",'Diags Raw Data'!$AB$6:$AB$3766))</f>
        <v>11</v>
      </c>
      <c r="R56" s="438">
        <f t="shared" si="5"/>
        <v>11</v>
      </c>
      <c r="S56" s="438">
        <f t="shared" si="6"/>
        <v>1</v>
      </c>
      <c r="T56" s="439">
        <f t="shared" si="7"/>
        <v>11</v>
      </c>
      <c r="U56" s="414"/>
      <c r="V56" s="181"/>
    </row>
    <row r="57" spans="1:22" ht="45.75" thickBot="1" x14ac:dyDescent="0.3">
      <c r="A57" s="321" t="s">
        <v>559</v>
      </c>
      <c r="B57" s="407" t="str">
        <f>VLOOKUP(A57,'Feature Raw Data'!$A$3:$B$3847,2,FALSE)</f>
        <v>WS.CDL.FP.AVX256</v>
      </c>
      <c r="C57" s="408" t="str">
        <f>VLOOKUP(A57,'Feature Raw Data'!$A$3:$C$3929,3,FALSE)</f>
        <v>P3</v>
      </c>
      <c r="D57" s="409" t="str" cm="1">
        <f t="array" ref="D57">_xlfn.TEXTJOIN("",TRUE,IF(ISNUMBER(SEARCH($A57,'Diags Raw Data'!$A$6:$A$3768)),CONCATENATE('Diags Raw Data'!$H$6:$H$3768,", "),""))</f>
        <v xml:space="preserve">DE01_fp256.stf, </v>
      </c>
      <c r="E57" s="410" t="str">
        <f>VLOOKUP(A57,'Diags Raw Data'!$A$6:$D$3768,4,FALSE)</f>
        <v>FP-03</v>
      </c>
      <c r="F57" s="410" t="str">
        <f>VLOOKUP(A57,'Feature Raw Data'!$A$3:$E$3847,5,FALSE)</f>
        <v>Legacy</v>
      </c>
      <c r="G57" s="410" t="str">
        <f t="shared" si="10"/>
        <v>Yes</v>
      </c>
      <c r="H57" s="410" t="str">
        <f t="shared" si="11"/>
        <v>Yes</v>
      </c>
      <c r="I57" s="412">
        <f>SUMIF('Diags Raw Data'!$A$6:$A$3768,"*"&amp;$A57&amp;"*",'Diags Raw Data'!$K$6:$K$3768)</f>
        <v>1</v>
      </c>
      <c r="J57" s="413">
        <f>SUMIF('Diags Raw Data'!$A$6:$A$3768,"*"&amp;$A57&amp;"*",'Diags Raw Data'!$L$6:$L$3768)</f>
        <v>1</v>
      </c>
      <c r="K57" s="432" cm="1">
        <f t="array" ref="K57">IF(D57="",0, SUMPRODUCT(--(ISNUMBER(SEARCH($A57,'Diags Raw Data'!$A$6:$A$3766))),'Diags Raw Data'!$L$6:$L$3766,'Diags Raw Data'!$N$6:$N$3766)/J57)</f>
        <v>1</v>
      </c>
      <c r="L57" s="433" cm="1">
        <f t="array" ref="L57">IF(D57="",0, SUMPRODUCT(--(ISNUMBER(SEARCH($A57,'Diags Raw Data'!$A$6:$A$3766))),'Diags Raw Data'!$L$6:$L$3766,'Diags Raw Data'!$P$6:$P$3766)/J57)</f>
        <v>1</v>
      </c>
      <c r="M57" s="434" cm="1">
        <f t="array" ref="M57">SUMPRODUCT(--(ISNUMBER(SEARCH($A57,'Diags Raw Data'!$A$6:$A$3766))),--('Diags Raw Data'!$Q$6:$Q$3766&lt;&gt;"N/A"),'Diags Raw Data'!$T$6:$T$3766)+SUMPRODUCT(--(ISNUMBER(SEARCH($A57,'Diags Raw Data'!$A$6:$A$3766))),--('Diags Raw Data'!$Q$6:$Q$3766&lt;&gt;"N/A"),'Diags Raw Data'!$U$6:$U$3766)</f>
        <v>1</v>
      </c>
      <c r="N57" s="434" cm="1">
        <f t="array" ref="N57">SUMPRODUCT(--(ISNUMBER(SEARCH($A57,'Diags Raw Data'!$A$6:$A$3766))),--('Diags Raw Data'!$Q$6:$Q$3766&lt;&gt;"N/A"),'Diags Raw Data'!$T$6:$T$3766)+SUMPRODUCT(--(ISNUMBER(SEARCH($A57,'Diags Raw Data'!$A$6:$A$3766))),--('Diags Raw Data'!$Q$6:$Q$3766&lt;&gt;"N/A"),'Diags Raw Data'!$U$6:$U$3766)</f>
        <v>1</v>
      </c>
      <c r="O57" s="435">
        <f t="shared" ref="O57" si="16">IF((M57=0),0,N57/M57)</f>
        <v>1</v>
      </c>
      <c r="P57" s="436">
        <f>SUMIF('Diags Raw Data'!$A$6:$A$3766,"*"&amp;$A57&amp;"*",'Diags Raw Data'!$Z$6:$Z$3766)</f>
        <v>1</v>
      </c>
      <c r="Q57" s="437">
        <f>SUM(SUMIF('Diags Raw Data'!$A$6:$A$3766,"*"&amp;$A57&amp;"*",'Diags Raw Data'!$AA$6:$AA$3766),SUMIF('Diags Raw Data'!$A$6:$A$3766,"*"&amp;$A57&amp;"*",'Diags Raw Data'!$AB$6:$AB$3766))</f>
        <v>1</v>
      </c>
      <c r="R57" s="438">
        <f t="shared" ref="R57" si="17">IF((J57=0),0,P57/J57)</f>
        <v>1</v>
      </c>
      <c r="S57" s="438">
        <f t="shared" ref="S57" si="18">IF((P57=0),0,Q57/P57)</f>
        <v>1</v>
      </c>
      <c r="T57" s="439">
        <f t="shared" ref="T57" si="19">R57*S57</f>
        <v>1</v>
      </c>
      <c r="U57" s="414"/>
      <c r="V57" s="181"/>
    </row>
    <row r="58" spans="1:22" ht="45.75" thickBot="1" x14ac:dyDescent="0.3">
      <c r="A58" s="321" t="s">
        <v>563</v>
      </c>
      <c r="B58" s="407" t="str">
        <f>VLOOKUP(A58,'Feature Raw Data'!$A$3:$B$3847,2,FALSE)</f>
        <v>WS.CDL.FP.AVX512</v>
      </c>
      <c r="C58" s="408" t="str">
        <f>VLOOKUP(A58,'Feature Raw Data'!$A$3:$C$3929,3,FALSE)</f>
        <v>P1</v>
      </c>
      <c r="D58" s="409" t="str" cm="1">
        <f t="array" ref="D58">_xlfn.TEXTJOIN("",TRUE,IF(ISNUMBER(SEARCH($A58,'Diags Raw Data'!$A$6:$A$3768)),CONCATENATE('Diags Raw Data'!$H$6:$H$3768,", "),""))</f>
        <v xml:space="preserve">FPU_AVX512.stf, </v>
      </c>
      <c r="E58" s="410" t="str">
        <f>VLOOKUP(A58,'Diags Raw Data'!$A$6:$D$3768,4,FALSE)</f>
        <v>FP-03</v>
      </c>
      <c r="F58" s="410" t="str">
        <f>VLOOKUP(A58,'Feature Raw Data'!$A$3:$E$3847,5,FALSE)</f>
        <v>Legacy</v>
      </c>
      <c r="G58" s="410" t="str">
        <f t="shared" si="10"/>
        <v>Yes</v>
      </c>
      <c r="H58" s="410" t="str">
        <f t="shared" si="11"/>
        <v>Yes</v>
      </c>
      <c r="I58" s="412">
        <f>SUMIF('Diags Raw Data'!$A$6:$A$3768,"*"&amp;$A58&amp;"*",'Diags Raw Data'!$K$6:$K$3768)</f>
        <v>1</v>
      </c>
      <c r="J58" s="413">
        <f>SUMIF('Diags Raw Data'!$A$6:$A$3768,"*"&amp;$A58&amp;"*",'Diags Raw Data'!$L$6:$L$3768)</f>
        <v>1</v>
      </c>
      <c r="K58" s="432" cm="1">
        <f t="array" ref="K58">IF(D58="",0, SUMPRODUCT(--(ISNUMBER(SEARCH($A58,'Diags Raw Data'!$A$6:$A$3766))),'Diags Raw Data'!$L$6:$L$3766,'Diags Raw Data'!$N$6:$N$3766)/J58)</f>
        <v>1</v>
      </c>
      <c r="L58" s="433" cm="1">
        <f t="array" ref="L58">IF(D58="",0, SUMPRODUCT(--(ISNUMBER(SEARCH($A58,'Diags Raw Data'!$A$6:$A$3766))),'Diags Raw Data'!$L$6:$L$3766,'Diags Raw Data'!$P$6:$P$3766)/J58)</f>
        <v>1</v>
      </c>
      <c r="M58" s="434" cm="1">
        <f t="array" ref="M58">SUMPRODUCT(--(ISNUMBER(SEARCH($A58,'Diags Raw Data'!$A$6:$A$3766))),--('Diags Raw Data'!$Q$6:$Q$3766&lt;&gt;"N/A"),'Diags Raw Data'!$T$6:$T$3766)+SUMPRODUCT(--(ISNUMBER(SEARCH($A58,'Diags Raw Data'!$A$6:$A$3766))),--('Diags Raw Data'!$Q$6:$Q$3766&lt;&gt;"N/A"),'Diags Raw Data'!$U$6:$U$3766)</f>
        <v>0</v>
      </c>
      <c r="N58" s="434" cm="1">
        <f t="array" ref="N58">SUMPRODUCT(--(ISNUMBER(SEARCH($A58,'Diags Raw Data'!$A$6:$A$3766))),--('Diags Raw Data'!$Q$6:$Q$3766&lt;&gt;"N/A"),'Diags Raw Data'!$T$6:$T$3766)+SUMPRODUCT(--(ISNUMBER(SEARCH($A58,'Diags Raw Data'!$A$6:$A$3766))),--('Diags Raw Data'!$Q$6:$Q$3766&lt;&gt;"N/A"),'Diags Raw Data'!$U$6:$U$3766)</f>
        <v>0</v>
      </c>
      <c r="O58" s="435">
        <f t="shared" ref="O58" si="20">IF((M58=0),0,N58/M58)</f>
        <v>0</v>
      </c>
      <c r="P58" s="436">
        <f>SUMIF('Diags Raw Data'!$A$6:$A$3766,"*"&amp;$A58&amp;"*",'Diags Raw Data'!$Z$6:$Z$3766)</f>
        <v>2</v>
      </c>
      <c r="Q58" s="437">
        <f>SUM(SUMIF('Diags Raw Data'!$A$6:$A$3766,"*"&amp;$A58&amp;"*",'Diags Raw Data'!$AA$6:$AA$3766),SUMIF('Diags Raw Data'!$A$6:$A$3766,"*"&amp;$A58&amp;"*",'Diags Raw Data'!$AB$6:$AB$3766))</f>
        <v>2</v>
      </c>
      <c r="R58" s="438">
        <f t="shared" ref="R58" si="21">IF((J58=0),0,P58/J58)</f>
        <v>2</v>
      </c>
      <c r="S58" s="438">
        <f t="shared" ref="S58" si="22">IF((P58=0),0,Q58/P58)</f>
        <v>1</v>
      </c>
      <c r="T58" s="439">
        <f t="shared" ref="T58" si="23">R58*S58</f>
        <v>2</v>
      </c>
      <c r="U58" s="414"/>
      <c r="V58" s="181"/>
    </row>
    <row r="59" spans="1:22" ht="75.75" thickBot="1" x14ac:dyDescent="0.3">
      <c r="A59" s="321" t="s">
        <v>567</v>
      </c>
      <c r="B59" s="407" t="str">
        <f>VLOOKUP(A59,'Feature Raw Data'!$A$3:$B$3847,2,FALSE)</f>
        <v>WS.Storm.BP.Exerciser.1</v>
      </c>
      <c r="C59" s="408" t="str">
        <f>VLOOKUP(A59,'Feature Raw Data'!$A$3:$C$3929,3,FALSE)</f>
        <v>P4</v>
      </c>
      <c r="D59" s="409" t="str" cm="1">
        <f t="array" ref="D59">_xlfn.TEXTJOIN("",TRUE,IF(ISNUMBER(SEARCH($A59,'Diags Raw Data'!$A$6:$A$3768)),CONCATENATE('Diags Raw Data'!$H$6:$H$3768,", "),""))</f>
        <v xml:space="preserve">st283_gnb0_gna0_vmr_compat_bp_exerciser_bumped_visits.yml, </v>
      </c>
      <c r="E59" s="410" t="str">
        <f>VLOOKUP(A59,'Diags Raw Data'!$A$6:$D$3768,4,FALSE)</f>
        <v>BP-04</v>
      </c>
      <c r="F59" s="410" t="str">
        <f>VLOOKUP(A59,'Feature Raw Data'!$A$3:$E$3847,5,FALSE)</f>
        <v>Legacy</v>
      </c>
      <c r="G59" s="410" t="str">
        <f t="shared" si="10"/>
        <v>Yes</v>
      </c>
      <c r="H59" s="410" t="str">
        <f t="shared" si="11"/>
        <v>Yes</v>
      </c>
      <c r="I59" s="412">
        <f>SUMIF('Diags Raw Data'!$A$6:$A$3768,"*"&amp;$A59&amp;"*",'Diags Raw Data'!$K$6:$K$3768)</f>
        <v>1</v>
      </c>
      <c r="J59" s="413">
        <f>SUMIF('Diags Raw Data'!$A$6:$A$3768,"*"&amp;$A59&amp;"*",'Diags Raw Data'!$L$6:$L$3768)</f>
        <v>1</v>
      </c>
      <c r="K59" s="432" cm="1">
        <f t="array" ref="K59">IF(D59="",0, SUMPRODUCT(--(ISNUMBER(SEARCH($A59,'Diags Raw Data'!$A$6:$A$3766))),'Diags Raw Data'!$L$6:$L$3766,'Diags Raw Data'!$N$6:$N$3766)/J59)</f>
        <v>1</v>
      </c>
      <c r="L59" s="433" cm="1">
        <f t="array" ref="L59">IF(D59="",0, SUMPRODUCT(--(ISNUMBER(SEARCH($A59,'Diags Raw Data'!$A$6:$A$3766))),'Diags Raw Data'!$L$6:$L$3766,'Diags Raw Data'!$P$6:$P$3766)/J59)</f>
        <v>1</v>
      </c>
      <c r="M59" s="434" cm="1">
        <f t="array" ref="M59">SUMPRODUCT(--(ISNUMBER(SEARCH($A59,'Diags Raw Data'!$A$6:$A$3766))),--('Diags Raw Data'!$Q$6:$Q$3766&lt;&gt;"N/A"),'Diags Raw Data'!$T$6:$T$3766)+SUMPRODUCT(--(ISNUMBER(SEARCH($A59,'Diags Raw Data'!$A$6:$A$3766))),--('Diags Raw Data'!$Q$6:$Q$3766&lt;&gt;"N/A"),'Diags Raw Data'!$U$6:$U$3766)</f>
        <v>0</v>
      </c>
      <c r="N59" s="434" cm="1">
        <f t="array" ref="N59">SUMPRODUCT(--(ISNUMBER(SEARCH($A59,'Diags Raw Data'!$A$6:$A$3766))),--('Diags Raw Data'!$Q$6:$Q$3766&lt;&gt;"N/A"),'Diags Raw Data'!$T$6:$T$3766)+SUMPRODUCT(--(ISNUMBER(SEARCH($A59,'Diags Raw Data'!$A$6:$A$3766))),--('Diags Raw Data'!$Q$6:$Q$3766&lt;&gt;"N/A"),'Diags Raw Data'!$U$6:$U$3766)</f>
        <v>0</v>
      </c>
      <c r="O59" s="435">
        <f t="shared" si="4"/>
        <v>0</v>
      </c>
      <c r="P59" s="436">
        <f>SUMIF('Diags Raw Data'!$A$6:$A$3766,"*"&amp;$A59&amp;"*",'Diags Raw Data'!$Z$6:$Z$3766)</f>
        <v>2000</v>
      </c>
      <c r="Q59" s="437">
        <f>SUM(SUMIF('Diags Raw Data'!$A$6:$A$3766,"*"&amp;$A59&amp;"*",'Diags Raw Data'!$AA$6:$AA$3766),SUMIF('Diags Raw Data'!$A$6:$A$3766,"*"&amp;$A59&amp;"*",'Diags Raw Data'!$AB$6:$AB$3766))</f>
        <v>2000</v>
      </c>
      <c r="R59" s="438">
        <f t="shared" si="5"/>
        <v>2000</v>
      </c>
      <c r="S59" s="438">
        <f t="shared" si="6"/>
        <v>1</v>
      </c>
      <c r="T59" s="439">
        <f t="shared" si="7"/>
        <v>2000</v>
      </c>
      <c r="U59" s="414" t="s">
        <v>1015</v>
      </c>
      <c r="V59" s="181"/>
    </row>
    <row r="60" spans="1:22" ht="75.75" thickBot="1" x14ac:dyDescent="0.3">
      <c r="A60" s="321" t="s">
        <v>574</v>
      </c>
      <c r="B60" s="407" t="str">
        <f>VLOOKUP(A60,'Feature Raw Data'!$A$3:$B$3847,2,FALSE)</f>
        <v>WS.Storm.BP.Exerciser.2</v>
      </c>
      <c r="C60" s="408" t="str">
        <f>VLOOKUP(A60,'Feature Raw Data'!$A$3:$C$3929,3,FALSE)</f>
        <v>P4</v>
      </c>
      <c r="D60" s="409" t="str" cm="1">
        <f t="array" ref="D60">_xlfn.TEXTJOIN("",TRUE,IF(ISNUMBER(SEARCH($A60,'Diags Raw Data'!$A$6:$A$3768)),CONCATENATE('Diags Raw Data'!$H$6:$H$3768,", "),""))</f>
        <v xml:space="preserve">st279_gnb0_gna0_vmr_compat_twister_bumped_visits.yml, </v>
      </c>
      <c r="E60" s="410" t="str">
        <f>VLOOKUP(A60,'Diags Raw Data'!$A$6:$D$3768,4,FALSE)</f>
        <v>BP-04</v>
      </c>
      <c r="F60" s="410" t="str">
        <f>VLOOKUP(A60,'Feature Raw Data'!$A$3:$E$3847,5,FALSE)</f>
        <v>Legacy</v>
      </c>
      <c r="G60" s="410" t="str">
        <f t="shared" si="10"/>
        <v>Yes</v>
      </c>
      <c r="H60" s="410" t="str">
        <f t="shared" si="11"/>
        <v>Yes</v>
      </c>
      <c r="I60" s="412">
        <f>SUMIF('Diags Raw Data'!$A$6:$A$3768,"*"&amp;$A60&amp;"*",'Diags Raw Data'!$K$6:$K$3768)</f>
        <v>1</v>
      </c>
      <c r="J60" s="413">
        <f>SUMIF('Diags Raw Data'!$A$6:$A$3768,"*"&amp;$A60&amp;"*",'Diags Raw Data'!$L$6:$L$3768)</f>
        <v>1</v>
      </c>
      <c r="K60" s="432" cm="1">
        <f t="array" ref="K60">IF(D60="",0, SUMPRODUCT(--(ISNUMBER(SEARCH($A60,'Diags Raw Data'!$A$6:$A$3766))),'Diags Raw Data'!$L$6:$L$3766,'Diags Raw Data'!$N$6:$N$3766)/J60)</f>
        <v>1</v>
      </c>
      <c r="L60" s="433" cm="1">
        <f t="array" ref="L60">IF(D60="",0, SUMPRODUCT(--(ISNUMBER(SEARCH($A60,'Diags Raw Data'!$A$6:$A$3766))),'Diags Raw Data'!$L$6:$L$3766,'Diags Raw Data'!$P$6:$P$3766)/J60)</f>
        <v>1</v>
      </c>
      <c r="M60" s="434" cm="1">
        <f t="array" ref="M60">SUMPRODUCT(--(ISNUMBER(SEARCH($A60,'Diags Raw Data'!$A$6:$A$3766))),--('Diags Raw Data'!$Q$6:$Q$3766&lt;&gt;"N/A"),'Diags Raw Data'!$T$6:$T$3766)+SUMPRODUCT(--(ISNUMBER(SEARCH($A60,'Diags Raw Data'!$A$6:$A$3766))),--('Diags Raw Data'!$Q$6:$Q$3766&lt;&gt;"N/A"),'Diags Raw Data'!$U$6:$U$3766)</f>
        <v>1712</v>
      </c>
      <c r="N60" s="434" cm="1">
        <f t="array" ref="N60">SUMPRODUCT(--(ISNUMBER(SEARCH($A60,'Diags Raw Data'!$A$6:$A$3766))),--('Diags Raw Data'!$Q$6:$Q$3766&lt;&gt;"N/A"),'Diags Raw Data'!$T$6:$T$3766)+SUMPRODUCT(--(ISNUMBER(SEARCH($A60,'Diags Raw Data'!$A$6:$A$3766))),--('Diags Raw Data'!$Q$6:$Q$3766&lt;&gt;"N/A"),'Diags Raw Data'!$U$6:$U$3766)</f>
        <v>1712</v>
      </c>
      <c r="O60" s="435">
        <f t="shared" si="4"/>
        <v>1</v>
      </c>
      <c r="P60" s="436">
        <f>SUMIF('Diags Raw Data'!$A$6:$A$3766,"*"&amp;$A60&amp;"*",'Diags Raw Data'!$Z$6:$Z$3766)</f>
        <v>2000</v>
      </c>
      <c r="Q60" s="437">
        <f>SUM(SUMIF('Diags Raw Data'!$A$6:$A$3766,"*"&amp;$A60&amp;"*",'Diags Raw Data'!$AA$6:$AA$3766),SUMIF('Diags Raw Data'!$A$6:$A$3766,"*"&amp;$A60&amp;"*",'Diags Raw Data'!$AB$6:$AB$3766))</f>
        <v>2000</v>
      </c>
      <c r="R60" s="438">
        <f t="shared" si="5"/>
        <v>2000</v>
      </c>
      <c r="S60" s="438">
        <f t="shared" si="6"/>
        <v>1</v>
      </c>
      <c r="T60" s="439">
        <f t="shared" si="7"/>
        <v>2000</v>
      </c>
      <c r="U60" s="414" t="s">
        <v>1015</v>
      </c>
      <c r="V60" s="181"/>
    </row>
    <row r="61" spans="1:22" ht="75.75" thickBot="1" x14ac:dyDescent="0.3">
      <c r="A61" s="321" t="s">
        <v>576</v>
      </c>
      <c r="B61" s="407" t="str">
        <f>VLOOKUP(A61,'Feature Raw Data'!$A$3:$B$3847,2,FALSE)</f>
        <v>WS.Storm.BP.Exerciser.3</v>
      </c>
      <c r="C61" s="408" t="str">
        <f>VLOOKUP(A61,'Feature Raw Data'!$A$3:$C$3929,3,FALSE)</f>
        <v>P4</v>
      </c>
      <c r="D61" s="409" t="str" cm="1">
        <f t="array" ref="D61">_xlfn.TEXTJOIN("",TRUE,IF(ISNUMBER(SEARCH($A61,'Diags Raw Data'!$A$6:$A$3768)),CONCATENATE('Diags Raw Data'!$H$6:$H$3768,", "),""))</f>
        <v xml:space="preserve">st279_gnb0_gna0_vmr_compat_twister_bumped_visits_in_guest_mode.yml, </v>
      </c>
      <c r="E61" s="410" t="str">
        <f>VLOOKUP(A61,'Diags Raw Data'!$A$6:$D$3768,4,FALSE)</f>
        <v>BP-04</v>
      </c>
      <c r="F61" s="410" t="str">
        <f>VLOOKUP(A61,'Feature Raw Data'!$A$3:$E$3847,5,FALSE)</f>
        <v>Legacy</v>
      </c>
      <c r="G61" s="410" t="str">
        <f t="shared" si="10"/>
        <v>Yes</v>
      </c>
      <c r="H61" s="410" t="str">
        <f t="shared" si="11"/>
        <v>Yes</v>
      </c>
      <c r="I61" s="412">
        <f>SUMIF('Diags Raw Data'!$A$6:$A$3768,"*"&amp;$A61&amp;"*",'Diags Raw Data'!$K$6:$K$3768)</f>
        <v>1</v>
      </c>
      <c r="J61" s="413">
        <f>SUMIF('Diags Raw Data'!$A$6:$A$3768,"*"&amp;$A61&amp;"*",'Diags Raw Data'!$L$6:$L$3768)</f>
        <v>1</v>
      </c>
      <c r="K61" s="432" cm="1">
        <f t="array" ref="K61">IF(D61="",0, SUMPRODUCT(--(ISNUMBER(SEARCH($A61,'Diags Raw Data'!$A$6:$A$3766))),'Diags Raw Data'!$L$6:$L$3766,'Diags Raw Data'!$N$6:$N$3766)/J61)</f>
        <v>1</v>
      </c>
      <c r="L61" s="433" cm="1">
        <f t="array" ref="L61">IF(D61="",0, SUMPRODUCT(--(ISNUMBER(SEARCH($A61,'Diags Raw Data'!$A$6:$A$3766))),'Diags Raw Data'!$L$6:$L$3766,'Diags Raw Data'!$P$6:$P$3766)/J61)</f>
        <v>1</v>
      </c>
      <c r="M61" s="434" cm="1">
        <f t="array" ref="M61">SUMPRODUCT(--(ISNUMBER(SEARCH($A61,'Diags Raw Data'!$A$6:$A$3766))),--('Diags Raw Data'!$Q$6:$Q$3766&lt;&gt;"N/A"),'Diags Raw Data'!$T$6:$T$3766)+SUMPRODUCT(--(ISNUMBER(SEARCH($A61,'Diags Raw Data'!$A$6:$A$3766))),--('Diags Raw Data'!$Q$6:$Q$3766&lt;&gt;"N/A"),'Diags Raw Data'!$U$6:$U$3766)</f>
        <v>500</v>
      </c>
      <c r="N61" s="434" cm="1">
        <f t="array" ref="N61">SUMPRODUCT(--(ISNUMBER(SEARCH($A61,'Diags Raw Data'!$A$6:$A$3766))),--('Diags Raw Data'!$Q$6:$Q$3766&lt;&gt;"N/A"),'Diags Raw Data'!$T$6:$T$3766)+SUMPRODUCT(--(ISNUMBER(SEARCH($A61,'Diags Raw Data'!$A$6:$A$3766))),--('Diags Raw Data'!$Q$6:$Q$3766&lt;&gt;"N/A"),'Diags Raw Data'!$U$6:$U$3766)</f>
        <v>500</v>
      </c>
      <c r="O61" s="435">
        <f t="shared" si="4"/>
        <v>1</v>
      </c>
      <c r="P61" s="436">
        <f>SUMIF('Diags Raw Data'!$A$6:$A$3766,"*"&amp;$A61&amp;"*",'Diags Raw Data'!$Z$6:$Z$3766)</f>
        <v>1000</v>
      </c>
      <c r="Q61" s="437">
        <f>SUM(SUMIF('Diags Raw Data'!$A$6:$A$3766,"*"&amp;$A61&amp;"*",'Diags Raw Data'!$AA$6:$AA$3766),SUMIF('Diags Raw Data'!$A$6:$A$3766,"*"&amp;$A61&amp;"*",'Diags Raw Data'!$AB$6:$AB$3766))</f>
        <v>1000</v>
      </c>
      <c r="R61" s="438">
        <f t="shared" si="5"/>
        <v>1000</v>
      </c>
      <c r="S61" s="438">
        <f t="shared" si="6"/>
        <v>1</v>
      </c>
      <c r="T61" s="439">
        <f t="shared" si="7"/>
        <v>1000</v>
      </c>
      <c r="U61" s="414" t="s">
        <v>1015</v>
      </c>
      <c r="V61" s="181"/>
    </row>
    <row r="62" spans="1:22" ht="61.5" customHeight="1" thickBot="1" x14ac:dyDescent="0.3">
      <c r="A62" s="321" t="s">
        <v>578</v>
      </c>
      <c r="B62" s="407" t="str">
        <f>VLOOKUP(A62,'Feature Raw Data'!$A$3:$B$3847,2,FALSE)</f>
        <v>WS.CDL.BP.Exerciser.4</v>
      </c>
      <c r="C62" s="408" t="str">
        <f>VLOOKUP(A62,'Feature Raw Data'!$A$3:$C$3929,3,FALSE)</f>
        <v>P1</v>
      </c>
      <c r="D62" s="409" t="s">
        <v>1021</v>
      </c>
      <c r="E62" s="410" t="str">
        <f>VLOOKUP(A62,'Diags Raw Data'!$A$6:$D$3768,4,FALSE)</f>
        <v>BP-04</v>
      </c>
      <c r="F62" s="410" t="str">
        <f>VLOOKUP(A62,'Feature Raw Data'!$A$3:$E$3847,5,FALSE)</f>
        <v>Delta</v>
      </c>
      <c r="G62" s="410" t="str">
        <f t="shared" si="10"/>
        <v>Yes</v>
      </c>
      <c r="H62" s="410" t="str">
        <f t="shared" si="11"/>
        <v>Yes</v>
      </c>
      <c r="I62" s="412">
        <f>SUMIF('Diags Raw Data'!$A$6:$A$3768,"*"&amp;$A62&amp;"*",'Diags Raw Data'!$K$6:$K$3768)</f>
        <v>1</v>
      </c>
      <c r="J62" s="413">
        <f>SUMIF('Diags Raw Data'!$A$6:$A$3768,"*"&amp;$A62&amp;"*",'Diags Raw Data'!$L$6:$L$3768)</f>
        <v>1</v>
      </c>
      <c r="K62" s="432" cm="1">
        <f t="array" ref="K62">IF(D62="",0, SUMPRODUCT(--(ISNUMBER(SEARCH($A62,'Diags Raw Data'!$A$6:$A$3766))),'Diags Raw Data'!$L$6:$L$3766,'Diags Raw Data'!$N$6:$N$3766)/J62)</f>
        <v>1</v>
      </c>
      <c r="L62" s="433" cm="1">
        <f t="array" ref="L62">IF(D62="",0, SUMPRODUCT(--(ISNUMBER(SEARCH($A62,'Diags Raw Data'!$A$6:$A$3766))),'Diags Raw Data'!$L$6:$L$3766,'Diags Raw Data'!$P$6:$P$3766)/J62)</f>
        <v>1</v>
      </c>
      <c r="M62" s="434" cm="1">
        <f t="array" ref="M62">SUMPRODUCT(--(ISNUMBER(SEARCH($A62,'Diags Raw Data'!$A$6:$A$3766))),--('Diags Raw Data'!$Q$6:$Q$3766&lt;&gt;"N/A"),'Diags Raw Data'!$T$6:$T$3766)+SUMPRODUCT(--(ISNUMBER(SEARCH($A62,'Diags Raw Data'!$A$6:$A$3766))),--('Diags Raw Data'!$Q$6:$Q$3766&lt;&gt;"N/A"),'Diags Raw Data'!$U$6:$U$3766)</f>
        <v>7</v>
      </c>
      <c r="N62" s="434" cm="1">
        <f t="array" ref="N62">SUMPRODUCT(--(ISNUMBER(SEARCH($A62,'Diags Raw Data'!$A$6:$A$3766))),--('Diags Raw Data'!$Q$6:$Q$3766&lt;&gt;"N/A"),'Diags Raw Data'!$T$6:$T$3766)+SUMPRODUCT(--(ISNUMBER(SEARCH($A62,'Diags Raw Data'!$A$6:$A$3766))),--('Diags Raw Data'!$Q$6:$Q$3766&lt;&gt;"N/A"),'Diags Raw Data'!$U$6:$U$3766)</f>
        <v>7</v>
      </c>
      <c r="O62" s="435">
        <f t="shared" si="4"/>
        <v>1</v>
      </c>
      <c r="P62" s="436">
        <f>SUMIF('Diags Raw Data'!$A$6:$A$3766,"*"&amp;$A62&amp;"*",'Diags Raw Data'!$Z$6:$Z$3766)</f>
        <v>7</v>
      </c>
      <c r="Q62" s="437">
        <f>SUM(SUMIF('Diags Raw Data'!$A$6:$A$3766,"*"&amp;$A62&amp;"*",'Diags Raw Data'!$AA$6:$AA$3766),SUMIF('Diags Raw Data'!$A$6:$A$3766,"*"&amp;$A62&amp;"*",'Diags Raw Data'!$AB$6:$AB$3766))</f>
        <v>7</v>
      </c>
      <c r="R62" s="438">
        <f t="shared" si="5"/>
        <v>7</v>
      </c>
      <c r="S62" s="438">
        <f t="shared" si="6"/>
        <v>1</v>
      </c>
      <c r="T62" s="439">
        <f t="shared" si="7"/>
        <v>7</v>
      </c>
      <c r="U62" s="414"/>
      <c r="V62" s="181"/>
    </row>
    <row r="63" spans="1:22" ht="75.75" thickBot="1" x14ac:dyDescent="0.3">
      <c r="A63" s="321" t="s">
        <v>582</v>
      </c>
      <c r="B63" s="407" t="str">
        <f>VLOOKUP(A63,'Feature Raw Data'!$A$3:$B$3847,2,FALSE)</f>
        <v>WS.CDL.IC.Exerciser.1</v>
      </c>
      <c r="C63" s="408" t="str">
        <f>VLOOKUP(A63,'Feature Raw Data'!$A$3:$C$3929,3,FALSE)</f>
        <v>P3</v>
      </c>
      <c r="D63" s="409" t="str" cm="1">
        <f t="array" ref="D63">_xlfn.TEXTJOIN("",TRUE,IF(ISNUMBER(SEARCH($A63,'Diags Raw Data'!$A$6:$A$3768)),CONCATENATE('Diags Raw Data'!$H$6:$H$3768,", "),""))</f>
        <v xml:space="preserve">IC01_Branch_predictor_Stress.stf 
IC02_Branch_predictor_Stress_1.stf
Ic32k_Branch_Predictor_Stress.stf, Local_APIC_Fixed_Interrupts.stf, </v>
      </c>
      <c r="E63" s="410" t="str">
        <f>VLOOKUP(A63,'Diags Raw Data'!$A$6:$D$3768,4,FALSE)</f>
        <v>IC-04</v>
      </c>
      <c r="F63" s="410" t="str">
        <f>VLOOKUP(A63,'Feature Raw Data'!$A$3:$E$3847,5,FALSE)</f>
        <v>Delta</v>
      </c>
      <c r="G63" s="410" t="str">
        <f t="shared" si="10"/>
        <v>Yes</v>
      </c>
      <c r="H63" s="410" t="str">
        <f t="shared" si="11"/>
        <v>Yes</v>
      </c>
      <c r="I63" s="412">
        <f>SUMIF('Diags Raw Data'!$A$6:$A$3768,"*"&amp;$A63&amp;"*",'Diags Raw Data'!$K$6:$K$3768)</f>
        <v>2</v>
      </c>
      <c r="J63" s="413">
        <f>SUMIF('Diags Raw Data'!$A$6:$A$3768,"*"&amp;$A63&amp;"*",'Diags Raw Data'!$L$6:$L$3768)</f>
        <v>2</v>
      </c>
      <c r="K63" s="432" cm="1">
        <f t="array" ref="K63">IF(D63="",0, SUMPRODUCT(--(ISNUMBER(SEARCH($A63,'Diags Raw Data'!$A$6:$A$3766))),'Diags Raw Data'!$L$6:$L$3766,'Diags Raw Data'!$N$6:$N$3766)/J63)</f>
        <v>1</v>
      </c>
      <c r="L63" s="433" cm="1">
        <f t="array" ref="L63">IF(D63="",0, SUMPRODUCT(--(ISNUMBER(SEARCH($A63,'Diags Raw Data'!$A$6:$A$3766))),'Diags Raw Data'!$L$6:$L$3766,'Diags Raw Data'!$P$6:$P$3766)/J63)</f>
        <v>1</v>
      </c>
      <c r="M63" s="434" cm="1">
        <f t="array" ref="M63">SUMPRODUCT(--(ISNUMBER(SEARCH($A63,'Diags Raw Data'!$A$6:$A$3766))),--('Diags Raw Data'!$Q$6:$Q$3766&lt;&gt;"N/A"),'Diags Raw Data'!$T$6:$T$3766)+SUMPRODUCT(--(ISNUMBER(SEARCH($A63,'Diags Raw Data'!$A$6:$A$3766))),--('Diags Raw Data'!$Q$6:$Q$3766&lt;&gt;"N/A"),'Diags Raw Data'!$U$6:$U$3766)</f>
        <v>3</v>
      </c>
      <c r="N63" s="434" cm="1">
        <f t="array" ref="N63">SUMPRODUCT(--(ISNUMBER(SEARCH($A63,'Diags Raw Data'!$A$6:$A$3766))),--('Diags Raw Data'!$Q$6:$Q$3766&lt;&gt;"N/A"),'Diags Raw Data'!$T$6:$T$3766)+SUMPRODUCT(--(ISNUMBER(SEARCH($A63,'Diags Raw Data'!$A$6:$A$3766))),--('Diags Raw Data'!$Q$6:$Q$3766&lt;&gt;"N/A"),'Diags Raw Data'!$U$6:$U$3766)</f>
        <v>3</v>
      </c>
      <c r="O63" s="435">
        <f t="shared" si="4"/>
        <v>1</v>
      </c>
      <c r="P63" s="436">
        <f>SUMIF('Diags Raw Data'!$A$6:$A$3766,"*"&amp;$A63&amp;"*",'Diags Raw Data'!$Z$6:$Z$3766)</f>
        <v>4</v>
      </c>
      <c r="Q63" s="437">
        <f>SUM(SUMIF('Diags Raw Data'!$A$6:$A$3766,"*"&amp;$A63&amp;"*",'Diags Raw Data'!$AA$6:$AA$3766),SUMIF('Diags Raw Data'!$A$6:$A$3766,"*"&amp;$A63&amp;"*",'Diags Raw Data'!$AB$6:$AB$3766))</f>
        <v>4</v>
      </c>
      <c r="R63" s="438">
        <f t="shared" si="5"/>
        <v>2</v>
      </c>
      <c r="S63" s="438">
        <f t="shared" si="6"/>
        <v>1</v>
      </c>
      <c r="T63" s="439">
        <f t="shared" si="7"/>
        <v>2</v>
      </c>
      <c r="U63" s="414" t="s">
        <v>1015</v>
      </c>
      <c r="V63" s="181"/>
    </row>
    <row r="64" spans="1:22" ht="75.75" thickBot="1" x14ac:dyDescent="0.3">
      <c r="A64" s="321" t="s">
        <v>588</v>
      </c>
      <c r="B64" s="407" t="str">
        <f>VLOOKUP(A64,'Feature Raw Data'!$A$3:$B$3847,2,FALSE)</f>
        <v>WS.Storm.IC.Exerciser.2</v>
      </c>
      <c r="C64" s="408" t="str">
        <f>VLOOKUP(A64,'Feature Raw Data'!$A$3:$C$3929,3,FALSE)</f>
        <v>P4</v>
      </c>
      <c r="D64" s="409" t="str" cm="1">
        <f t="array" ref="D64">_xlfn.TEXTJOIN("",TRUE,IF(ISNUMBER(SEARCH($A64,'Diags Raw Data'!$A$6:$A$3768)),CONCATENATE('Diags Raw Data'!$H$6:$H$3768,", "),""))</f>
        <v xml:space="preserve">st283_gnb0_gna0_vmr_compat_instruction_cache_bumped_visits.yml, Local_APIC_Lowest_Priority_Interrupts.stf, </v>
      </c>
      <c r="E64" s="410" t="str">
        <f>VLOOKUP(A64,'Diags Raw Data'!$A$6:$D$3768,4,FALSE)</f>
        <v>IC-04</v>
      </c>
      <c r="F64" s="410" t="str">
        <f>VLOOKUP(A64,'Feature Raw Data'!$A$3:$E$3847,5,FALSE)</f>
        <v>Legacy</v>
      </c>
      <c r="G64" s="410" t="str">
        <f t="shared" si="10"/>
        <v>Yes</v>
      </c>
      <c r="H64" s="410" t="str">
        <f t="shared" si="11"/>
        <v>Yes</v>
      </c>
      <c r="I64" s="412">
        <f>SUMIF('Diags Raw Data'!$A$6:$A$3768,"*"&amp;$A64&amp;"*",'Diags Raw Data'!$K$6:$K$3768)</f>
        <v>2</v>
      </c>
      <c r="J64" s="413">
        <f>SUMIF('Diags Raw Data'!$A$6:$A$3768,"*"&amp;$A64&amp;"*",'Diags Raw Data'!$L$6:$L$3768)</f>
        <v>2</v>
      </c>
      <c r="K64" s="432" cm="1">
        <f t="array" ref="K64">IF(D64="",0, SUMPRODUCT(--(ISNUMBER(SEARCH($A64,'Diags Raw Data'!$A$6:$A$3766))),'Diags Raw Data'!$L$6:$L$3766,'Diags Raw Data'!$N$6:$N$3766)/J64)</f>
        <v>1</v>
      </c>
      <c r="L64" s="433" cm="1">
        <f t="array" ref="L64">IF(D64="",0, SUMPRODUCT(--(ISNUMBER(SEARCH($A64,'Diags Raw Data'!$A$6:$A$3766))),'Diags Raw Data'!$L$6:$L$3766,'Diags Raw Data'!$P$6:$P$3766)/J64)</f>
        <v>1</v>
      </c>
      <c r="M64" s="434" cm="1">
        <f t="array" ref="M64">SUMPRODUCT(--(ISNUMBER(SEARCH($A64,'Diags Raw Data'!$A$6:$A$3766))),--('Diags Raw Data'!$Q$6:$Q$3766&lt;&gt;"N/A"),'Diags Raw Data'!$T$6:$T$3766)+SUMPRODUCT(--(ISNUMBER(SEARCH($A64,'Diags Raw Data'!$A$6:$A$3766))),--('Diags Raw Data'!$Q$6:$Q$3766&lt;&gt;"N/A"),'Diags Raw Data'!$U$6:$U$3766)</f>
        <v>500</v>
      </c>
      <c r="N64" s="434" cm="1">
        <f t="array" ref="N64">SUMPRODUCT(--(ISNUMBER(SEARCH($A64,'Diags Raw Data'!$A$6:$A$3766))),--('Diags Raw Data'!$Q$6:$Q$3766&lt;&gt;"N/A"),'Diags Raw Data'!$T$6:$T$3766)+SUMPRODUCT(--(ISNUMBER(SEARCH($A64,'Diags Raw Data'!$A$6:$A$3766))),--('Diags Raw Data'!$Q$6:$Q$3766&lt;&gt;"N/A"),'Diags Raw Data'!$U$6:$U$3766)</f>
        <v>500</v>
      </c>
      <c r="O64" s="435">
        <f t="shared" si="4"/>
        <v>1</v>
      </c>
      <c r="P64" s="436">
        <f>SUMIF('Diags Raw Data'!$A$6:$A$3766,"*"&amp;$A64&amp;"*",'Diags Raw Data'!$Z$6:$Z$3766)</f>
        <v>2000</v>
      </c>
      <c r="Q64" s="437">
        <f>SUM(SUMIF('Diags Raw Data'!$A$6:$A$3766,"*"&amp;$A64&amp;"*",'Diags Raw Data'!$AA$6:$AA$3766),SUMIF('Diags Raw Data'!$A$6:$A$3766,"*"&amp;$A64&amp;"*",'Diags Raw Data'!$AB$6:$AB$3766))</f>
        <v>2000</v>
      </c>
      <c r="R64" s="438">
        <f t="shared" si="5"/>
        <v>1000</v>
      </c>
      <c r="S64" s="438">
        <f t="shared" si="6"/>
        <v>1</v>
      </c>
      <c r="T64" s="439">
        <f t="shared" si="7"/>
        <v>1000</v>
      </c>
      <c r="U64" s="414" t="s">
        <v>1015</v>
      </c>
      <c r="V64" s="181"/>
    </row>
    <row r="65" spans="1:22" ht="75.75" thickBot="1" x14ac:dyDescent="0.3">
      <c r="A65" s="321" t="s">
        <v>591</v>
      </c>
      <c r="B65" s="407" t="str">
        <f>VLOOKUP(A65,'Feature Raw Data'!$A$3:$B$3847,2,FALSE)</f>
        <v>WS.CDL.IC.ICMaskAddrExt</v>
      </c>
      <c r="C65" s="408" t="str">
        <f>VLOOKUP(A65,'Feature Raw Data'!$A$3:$C$3929,3,FALSE)</f>
        <v>P4</v>
      </c>
      <c r="D65" s="409" t="str" cm="1">
        <f t="array" ref="D65">_xlfn.TEXTJOIN("",TRUE,IF(ISNUMBER(SEARCH($A65,'Diags Raw Data'!$A$6:$A$3768)),CONCATENATE('Diags Raw Data'!$H$6:$H$3768,", "),""))</f>
        <v xml:space="preserve">BP08_ICMask_Address_Extension.stf 
BP09_ICMask_Address_Extension.stf, Local_APIC_NMI_Check.stf, </v>
      </c>
      <c r="E65" s="410" t="str">
        <f>VLOOKUP(A65,'Diags Raw Data'!$A$6:$D$3768,4,FALSE)</f>
        <v>IC-04</v>
      </c>
      <c r="F65" s="410" t="str">
        <f>VLOOKUP(A65,'Feature Raw Data'!$A$3:$E$3847,5,FALSE)</f>
        <v>Legacy</v>
      </c>
      <c r="G65" s="410" t="str">
        <f t="shared" si="10"/>
        <v>Yes</v>
      </c>
      <c r="H65" s="410" t="str">
        <f t="shared" si="11"/>
        <v>Yes</v>
      </c>
      <c r="I65" s="412">
        <f>SUMIF('Diags Raw Data'!$A$6:$A$3768,"*"&amp;$A65&amp;"*",'Diags Raw Data'!$K$6:$K$3768)</f>
        <v>2</v>
      </c>
      <c r="J65" s="413">
        <f>SUMIF('Diags Raw Data'!$A$6:$A$3768,"*"&amp;$A65&amp;"*",'Diags Raw Data'!$L$6:$L$3768)</f>
        <v>2</v>
      </c>
      <c r="K65" s="432" cm="1">
        <f t="array" ref="K65">IF(D65="",0, SUMPRODUCT(--(ISNUMBER(SEARCH($A65,'Diags Raw Data'!$A$6:$A$3766))),'Diags Raw Data'!$L$6:$L$3766,'Diags Raw Data'!$N$6:$N$3766)/J65)</f>
        <v>1</v>
      </c>
      <c r="L65" s="433" cm="1">
        <f t="array" ref="L65">IF(D65="",0, SUMPRODUCT(--(ISNUMBER(SEARCH($A65,'Diags Raw Data'!$A$6:$A$3766))),'Diags Raw Data'!$L$6:$L$3766,'Diags Raw Data'!$P$6:$P$3766)/J65)</f>
        <v>1</v>
      </c>
      <c r="M65" s="434" cm="1">
        <f t="array" ref="M65">SUMPRODUCT(--(ISNUMBER(SEARCH($A65,'Diags Raw Data'!$A$6:$A$3766))),--('Diags Raw Data'!$Q$6:$Q$3766&lt;&gt;"N/A"),'Diags Raw Data'!$T$6:$T$3766)+SUMPRODUCT(--(ISNUMBER(SEARCH($A65,'Diags Raw Data'!$A$6:$A$3766))),--('Diags Raw Data'!$Q$6:$Q$3766&lt;&gt;"N/A"),'Diags Raw Data'!$U$6:$U$3766)</f>
        <v>1</v>
      </c>
      <c r="N65" s="434" cm="1">
        <f t="array" ref="N65">SUMPRODUCT(--(ISNUMBER(SEARCH($A65,'Diags Raw Data'!$A$6:$A$3766))),--('Diags Raw Data'!$Q$6:$Q$3766&lt;&gt;"N/A"),'Diags Raw Data'!$T$6:$T$3766)+SUMPRODUCT(--(ISNUMBER(SEARCH($A65,'Diags Raw Data'!$A$6:$A$3766))),--('Diags Raw Data'!$Q$6:$Q$3766&lt;&gt;"N/A"),'Diags Raw Data'!$U$6:$U$3766)</f>
        <v>1</v>
      </c>
      <c r="O65" s="435">
        <f t="shared" ref="O65:O117" si="24">IF((M65=0),0,N65/M65)</f>
        <v>1</v>
      </c>
      <c r="P65" s="436">
        <f>SUMIF('Diags Raw Data'!$A$6:$A$3766,"*"&amp;$A65&amp;"*",'Diags Raw Data'!$Z$6:$Z$3766)</f>
        <v>1</v>
      </c>
      <c r="Q65" s="437">
        <f>SUM(SUMIF('Diags Raw Data'!$A$6:$A$3766,"*"&amp;$A65&amp;"*",'Diags Raw Data'!$AA$6:$AA$3766),SUMIF('Diags Raw Data'!$A$6:$A$3766,"*"&amp;$A65&amp;"*",'Diags Raw Data'!$AB$6:$AB$3766))</f>
        <v>1</v>
      </c>
      <c r="R65" s="438">
        <f t="shared" ref="R65:R117" si="25">IF((J65=0),0,P65/J65)</f>
        <v>0.5</v>
      </c>
      <c r="S65" s="438">
        <f t="shared" ref="S65:S117" si="26">IF((P65=0),0,Q65/P65)</f>
        <v>1</v>
      </c>
      <c r="T65" s="439">
        <f t="shared" ref="T65:T117" si="27">R65*S65</f>
        <v>0.5</v>
      </c>
      <c r="U65" s="414" t="s">
        <v>1015</v>
      </c>
      <c r="V65" s="181"/>
    </row>
    <row r="66" spans="1:22" ht="75.75" thickBot="1" x14ac:dyDescent="0.3">
      <c r="A66" s="321" t="s">
        <v>594</v>
      </c>
      <c r="B66" s="407" t="str">
        <f>VLOOKUP(A66,'Feature Raw Data'!$A$3:$B$3847,2,FALSE)</f>
        <v>WS.CDL.IC.ITLB</v>
      </c>
      <c r="C66" s="408" t="str">
        <f>VLOOKUP(A66,'Feature Raw Data'!$A$3:$C$3929,3,FALSE)</f>
        <v>P4</v>
      </c>
      <c r="D66" s="409" t="str" cm="1">
        <f t="array" ref="D66">_xlfn.TEXTJOIN("",TRUE,IF(ISNUMBER(SEARCH($A66,'Diags Raw Data'!$A$6:$A$3768)),CONCATENATE('Diags Raw Data'!$H$6:$H$3768,", "),""))</f>
        <v xml:space="preserve">ITLB.stf, Local_APIC_SMI_Check.stf, </v>
      </c>
      <c r="E66" s="410" t="str">
        <f>VLOOKUP(A66,'Diags Raw Data'!$A$6:$D$3768,4,FALSE)</f>
        <v>IC-04</v>
      </c>
      <c r="F66" s="410" t="str">
        <f>VLOOKUP(A66,'Feature Raw Data'!$A$3:$E$3847,5,FALSE)</f>
        <v>New</v>
      </c>
      <c r="G66" s="410" t="str">
        <f t="shared" si="10"/>
        <v>Yes</v>
      </c>
      <c r="H66" s="410" t="str">
        <f t="shared" si="11"/>
        <v>Yes</v>
      </c>
      <c r="I66" s="412">
        <f>SUMIF('Diags Raw Data'!$A$6:$A$3768,"*"&amp;$A66&amp;"*",'Diags Raw Data'!$K$6:$K$3768)</f>
        <v>2</v>
      </c>
      <c r="J66" s="413">
        <f>SUMIF('Diags Raw Data'!$A$6:$A$3768,"*"&amp;$A66&amp;"*",'Diags Raw Data'!$L$6:$L$3768)</f>
        <v>2</v>
      </c>
      <c r="K66" s="432" cm="1">
        <f t="array" ref="K66">IF(D66="",0, SUMPRODUCT(--(ISNUMBER(SEARCH($A66,'Diags Raw Data'!$A$6:$A$3766))),'Diags Raw Data'!$L$6:$L$3766,'Diags Raw Data'!$N$6:$N$3766)/J66)</f>
        <v>1</v>
      </c>
      <c r="L66" s="433" cm="1">
        <f t="array" ref="L66">IF(D66="",0, SUMPRODUCT(--(ISNUMBER(SEARCH($A66,'Diags Raw Data'!$A$6:$A$3766))),'Diags Raw Data'!$L$6:$L$3766,'Diags Raw Data'!$P$6:$P$3766)/J66)</f>
        <v>1</v>
      </c>
      <c r="M66" s="434" cm="1">
        <f t="array" ref="M66">SUMPRODUCT(--(ISNUMBER(SEARCH($A66,'Diags Raw Data'!$A$6:$A$3766))),--('Diags Raw Data'!$Q$6:$Q$3766&lt;&gt;"N/A"),'Diags Raw Data'!$T$6:$T$3766)+SUMPRODUCT(--(ISNUMBER(SEARCH($A66,'Diags Raw Data'!$A$6:$A$3766))),--('Diags Raw Data'!$Q$6:$Q$3766&lt;&gt;"N/A"),'Diags Raw Data'!$U$6:$U$3766)</f>
        <v>1</v>
      </c>
      <c r="N66" s="434" cm="1">
        <f t="array" ref="N66">SUMPRODUCT(--(ISNUMBER(SEARCH($A66,'Diags Raw Data'!$A$6:$A$3766))),--('Diags Raw Data'!$Q$6:$Q$3766&lt;&gt;"N/A"),'Diags Raw Data'!$T$6:$T$3766)+SUMPRODUCT(--(ISNUMBER(SEARCH($A66,'Diags Raw Data'!$A$6:$A$3766))),--('Diags Raw Data'!$Q$6:$Q$3766&lt;&gt;"N/A"),'Diags Raw Data'!$U$6:$U$3766)</f>
        <v>1</v>
      </c>
      <c r="O66" s="435">
        <f t="shared" si="24"/>
        <v>1</v>
      </c>
      <c r="P66" s="436">
        <f>SUMIF('Diags Raw Data'!$A$6:$A$3766,"*"&amp;$A66&amp;"*",'Diags Raw Data'!$Z$6:$Z$3766)</f>
        <v>1</v>
      </c>
      <c r="Q66" s="437">
        <f>SUM(SUMIF('Diags Raw Data'!$A$6:$A$3766,"*"&amp;$A66&amp;"*",'Diags Raw Data'!$AA$6:$AA$3766),SUMIF('Diags Raw Data'!$A$6:$A$3766,"*"&amp;$A66&amp;"*",'Diags Raw Data'!$AB$6:$AB$3766))</f>
        <v>1</v>
      </c>
      <c r="R66" s="438">
        <f t="shared" si="25"/>
        <v>0.5</v>
      </c>
      <c r="S66" s="438">
        <f t="shared" si="26"/>
        <v>1</v>
      </c>
      <c r="T66" s="439">
        <f t="shared" si="27"/>
        <v>0.5</v>
      </c>
      <c r="U66" s="414" t="s">
        <v>1015</v>
      </c>
      <c r="V66" s="181"/>
    </row>
    <row r="67" spans="1:22" ht="75.75" thickBot="1" x14ac:dyDescent="0.3">
      <c r="A67" s="321" t="s">
        <v>599</v>
      </c>
      <c r="B67" s="407" t="str">
        <f>VLOOKUP(A67,'Feature Raw Data'!$A$3:$B$3847,2,FALSE)</f>
        <v>WS.Storm.De.Exerciser</v>
      </c>
      <c r="C67" s="408" t="str">
        <f>VLOOKUP(A67,'Feature Raw Data'!$A$3:$C$3929,3,FALSE)</f>
        <v>P3</v>
      </c>
      <c r="D67" s="409" t="str" cm="1">
        <f t="array" ref="D67">_xlfn.TEXTJOIN("",TRUE,IF(ISNUMBER(SEARCH($A67,'Diags Raw Data'!$A$6:$A$3768)),CONCATENATE('Diags Raw Data'!$H$6:$H$3768,", "),""))</f>
        <v xml:space="preserve">ssp_zp_compat_exsc_leg013_special_ops_jamming.yml, </v>
      </c>
      <c r="E67" s="410" t="str">
        <f>VLOOKUP(A67,'Diags Raw Data'!$A$6:$D$3768,4,FALSE)</f>
        <v>DE-05</v>
      </c>
      <c r="F67" s="410" t="str">
        <f>VLOOKUP(A67,'Feature Raw Data'!$A$3:$E$3847,5,FALSE)</f>
        <v>Legacy</v>
      </c>
      <c r="G67" s="410" t="str">
        <f t="shared" si="10"/>
        <v>Yes</v>
      </c>
      <c r="H67" s="410" t="str">
        <f t="shared" si="11"/>
        <v>Yes</v>
      </c>
      <c r="I67" s="412">
        <f>SUMIF('Diags Raw Data'!$A$6:$A$3768,"*"&amp;$A67&amp;"*",'Diags Raw Data'!$K$6:$K$3768)</f>
        <v>1</v>
      </c>
      <c r="J67" s="413">
        <f>SUMIF('Diags Raw Data'!$A$6:$A$3768,"*"&amp;$A67&amp;"*",'Diags Raw Data'!$L$6:$L$3768)</f>
        <v>1</v>
      </c>
      <c r="K67" s="432" cm="1">
        <f t="array" ref="K67">IF(D67="",0, SUMPRODUCT(--(ISNUMBER(SEARCH($A67,'Diags Raw Data'!$A$6:$A$3766))),'Diags Raw Data'!$L$6:$L$3766,'Diags Raw Data'!$N$6:$N$3766)/J67)</f>
        <v>1</v>
      </c>
      <c r="L67" s="433" cm="1">
        <f t="array" ref="L67">IF(D67="",0, SUMPRODUCT(--(ISNUMBER(SEARCH($A67,'Diags Raw Data'!$A$6:$A$3766))),'Diags Raw Data'!$L$6:$L$3766,'Diags Raw Data'!$P$6:$P$3766)/J67)</f>
        <v>1</v>
      </c>
      <c r="M67" s="434" cm="1">
        <f t="array" ref="M67">SUMPRODUCT(--(ISNUMBER(SEARCH($A67,'Diags Raw Data'!$A$6:$A$3766))),--('Diags Raw Data'!$Q$6:$Q$3766&lt;&gt;"N/A"),'Diags Raw Data'!$T$6:$T$3766)+SUMPRODUCT(--(ISNUMBER(SEARCH($A67,'Diags Raw Data'!$A$6:$A$3766))),--('Diags Raw Data'!$Q$6:$Q$3766&lt;&gt;"N/A"),'Diags Raw Data'!$U$6:$U$3766)</f>
        <v>234</v>
      </c>
      <c r="N67" s="434" cm="1">
        <f t="array" ref="N67">SUMPRODUCT(--(ISNUMBER(SEARCH($A67,'Diags Raw Data'!$A$6:$A$3766))),--('Diags Raw Data'!$Q$6:$Q$3766&lt;&gt;"N/A"),'Diags Raw Data'!$T$6:$T$3766)+SUMPRODUCT(--(ISNUMBER(SEARCH($A67,'Diags Raw Data'!$A$6:$A$3766))),--('Diags Raw Data'!$Q$6:$Q$3766&lt;&gt;"N/A"),'Diags Raw Data'!$U$6:$U$3766)</f>
        <v>234</v>
      </c>
      <c r="O67" s="435">
        <f t="shared" si="24"/>
        <v>1</v>
      </c>
      <c r="P67" s="436">
        <f>SUMIF('Diags Raw Data'!$A$6:$A$3766,"*"&amp;$A67&amp;"*",'Diags Raw Data'!$Z$6:$Z$3766)</f>
        <v>500</v>
      </c>
      <c r="Q67" s="437">
        <f>SUM(SUMIF('Diags Raw Data'!$A$6:$A$3766,"*"&amp;$A67&amp;"*",'Diags Raw Data'!$AA$6:$AA$3766),SUMIF('Diags Raw Data'!$A$6:$A$3766,"*"&amp;$A67&amp;"*",'Diags Raw Data'!$AB$6:$AB$3766))</f>
        <v>500</v>
      </c>
      <c r="R67" s="438">
        <f t="shared" si="25"/>
        <v>500</v>
      </c>
      <c r="S67" s="438">
        <f t="shared" si="26"/>
        <v>1</v>
      </c>
      <c r="T67" s="439">
        <f t="shared" si="27"/>
        <v>500</v>
      </c>
      <c r="U67" s="414" t="s">
        <v>1015</v>
      </c>
      <c r="V67" s="181"/>
    </row>
    <row r="68" spans="1:22" ht="75.75" thickBot="1" x14ac:dyDescent="0.3">
      <c r="A68" s="321" t="s">
        <v>607</v>
      </c>
      <c r="B68" s="407" t="str">
        <f>VLOOKUP(A68,'Feature Raw Data'!$A$3:$B$3847,2,FALSE)</f>
        <v>WS.CDL.De.UnifiedOpCache.1</v>
      </c>
      <c r="C68" s="408" t="str">
        <f>VLOOKUP(A68,'Feature Raw Data'!$A$3:$C$3929,3,FALSE)</f>
        <v>P3</v>
      </c>
      <c r="D68" s="409" t="str" cm="1">
        <f t="array" ref="D68">_xlfn.TEXTJOIN("",TRUE,IF(ISNUMBER(SEARCH($A68,'Diags Raw Data'!$A$6:$A$3768)),CONCATENATE('Diags Raw Data'!$H$6:$H$3768,", "),""))</f>
        <v xml:space="preserve">DE04_opcache_stress.stf, </v>
      </c>
      <c r="E68" s="410" t="str">
        <f>VLOOKUP(A68,'Diags Raw Data'!$A$6:$D$3768,4,FALSE)</f>
        <v>DE-05</v>
      </c>
      <c r="F68" s="410" t="str">
        <f>VLOOKUP(A68,'Feature Raw Data'!$A$3:$E$3847,5,FALSE)</f>
        <v>Legacy</v>
      </c>
      <c r="G68" s="410" t="str">
        <f t="shared" si="10"/>
        <v>Yes</v>
      </c>
      <c r="H68" s="410" t="str">
        <f t="shared" si="11"/>
        <v>Yes</v>
      </c>
      <c r="I68" s="412">
        <f>SUMIF('Diags Raw Data'!$A$6:$A$3768,"*"&amp;$A68&amp;"*",'Diags Raw Data'!$K$6:$K$3768)</f>
        <v>1</v>
      </c>
      <c r="J68" s="413">
        <f>SUMIF('Diags Raw Data'!$A$6:$A$3768,"*"&amp;$A68&amp;"*",'Diags Raw Data'!$L$6:$L$3768)</f>
        <v>1</v>
      </c>
      <c r="K68" s="432" cm="1">
        <f t="array" ref="K68">IF(D68="",0, SUMPRODUCT(--(ISNUMBER(SEARCH($A68,'Diags Raw Data'!$A$6:$A$3766))),'Diags Raw Data'!$L$6:$L$3766,'Diags Raw Data'!$N$6:$N$3766)/J68)</f>
        <v>1</v>
      </c>
      <c r="L68" s="433" cm="1">
        <f t="array" ref="L68">IF(D68="",0, SUMPRODUCT(--(ISNUMBER(SEARCH($A68,'Diags Raw Data'!$A$6:$A$3766))),'Diags Raw Data'!$L$6:$L$3766,'Diags Raw Data'!$P$6:$P$3766)/J68)</f>
        <v>1</v>
      </c>
      <c r="M68" s="434" cm="1">
        <f t="array" ref="M68">SUMPRODUCT(--(ISNUMBER(SEARCH($A68,'Diags Raw Data'!$A$6:$A$3766))),--('Diags Raw Data'!$Q$6:$Q$3766&lt;&gt;"N/A"),'Diags Raw Data'!$T$6:$T$3766)+SUMPRODUCT(--(ISNUMBER(SEARCH($A68,'Diags Raw Data'!$A$6:$A$3766))),--('Diags Raw Data'!$Q$6:$Q$3766&lt;&gt;"N/A"),'Diags Raw Data'!$U$6:$U$3766)</f>
        <v>1</v>
      </c>
      <c r="N68" s="434" cm="1">
        <f t="array" ref="N68">SUMPRODUCT(--(ISNUMBER(SEARCH($A68,'Diags Raw Data'!$A$6:$A$3766))),--('Diags Raw Data'!$Q$6:$Q$3766&lt;&gt;"N/A"),'Diags Raw Data'!$T$6:$T$3766)+SUMPRODUCT(--(ISNUMBER(SEARCH($A68,'Diags Raw Data'!$A$6:$A$3766))),--('Diags Raw Data'!$Q$6:$Q$3766&lt;&gt;"N/A"),'Diags Raw Data'!$U$6:$U$3766)</f>
        <v>1</v>
      </c>
      <c r="O68" s="435">
        <f t="shared" si="24"/>
        <v>1</v>
      </c>
      <c r="P68" s="436">
        <f>SUMIF('Diags Raw Data'!$A$6:$A$3766,"*"&amp;$A68&amp;"*",'Diags Raw Data'!$Z$6:$Z$3766)</f>
        <v>1</v>
      </c>
      <c r="Q68" s="437">
        <f>SUM(SUMIF('Diags Raw Data'!$A$6:$A$3766,"*"&amp;$A68&amp;"*",'Diags Raw Data'!$AA$6:$AA$3766),SUMIF('Diags Raw Data'!$A$6:$A$3766,"*"&amp;$A68&amp;"*",'Diags Raw Data'!$AB$6:$AB$3766))</f>
        <v>1</v>
      </c>
      <c r="R68" s="438">
        <f t="shared" si="25"/>
        <v>1</v>
      </c>
      <c r="S68" s="438">
        <f t="shared" si="26"/>
        <v>1</v>
      </c>
      <c r="T68" s="439">
        <f t="shared" si="27"/>
        <v>1</v>
      </c>
      <c r="U68" s="414" t="s">
        <v>1015</v>
      </c>
      <c r="V68" s="181"/>
    </row>
    <row r="69" spans="1:22" ht="75.75" thickBot="1" x14ac:dyDescent="0.3">
      <c r="A69" s="321" t="s">
        <v>613</v>
      </c>
      <c r="B69" s="407" t="str">
        <f>VLOOKUP(A69,'Feature Raw Data'!$A$3:$B$3847,2,FALSE)</f>
        <v>WS.Storm.De.UnifiedOpCache.2</v>
      </c>
      <c r="C69" s="408" t="str">
        <f>VLOOKUP(A69,'Feature Raw Data'!$A$3:$C$3929,3,FALSE)</f>
        <v>P2</v>
      </c>
      <c r="D69" s="409" t="str" cm="1">
        <f t="array" ref="D69">_xlfn.TEXTJOIN("",TRUE,IF(ISNUMBER(SEARCH($A69,'Diags Raw Data'!$A$6:$A$3768)),CONCATENATE('Diags Raw Data'!$H$6:$H$3768,", "),""))</f>
        <v xml:space="preserve">st260_gna0_ssp_compat_uop_cache_bumped_visits.yml, </v>
      </c>
      <c r="E69" s="410" t="str">
        <f>VLOOKUP(A69,'Diags Raw Data'!$A$6:$D$3768,4,FALSE)</f>
        <v>DE-05</v>
      </c>
      <c r="F69" s="410" t="str">
        <f>VLOOKUP(A69,'Feature Raw Data'!$A$3:$E$3847,5,FALSE)</f>
        <v>Legacy</v>
      </c>
      <c r="G69" s="410" t="str">
        <f t="shared" si="10"/>
        <v>Yes</v>
      </c>
      <c r="H69" s="410" t="str">
        <f t="shared" si="11"/>
        <v>Yes</v>
      </c>
      <c r="I69" s="412">
        <f>SUMIF('Diags Raw Data'!$A$6:$A$3768,"*"&amp;$A69&amp;"*",'Diags Raw Data'!$K$6:$K$3768)</f>
        <v>1</v>
      </c>
      <c r="J69" s="413">
        <f>SUMIF('Diags Raw Data'!$A$6:$A$3768,"*"&amp;$A69&amp;"*",'Diags Raw Data'!$L$6:$L$3768)</f>
        <v>1</v>
      </c>
      <c r="K69" s="432" cm="1">
        <f t="array" ref="K69">IF(D69="",0, SUMPRODUCT(--(ISNUMBER(SEARCH($A69,'Diags Raw Data'!$A$6:$A$3766))),'Diags Raw Data'!$L$6:$L$3766,'Diags Raw Data'!$N$6:$N$3766)/J69)</f>
        <v>1</v>
      </c>
      <c r="L69" s="433" cm="1">
        <f t="array" ref="L69">IF(D69="",0, SUMPRODUCT(--(ISNUMBER(SEARCH($A69,'Diags Raw Data'!$A$6:$A$3766))),'Diags Raw Data'!$L$6:$L$3766,'Diags Raw Data'!$P$6:$P$3766)/J69)</f>
        <v>1</v>
      </c>
      <c r="M69" s="434" cm="1">
        <f t="array" ref="M69">SUMPRODUCT(--(ISNUMBER(SEARCH($A69,'Diags Raw Data'!$A$6:$A$3766))),--('Diags Raw Data'!$Q$6:$Q$3766&lt;&gt;"N/A"),'Diags Raw Data'!$T$6:$T$3766)+SUMPRODUCT(--(ISNUMBER(SEARCH($A69,'Diags Raw Data'!$A$6:$A$3766))),--('Diags Raw Data'!$Q$6:$Q$3766&lt;&gt;"N/A"),'Diags Raw Data'!$U$6:$U$3766)</f>
        <v>0</v>
      </c>
      <c r="N69" s="434" cm="1">
        <f t="array" ref="N69">SUMPRODUCT(--(ISNUMBER(SEARCH($A69,'Diags Raw Data'!$A$6:$A$3766))),--('Diags Raw Data'!$Q$6:$Q$3766&lt;&gt;"N/A"),'Diags Raw Data'!$T$6:$T$3766)+SUMPRODUCT(--(ISNUMBER(SEARCH($A69,'Diags Raw Data'!$A$6:$A$3766))),--('Diags Raw Data'!$Q$6:$Q$3766&lt;&gt;"N/A"),'Diags Raw Data'!$U$6:$U$3766)</f>
        <v>0</v>
      </c>
      <c r="O69" s="435">
        <f t="shared" si="24"/>
        <v>0</v>
      </c>
      <c r="P69" s="436">
        <f>SUMIF('Diags Raw Data'!$A$6:$A$3766,"*"&amp;$A69&amp;"*",'Diags Raw Data'!$Z$6:$Z$3766)</f>
        <v>1000</v>
      </c>
      <c r="Q69" s="437">
        <f>SUM(SUMIF('Diags Raw Data'!$A$6:$A$3766,"*"&amp;$A69&amp;"*",'Diags Raw Data'!$AA$6:$AA$3766),SUMIF('Diags Raw Data'!$A$6:$A$3766,"*"&amp;$A69&amp;"*",'Diags Raw Data'!$AB$6:$AB$3766))</f>
        <v>1000</v>
      </c>
      <c r="R69" s="438">
        <f t="shared" si="25"/>
        <v>1000</v>
      </c>
      <c r="S69" s="438">
        <f t="shared" si="26"/>
        <v>1</v>
      </c>
      <c r="T69" s="439">
        <f t="shared" si="27"/>
        <v>1000</v>
      </c>
      <c r="U69" s="414" t="s">
        <v>1015</v>
      </c>
      <c r="V69" s="181"/>
    </row>
    <row r="70" spans="1:22" ht="60.75" thickBot="1" x14ac:dyDescent="0.3">
      <c r="A70" s="321" t="s">
        <v>618</v>
      </c>
      <c r="B70" s="407" t="str">
        <f>VLOOKUP(A70,'Feature Raw Data'!$A$3:$B$3847,2,FALSE)</f>
        <v>WS.CDL.CH.L2CacheCoherencyExerciser</v>
      </c>
      <c r="C70" s="408" t="str">
        <f>VLOOKUP(A70,'Feature Raw Data'!$A$3:$C$3929,3,FALSE)</f>
        <v>P1</v>
      </c>
      <c r="D70" s="409" t="str" cm="1">
        <f t="array" ref="D70">_xlfn.TEXTJOIN("",TRUE,IF(ISNUMBER(SEARCH($A70,'Diags Raw Data'!$A$6:$A$3768)),CONCATENATE('Diags Raw Data'!$H$6:$H$3768,", "),""))</f>
        <v xml:space="preserve">Cache_L2_Cache_Coherency.stf, </v>
      </c>
      <c r="E70" s="410" t="str">
        <f>VLOOKUP(A70,'Diags Raw Data'!$A$6:$D$3768,4,FALSE)</f>
        <v>CH-06</v>
      </c>
      <c r="F70" s="410" t="str">
        <f>VLOOKUP(A70,'Feature Raw Data'!$A$3:$E$3847,5,FALSE)</f>
        <v>Legacy</v>
      </c>
      <c r="G70" s="410" t="str">
        <f t="shared" si="10"/>
        <v>Yes</v>
      </c>
      <c r="H70" s="410" t="str">
        <f t="shared" si="11"/>
        <v>Yes</v>
      </c>
      <c r="I70" s="412">
        <f>SUMIF('Diags Raw Data'!$A$6:$A$3768,"*"&amp;$A70&amp;"*",'Diags Raw Data'!$K$6:$K$3768)</f>
        <v>1</v>
      </c>
      <c r="J70" s="413">
        <f>SUMIF('Diags Raw Data'!$A$6:$A$3768,"*"&amp;$A70&amp;"*",'Diags Raw Data'!$L$6:$L$3768)</f>
        <v>1</v>
      </c>
      <c r="K70" s="432" cm="1">
        <f t="array" ref="K70">IF(D70="",0, SUMPRODUCT(--(ISNUMBER(SEARCH($A70,'Diags Raw Data'!$A$6:$A$3766))),'Diags Raw Data'!$L$6:$L$3766,'Diags Raw Data'!$N$6:$N$3766)/J70)</f>
        <v>1</v>
      </c>
      <c r="L70" s="433" cm="1">
        <f t="array" ref="L70">IF(D70="",0, SUMPRODUCT(--(ISNUMBER(SEARCH($A70,'Diags Raw Data'!$A$6:$A$3766))),'Diags Raw Data'!$L$6:$L$3766,'Diags Raw Data'!$P$6:$P$3766)/J70)</f>
        <v>1</v>
      </c>
      <c r="M70" s="434" cm="1">
        <f t="array" ref="M70">SUMPRODUCT(--(ISNUMBER(SEARCH($A70,'Diags Raw Data'!$A$6:$A$3766))),--('Diags Raw Data'!$Q$6:$Q$3766&lt;&gt;"N/A"),'Diags Raw Data'!$T$6:$T$3766)+SUMPRODUCT(--(ISNUMBER(SEARCH($A70,'Diags Raw Data'!$A$6:$A$3766))),--('Diags Raw Data'!$Q$6:$Q$3766&lt;&gt;"N/A"),'Diags Raw Data'!$U$6:$U$3766)</f>
        <v>1</v>
      </c>
      <c r="N70" s="434" cm="1">
        <f t="array" ref="N70">SUMPRODUCT(--(ISNUMBER(SEARCH($A70,'Diags Raw Data'!$A$6:$A$3766))),--('Diags Raw Data'!$Q$6:$Q$3766&lt;&gt;"N/A"),'Diags Raw Data'!$T$6:$T$3766)+SUMPRODUCT(--(ISNUMBER(SEARCH($A70,'Diags Raw Data'!$A$6:$A$3766))),--('Diags Raw Data'!$Q$6:$Q$3766&lt;&gt;"N/A"),'Diags Raw Data'!$U$6:$U$3766)</f>
        <v>1</v>
      </c>
      <c r="O70" s="435">
        <f t="shared" si="24"/>
        <v>1</v>
      </c>
      <c r="P70" s="436">
        <f>SUMIF('Diags Raw Data'!$A$6:$A$3766,"*"&amp;$A70&amp;"*",'Diags Raw Data'!$Z$6:$Z$3766)</f>
        <v>1</v>
      </c>
      <c r="Q70" s="437">
        <f>SUM(SUMIF('Diags Raw Data'!$A$6:$A$3766,"*"&amp;$A70&amp;"*",'Diags Raw Data'!$AA$6:$AA$3766),SUMIF('Diags Raw Data'!$A$6:$A$3766,"*"&amp;$A70&amp;"*",'Diags Raw Data'!$AB$6:$AB$3766))</f>
        <v>1</v>
      </c>
      <c r="R70" s="438">
        <f t="shared" si="25"/>
        <v>1</v>
      </c>
      <c r="S70" s="438">
        <f t="shared" si="26"/>
        <v>1</v>
      </c>
      <c r="T70" s="439">
        <f t="shared" si="27"/>
        <v>1</v>
      </c>
      <c r="U70" s="414"/>
      <c r="V70" s="181"/>
    </row>
    <row r="71" spans="1:22" ht="75.75" thickBot="1" x14ac:dyDescent="0.3">
      <c r="A71" s="321" t="s">
        <v>624</v>
      </c>
      <c r="B71" s="407" t="str">
        <f>VLOOKUP(A71,'Feature Raw Data'!$A$3:$B$3847,2,FALSE)</f>
        <v>WS.CDL.CH.L1L2CacheExerciser</v>
      </c>
      <c r="C71" s="408" t="str">
        <f>VLOOKUP(A71,'Feature Raw Data'!$A$3:$C$3929,3,FALSE)</f>
        <v>P3</v>
      </c>
      <c r="D71" s="409" t="str" cm="1">
        <f t="array" ref="D71">_xlfn.TEXTJOIN("",TRUE,IF(ISNUMBER(SEARCH($A71,'Diags Raw Data'!$A$6:$A$3768)),CONCATENATE('Diags Raw Data'!$H$6:$H$3768,", "),""))</f>
        <v xml:space="preserve">Cache_Group_1_2.stf, </v>
      </c>
      <c r="E71" s="410" t="str">
        <f>VLOOKUP(A71,'Diags Raw Data'!$A$6:$D$3768,4,FALSE)</f>
        <v>CH-06</v>
      </c>
      <c r="F71" s="410" t="str">
        <f>VLOOKUP(A71,'Feature Raw Data'!$A$3:$E$3847,5,FALSE)</f>
        <v>Legacy</v>
      </c>
      <c r="G71" s="410" t="str">
        <f t="shared" si="10"/>
        <v>Yes</v>
      </c>
      <c r="H71" s="410" t="str">
        <f t="shared" si="11"/>
        <v>Yes</v>
      </c>
      <c r="I71" s="412">
        <f>SUMIF('Diags Raw Data'!$A$6:$A$3768,"*"&amp;$A71&amp;"*",'Diags Raw Data'!$K$6:$K$3768)</f>
        <v>1</v>
      </c>
      <c r="J71" s="413">
        <f>SUMIF('Diags Raw Data'!$A$6:$A$3768,"*"&amp;$A71&amp;"*",'Diags Raw Data'!$L$6:$L$3768)</f>
        <v>1</v>
      </c>
      <c r="K71" s="432" cm="1">
        <f t="array" ref="K71">IF(D71="",0, SUMPRODUCT(--(ISNUMBER(SEARCH($A71,'Diags Raw Data'!$A$6:$A$3766))),'Diags Raw Data'!$L$6:$L$3766,'Diags Raw Data'!$N$6:$N$3766)/J71)</f>
        <v>1</v>
      </c>
      <c r="L71" s="433" cm="1">
        <f t="array" ref="L71">IF(D71="",0, SUMPRODUCT(--(ISNUMBER(SEARCH($A71,'Diags Raw Data'!$A$6:$A$3766))),'Diags Raw Data'!$L$6:$L$3766,'Diags Raw Data'!$P$6:$P$3766)/J71)</f>
        <v>1</v>
      </c>
      <c r="M71" s="434" cm="1">
        <f t="array" ref="M71">SUMPRODUCT(--(ISNUMBER(SEARCH($A71,'Diags Raw Data'!$A$6:$A$3766))),--('Diags Raw Data'!$Q$6:$Q$3766&lt;&gt;"N/A"),'Diags Raw Data'!$T$6:$T$3766)+SUMPRODUCT(--(ISNUMBER(SEARCH($A71,'Diags Raw Data'!$A$6:$A$3766))),--('Diags Raw Data'!$Q$6:$Q$3766&lt;&gt;"N/A"),'Diags Raw Data'!$U$6:$U$3766)</f>
        <v>1</v>
      </c>
      <c r="N71" s="434" cm="1">
        <f t="array" ref="N71">SUMPRODUCT(--(ISNUMBER(SEARCH($A71,'Diags Raw Data'!$A$6:$A$3766))),--('Diags Raw Data'!$Q$6:$Q$3766&lt;&gt;"N/A"),'Diags Raw Data'!$T$6:$T$3766)+SUMPRODUCT(--(ISNUMBER(SEARCH($A71,'Diags Raw Data'!$A$6:$A$3766))),--('Diags Raw Data'!$Q$6:$Q$3766&lt;&gt;"N/A"),'Diags Raw Data'!$U$6:$U$3766)</f>
        <v>1</v>
      </c>
      <c r="O71" s="435">
        <f t="shared" si="24"/>
        <v>1</v>
      </c>
      <c r="P71" s="436">
        <f>SUMIF('Diags Raw Data'!$A$6:$A$3766,"*"&amp;$A71&amp;"*",'Diags Raw Data'!$Z$6:$Z$3766)</f>
        <v>1</v>
      </c>
      <c r="Q71" s="437">
        <f>SUM(SUMIF('Diags Raw Data'!$A$6:$A$3766,"*"&amp;$A71&amp;"*",'Diags Raw Data'!$AA$6:$AA$3766),SUMIF('Diags Raw Data'!$A$6:$A$3766,"*"&amp;$A71&amp;"*",'Diags Raw Data'!$AB$6:$AB$3766))</f>
        <v>1</v>
      </c>
      <c r="R71" s="438">
        <f t="shared" si="25"/>
        <v>1</v>
      </c>
      <c r="S71" s="438">
        <f t="shared" si="26"/>
        <v>1</v>
      </c>
      <c r="T71" s="439">
        <f t="shared" si="27"/>
        <v>1</v>
      </c>
      <c r="U71" s="414" t="s">
        <v>1015</v>
      </c>
      <c r="V71" s="181"/>
    </row>
    <row r="72" spans="1:22" ht="30.75" thickBot="1" x14ac:dyDescent="0.3">
      <c r="A72" s="322" t="s">
        <v>626</v>
      </c>
      <c r="B72" s="407" t="str">
        <f>VLOOKUP(A72,'Feature Raw Data'!$A$3:$B$3847,2,FALSE)</f>
        <v>WS.CDL.CH.L3CacheCoherencyExerciser</v>
      </c>
      <c r="C72" s="408" t="str">
        <f>VLOOKUP(A72,'Feature Raw Data'!$A$3:$C$3929,3,FALSE)</f>
        <v>P1</v>
      </c>
      <c r="D72" s="409" t="str" cm="1">
        <f t="array" ref="D72">_xlfn.TEXTJOIN("",TRUE,IF(ISNUMBER(SEARCH($A72,'Diags Raw Data'!$A$6:$A$3768)),CONCATENATE('Diags Raw Data'!$H$6:$H$3768,", "),""))</f>
        <v xml:space="preserve">Cache_L3_Cache_Coherency.stf, </v>
      </c>
      <c r="E72" s="410" t="str">
        <f>VLOOKUP(A72,'Diags Raw Data'!$A$6:$D$3768,4,FALSE)</f>
        <v>CH-06</v>
      </c>
      <c r="F72" s="410" t="str">
        <f>VLOOKUP(A72,'Feature Raw Data'!$A$3:$E$3847,5,FALSE)</f>
        <v>Legacy</v>
      </c>
      <c r="G72" s="410" t="str">
        <f t="shared" si="10"/>
        <v>Yes</v>
      </c>
      <c r="H72" s="410" t="str">
        <f t="shared" si="11"/>
        <v>Yes</v>
      </c>
      <c r="I72" s="412">
        <f>SUMIF('Diags Raw Data'!$A$6:$A$3768,"*"&amp;$A72&amp;"*",'Diags Raw Data'!$K$6:$K$3768)</f>
        <v>1</v>
      </c>
      <c r="J72" s="413">
        <f>SUMIF('Diags Raw Data'!$A$6:$A$3768,"*"&amp;$A72&amp;"*",'Diags Raw Data'!$L$6:$L$3768)</f>
        <v>1</v>
      </c>
      <c r="K72" s="432" cm="1">
        <f t="array" ref="K72">IF(D72="",0, SUMPRODUCT(--(ISNUMBER(SEARCH($A72,'Diags Raw Data'!$A$6:$A$3766))),'Diags Raw Data'!$L$6:$L$3766,'Diags Raw Data'!$N$6:$N$3766)/J72)</f>
        <v>1</v>
      </c>
      <c r="L72" s="433" cm="1">
        <f t="array" ref="L72">IF(D72="",0, SUMPRODUCT(--(ISNUMBER(SEARCH($A72,'Diags Raw Data'!$A$6:$A$3766))),'Diags Raw Data'!$L$6:$L$3766,'Diags Raw Data'!$P$6:$P$3766)/J72)</f>
        <v>1</v>
      </c>
      <c r="M72" s="434" cm="1">
        <f t="array" ref="M72">SUMPRODUCT(--(ISNUMBER(SEARCH($A72,'Diags Raw Data'!$A$6:$A$3766))),--('Diags Raw Data'!$Q$6:$Q$3766&lt;&gt;"N/A"),'Diags Raw Data'!$T$6:$T$3766)+SUMPRODUCT(--(ISNUMBER(SEARCH($A72,'Diags Raw Data'!$A$6:$A$3766))),--('Diags Raw Data'!$Q$6:$Q$3766&lt;&gt;"N/A"),'Diags Raw Data'!$U$6:$U$3766)</f>
        <v>1</v>
      </c>
      <c r="N72" s="434" cm="1">
        <f t="array" ref="N72">SUMPRODUCT(--(ISNUMBER(SEARCH($A72,'Diags Raw Data'!$A$6:$A$3766))),--('Diags Raw Data'!$Q$6:$Q$3766&lt;&gt;"N/A"),'Diags Raw Data'!$T$6:$T$3766)+SUMPRODUCT(--(ISNUMBER(SEARCH($A72,'Diags Raw Data'!$A$6:$A$3766))),--('Diags Raw Data'!$Q$6:$Q$3766&lt;&gt;"N/A"),'Diags Raw Data'!$U$6:$U$3766)</f>
        <v>1</v>
      </c>
      <c r="O72" s="435">
        <f t="shared" si="24"/>
        <v>1</v>
      </c>
      <c r="P72" s="436">
        <f>SUMIF('Diags Raw Data'!$A$6:$A$3766,"*"&amp;$A72&amp;"*",'Diags Raw Data'!$Z$6:$Z$3766)</f>
        <v>1</v>
      </c>
      <c r="Q72" s="437">
        <f>SUM(SUMIF('Diags Raw Data'!$A$6:$A$3766,"*"&amp;$A72&amp;"*",'Diags Raw Data'!$AA$6:$AA$3766),SUMIF('Diags Raw Data'!$A$6:$A$3766,"*"&amp;$A72&amp;"*",'Diags Raw Data'!$AB$6:$AB$3766))</f>
        <v>1</v>
      </c>
      <c r="R72" s="438">
        <f t="shared" si="25"/>
        <v>1</v>
      </c>
      <c r="S72" s="438">
        <f t="shared" si="26"/>
        <v>1</v>
      </c>
      <c r="T72" s="439">
        <f t="shared" si="27"/>
        <v>1</v>
      </c>
      <c r="U72" s="414"/>
      <c r="V72" s="181"/>
    </row>
    <row r="73" spans="1:22" ht="15.75" thickBot="1" x14ac:dyDescent="0.3">
      <c r="A73" s="321" t="s">
        <v>630</v>
      </c>
      <c r="B73" s="407" t="str">
        <f>VLOOKUP(A73,'Feature Raw Data'!$A$3:$B$3847,2,FALSE)</f>
        <v>WS.CDL.CH.CacheableIO</v>
      </c>
      <c r="C73" s="408" t="str">
        <f>VLOOKUP(A73,'Feature Raw Data'!$A$3:$C$3929,3,FALSE)</f>
        <v>P4</v>
      </c>
      <c r="D73" s="409" t="str" cm="1">
        <f t="array" ref="D73">_xlfn.TEXTJOIN("",TRUE,IF(ISNUMBER(SEARCH($A73,'Diags Raw Data'!$A$6:$A$3768)),CONCATENATE('Diags Raw Data'!$H$6:$H$3768,", "),""))</f>
        <v xml:space="preserve">CacheableIO.stf, </v>
      </c>
      <c r="E73" s="410" t="str">
        <f>VLOOKUP(A73,'Diags Raw Data'!$A$6:$D$3768,4,FALSE)</f>
        <v>CH-06</v>
      </c>
      <c r="F73" s="410" t="str">
        <f>VLOOKUP(A73,'Feature Raw Data'!$A$3:$E$3847,5,FALSE)</f>
        <v>Legacy</v>
      </c>
      <c r="G73" s="410" t="str">
        <f t="shared" si="10"/>
        <v>Yes</v>
      </c>
      <c r="H73" s="410" t="str">
        <f t="shared" si="11"/>
        <v>Yes</v>
      </c>
      <c r="I73" s="412">
        <f>SUMIF('Diags Raw Data'!$A$6:$A$3768,"*"&amp;$A73&amp;"*",'Diags Raw Data'!$K$6:$K$3768)</f>
        <v>0</v>
      </c>
      <c r="J73" s="413">
        <f>SUMIF('Diags Raw Data'!$A$6:$A$3768,"*"&amp;$A73&amp;"*",'Diags Raw Data'!$L$6:$L$3768)</f>
        <v>0</v>
      </c>
      <c r="K73" s="432" t="e" cm="1">
        <f t="array" ref="K73">IF(D73="",0, SUMPRODUCT(--(ISNUMBER(SEARCH($A73,'Diags Raw Data'!$A$6:$A$3766))),'Diags Raw Data'!$L$6:$L$3766,'Diags Raw Data'!$N$6:$N$3766)/J73)</f>
        <v>#DIV/0!</v>
      </c>
      <c r="L73" s="433" t="e" cm="1">
        <f t="array" ref="L73">IF(D73="",0, SUMPRODUCT(--(ISNUMBER(SEARCH($A73,'Diags Raw Data'!$A$6:$A$3766))),'Diags Raw Data'!$L$6:$L$3766,'Diags Raw Data'!$P$6:$P$3766)/J73)</f>
        <v>#DIV/0!</v>
      </c>
      <c r="M73" s="434" cm="1">
        <f t="array" ref="M73">SUMPRODUCT(--(ISNUMBER(SEARCH($A73,'Diags Raw Data'!$A$6:$A$3766))),--('Diags Raw Data'!$Q$6:$Q$3766&lt;&gt;"N/A"),'Diags Raw Data'!$T$6:$T$3766)+SUMPRODUCT(--(ISNUMBER(SEARCH($A73,'Diags Raw Data'!$A$6:$A$3766))),--('Diags Raw Data'!$Q$6:$Q$3766&lt;&gt;"N/A"),'Diags Raw Data'!$U$6:$U$3766)</f>
        <v>1</v>
      </c>
      <c r="N73" s="434" cm="1">
        <f t="array" ref="N73">SUMPRODUCT(--(ISNUMBER(SEARCH($A73,'Diags Raw Data'!$A$6:$A$3766))),--('Diags Raw Data'!$Q$6:$Q$3766&lt;&gt;"N/A"),'Diags Raw Data'!$T$6:$T$3766)+SUMPRODUCT(--(ISNUMBER(SEARCH($A73,'Diags Raw Data'!$A$6:$A$3766))),--('Diags Raw Data'!$Q$6:$Q$3766&lt;&gt;"N/A"),'Diags Raw Data'!$U$6:$U$3766)</f>
        <v>1</v>
      </c>
      <c r="O73" s="435">
        <f t="shared" si="24"/>
        <v>1</v>
      </c>
      <c r="P73" s="436">
        <f>SUMIF('Diags Raw Data'!$A$6:$A$3766,"*"&amp;$A73&amp;"*",'Diags Raw Data'!$Z$6:$Z$3766)</f>
        <v>1</v>
      </c>
      <c r="Q73" s="437">
        <f>SUM(SUMIF('Diags Raw Data'!$A$6:$A$3766,"*"&amp;$A73&amp;"*",'Diags Raw Data'!$AA$6:$AA$3766),SUMIF('Diags Raw Data'!$A$6:$A$3766,"*"&amp;$A73&amp;"*",'Diags Raw Data'!$AB$6:$AB$3766))</f>
        <v>1</v>
      </c>
      <c r="R73" s="438">
        <f t="shared" si="25"/>
        <v>0</v>
      </c>
      <c r="S73" s="438">
        <f t="shared" si="26"/>
        <v>1</v>
      </c>
      <c r="T73" s="439">
        <f t="shared" si="27"/>
        <v>0</v>
      </c>
      <c r="U73" s="414" t="s">
        <v>1017</v>
      </c>
      <c r="V73" s="181"/>
    </row>
    <row r="74" spans="1:22" ht="75.75" thickBot="1" x14ac:dyDescent="0.3">
      <c r="A74" s="321" t="s">
        <v>635</v>
      </c>
      <c r="B74" s="407" t="str">
        <f>VLOOKUP(A74,'Feature Raw Data'!$A$3:$B$3847,2,FALSE)</f>
        <v>WS.CDL.CH.CacheRangeLock</v>
      </c>
      <c r="C74" s="408" t="str">
        <f>VLOOKUP(A74,'Feature Raw Data'!$A$3:$C$3929,3,FALSE)</f>
        <v>P3</v>
      </c>
      <c r="D74" s="409" t="str" cm="1">
        <f t="array" ref="D74">_xlfn.TEXTJOIN("",TRUE,IF(ISNUMBER(SEARCH($A74,'Diags Raw Data'!$A$6:$A$3768)),CONCATENATE('Diags Raw Data'!$H$6:$H$3768,", "),""))</f>
        <v xml:space="preserve">Cache_Range_Lock.stf, </v>
      </c>
      <c r="E74" s="410" t="str">
        <f>VLOOKUP(A74,'Diags Raw Data'!$A$6:$D$3768,4,FALSE)</f>
        <v>CH-06</v>
      </c>
      <c r="F74" s="410" t="str">
        <f>VLOOKUP(A74,'Feature Raw Data'!$A$3:$E$3847,5,FALSE)</f>
        <v>Legacy</v>
      </c>
      <c r="G74" s="410" t="str">
        <f t="shared" ref="G74:G100" si="28">IF(D74="","No","Yes")</f>
        <v>Yes</v>
      </c>
      <c r="H74" s="410" t="str">
        <f t="shared" ref="H74:H100" si="29">IF(D74="","No","Yes")</f>
        <v>Yes</v>
      </c>
      <c r="I74" s="412">
        <f>SUMIF('Diags Raw Data'!$A$6:$A$3768,"*"&amp;$A74&amp;"*",'Diags Raw Data'!$K$6:$K$3768)</f>
        <v>1</v>
      </c>
      <c r="J74" s="413">
        <f>SUMIF('Diags Raw Data'!$A$6:$A$3768,"*"&amp;$A74&amp;"*",'Diags Raw Data'!$L$6:$L$3768)</f>
        <v>1</v>
      </c>
      <c r="K74" s="432" cm="1">
        <f t="array" ref="K74">IF(D74="",0, SUMPRODUCT(--(ISNUMBER(SEARCH($A74,'Diags Raw Data'!$A$6:$A$3766))),'Diags Raw Data'!$L$6:$L$3766,'Diags Raw Data'!$N$6:$N$3766)/J74)</f>
        <v>1</v>
      </c>
      <c r="L74" s="433" cm="1">
        <f t="array" ref="L74">IF(D74="",0, SUMPRODUCT(--(ISNUMBER(SEARCH($A74,'Diags Raw Data'!$A$6:$A$3766))),'Diags Raw Data'!$L$6:$L$3766,'Diags Raw Data'!$P$6:$P$3766)/J74)</f>
        <v>1</v>
      </c>
      <c r="M74" s="434" cm="1">
        <f t="array" ref="M74">SUMPRODUCT(--(ISNUMBER(SEARCH($A74,'Diags Raw Data'!$A$6:$A$3766))),--('Diags Raw Data'!$Q$6:$Q$3766&lt;&gt;"N/A"),'Diags Raw Data'!$T$6:$T$3766)+SUMPRODUCT(--(ISNUMBER(SEARCH($A74,'Diags Raw Data'!$A$6:$A$3766))),--('Diags Raw Data'!$Q$6:$Q$3766&lt;&gt;"N/A"),'Diags Raw Data'!$U$6:$U$3766)</f>
        <v>0</v>
      </c>
      <c r="N74" s="434" cm="1">
        <f t="array" ref="N74">SUMPRODUCT(--(ISNUMBER(SEARCH($A74,'Diags Raw Data'!$A$6:$A$3766))),--('Diags Raw Data'!$Q$6:$Q$3766&lt;&gt;"N/A"),'Diags Raw Data'!$T$6:$T$3766)+SUMPRODUCT(--(ISNUMBER(SEARCH($A74,'Diags Raw Data'!$A$6:$A$3766))),--('Diags Raw Data'!$Q$6:$Q$3766&lt;&gt;"N/A"),'Diags Raw Data'!$U$6:$U$3766)</f>
        <v>0</v>
      </c>
      <c r="O74" s="435">
        <f t="shared" si="24"/>
        <v>0</v>
      </c>
      <c r="P74" s="436">
        <f>SUMIF('Diags Raw Data'!$A$6:$A$3766,"*"&amp;$A74&amp;"*",'Diags Raw Data'!$Z$6:$Z$3766)</f>
        <v>0</v>
      </c>
      <c r="Q74" s="437">
        <f>SUM(SUMIF('Diags Raw Data'!$A$6:$A$3766,"*"&amp;$A74&amp;"*",'Diags Raw Data'!$AA$6:$AA$3766),SUMIF('Diags Raw Data'!$A$6:$A$3766,"*"&amp;$A74&amp;"*",'Diags Raw Data'!$AB$6:$AB$3766))</f>
        <v>0</v>
      </c>
      <c r="R74" s="438">
        <f t="shared" si="25"/>
        <v>0</v>
      </c>
      <c r="S74" s="438">
        <f t="shared" si="26"/>
        <v>0</v>
      </c>
      <c r="T74" s="439">
        <f t="shared" si="27"/>
        <v>0</v>
      </c>
      <c r="U74" s="414" t="s">
        <v>1015</v>
      </c>
      <c r="V74" s="181"/>
    </row>
    <row r="75" spans="1:22" ht="30.75" thickBot="1" x14ac:dyDescent="0.3">
      <c r="A75" s="321" t="s">
        <v>641</v>
      </c>
      <c r="B75" s="407" t="str">
        <f>VLOOKUP(A75,'Feature Raw Data'!$A$3:$B$3847,2,FALSE)</f>
        <v>WS.CDL.CH.L3CacheExerciser</v>
      </c>
      <c r="C75" s="408" t="str">
        <f>VLOOKUP(A75,'Feature Raw Data'!$A$3:$C$3929,3,FALSE)</f>
        <v>P1</v>
      </c>
      <c r="D75" s="409" t="str" cm="1">
        <f t="array" ref="D75">_xlfn.TEXTJOIN("",TRUE,IF(ISNUMBER(SEARCH($A75,'Diags Raw Data'!$A$6:$A$3768)),CONCATENATE('Diags Raw Data'!$H$6:$H$3768,", "),""))</f>
        <v xml:space="preserve">Cache_All_L3_Cache.stf, </v>
      </c>
      <c r="E75" s="410" t="str">
        <f>VLOOKUP(A75,'Diags Raw Data'!$A$6:$D$3768,4,FALSE)</f>
        <v>CH-06</v>
      </c>
      <c r="F75" s="410" t="str">
        <f>VLOOKUP(A75,'Feature Raw Data'!$A$3:$E$3847,5,FALSE)</f>
        <v>Legacy</v>
      </c>
      <c r="G75" s="410" t="str">
        <f t="shared" si="28"/>
        <v>Yes</v>
      </c>
      <c r="H75" s="410" t="str">
        <f t="shared" si="29"/>
        <v>Yes</v>
      </c>
      <c r="I75" s="412">
        <f>SUMIF('Diags Raw Data'!$A$6:$A$3768,"*"&amp;$A75&amp;"*",'Diags Raw Data'!$K$6:$K$3768)</f>
        <v>1</v>
      </c>
      <c r="J75" s="413">
        <f>SUMIF('Diags Raw Data'!$A$6:$A$3768,"*"&amp;$A75&amp;"*",'Diags Raw Data'!$L$6:$L$3768)</f>
        <v>1</v>
      </c>
      <c r="K75" s="432" cm="1">
        <f t="array" ref="K75">IF(D75="",0, SUMPRODUCT(--(ISNUMBER(SEARCH($A75,'Diags Raw Data'!$A$6:$A$3766))),'Diags Raw Data'!$L$6:$L$3766,'Diags Raw Data'!$N$6:$N$3766)/J75)</f>
        <v>1</v>
      </c>
      <c r="L75" s="433" cm="1">
        <f t="array" ref="L75">IF(D75="",0, SUMPRODUCT(--(ISNUMBER(SEARCH($A75,'Diags Raw Data'!$A$6:$A$3766))),'Diags Raw Data'!$L$6:$L$3766,'Diags Raw Data'!$P$6:$P$3766)/J75)</f>
        <v>1</v>
      </c>
      <c r="M75" s="434" cm="1">
        <f t="array" ref="M75">SUMPRODUCT(--(ISNUMBER(SEARCH($A75,'Diags Raw Data'!$A$6:$A$3766))),--('Diags Raw Data'!$Q$6:$Q$3766&lt;&gt;"N/A"),'Diags Raw Data'!$T$6:$T$3766)+SUMPRODUCT(--(ISNUMBER(SEARCH($A75,'Diags Raw Data'!$A$6:$A$3766))),--('Diags Raw Data'!$Q$6:$Q$3766&lt;&gt;"N/A"),'Diags Raw Data'!$U$6:$U$3766)</f>
        <v>1</v>
      </c>
      <c r="N75" s="434" cm="1">
        <f t="array" ref="N75">SUMPRODUCT(--(ISNUMBER(SEARCH($A75,'Diags Raw Data'!$A$6:$A$3766))),--('Diags Raw Data'!$Q$6:$Q$3766&lt;&gt;"N/A"),'Diags Raw Data'!$T$6:$T$3766)+SUMPRODUCT(--(ISNUMBER(SEARCH($A75,'Diags Raw Data'!$A$6:$A$3766))),--('Diags Raw Data'!$Q$6:$Q$3766&lt;&gt;"N/A"),'Diags Raw Data'!$U$6:$U$3766)</f>
        <v>1</v>
      </c>
      <c r="O75" s="435">
        <f t="shared" si="24"/>
        <v>1</v>
      </c>
      <c r="P75" s="436">
        <f>SUMIF('Diags Raw Data'!$A$6:$A$3766,"*"&amp;$A75&amp;"*",'Diags Raw Data'!$Z$6:$Z$3766)</f>
        <v>1</v>
      </c>
      <c r="Q75" s="437">
        <f>SUM(SUMIF('Diags Raw Data'!$A$6:$A$3766,"*"&amp;$A75&amp;"*",'Diags Raw Data'!$AA$6:$AA$3766),SUMIF('Diags Raw Data'!$A$6:$A$3766,"*"&amp;$A75&amp;"*",'Diags Raw Data'!$AB$6:$AB$3766))</f>
        <v>1</v>
      </c>
      <c r="R75" s="438">
        <f t="shared" si="25"/>
        <v>1</v>
      </c>
      <c r="S75" s="438">
        <f t="shared" si="26"/>
        <v>1</v>
      </c>
      <c r="T75" s="439">
        <f t="shared" si="27"/>
        <v>1</v>
      </c>
      <c r="U75" s="414"/>
      <c r="V75" s="181"/>
    </row>
    <row r="76" spans="1:22" ht="90.75" thickBot="1" x14ac:dyDescent="0.3">
      <c r="A76" s="321" t="s">
        <v>646</v>
      </c>
      <c r="B76" s="407" t="str">
        <f>VLOOKUP(A76,'Feature Raw Data'!$A$3:$B$3847,2,FALSE)</f>
        <v>WS.CDL.CH.L3CacheExerciser</v>
      </c>
      <c r="C76" s="408" t="str">
        <f>VLOOKUP(A76,'Feature Raw Data'!$A$3:$C$3929,3,FALSE)</f>
        <v>P1</v>
      </c>
      <c r="D76" s="409" t="str" cm="1">
        <f t="array" ref="D76">_xlfn.TEXTJOIN("",TRUE,IF(ISNUMBER(SEARCH($A76,'Diags Raw Data'!$A$6:$A$3768)),CONCATENATE('Diags Raw Data'!$H$6:$H$3768,", "),""))</f>
        <v xml:space="preserve">Cache_Walker_Dring.stf		
Cache_Walker_Vring_2P.stf		
Cache_Walker_L1.stf		
Cache_Walker_Vring_1P.stf	
Cache_walker_L3.stf				
Cache_Walker_L2.stf
Cache_Walker_L3_Max_Hits.stf, </v>
      </c>
      <c r="E76" s="410" t="str">
        <f>VLOOKUP(A76,'Diags Raw Data'!$A$6:$D$3768,4,FALSE)</f>
        <v>CH-06</v>
      </c>
      <c r="F76" s="410" t="str">
        <f>VLOOKUP(A76,'Feature Raw Data'!$A$3:$E$3847,5,FALSE)</f>
        <v>Legacy</v>
      </c>
      <c r="G76" s="410" t="str">
        <f t="shared" si="28"/>
        <v>Yes</v>
      </c>
      <c r="H76" s="410" t="str">
        <f t="shared" si="29"/>
        <v>Yes</v>
      </c>
      <c r="I76" s="412">
        <f>SUMIF('Diags Raw Data'!$A$6:$A$3768,"*"&amp;$A76&amp;"*",'Diags Raw Data'!$K$6:$K$3768)</f>
        <v>1</v>
      </c>
      <c r="J76" s="413">
        <f>SUMIF('Diags Raw Data'!$A$6:$A$3768,"*"&amp;$A76&amp;"*",'Diags Raw Data'!$L$6:$L$3768)</f>
        <v>1</v>
      </c>
      <c r="K76" s="432" cm="1">
        <f t="array" ref="K76">IF(D76="",0, SUMPRODUCT(--(ISNUMBER(SEARCH($A76,'Diags Raw Data'!$A$6:$A$3766))),'Diags Raw Data'!$L$6:$L$3766,'Diags Raw Data'!$N$6:$N$3766)/J76)</f>
        <v>1</v>
      </c>
      <c r="L76" s="433" cm="1">
        <f t="array" ref="L76">IF(D76="",0, SUMPRODUCT(--(ISNUMBER(SEARCH($A76,'Diags Raw Data'!$A$6:$A$3766))),'Diags Raw Data'!$L$6:$L$3766,'Diags Raw Data'!$P$6:$P$3766)/J76)</f>
        <v>1</v>
      </c>
      <c r="M76" s="434" cm="1">
        <f t="array" ref="M76">SUMPRODUCT(--(ISNUMBER(SEARCH($A76,'Diags Raw Data'!$A$6:$A$3766))),--('Diags Raw Data'!$Q$6:$Q$3766&lt;&gt;"N/A"),'Diags Raw Data'!$T$6:$T$3766)+SUMPRODUCT(--(ISNUMBER(SEARCH($A76,'Diags Raw Data'!$A$6:$A$3766))),--('Diags Raw Data'!$Q$6:$Q$3766&lt;&gt;"N/A"),'Diags Raw Data'!$U$6:$U$3766)</f>
        <v>1</v>
      </c>
      <c r="N76" s="434" cm="1">
        <f t="array" ref="N76">SUMPRODUCT(--(ISNUMBER(SEARCH($A76,'Diags Raw Data'!$A$6:$A$3766))),--('Diags Raw Data'!$Q$6:$Q$3766&lt;&gt;"N/A"),'Diags Raw Data'!$T$6:$T$3766)+SUMPRODUCT(--(ISNUMBER(SEARCH($A76,'Diags Raw Data'!$A$6:$A$3766))),--('Diags Raw Data'!$Q$6:$Q$3766&lt;&gt;"N/A"),'Diags Raw Data'!$U$6:$U$3766)</f>
        <v>1</v>
      </c>
      <c r="O76" s="435">
        <f t="shared" si="24"/>
        <v>1</v>
      </c>
      <c r="P76" s="436">
        <f>SUMIF('Diags Raw Data'!$A$6:$A$3766,"*"&amp;$A76&amp;"*",'Diags Raw Data'!$Z$6:$Z$3766)</f>
        <v>1</v>
      </c>
      <c r="Q76" s="437">
        <f>SUM(SUMIF('Diags Raw Data'!$A$6:$A$3766,"*"&amp;$A76&amp;"*",'Diags Raw Data'!$AA$6:$AA$3766),SUMIF('Diags Raw Data'!$A$6:$A$3766,"*"&amp;$A76&amp;"*",'Diags Raw Data'!$AB$6:$AB$3766))</f>
        <v>1</v>
      </c>
      <c r="R76" s="438">
        <f t="shared" si="25"/>
        <v>1</v>
      </c>
      <c r="S76" s="438">
        <f t="shared" si="26"/>
        <v>1</v>
      </c>
      <c r="T76" s="439">
        <f t="shared" si="27"/>
        <v>1</v>
      </c>
      <c r="U76" s="414"/>
      <c r="V76" s="181"/>
    </row>
    <row r="77" spans="1:22" ht="75.75" thickBot="1" x14ac:dyDescent="0.3">
      <c r="A77" s="321" t="s">
        <v>648</v>
      </c>
      <c r="B77" s="407" t="str">
        <f>VLOOKUP(A77,'Feature Raw Data'!$A$3:$B$3847,2,FALSE)</f>
        <v>WS.CDL.CH.CacheExerciser</v>
      </c>
      <c r="C77" s="408" t="str">
        <f>VLOOKUP(A77,'Feature Raw Data'!$A$3:$C$3929,3,FALSE)</f>
        <v>P2</v>
      </c>
      <c r="D77" s="409" t="str" cm="1">
        <f t="array" ref="D77">_xlfn.TEXTJOIN("",TRUE,IF(ISNUMBER(SEARCH($A77,'Diags Raw Data'!$A$6:$A$3768)),CONCATENATE('Diags Raw Data'!$H$6:$H$3768,", "),""))</f>
        <v xml:space="preserve">st341_rsa0_gn_compat_mp_blocks.yml, </v>
      </c>
      <c r="E77" s="410" t="str">
        <f>VLOOKUP(A77,'Diags Raw Data'!$A$6:$D$3768,4,FALSE)</f>
        <v>CH-06</v>
      </c>
      <c r="F77" s="410" t="str">
        <f>VLOOKUP(A77,'Feature Raw Data'!$A$3:$E$3847,5,FALSE)</f>
        <v>Delta</v>
      </c>
      <c r="G77" s="410" t="str">
        <f t="shared" si="28"/>
        <v>Yes</v>
      </c>
      <c r="H77" s="410" t="str">
        <f t="shared" si="29"/>
        <v>Yes</v>
      </c>
      <c r="I77" s="412">
        <f>SUMIF('Diags Raw Data'!$A$6:$A$3768,"*"&amp;$A77&amp;"*",'Diags Raw Data'!$K$6:$K$3768)</f>
        <v>3</v>
      </c>
      <c r="J77" s="413">
        <f>SUMIF('Diags Raw Data'!$A$6:$A$3768,"*"&amp;$A77&amp;"*",'Diags Raw Data'!$L$6:$L$3768)</f>
        <v>1</v>
      </c>
      <c r="K77" s="432" cm="1">
        <f t="array" ref="K77">IF(D77="",0, SUMPRODUCT(--(ISNUMBER(SEARCH($A77,'Diags Raw Data'!$A$6:$A$3766))),'Diags Raw Data'!$L$6:$L$3766,'Diags Raw Data'!$N$6:$N$3766)/J77)</f>
        <v>1</v>
      </c>
      <c r="L77" s="433" cm="1">
        <f t="array" ref="L77">IF(D77="",0, SUMPRODUCT(--(ISNUMBER(SEARCH($A77,'Diags Raw Data'!$A$6:$A$3766))),'Diags Raw Data'!$L$6:$L$3766,'Diags Raw Data'!$P$6:$P$3766)/J77)</f>
        <v>1</v>
      </c>
      <c r="M77" s="434" cm="1">
        <f t="array" ref="M77">SUMPRODUCT(--(ISNUMBER(SEARCH($A77,'Diags Raw Data'!$A$6:$A$3766))),--('Diags Raw Data'!$Q$6:$Q$3766&lt;&gt;"N/A"),'Diags Raw Data'!$T$6:$T$3766)+SUMPRODUCT(--(ISNUMBER(SEARCH($A77,'Diags Raw Data'!$A$6:$A$3766))),--('Diags Raw Data'!$Q$6:$Q$3766&lt;&gt;"N/A"),'Diags Raw Data'!$U$6:$U$3766)</f>
        <v>25</v>
      </c>
      <c r="N77" s="434" cm="1">
        <f t="array" ref="N77">SUMPRODUCT(--(ISNUMBER(SEARCH($A77,'Diags Raw Data'!$A$6:$A$3766))),--('Diags Raw Data'!$Q$6:$Q$3766&lt;&gt;"N/A"),'Diags Raw Data'!$T$6:$T$3766)+SUMPRODUCT(--(ISNUMBER(SEARCH($A77,'Diags Raw Data'!$A$6:$A$3766))),--('Diags Raw Data'!$Q$6:$Q$3766&lt;&gt;"N/A"),'Diags Raw Data'!$U$6:$U$3766)</f>
        <v>25</v>
      </c>
      <c r="O77" s="435">
        <f t="shared" si="24"/>
        <v>1</v>
      </c>
      <c r="P77" s="436">
        <f>SUMIF('Diags Raw Data'!$A$6:$A$3766,"*"&amp;$A77&amp;"*",'Diags Raw Data'!$Z$6:$Z$3766)</f>
        <v>3000</v>
      </c>
      <c r="Q77" s="437">
        <f>SUM(SUMIF('Diags Raw Data'!$A$6:$A$3766,"*"&amp;$A77&amp;"*",'Diags Raw Data'!$AA$6:$AA$3766),SUMIF('Diags Raw Data'!$A$6:$A$3766,"*"&amp;$A77&amp;"*",'Diags Raw Data'!$AB$6:$AB$3766))</f>
        <v>3000</v>
      </c>
      <c r="R77" s="438">
        <f t="shared" si="25"/>
        <v>3000</v>
      </c>
      <c r="S77" s="438">
        <f t="shared" si="26"/>
        <v>1</v>
      </c>
      <c r="T77" s="439">
        <f t="shared" si="27"/>
        <v>3000</v>
      </c>
      <c r="U77" s="414" t="s">
        <v>1015</v>
      </c>
      <c r="V77" s="181"/>
    </row>
    <row r="78" spans="1:22" ht="75.75" thickBot="1" x14ac:dyDescent="0.3">
      <c r="A78" s="321" t="s">
        <v>652</v>
      </c>
      <c r="B78" s="407" t="str">
        <f>VLOOKUP(A78,'Feature Raw Data'!$A$3:$B$3847,2,FALSE)</f>
        <v>WS.CDL.CH.MemoryOrdering</v>
      </c>
      <c r="C78" s="408" t="str">
        <f>VLOOKUP(A78,'Feature Raw Data'!$A$3:$C$3929,3,FALSE)</f>
        <v>P3</v>
      </c>
      <c r="D78" s="409" t="str" cm="1">
        <f t="array" ref="D78">_xlfn.TEXTJOIN("",TRUE,IF(ISNUMBER(SEARCH($A78,'Diags Raw Data'!$A$6:$A$3768)),CONCATENATE('Diags Raw Data'!$H$6:$H$3768,", "),""))</f>
        <v xml:space="preserve">Core_Memory_Ordering.stf, </v>
      </c>
      <c r="E78" s="410" t="str">
        <f>VLOOKUP(A78,'Diags Raw Data'!$A$6:$D$3768,4,FALSE)</f>
        <v>CH-06</v>
      </c>
      <c r="F78" s="410" t="str">
        <f>VLOOKUP(A78,'Feature Raw Data'!$A$3:$E$3847,5,FALSE)</f>
        <v>Delta</v>
      </c>
      <c r="G78" s="410" t="str">
        <f t="shared" si="28"/>
        <v>Yes</v>
      </c>
      <c r="H78" s="410" t="str">
        <f t="shared" si="29"/>
        <v>Yes</v>
      </c>
      <c r="I78" s="412">
        <f>SUMIF('Diags Raw Data'!$A$6:$A$3768,"*"&amp;$A78&amp;"*",'Diags Raw Data'!$K$6:$K$3768)</f>
        <v>1</v>
      </c>
      <c r="J78" s="413">
        <f>SUMIF('Diags Raw Data'!$A$6:$A$3768,"*"&amp;$A78&amp;"*",'Diags Raw Data'!$L$6:$L$3768)</f>
        <v>1</v>
      </c>
      <c r="K78" s="432" cm="1">
        <f t="array" ref="K78">IF(D78="",0, SUMPRODUCT(--(ISNUMBER(SEARCH($A78,'Diags Raw Data'!$A$6:$A$3766))),'Diags Raw Data'!$L$6:$L$3766,'Diags Raw Data'!$N$6:$N$3766)/J78)</f>
        <v>1</v>
      </c>
      <c r="L78" s="433" cm="1">
        <f t="array" ref="L78">IF(D78="",0, SUMPRODUCT(--(ISNUMBER(SEARCH($A78,'Diags Raw Data'!$A$6:$A$3766))),'Diags Raw Data'!$L$6:$L$3766,'Diags Raw Data'!$P$6:$P$3766)/J78)</f>
        <v>1</v>
      </c>
      <c r="M78" s="434" cm="1">
        <f t="array" ref="M78">SUMPRODUCT(--(ISNUMBER(SEARCH($A78,'Diags Raw Data'!$A$6:$A$3766))),--('Diags Raw Data'!$Q$6:$Q$3766&lt;&gt;"N/A"),'Diags Raw Data'!$T$6:$T$3766)+SUMPRODUCT(--(ISNUMBER(SEARCH($A78,'Diags Raw Data'!$A$6:$A$3766))),--('Diags Raw Data'!$Q$6:$Q$3766&lt;&gt;"N/A"),'Diags Raw Data'!$U$6:$U$3766)</f>
        <v>0</v>
      </c>
      <c r="N78" s="434" cm="1">
        <f t="array" ref="N78">SUMPRODUCT(--(ISNUMBER(SEARCH($A78,'Diags Raw Data'!$A$6:$A$3766))),--('Diags Raw Data'!$Q$6:$Q$3766&lt;&gt;"N/A"),'Diags Raw Data'!$T$6:$T$3766)+SUMPRODUCT(--(ISNUMBER(SEARCH($A78,'Diags Raw Data'!$A$6:$A$3766))),--('Diags Raw Data'!$Q$6:$Q$3766&lt;&gt;"N/A"),'Diags Raw Data'!$U$6:$U$3766)</f>
        <v>0</v>
      </c>
      <c r="O78" s="435">
        <f t="shared" si="24"/>
        <v>0</v>
      </c>
      <c r="P78" s="436">
        <f>SUMIF('Diags Raw Data'!$A$6:$A$3766,"*"&amp;$A78&amp;"*",'Diags Raw Data'!$Z$6:$Z$3766)</f>
        <v>1</v>
      </c>
      <c r="Q78" s="437">
        <f>SUM(SUMIF('Diags Raw Data'!$A$6:$A$3766,"*"&amp;$A78&amp;"*",'Diags Raw Data'!$AA$6:$AA$3766),SUMIF('Diags Raw Data'!$A$6:$A$3766,"*"&amp;$A78&amp;"*",'Diags Raw Data'!$AB$6:$AB$3766))</f>
        <v>1</v>
      </c>
      <c r="R78" s="438">
        <f t="shared" si="25"/>
        <v>1</v>
      </c>
      <c r="S78" s="438">
        <f t="shared" si="26"/>
        <v>1</v>
      </c>
      <c r="T78" s="439">
        <f t="shared" si="27"/>
        <v>1</v>
      </c>
      <c r="U78" s="414" t="s">
        <v>1015</v>
      </c>
      <c r="V78" s="181"/>
    </row>
    <row r="79" spans="1:22" ht="75.75" thickBot="1" x14ac:dyDescent="0.3">
      <c r="A79" s="321" t="s">
        <v>658</v>
      </c>
      <c r="B79" s="407" t="str">
        <f>VLOOKUP(A79,'Feature Raw Data'!$A$3:$B$3847,2,FALSE)</f>
        <v>WS.Storm.CH.SelfModifyingCode.1</v>
      </c>
      <c r="C79" s="408" t="str">
        <f>VLOOKUP(A79,'Feature Raw Data'!$A$3:$C$3929,3,FALSE)</f>
        <v>P3</v>
      </c>
      <c r="D79" s="409" t="str" cm="1">
        <f t="array" ref="D79">_xlfn.TEXTJOIN("",TRUE,IF(ISNUMBER(SEARCH($A79,'Diags Raw Data'!$A$6:$A$3768)),CONCATENATE('Diags Raw Data'!$H$6:$H$3768,", "),""))</f>
        <v xml:space="preserve">smc.rb, </v>
      </c>
      <c r="E79" s="410" t="str">
        <f>VLOOKUP(A79,'Diags Raw Data'!$A$6:$D$3768,4,FALSE)</f>
        <v>CH-06</v>
      </c>
      <c r="F79" s="410" t="str">
        <f>VLOOKUP(A79,'Feature Raw Data'!$A$3:$E$3847,5,FALSE)</f>
        <v>Delta</v>
      </c>
      <c r="G79" s="410" t="str">
        <f t="shared" si="28"/>
        <v>Yes</v>
      </c>
      <c r="H79" s="410" t="str">
        <f t="shared" si="29"/>
        <v>Yes</v>
      </c>
      <c r="I79" s="412">
        <f>SUMIF('Diags Raw Data'!$A$6:$A$3768,"*"&amp;$A79&amp;"*",'Diags Raw Data'!$K$6:$K$3768)</f>
        <v>1</v>
      </c>
      <c r="J79" s="413">
        <f>SUMIF('Diags Raw Data'!$A$6:$A$3768,"*"&amp;$A79&amp;"*",'Diags Raw Data'!$L$6:$L$3768)</f>
        <v>1</v>
      </c>
      <c r="K79" s="432" cm="1">
        <f t="array" ref="K79">IF(D79="",0, SUMPRODUCT(--(ISNUMBER(SEARCH($A79,'Diags Raw Data'!$A$6:$A$3766))),'Diags Raw Data'!$L$6:$L$3766,'Diags Raw Data'!$N$6:$N$3766)/J79)</f>
        <v>1</v>
      </c>
      <c r="L79" s="433" cm="1">
        <f t="array" ref="L79">IF(D79="",0, SUMPRODUCT(--(ISNUMBER(SEARCH($A79,'Diags Raw Data'!$A$6:$A$3766))),'Diags Raw Data'!$L$6:$L$3766,'Diags Raw Data'!$P$6:$P$3766)/J79)</f>
        <v>1</v>
      </c>
      <c r="M79" s="434" cm="1">
        <f t="array" ref="M79">SUMPRODUCT(--(ISNUMBER(SEARCH($A79,'Diags Raw Data'!$A$6:$A$3766))),--('Diags Raw Data'!$Q$6:$Q$3766&lt;&gt;"N/A"),'Diags Raw Data'!$T$6:$T$3766)+SUMPRODUCT(--(ISNUMBER(SEARCH($A79,'Diags Raw Data'!$A$6:$A$3766))),--('Diags Raw Data'!$Q$6:$Q$3766&lt;&gt;"N/A"),'Diags Raw Data'!$U$6:$U$3766)</f>
        <v>2523</v>
      </c>
      <c r="N79" s="434" cm="1">
        <f t="array" ref="N79">SUMPRODUCT(--(ISNUMBER(SEARCH($A79,'Diags Raw Data'!$A$6:$A$3766))),--('Diags Raw Data'!$Q$6:$Q$3766&lt;&gt;"N/A"),'Diags Raw Data'!$T$6:$T$3766)+SUMPRODUCT(--(ISNUMBER(SEARCH($A79,'Diags Raw Data'!$A$6:$A$3766))),--('Diags Raw Data'!$Q$6:$Q$3766&lt;&gt;"N/A"),'Diags Raw Data'!$U$6:$U$3766)</f>
        <v>2523</v>
      </c>
      <c r="O79" s="435">
        <f t="shared" si="24"/>
        <v>1</v>
      </c>
      <c r="P79" s="436">
        <f>SUMIF('Diags Raw Data'!$A$6:$A$3766,"*"&amp;$A79&amp;"*",'Diags Raw Data'!$Z$6:$Z$3766)</f>
        <v>1000</v>
      </c>
      <c r="Q79" s="437">
        <f>SUM(SUMIF('Diags Raw Data'!$A$6:$A$3766,"*"&amp;$A79&amp;"*",'Diags Raw Data'!$AA$6:$AA$3766),SUMIF('Diags Raw Data'!$A$6:$A$3766,"*"&amp;$A79&amp;"*",'Diags Raw Data'!$AB$6:$AB$3766))</f>
        <v>1000</v>
      </c>
      <c r="R79" s="438">
        <f t="shared" si="25"/>
        <v>1000</v>
      </c>
      <c r="S79" s="438">
        <f t="shared" si="26"/>
        <v>1</v>
      </c>
      <c r="T79" s="439">
        <f t="shared" si="27"/>
        <v>1000</v>
      </c>
      <c r="U79" s="414" t="s">
        <v>1015</v>
      </c>
      <c r="V79" s="181"/>
    </row>
    <row r="80" spans="1:22" ht="75.75" thickBot="1" x14ac:dyDescent="0.3">
      <c r="A80" s="321" t="s">
        <v>662</v>
      </c>
      <c r="B80" s="407" t="str">
        <f>VLOOKUP(A80,'Feature Raw Data'!$A$3:$B$3847,2,FALSE)</f>
        <v>WS.Storm.CH.SelfModifyingCode.2</v>
      </c>
      <c r="C80" s="408" t="str">
        <f>VLOOKUP(A80,'Feature Raw Data'!$A$3:$C$3929,3,FALSE)</f>
        <v>P3</v>
      </c>
      <c r="D80" s="409" t="str" cm="1">
        <f t="array" ref="D80">_xlfn.TEXTJOIN("",TRUE,IF(ISNUMBER(SEARCH($A80,'Diags Raw Data'!$A$6:$A$3768)),CONCATENATE('Diags Raw Data'!$H$6:$H$3768,", "),""))</f>
        <v xml:space="preserve">mp_blocks_biased_to_smc.rb, </v>
      </c>
      <c r="E80" s="410" t="str">
        <f>VLOOKUP(A80,'Diags Raw Data'!$A$6:$D$3768,4,FALSE)</f>
        <v>CH-06</v>
      </c>
      <c r="F80" s="410" t="str">
        <f>VLOOKUP(A80,'Feature Raw Data'!$A$3:$E$3847,5,FALSE)</f>
        <v>Delta</v>
      </c>
      <c r="G80" s="410" t="str">
        <f t="shared" si="28"/>
        <v>Yes</v>
      </c>
      <c r="H80" s="410" t="str">
        <f t="shared" si="29"/>
        <v>Yes</v>
      </c>
      <c r="I80" s="412">
        <f>SUMIF('Diags Raw Data'!$A$6:$A$3768,"*"&amp;$A80&amp;"*",'Diags Raw Data'!$K$6:$K$3768)</f>
        <v>1</v>
      </c>
      <c r="J80" s="413">
        <f>SUMIF('Diags Raw Data'!$A$6:$A$3768,"*"&amp;$A80&amp;"*",'Diags Raw Data'!$L$6:$L$3768)</f>
        <v>1</v>
      </c>
      <c r="K80" s="432" cm="1">
        <f t="array" ref="K80">IF(D80="",0, SUMPRODUCT(--(ISNUMBER(SEARCH($A80,'Diags Raw Data'!$A$6:$A$3766))),'Diags Raw Data'!$L$6:$L$3766,'Diags Raw Data'!$N$6:$N$3766)/J80)</f>
        <v>1</v>
      </c>
      <c r="L80" s="433" cm="1">
        <f t="array" ref="L80">IF(D80="",0, SUMPRODUCT(--(ISNUMBER(SEARCH($A80,'Diags Raw Data'!$A$6:$A$3766))),'Diags Raw Data'!$L$6:$L$3766,'Diags Raw Data'!$P$6:$P$3766)/J80)</f>
        <v>1</v>
      </c>
      <c r="M80" s="434" cm="1">
        <f t="array" ref="M80">SUMPRODUCT(--(ISNUMBER(SEARCH($A80,'Diags Raw Data'!$A$6:$A$3766))),--('Diags Raw Data'!$Q$6:$Q$3766&lt;&gt;"N/A"),'Diags Raw Data'!$T$6:$T$3766)+SUMPRODUCT(--(ISNUMBER(SEARCH($A80,'Diags Raw Data'!$A$6:$A$3766))),--('Diags Raw Data'!$Q$6:$Q$3766&lt;&gt;"N/A"),'Diags Raw Data'!$U$6:$U$3766)</f>
        <v>0</v>
      </c>
      <c r="N80" s="434" cm="1">
        <f t="array" ref="N80">SUMPRODUCT(--(ISNUMBER(SEARCH($A80,'Diags Raw Data'!$A$6:$A$3766))),--('Diags Raw Data'!$Q$6:$Q$3766&lt;&gt;"N/A"),'Diags Raw Data'!$T$6:$T$3766)+SUMPRODUCT(--(ISNUMBER(SEARCH($A80,'Diags Raw Data'!$A$6:$A$3766))),--('Diags Raw Data'!$Q$6:$Q$3766&lt;&gt;"N/A"),'Diags Raw Data'!$U$6:$U$3766)</f>
        <v>0</v>
      </c>
      <c r="O80" s="435">
        <f t="shared" si="24"/>
        <v>0</v>
      </c>
      <c r="P80" s="436">
        <f>SUMIF('Diags Raw Data'!$A$6:$A$3766,"*"&amp;$A80&amp;"*",'Diags Raw Data'!$Z$6:$Z$3766)</f>
        <v>0</v>
      </c>
      <c r="Q80" s="437">
        <f>SUM(SUMIF('Diags Raw Data'!$A$6:$A$3766,"*"&amp;$A80&amp;"*",'Diags Raw Data'!$AA$6:$AA$3766),SUMIF('Diags Raw Data'!$A$6:$A$3766,"*"&amp;$A80&amp;"*",'Diags Raw Data'!$AB$6:$AB$3766))</f>
        <v>0</v>
      </c>
      <c r="R80" s="438">
        <f t="shared" si="25"/>
        <v>0</v>
      </c>
      <c r="S80" s="438">
        <f t="shared" si="26"/>
        <v>0</v>
      </c>
      <c r="T80" s="439">
        <f t="shared" si="27"/>
        <v>0</v>
      </c>
      <c r="U80" s="414" t="s">
        <v>1015</v>
      </c>
      <c r="V80" s="181"/>
    </row>
    <row r="81" spans="1:22" ht="75.75" thickBot="1" x14ac:dyDescent="0.3">
      <c r="A81" s="321" t="s">
        <v>664</v>
      </c>
      <c r="B81" s="407" t="str">
        <f>VLOOKUP(A81,'Feature Raw Data'!$A$3:$B$3847,2,FALSE)</f>
        <v xml:space="preserve"> WS.Storm.CH.MCOMMIT</v>
      </c>
      <c r="C81" s="408" t="str">
        <f>VLOOKUP(A81,'Feature Raw Data'!$A$3:$C$3929,3,FALSE)</f>
        <v>P4</v>
      </c>
      <c r="D81" s="409" t="str" cm="1">
        <f t="array" ref="D81">_xlfn.TEXTJOIN("",TRUE,IF(ISNUMBER(SEARCH($A81,'Diags Raw Data'!$A$6:$A$3768)),CONCATENATE('Diags Raw Data'!$H$6:$H$3768,", "),""))</f>
        <v xml:space="preserve">cba0_gn_only_mcommit.yml, </v>
      </c>
      <c r="E81" s="410" t="str">
        <f>VLOOKUP(A81,'Diags Raw Data'!$A$6:$D$3768,4,FALSE)</f>
        <v>CH-06</v>
      </c>
      <c r="F81" s="410" t="str">
        <f>VLOOKUP(A81,'Feature Raw Data'!$A$3:$E$3847,5,FALSE)</f>
        <v>Legacy</v>
      </c>
      <c r="G81" s="410" t="str">
        <f t="shared" si="28"/>
        <v>Yes</v>
      </c>
      <c r="H81" s="410" t="str">
        <f t="shared" si="29"/>
        <v>Yes</v>
      </c>
      <c r="I81" s="412">
        <f>SUMIF('Diags Raw Data'!$A$6:$A$3768,"*"&amp;$A81&amp;"*",'Diags Raw Data'!$K$6:$K$3768)</f>
        <v>0</v>
      </c>
      <c r="J81" s="413">
        <f>SUMIF('Diags Raw Data'!$A$6:$A$3768,"*"&amp;$A81&amp;"*",'Diags Raw Data'!$L$6:$L$3768)</f>
        <v>1</v>
      </c>
      <c r="K81" s="432" cm="1">
        <f t="array" ref="K81">IF(D81="",0, SUMPRODUCT(--(ISNUMBER(SEARCH($A81,'Diags Raw Data'!$A$6:$A$3766))),'Diags Raw Data'!$L$6:$L$3766,'Diags Raw Data'!$N$6:$N$3766)/J81)</f>
        <v>1</v>
      </c>
      <c r="L81" s="433" cm="1">
        <f t="array" ref="L81">IF(D81="",0, SUMPRODUCT(--(ISNUMBER(SEARCH($A81,'Diags Raw Data'!$A$6:$A$3766))),'Diags Raw Data'!$L$6:$L$3766,'Diags Raw Data'!$P$6:$P$3766)/J81)</f>
        <v>1</v>
      </c>
      <c r="M81" s="434" cm="1">
        <f t="array" ref="M81">SUMPRODUCT(--(ISNUMBER(SEARCH($A81,'Diags Raw Data'!$A$6:$A$3766))),--('Diags Raw Data'!$Q$6:$Q$3766&lt;&gt;"N/A"),'Diags Raw Data'!$T$6:$T$3766)+SUMPRODUCT(--(ISNUMBER(SEARCH($A81,'Diags Raw Data'!$A$6:$A$3766))),--('Diags Raw Data'!$Q$6:$Q$3766&lt;&gt;"N/A"),'Diags Raw Data'!$U$6:$U$3766)</f>
        <v>0</v>
      </c>
      <c r="N81" s="434" cm="1">
        <f t="array" ref="N81">SUMPRODUCT(--(ISNUMBER(SEARCH($A81,'Diags Raw Data'!$A$6:$A$3766))),--('Diags Raw Data'!$Q$6:$Q$3766&lt;&gt;"N/A"),'Diags Raw Data'!$T$6:$T$3766)+SUMPRODUCT(--(ISNUMBER(SEARCH($A81,'Diags Raw Data'!$A$6:$A$3766))),--('Diags Raw Data'!$Q$6:$Q$3766&lt;&gt;"N/A"),'Diags Raw Data'!$U$6:$U$3766)</f>
        <v>0</v>
      </c>
      <c r="O81" s="435">
        <f t="shared" si="24"/>
        <v>0</v>
      </c>
      <c r="P81" s="436">
        <f>SUMIF('Diags Raw Data'!$A$6:$A$3766,"*"&amp;$A81&amp;"*",'Diags Raw Data'!$Z$6:$Z$3766)</f>
        <v>0</v>
      </c>
      <c r="Q81" s="437">
        <f>SUM(SUMIF('Diags Raw Data'!$A$6:$A$3766,"*"&amp;$A81&amp;"*",'Diags Raw Data'!$AA$6:$AA$3766),SUMIF('Diags Raw Data'!$A$6:$A$3766,"*"&amp;$A81&amp;"*",'Diags Raw Data'!$AB$6:$AB$3766))</f>
        <v>0</v>
      </c>
      <c r="R81" s="438">
        <f t="shared" si="25"/>
        <v>0</v>
      </c>
      <c r="S81" s="438">
        <f t="shared" si="26"/>
        <v>0</v>
      </c>
      <c r="T81" s="439">
        <f t="shared" si="27"/>
        <v>0</v>
      </c>
      <c r="U81" s="414" t="s">
        <v>1015</v>
      </c>
      <c r="V81" s="181"/>
    </row>
    <row r="82" spans="1:22" ht="75.75" thickBot="1" x14ac:dyDescent="0.3">
      <c r="A82" s="321" t="s">
        <v>669</v>
      </c>
      <c r="B82" s="407" t="str">
        <f>VLOOKUP(A82,'Feature Raw Data'!$A$3:$B$3847,2,FALSE)</f>
        <v>WS.Storm.CH.InterruptibleWBINVD</v>
      </c>
      <c r="C82" s="408" t="str">
        <f>VLOOKUP(A82,'Feature Raw Data'!$A$3:$C$3929,3,FALSE)</f>
        <v>P4</v>
      </c>
      <c r="D82" s="409" t="str" cm="1">
        <f t="array" ref="D82">_xlfn.TEXTJOIN("",TRUE,IF(ISNUMBER(SEARCH($A82,'Diags Raw Data'!$A$6:$A$3768)),CONCATENATE('Diags Raw Data'!$H$6:$H$3768,", "),""))</f>
        <v xml:space="preserve">TBD(Find a new stf for this), </v>
      </c>
      <c r="E82" s="410" t="str">
        <f>VLOOKUP(A82,'Diags Raw Data'!$A$6:$D$3768,4,FALSE)</f>
        <v>CH-06</v>
      </c>
      <c r="F82" s="410" t="str">
        <f>VLOOKUP(A82,'Feature Raw Data'!$A$3:$E$3847,5,FALSE)</f>
        <v>Legacy</v>
      </c>
      <c r="G82" s="410" t="str">
        <f t="shared" si="28"/>
        <v>Yes</v>
      </c>
      <c r="H82" s="410" t="str">
        <f t="shared" si="29"/>
        <v>Yes</v>
      </c>
      <c r="I82" s="412">
        <f>SUMIF('Diags Raw Data'!$A$6:$A$3768,"*"&amp;$A82&amp;"*",'Diags Raw Data'!$K$6:$K$3768)</f>
        <v>1</v>
      </c>
      <c r="J82" s="413">
        <f>SUMIF('Diags Raw Data'!$A$6:$A$3768,"*"&amp;$A82&amp;"*",'Diags Raw Data'!$L$6:$L$3768)</f>
        <v>1</v>
      </c>
      <c r="K82" s="432" cm="1">
        <f t="array" ref="K82">IF(D82="",0, SUMPRODUCT(--(ISNUMBER(SEARCH($A82,'Diags Raw Data'!$A$6:$A$3766))),'Diags Raw Data'!$L$6:$L$3766,'Diags Raw Data'!$N$6:$N$3766)/J82)</f>
        <v>1</v>
      </c>
      <c r="L82" s="433" cm="1">
        <f t="array" ref="L82">IF(D82="",0, SUMPRODUCT(--(ISNUMBER(SEARCH($A82,'Diags Raw Data'!$A$6:$A$3766))),'Diags Raw Data'!$L$6:$L$3766,'Diags Raw Data'!$P$6:$P$3766)/J82)</f>
        <v>1</v>
      </c>
      <c r="M82" s="434" cm="1">
        <f t="array" ref="M82">SUMPRODUCT(--(ISNUMBER(SEARCH($A82,'Diags Raw Data'!$A$6:$A$3766))),--('Diags Raw Data'!$Q$6:$Q$3766&lt;&gt;"N/A"),'Diags Raw Data'!$T$6:$T$3766)+SUMPRODUCT(--(ISNUMBER(SEARCH($A82,'Diags Raw Data'!$A$6:$A$3766))),--('Diags Raw Data'!$Q$6:$Q$3766&lt;&gt;"N/A"),'Diags Raw Data'!$U$6:$U$3766)</f>
        <v>0</v>
      </c>
      <c r="N82" s="434" cm="1">
        <f t="array" ref="N82">SUMPRODUCT(--(ISNUMBER(SEARCH($A82,'Diags Raw Data'!$A$6:$A$3766))),--('Diags Raw Data'!$Q$6:$Q$3766&lt;&gt;"N/A"),'Diags Raw Data'!$T$6:$T$3766)+SUMPRODUCT(--(ISNUMBER(SEARCH($A82,'Diags Raw Data'!$A$6:$A$3766))),--('Diags Raw Data'!$Q$6:$Q$3766&lt;&gt;"N/A"),'Diags Raw Data'!$U$6:$U$3766)</f>
        <v>0</v>
      </c>
      <c r="O82" s="435">
        <f t="shared" si="24"/>
        <v>0</v>
      </c>
      <c r="P82" s="436">
        <f>SUMIF('Diags Raw Data'!$A$6:$A$3766,"*"&amp;$A82&amp;"*",'Diags Raw Data'!$Z$6:$Z$3766)</f>
        <v>0</v>
      </c>
      <c r="Q82" s="437">
        <f>SUM(SUMIF('Diags Raw Data'!$A$6:$A$3766,"*"&amp;$A82&amp;"*",'Diags Raw Data'!$AA$6:$AA$3766),SUMIF('Diags Raw Data'!$A$6:$A$3766,"*"&amp;$A82&amp;"*",'Diags Raw Data'!$AB$6:$AB$3766))</f>
        <v>0</v>
      </c>
      <c r="R82" s="438">
        <f t="shared" si="25"/>
        <v>0</v>
      </c>
      <c r="S82" s="438">
        <f t="shared" si="26"/>
        <v>0</v>
      </c>
      <c r="T82" s="439">
        <f t="shared" si="27"/>
        <v>0</v>
      </c>
      <c r="U82" s="414" t="s">
        <v>1015</v>
      </c>
      <c r="V82" s="181"/>
    </row>
    <row r="83" spans="1:22" ht="60.75" thickBot="1" x14ac:dyDescent="0.3">
      <c r="A83" s="321" t="s">
        <v>672</v>
      </c>
      <c r="B83" s="407" t="str">
        <f>VLOOKUP(A83,'Feature Raw Data'!$A$3:$B$3847,2,FALSE)</f>
        <v>WS.CDL.CH.Memcopy</v>
      </c>
      <c r="C83" s="408" t="str">
        <f>VLOOKUP(A83,'Feature Raw Data'!$A$3:$C$3929,3,FALSE)</f>
        <v>P3</v>
      </c>
      <c r="D83" s="409" t="str" cm="1">
        <f t="array" ref="D83">_xlfn.TEXTJOIN("",TRUE,IF(ISNUMBER(SEARCH($A83,'Diags Raw Data'!$A$6:$A$3768)),CONCATENATE('Diags Raw Data'!$H$6:$H$3768,", "),""))</f>
        <v xml:space="preserve">Core_Mem_Copy.stf
CCX_Mem_Test.stf
CCX_Mem_Test_bit_shift.stf
Produ_Consu.stf, </v>
      </c>
      <c r="E83" s="410" t="str">
        <f>VLOOKUP(A83,'Diags Raw Data'!$A$6:$D$3768,4,FALSE)</f>
        <v>CH-06</v>
      </c>
      <c r="F83" s="410" t="str">
        <f>VLOOKUP(A83,'Feature Raw Data'!$A$3:$E$3847,5,FALSE)</f>
        <v>Delta</v>
      </c>
      <c r="G83" s="410" t="str">
        <f t="shared" si="28"/>
        <v>Yes</v>
      </c>
      <c r="H83" s="410" t="str">
        <f t="shared" si="29"/>
        <v>Yes</v>
      </c>
      <c r="I83" s="412">
        <f>SUMIF('Diags Raw Data'!$A$6:$A$3768,"*"&amp;$A83&amp;"*",'Diags Raw Data'!$K$6:$K$3768)</f>
        <v>1</v>
      </c>
      <c r="J83" s="413">
        <f>SUMIF('Diags Raw Data'!$A$6:$A$3768,"*"&amp;$A83&amp;"*",'Diags Raw Data'!$L$6:$L$3768)</f>
        <v>1</v>
      </c>
      <c r="K83" s="432" cm="1">
        <f t="array" ref="K83">IF(D83="",0, SUMPRODUCT(--(ISNUMBER(SEARCH($A83,'Diags Raw Data'!$A$6:$A$3766))),'Diags Raw Data'!$L$6:$L$3766,'Diags Raw Data'!$N$6:$N$3766)/J83)</f>
        <v>1</v>
      </c>
      <c r="L83" s="433" cm="1">
        <f t="array" ref="L83">IF(D83="",0, SUMPRODUCT(--(ISNUMBER(SEARCH($A83,'Diags Raw Data'!$A$6:$A$3766))),'Diags Raw Data'!$L$6:$L$3766,'Diags Raw Data'!$P$6:$P$3766)/J83)</f>
        <v>1</v>
      </c>
      <c r="M83" s="434" cm="1">
        <f t="array" ref="M83">SUMPRODUCT(--(ISNUMBER(SEARCH($A83,'Diags Raw Data'!$A$6:$A$3766))),--('Diags Raw Data'!$Q$6:$Q$3766&lt;&gt;"N/A"),'Diags Raw Data'!$T$6:$T$3766)+SUMPRODUCT(--(ISNUMBER(SEARCH($A83,'Diags Raw Data'!$A$6:$A$3766))),--('Diags Raw Data'!$Q$6:$Q$3766&lt;&gt;"N/A"),'Diags Raw Data'!$U$6:$U$3766)</f>
        <v>4</v>
      </c>
      <c r="N83" s="434" cm="1">
        <f t="array" ref="N83">SUMPRODUCT(--(ISNUMBER(SEARCH($A83,'Diags Raw Data'!$A$6:$A$3766))),--('Diags Raw Data'!$Q$6:$Q$3766&lt;&gt;"N/A"),'Diags Raw Data'!$T$6:$T$3766)+SUMPRODUCT(--(ISNUMBER(SEARCH($A83,'Diags Raw Data'!$A$6:$A$3766))),--('Diags Raw Data'!$Q$6:$Q$3766&lt;&gt;"N/A"),'Diags Raw Data'!$U$6:$U$3766)</f>
        <v>4</v>
      </c>
      <c r="O83" s="435">
        <f t="shared" si="24"/>
        <v>1</v>
      </c>
      <c r="P83" s="436">
        <f>SUMIF('Diags Raw Data'!$A$6:$A$3766,"*"&amp;$A83&amp;"*",'Diags Raw Data'!$Z$6:$Z$3766)</f>
        <v>4</v>
      </c>
      <c r="Q83" s="437">
        <f>SUM(SUMIF('Diags Raw Data'!$A$6:$A$3766,"*"&amp;$A83&amp;"*",'Diags Raw Data'!$AA$6:$AA$3766),SUMIF('Diags Raw Data'!$A$6:$A$3766,"*"&amp;$A83&amp;"*",'Diags Raw Data'!$AB$6:$AB$3766))</f>
        <v>4</v>
      </c>
      <c r="R83" s="438">
        <f t="shared" si="25"/>
        <v>4</v>
      </c>
      <c r="S83" s="438">
        <f t="shared" si="26"/>
        <v>1</v>
      </c>
      <c r="T83" s="439">
        <f t="shared" si="27"/>
        <v>4</v>
      </c>
      <c r="U83" s="414"/>
      <c r="V83" s="181"/>
    </row>
    <row r="84" spans="1:22" ht="15.75" thickBot="1" x14ac:dyDescent="0.3">
      <c r="A84" s="321" t="s">
        <v>678</v>
      </c>
      <c r="B84" s="407" t="str">
        <f>VLOOKUP(A84,'Feature Raw Data'!$A$3:$B$3847,2,FALSE)</f>
        <v>WS.CDL.CH.Downcaching</v>
      </c>
      <c r="C84" s="408" t="str">
        <f>VLOOKUP(A84,'Feature Raw Data'!$A$3:$C$3929,3,FALSE)</f>
        <v>P4</v>
      </c>
      <c r="D84" s="409" t="str" cm="1">
        <f t="array" ref="D84">_xlfn.TEXTJOIN("",TRUE,IF(ISNUMBER(SEARCH($A84,'Diags Raw Data'!$A$6:$A$3768)),CONCATENATE('Diags Raw Data'!$H$6:$H$3768,", "),""))</f>
        <v xml:space="preserve">Manual_test, </v>
      </c>
      <c r="E84" s="410" t="str">
        <f>VLOOKUP(A84,'Diags Raw Data'!$A$6:$D$3768,4,FALSE)</f>
        <v>CH-06</v>
      </c>
      <c r="F84" s="410" t="str">
        <f>VLOOKUP(A84,'Feature Raw Data'!$A$3:$E$3847,5,FALSE)</f>
        <v>Legacy</v>
      </c>
      <c r="G84" s="410" t="str">
        <f t="shared" si="28"/>
        <v>Yes</v>
      </c>
      <c r="H84" s="410" t="str">
        <f t="shared" si="29"/>
        <v>Yes</v>
      </c>
      <c r="I84" s="412">
        <f>SUMIF('Diags Raw Data'!$A$6:$A$3768,"*"&amp;$A84&amp;"*",'Diags Raw Data'!$K$6:$K$3768)</f>
        <v>0</v>
      </c>
      <c r="J84" s="413">
        <f>SUMIF('Diags Raw Data'!$A$6:$A$3768,"*"&amp;$A84&amp;"*",'Diags Raw Data'!$L$6:$L$3768)</f>
        <v>1</v>
      </c>
      <c r="K84" s="432" cm="1">
        <f t="array" ref="K84">IF(D84="",0, SUMPRODUCT(--(ISNUMBER(SEARCH($A84,'Diags Raw Data'!$A$6:$A$3766))),'Diags Raw Data'!$L$6:$L$3766,'Diags Raw Data'!$N$6:$N$3766)/J84)</f>
        <v>1</v>
      </c>
      <c r="L84" s="433" cm="1">
        <f t="array" ref="L84">IF(D84="",0, SUMPRODUCT(--(ISNUMBER(SEARCH($A84,'Diags Raw Data'!$A$6:$A$3766))),'Diags Raw Data'!$L$6:$L$3766,'Diags Raw Data'!$P$6:$P$3766)/J84)</f>
        <v>1</v>
      </c>
      <c r="M84" s="434" cm="1">
        <f t="array" ref="M84">SUMPRODUCT(--(ISNUMBER(SEARCH($A84,'Diags Raw Data'!$A$6:$A$3766))),--('Diags Raw Data'!$Q$6:$Q$3766&lt;&gt;"N/A"),'Diags Raw Data'!$T$6:$T$3766)+SUMPRODUCT(--(ISNUMBER(SEARCH($A84,'Diags Raw Data'!$A$6:$A$3766))),--('Diags Raw Data'!$Q$6:$Q$3766&lt;&gt;"N/A"),'Diags Raw Data'!$U$6:$U$3766)</f>
        <v>0</v>
      </c>
      <c r="N84" s="434" cm="1">
        <f t="array" ref="N84">SUMPRODUCT(--(ISNUMBER(SEARCH($A84,'Diags Raw Data'!$A$6:$A$3766))),--('Diags Raw Data'!$Q$6:$Q$3766&lt;&gt;"N/A"),'Diags Raw Data'!$T$6:$T$3766)+SUMPRODUCT(--(ISNUMBER(SEARCH($A84,'Diags Raw Data'!$A$6:$A$3766))),--('Diags Raw Data'!$Q$6:$Q$3766&lt;&gt;"N/A"),'Diags Raw Data'!$U$6:$U$3766)</f>
        <v>0</v>
      </c>
      <c r="O84" s="435">
        <f t="shared" si="24"/>
        <v>0</v>
      </c>
      <c r="P84" s="436">
        <f>SUMIF('Diags Raw Data'!$A$6:$A$3766,"*"&amp;$A84&amp;"*",'Diags Raw Data'!$Z$6:$Z$3766)</f>
        <v>0</v>
      </c>
      <c r="Q84" s="437">
        <f>SUM(SUMIF('Diags Raw Data'!$A$6:$A$3766,"*"&amp;$A84&amp;"*",'Diags Raw Data'!$AA$6:$AA$3766),SUMIF('Diags Raw Data'!$A$6:$A$3766,"*"&amp;$A84&amp;"*",'Diags Raw Data'!$AB$6:$AB$3766))</f>
        <v>0</v>
      </c>
      <c r="R84" s="438">
        <f t="shared" si="25"/>
        <v>0</v>
      </c>
      <c r="S84" s="438">
        <f t="shared" si="26"/>
        <v>0</v>
      </c>
      <c r="T84" s="439">
        <f t="shared" si="27"/>
        <v>0</v>
      </c>
      <c r="U84" s="414" t="s">
        <v>1017</v>
      </c>
      <c r="V84" s="181"/>
    </row>
    <row r="85" spans="1:22" ht="75.75" thickBot="1" x14ac:dyDescent="0.3">
      <c r="A85" s="321" t="s">
        <v>683</v>
      </c>
      <c r="B85" s="407" t="str">
        <f>VLOOKUP(A85,'Feature Raw Data'!$A$3:$B$3847,2,FALSE)</f>
        <v>WS.CDL.Core.Ucode.Func.QualityOfService</v>
      </c>
      <c r="C85" s="408" t="str">
        <f>VLOOKUP(A85,'Feature Raw Data'!$A$3:$C$3929,3,FALSE)</f>
        <v>P4</v>
      </c>
      <c r="D85" s="409" t="str" cm="1">
        <f t="array" ref="D85">_xlfn.TEXTJOIN("",TRUE,IF(ISNUMBER(SEARCH($A85,'Diags Raw Data'!$A$6:$A$3768)),CONCATENATE('Diags Raw Data'!$H$6:$H$3768,", "),""))</f>
        <v xml:space="preserve">UC01_Qos.stf, </v>
      </c>
      <c r="E85" s="410" t="str">
        <f>VLOOKUP(A85,'Diags Raw Data'!$A$6:$D$3768,4,FALSE)</f>
        <v>UC-07</v>
      </c>
      <c r="F85" s="410" t="str">
        <f>VLOOKUP(A85,'Feature Raw Data'!$A$3:$E$3847,5,FALSE)</f>
        <v>Legacy</v>
      </c>
      <c r="G85" s="410" t="str">
        <f t="shared" si="28"/>
        <v>Yes</v>
      </c>
      <c r="H85" s="410" t="str">
        <f t="shared" si="29"/>
        <v>Yes</v>
      </c>
      <c r="I85" s="412">
        <f>SUMIF('Diags Raw Data'!$A$6:$A$3768,"*"&amp;$A85&amp;"*",'Diags Raw Data'!$K$6:$K$3768)</f>
        <v>1</v>
      </c>
      <c r="J85" s="413">
        <f>SUMIF('Diags Raw Data'!$A$6:$A$3768,"*"&amp;$A85&amp;"*",'Diags Raw Data'!$L$6:$L$3768)</f>
        <v>1</v>
      </c>
      <c r="K85" s="432" cm="1">
        <f t="array" ref="K85">IF(D85="",0, SUMPRODUCT(--(ISNUMBER(SEARCH($A85,'Diags Raw Data'!$A$6:$A$3766))),'Diags Raw Data'!$L$6:$L$3766,'Diags Raw Data'!$N$6:$N$3766)/J85)</f>
        <v>1</v>
      </c>
      <c r="L85" s="433" cm="1">
        <f t="array" ref="L85">IF(D85="",0, SUMPRODUCT(--(ISNUMBER(SEARCH($A85,'Diags Raw Data'!$A$6:$A$3766))),'Diags Raw Data'!$L$6:$L$3766,'Diags Raw Data'!$P$6:$P$3766)/J85)</f>
        <v>1</v>
      </c>
      <c r="M85" s="434" cm="1">
        <f t="array" ref="M85">SUMPRODUCT(--(ISNUMBER(SEARCH($A85,'Diags Raw Data'!$A$6:$A$3766))),--('Diags Raw Data'!$Q$6:$Q$3766&lt;&gt;"N/A"),'Diags Raw Data'!$T$6:$T$3766)+SUMPRODUCT(--(ISNUMBER(SEARCH($A85,'Diags Raw Data'!$A$6:$A$3766))),--('Diags Raw Data'!$Q$6:$Q$3766&lt;&gt;"N/A"),'Diags Raw Data'!$U$6:$U$3766)</f>
        <v>0</v>
      </c>
      <c r="N85" s="434" cm="1">
        <f t="array" ref="N85">SUMPRODUCT(--(ISNUMBER(SEARCH($A85,'Diags Raw Data'!$A$6:$A$3766))),--('Diags Raw Data'!$Q$6:$Q$3766&lt;&gt;"N/A"),'Diags Raw Data'!$T$6:$T$3766)+SUMPRODUCT(--(ISNUMBER(SEARCH($A85,'Diags Raw Data'!$A$6:$A$3766))),--('Diags Raw Data'!$Q$6:$Q$3766&lt;&gt;"N/A"),'Diags Raw Data'!$U$6:$U$3766)</f>
        <v>0</v>
      </c>
      <c r="O85" s="435">
        <f t="shared" si="24"/>
        <v>0</v>
      </c>
      <c r="P85" s="436">
        <f>SUMIF('Diags Raw Data'!$A$6:$A$3766,"*"&amp;$A85&amp;"*",'Diags Raw Data'!$Z$6:$Z$3766)</f>
        <v>0</v>
      </c>
      <c r="Q85" s="437">
        <f>SUM(SUMIF('Diags Raw Data'!$A$6:$A$3766,"*"&amp;$A85&amp;"*",'Diags Raw Data'!$AA$6:$AA$3766),SUMIF('Diags Raw Data'!$A$6:$A$3766,"*"&amp;$A85&amp;"*",'Diags Raw Data'!$AB$6:$AB$3766))</f>
        <v>0</v>
      </c>
      <c r="R85" s="438">
        <f t="shared" si="25"/>
        <v>0</v>
      </c>
      <c r="S85" s="438">
        <f t="shared" si="26"/>
        <v>0</v>
      </c>
      <c r="T85" s="439">
        <f t="shared" si="27"/>
        <v>0</v>
      </c>
      <c r="U85" s="414" t="s">
        <v>1015</v>
      </c>
      <c r="V85" s="181"/>
    </row>
    <row r="86" spans="1:22" ht="75.75" thickBot="1" x14ac:dyDescent="0.3">
      <c r="A86" s="321" t="s">
        <v>692</v>
      </c>
      <c r="B86" s="407" t="str">
        <f>VLOOKUP(A86,'Feature Raw Data'!$A$3:$B$3847,2,FALSE)</f>
        <v>WS.CDL.Ucode.Setcnt</v>
      </c>
      <c r="C86" s="408" t="str">
        <f>VLOOKUP(A86,'Feature Raw Data'!$A$3:$C$3929,3,FALSE)</f>
        <v>P4</v>
      </c>
      <c r="D86" s="409" t="str" cm="1">
        <f t="array" ref="D86">_xlfn.TEXTJOIN("",TRUE,IF(ISNUMBER(SEARCH($A86,'Diags Raw Data'!$A$6:$A$3768)),CONCATENATE('Diags Raw Data'!$H$6:$H$3768,", "),""))</f>
        <v xml:space="preserve">st279_gnb0_gna0_vmr_compat_setcnt.yml.1-500, </v>
      </c>
      <c r="E86" s="410" t="str">
        <f>VLOOKUP(A86,'Diags Raw Data'!$A$6:$D$3768,4,FALSE)</f>
        <v>UC-07</v>
      </c>
      <c r="F86" s="410" t="str">
        <f>VLOOKUP(A86,'Feature Raw Data'!$A$3:$E$3847,5,FALSE)</f>
        <v>Delta</v>
      </c>
      <c r="G86" s="410" t="str">
        <f t="shared" si="28"/>
        <v>Yes</v>
      </c>
      <c r="H86" s="410" t="str">
        <f t="shared" si="29"/>
        <v>Yes</v>
      </c>
      <c r="I86" s="412">
        <f>SUMIF('Diags Raw Data'!$A$6:$A$3768,"*"&amp;$A86&amp;"*",'Diags Raw Data'!$K$6:$K$3768)</f>
        <v>1</v>
      </c>
      <c r="J86" s="413">
        <f>SUMIF('Diags Raw Data'!$A$6:$A$3768,"*"&amp;$A86&amp;"*",'Diags Raw Data'!$L$6:$L$3768)</f>
        <v>1</v>
      </c>
      <c r="K86" s="432" cm="1">
        <f t="array" ref="K86">IF(D86="",0, SUMPRODUCT(--(ISNUMBER(SEARCH($A86,'Diags Raw Data'!$A$6:$A$3766))),'Diags Raw Data'!$L$6:$L$3766,'Diags Raw Data'!$N$6:$N$3766)/J86)</f>
        <v>1</v>
      </c>
      <c r="L86" s="433" cm="1">
        <f t="array" ref="L86">IF(D86="",0, SUMPRODUCT(--(ISNUMBER(SEARCH($A86,'Diags Raw Data'!$A$6:$A$3766))),'Diags Raw Data'!$L$6:$L$3766,'Diags Raw Data'!$P$6:$P$3766)/J86)</f>
        <v>1</v>
      </c>
      <c r="M86" s="434" cm="1">
        <f t="array" ref="M86">SUMPRODUCT(--(ISNUMBER(SEARCH($A86,'Diags Raw Data'!$A$6:$A$3766))),--('Diags Raw Data'!$Q$6:$Q$3766&lt;&gt;"N/A"),'Diags Raw Data'!$T$6:$T$3766)+SUMPRODUCT(--(ISNUMBER(SEARCH($A86,'Diags Raw Data'!$A$6:$A$3766))),--('Diags Raw Data'!$Q$6:$Q$3766&lt;&gt;"N/A"),'Diags Raw Data'!$U$6:$U$3766)</f>
        <v>0</v>
      </c>
      <c r="N86" s="434" cm="1">
        <f t="array" ref="N86">SUMPRODUCT(--(ISNUMBER(SEARCH($A86,'Diags Raw Data'!$A$6:$A$3766))),--('Diags Raw Data'!$Q$6:$Q$3766&lt;&gt;"N/A"),'Diags Raw Data'!$T$6:$T$3766)+SUMPRODUCT(--(ISNUMBER(SEARCH($A86,'Diags Raw Data'!$A$6:$A$3766))),--('Diags Raw Data'!$Q$6:$Q$3766&lt;&gt;"N/A"),'Diags Raw Data'!$U$6:$U$3766)</f>
        <v>0</v>
      </c>
      <c r="O86" s="435">
        <f t="shared" si="24"/>
        <v>0</v>
      </c>
      <c r="P86" s="436">
        <f>SUMIF('Diags Raw Data'!$A$6:$A$3766,"*"&amp;$A86&amp;"*",'Diags Raw Data'!$Z$6:$Z$3766)</f>
        <v>0</v>
      </c>
      <c r="Q86" s="437">
        <f>SUM(SUMIF('Diags Raw Data'!$A$6:$A$3766,"*"&amp;$A86&amp;"*",'Diags Raw Data'!$AA$6:$AA$3766),SUMIF('Diags Raw Data'!$A$6:$A$3766,"*"&amp;$A86&amp;"*",'Diags Raw Data'!$AB$6:$AB$3766))</f>
        <v>0</v>
      </c>
      <c r="R86" s="438">
        <f t="shared" si="25"/>
        <v>0</v>
      </c>
      <c r="S86" s="438">
        <f t="shared" si="26"/>
        <v>0</v>
      </c>
      <c r="T86" s="439">
        <f t="shared" si="27"/>
        <v>0</v>
      </c>
      <c r="U86" s="414" t="s">
        <v>1015</v>
      </c>
      <c r="V86" s="181"/>
    </row>
    <row r="87" spans="1:22" ht="75.75" thickBot="1" x14ac:dyDescent="0.3">
      <c r="A87" s="321" t="s">
        <v>695</v>
      </c>
      <c r="B87" s="407" t="str">
        <f>VLOOKUP(A87,'Feature Raw Data'!$A$3:$B$3847,2,FALSE)</f>
        <v>WS.CDL.Ucode.ChangeApicIDAssignment</v>
      </c>
      <c r="C87" s="408" t="str">
        <f>VLOOKUP(A87,'Feature Raw Data'!$A$3:$C$3929,3,FALSE)</f>
        <v>P4</v>
      </c>
      <c r="D87" s="409" t="str" cm="1">
        <f t="array" ref="D87">_xlfn.TEXTJOIN("",TRUE,IF(ISNUMBER(SEARCH($A87,'Diags Raw Data'!$A$6:$A$3768)),CONCATENATE('Diags Raw Data'!$H$6:$H$3768,", "),""))</f>
        <v xml:space="preserve">Manual  or CDL, </v>
      </c>
      <c r="E87" s="410" t="str">
        <f>VLOOKUP(A87,'Diags Raw Data'!$A$6:$D$3768,4,FALSE)</f>
        <v>UC-07</v>
      </c>
      <c r="F87" s="410" t="str">
        <f>VLOOKUP(A87,'Feature Raw Data'!$A$3:$E$3847,5,FALSE)</f>
        <v>Legacy</v>
      </c>
      <c r="G87" s="410" t="str">
        <f t="shared" si="28"/>
        <v>Yes</v>
      </c>
      <c r="H87" s="410" t="str">
        <f t="shared" si="29"/>
        <v>Yes</v>
      </c>
      <c r="I87" s="412">
        <f>SUMIF('Diags Raw Data'!$A$6:$A$3768,"*"&amp;$A87&amp;"*",'Diags Raw Data'!$K$6:$K$3768)</f>
        <v>1</v>
      </c>
      <c r="J87" s="413">
        <f>SUMIF('Diags Raw Data'!$A$6:$A$3768,"*"&amp;$A87&amp;"*",'Diags Raw Data'!$L$6:$L$3768)</f>
        <v>1</v>
      </c>
      <c r="K87" s="432" cm="1">
        <f t="array" ref="K87">IF(D87="",0, SUMPRODUCT(--(ISNUMBER(SEARCH($A87,'Diags Raw Data'!$A$6:$A$3766))),'Diags Raw Data'!$L$6:$L$3766,'Diags Raw Data'!$N$6:$N$3766)/J87)</f>
        <v>1</v>
      </c>
      <c r="L87" s="433" cm="1">
        <f t="array" ref="L87">IF(D87="",0, SUMPRODUCT(--(ISNUMBER(SEARCH($A87,'Diags Raw Data'!$A$6:$A$3766))),'Diags Raw Data'!$L$6:$L$3766,'Diags Raw Data'!$P$6:$P$3766)/J87)</f>
        <v>1</v>
      </c>
      <c r="M87" s="434" cm="1">
        <f t="array" ref="M87">SUMPRODUCT(--(ISNUMBER(SEARCH($A87,'Diags Raw Data'!$A$6:$A$3766))),--('Diags Raw Data'!$Q$6:$Q$3766&lt;&gt;"N/A"),'Diags Raw Data'!$T$6:$T$3766)+SUMPRODUCT(--(ISNUMBER(SEARCH($A87,'Diags Raw Data'!$A$6:$A$3766))),--('Diags Raw Data'!$Q$6:$Q$3766&lt;&gt;"N/A"),'Diags Raw Data'!$U$6:$U$3766)</f>
        <v>1</v>
      </c>
      <c r="N87" s="434" cm="1">
        <f t="array" ref="N87">SUMPRODUCT(--(ISNUMBER(SEARCH($A87,'Diags Raw Data'!$A$6:$A$3766))),--('Diags Raw Data'!$Q$6:$Q$3766&lt;&gt;"N/A"),'Diags Raw Data'!$T$6:$T$3766)+SUMPRODUCT(--(ISNUMBER(SEARCH($A87,'Diags Raw Data'!$A$6:$A$3766))),--('Diags Raw Data'!$Q$6:$Q$3766&lt;&gt;"N/A"),'Diags Raw Data'!$U$6:$U$3766)</f>
        <v>1</v>
      </c>
      <c r="O87" s="435">
        <f t="shared" si="24"/>
        <v>1</v>
      </c>
      <c r="P87" s="436">
        <f>SUMIF('Diags Raw Data'!$A$6:$A$3766,"*"&amp;$A87&amp;"*",'Diags Raw Data'!$Z$6:$Z$3766)</f>
        <v>1</v>
      </c>
      <c r="Q87" s="437">
        <f>SUM(SUMIF('Diags Raw Data'!$A$6:$A$3766,"*"&amp;$A87&amp;"*",'Diags Raw Data'!$AA$6:$AA$3766),SUMIF('Diags Raw Data'!$A$6:$A$3766,"*"&amp;$A87&amp;"*",'Diags Raw Data'!$AB$6:$AB$3766))</f>
        <v>1</v>
      </c>
      <c r="R87" s="438">
        <f t="shared" si="25"/>
        <v>1</v>
      </c>
      <c r="S87" s="438">
        <f t="shared" si="26"/>
        <v>1</v>
      </c>
      <c r="T87" s="439">
        <f t="shared" si="27"/>
        <v>1</v>
      </c>
      <c r="U87" s="414" t="s">
        <v>1015</v>
      </c>
      <c r="V87" s="181"/>
    </row>
    <row r="88" spans="1:22" ht="66.75" customHeight="1" thickBot="1" x14ac:dyDescent="0.3">
      <c r="A88" s="321" t="s">
        <v>701</v>
      </c>
      <c r="B88" s="407" t="str">
        <f>VLOOKUP(A88,'Feature Raw Data'!$A$3:$B$3847,2,FALSE)</f>
        <v>WS.CDL.Ucode.RdrandRdseed</v>
      </c>
      <c r="C88" s="408" t="str">
        <f>VLOOKUP(A88,'Feature Raw Data'!$A$3:$C$3929,3,FALSE)</f>
        <v>P1</v>
      </c>
      <c r="D88" s="409" t="str" cm="1">
        <f t="array" ref="D88">_xlfn.TEXTJOIN("",TRUE,IF(ISNUMBER(SEARCH($A88,'Diags Raw Data'!$A$6:$A$3768)),CONCATENATE('Diags Raw Data'!$H$6:$H$3768,", "),""))</f>
        <v xml:space="preserve">Core_RDRAND_Exerciser.stf
Core_RDSEED_Exerciser.stf 
With Manual verification of Key/Value/Entropy fiedls for each HW thread. Use Ruby Script read_rdrand_kve_hdt.rb periodicaly to read Key/Value/Entropy fileds.1-2, </v>
      </c>
      <c r="E88" s="410" t="str">
        <f>VLOOKUP(A88,'Diags Raw Data'!$A$6:$D$3768,4,FALSE)</f>
        <v>UC-07</v>
      </c>
      <c r="F88" s="410" t="str">
        <f>VLOOKUP(A88,'Feature Raw Data'!$A$3:$E$3847,5,FALSE)</f>
        <v>Legacy</v>
      </c>
      <c r="G88" s="410" t="str">
        <f t="shared" si="28"/>
        <v>Yes</v>
      </c>
      <c r="H88" s="410" t="str">
        <f t="shared" si="29"/>
        <v>Yes</v>
      </c>
      <c r="I88" s="412">
        <f>SUMIF('Diags Raw Data'!$A$6:$A$3768,"*"&amp;$A88&amp;"*",'Diags Raw Data'!$K$6:$K$3768)</f>
        <v>1</v>
      </c>
      <c r="J88" s="413">
        <f>SUMIF('Diags Raw Data'!$A$6:$A$3768,"*"&amp;$A88&amp;"*",'Diags Raw Data'!$L$6:$L$3768)</f>
        <v>1</v>
      </c>
      <c r="K88" s="432" cm="1">
        <f t="array" ref="K88">IF(D88="",0, SUMPRODUCT(--(ISNUMBER(SEARCH($A88,'Diags Raw Data'!$A$6:$A$3766))),'Diags Raw Data'!$L$6:$L$3766,'Diags Raw Data'!$N$6:$N$3766)/J88)</f>
        <v>1</v>
      </c>
      <c r="L88" s="433" cm="1">
        <f t="array" ref="L88">IF(D88="",0, SUMPRODUCT(--(ISNUMBER(SEARCH($A88,'Diags Raw Data'!$A$6:$A$3766))),'Diags Raw Data'!$L$6:$L$3766,'Diags Raw Data'!$P$6:$P$3766)/J88)</f>
        <v>1</v>
      </c>
      <c r="M88" s="434" cm="1">
        <f t="array" ref="M88">SUMPRODUCT(--(ISNUMBER(SEARCH($A88,'Diags Raw Data'!$A$6:$A$3766))),--('Diags Raw Data'!$Q$6:$Q$3766&lt;&gt;"N/A"),'Diags Raw Data'!$T$6:$T$3766)+SUMPRODUCT(--(ISNUMBER(SEARCH($A88,'Diags Raw Data'!$A$6:$A$3766))),--('Diags Raw Data'!$Q$6:$Q$3766&lt;&gt;"N/A"),'Diags Raw Data'!$U$6:$U$3766)</f>
        <v>2</v>
      </c>
      <c r="N88" s="434" cm="1">
        <f t="array" ref="N88">SUMPRODUCT(--(ISNUMBER(SEARCH($A88,'Diags Raw Data'!$A$6:$A$3766))),--('Diags Raw Data'!$Q$6:$Q$3766&lt;&gt;"N/A"),'Diags Raw Data'!$T$6:$T$3766)+SUMPRODUCT(--(ISNUMBER(SEARCH($A88,'Diags Raw Data'!$A$6:$A$3766))),--('Diags Raw Data'!$Q$6:$Q$3766&lt;&gt;"N/A"),'Diags Raw Data'!$U$6:$U$3766)</f>
        <v>2</v>
      </c>
      <c r="O88" s="435">
        <f t="shared" si="24"/>
        <v>1</v>
      </c>
      <c r="P88" s="436">
        <f>SUMIF('Diags Raw Data'!$A$6:$A$3766,"*"&amp;$A88&amp;"*",'Diags Raw Data'!$Z$6:$Z$3766)</f>
        <v>2</v>
      </c>
      <c r="Q88" s="437">
        <f>SUM(SUMIF('Diags Raw Data'!$A$6:$A$3766,"*"&amp;$A88&amp;"*",'Diags Raw Data'!$AA$6:$AA$3766),SUMIF('Diags Raw Data'!$A$6:$A$3766,"*"&amp;$A88&amp;"*",'Diags Raw Data'!$AB$6:$AB$3766))</f>
        <v>2</v>
      </c>
      <c r="R88" s="438">
        <f t="shared" si="25"/>
        <v>2</v>
      </c>
      <c r="S88" s="438">
        <f t="shared" si="26"/>
        <v>1</v>
      </c>
      <c r="T88" s="439">
        <f t="shared" si="27"/>
        <v>2</v>
      </c>
      <c r="U88" s="414"/>
      <c r="V88" s="181"/>
    </row>
    <row r="89" spans="1:22" ht="30.75" thickBot="1" x14ac:dyDescent="0.3">
      <c r="A89" s="321" t="s">
        <v>705</v>
      </c>
      <c r="B89" s="407" t="str">
        <f>VLOOKUP(A89,'Feature Raw Data'!$A$3:$B$3847,2,FALSE)</f>
        <v>WS.CDL.Apic.Local_APIC_Fixed_Interrupts</v>
      </c>
      <c r="C89" s="408" t="str">
        <f>VLOOKUP(A89,'Feature Raw Data'!$A$3:$C$3929,3,FALSE)</f>
        <v>P1</v>
      </c>
      <c r="D89" s="409" t="str" cm="1">
        <f t="array" ref="D89">_xlfn.TEXTJOIN("",TRUE,IF(ISNUMBER(SEARCH($A89,'Diags Raw Data'!$A$6:$A$3768)),CONCATENATE('Diags Raw Data'!$H$6:$H$3768,", "),""))</f>
        <v xml:space="preserve">Local_APIC_Fixed_Interrupts.stf, </v>
      </c>
      <c r="E89" s="410" t="str">
        <f>VLOOKUP(A89,'Diags Raw Data'!$A$6:$D$3768,4,FALSE)</f>
        <v>APIC-10</v>
      </c>
      <c r="F89" s="410" t="str">
        <f>VLOOKUP(A89,'Feature Raw Data'!$A$3:$E$3847,5,FALSE)</f>
        <v>Legacy</v>
      </c>
      <c r="G89" s="410" t="str">
        <f t="shared" si="28"/>
        <v>Yes</v>
      </c>
      <c r="H89" s="410" t="str">
        <f t="shared" si="29"/>
        <v>Yes</v>
      </c>
      <c r="I89" s="412">
        <f>SUMIF('Diags Raw Data'!$A$6:$A$3768,"*"&amp;$A89&amp;"*",'Diags Raw Data'!$K$6:$K$3768)</f>
        <v>1</v>
      </c>
      <c r="J89" s="413">
        <f>SUMIF('Diags Raw Data'!$A$6:$A$3768,"*"&amp;$A89&amp;"*",'Diags Raw Data'!$L$6:$L$3768)</f>
        <v>1</v>
      </c>
      <c r="K89" s="432" cm="1">
        <f t="array" ref="K89">IF(D89="",0, SUMPRODUCT(--(ISNUMBER(SEARCH($A89,'Diags Raw Data'!$A$6:$A$3766))),'Diags Raw Data'!$L$6:$L$3766,'Diags Raw Data'!$N$6:$N$3766)/J89)</f>
        <v>1</v>
      </c>
      <c r="L89" s="433" cm="1">
        <f t="array" ref="L89">IF(D89="",0, SUMPRODUCT(--(ISNUMBER(SEARCH($A89,'Diags Raw Data'!$A$6:$A$3766))),'Diags Raw Data'!$L$6:$L$3766,'Diags Raw Data'!$P$6:$P$3766)/J89)</f>
        <v>1</v>
      </c>
      <c r="M89" s="434" cm="1">
        <f t="array" ref="M89">SUMPRODUCT(--(ISNUMBER(SEARCH($A89,'Diags Raw Data'!$A$6:$A$3766))),--('Diags Raw Data'!$Q$6:$Q$3766&lt;&gt;"N/A"),'Diags Raw Data'!$T$6:$T$3766)+SUMPRODUCT(--(ISNUMBER(SEARCH($A89,'Diags Raw Data'!$A$6:$A$3766))),--('Diags Raw Data'!$Q$6:$Q$3766&lt;&gt;"N/A"),'Diags Raw Data'!$U$6:$U$3766)</f>
        <v>1</v>
      </c>
      <c r="N89" s="434" cm="1">
        <f t="array" ref="N89">SUMPRODUCT(--(ISNUMBER(SEARCH($A89,'Diags Raw Data'!$A$6:$A$3766))),--('Diags Raw Data'!$Q$6:$Q$3766&lt;&gt;"N/A"),'Diags Raw Data'!$T$6:$T$3766)+SUMPRODUCT(--(ISNUMBER(SEARCH($A89,'Diags Raw Data'!$A$6:$A$3766))),--('Diags Raw Data'!$Q$6:$Q$3766&lt;&gt;"N/A"),'Diags Raw Data'!$U$6:$U$3766)</f>
        <v>1</v>
      </c>
      <c r="O89" s="435">
        <f t="shared" si="24"/>
        <v>1</v>
      </c>
      <c r="P89" s="436">
        <f>SUMIF('Diags Raw Data'!$A$6:$A$3766,"*"&amp;$A89&amp;"*",'Diags Raw Data'!$Z$6:$Z$3766)</f>
        <v>1</v>
      </c>
      <c r="Q89" s="437">
        <f>SUM(SUMIF('Diags Raw Data'!$A$6:$A$3766,"*"&amp;$A89&amp;"*",'Diags Raw Data'!$AA$6:$AA$3766),SUMIF('Diags Raw Data'!$A$6:$A$3766,"*"&amp;$A89&amp;"*",'Diags Raw Data'!$AB$6:$AB$3766))</f>
        <v>1</v>
      </c>
      <c r="R89" s="438">
        <f t="shared" si="25"/>
        <v>1</v>
      </c>
      <c r="S89" s="438">
        <f t="shared" si="26"/>
        <v>1</v>
      </c>
      <c r="T89" s="439">
        <f t="shared" si="27"/>
        <v>1</v>
      </c>
      <c r="U89" s="414"/>
      <c r="V89" s="181"/>
    </row>
    <row r="90" spans="1:22" ht="75.75" thickBot="1" x14ac:dyDescent="0.3">
      <c r="A90" s="321" t="s">
        <v>712</v>
      </c>
      <c r="B90" s="407" t="str">
        <f>VLOOKUP(A90,'Feature Raw Data'!$A$3:$B$3847,2,FALSE)</f>
        <v>WS.CDL.Apic.Local_APIC_Lowest_Priority_Interrupts</v>
      </c>
      <c r="C90" s="408" t="str">
        <f>VLOOKUP(A90,'Feature Raw Data'!$A$3:$C$3929,3,FALSE)</f>
        <v>P2</v>
      </c>
      <c r="D90" s="409" t="str" cm="1">
        <f t="array" ref="D90">_xlfn.TEXTJOIN("",TRUE,IF(ISNUMBER(SEARCH($A90,'Diags Raw Data'!$A$6:$A$3768)),CONCATENATE('Diags Raw Data'!$H$6:$H$3768,", "),""))</f>
        <v xml:space="preserve">Local_APIC_Lowest_Priority_Interrupts.stf, </v>
      </c>
      <c r="E90" s="410" t="str">
        <f>VLOOKUP(A90,'Diags Raw Data'!$A$6:$D$3768,4,FALSE)</f>
        <v>APIC-10</v>
      </c>
      <c r="F90" s="410" t="str">
        <f>VLOOKUP(A90,'Feature Raw Data'!$A$3:$E$3847,5,FALSE)</f>
        <v>Legacy</v>
      </c>
      <c r="G90" s="410" t="str">
        <f t="shared" si="28"/>
        <v>Yes</v>
      </c>
      <c r="H90" s="410" t="str">
        <f t="shared" si="29"/>
        <v>Yes</v>
      </c>
      <c r="I90" s="412">
        <f>SUMIF('Diags Raw Data'!$A$6:$A$3768,"*"&amp;$A90&amp;"*",'Diags Raw Data'!$K$6:$K$3768)</f>
        <v>1</v>
      </c>
      <c r="J90" s="413">
        <f>SUMIF('Diags Raw Data'!$A$6:$A$3768,"*"&amp;$A90&amp;"*",'Diags Raw Data'!$L$6:$L$3768)</f>
        <v>1</v>
      </c>
      <c r="K90" s="432" cm="1">
        <f t="array" ref="K90">IF(D90="",0, SUMPRODUCT(--(ISNUMBER(SEARCH($A90,'Diags Raw Data'!$A$6:$A$3766))),'Diags Raw Data'!$L$6:$L$3766,'Diags Raw Data'!$N$6:$N$3766)/J90)</f>
        <v>1</v>
      </c>
      <c r="L90" s="433" cm="1">
        <f t="array" ref="L90">IF(D90="",0, SUMPRODUCT(--(ISNUMBER(SEARCH($A90,'Diags Raw Data'!$A$6:$A$3766))),'Diags Raw Data'!$L$6:$L$3766,'Diags Raw Data'!$P$6:$P$3766)/J90)</f>
        <v>1</v>
      </c>
      <c r="M90" s="434" cm="1">
        <f t="array" ref="M90">SUMPRODUCT(--(ISNUMBER(SEARCH($A90,'Diags Raw Data'!$A$6:$A$3766))),--('Diags Raw Data'!$Q$6:$Q$3766&lt;&gt;"N/A"),'Diags Raw Data'!$T$6:$T$3766)+SUMPRODUCT(--(ISNUMBER(SEARCH($A90,'Diags Raw Data'!$A$6:$A$3766))),--('Diags Raw Data'!$Q$6:$Q$3766&lt;&gt;"N/A"),'Diags Raw Data'!$U$6:$U$3766)</f>
        <v>0</v>
      </c>
      <c r="N90" s="434" cm="1">
        <f t="array" ref="N90">SUMPRODUCT(--(ISNUMBER(SEARCH($A90,'Diags Raw Data'!$A$6:$A$3766))),--('Diags Raw Data'!$Q$6:$Q$3766&lt;&gt;"N/A"),'Diags Raw Data'!$T$6:$T$3766)+SUMPRODUCT(--(ISNUMBER(SEARCH($A90,'Diags Raw Data'!$A$6:$A$3766))),--('Diags Raw Data'!$Q$6:$Q$3766&lt;&gt;"N/A"),'Diags Raw Data'!$U$6:$U$3766)</f>
        <v>0</v>
      </c>
      <c r="O90" s="435">
        <f t="shared" si="24"/>
        <v>0</v>
      </c>
      <c r="P90" s="436">
        <f>SUMIF('Diags Raw Data'!$A$6:$A$3766,"*"&amp;$A90&amp;"*",'Diags Raw Data'!$Z$6:$Z$3766)</f>
        <v>0</v>
      </c>
      <c r="Q90" s="437">
        <f>SUM(SUMIF('Diags Raw Data'!$A$6:$A$3766,"*"&amp;$A90&amp;"*",'Diags Raw Data'!$AA$6:$AA$3766),SUMIF('Diags Raw Data'!$A$6:$A$3766,"*"&amp;$A90&amp;"*",'Diags Raw Data'!$AB$6:$AB$3766))</f>
        <v>0</v>
      </c>
      <c r="R90" s="438">
        <f t="shared" si="25"/>
        <v>0</v>
      </c>
      <c r="S90" s="438">
        <f t="shared" si="26"/>
        <v>0</v>
      </c>
      <c r="T90" s="439">
        <f t="shared" si="27"/>
        <v>0</v>
      </c>
      <c r="U90" s="414" t="s">
        <v>1015</v>
      </c>
      <c r="V90" s="181"/>
    </row>
    <row r="91" spans="1:22" ht="30.75" thickBot="1" x14ac:dyDescent="0.3">
      <c r="A91" s="321" t="s">
        <v>718</v>
      </c>
      <c r="B91" s="407" t="str">
        <f>VLOOKUP(A91,'Feature Raw Data'!$A$3:$B$3847,2,FALSE)</f>
        <v>WS.CDL.Apic.Local_APIC_NMI_Check</v>
      </c>
      <c r="C91" s="408" t="str">
        <f>VLOOKUP(A91,'Feature Raw Data'!$A$3:$C$3929,3,FALSE)</f>
        <v>P1</v>
      </c>
      <c r="D91" s="409" t="str" cm="1">
        <f t="array" ref="D91">_xlfn.TEXTJOIN("",TRUE,IF(ISNUMBER(SEARCH($A91,'Diags Raw Data'!$A$6:$A$3768)),CONCATENATE('Diags Raw Data'!$H$6:$H$3768,", "),""))</f>
        <v xml:space="preserve">Local_APIC_NMI_Check.stf, </v>
      </c>
      <c r="E91" s="410" t="str">
        <f>VLOOKUP(A91,'Diags Raw Data'!$A$6:$D$3768,4,FALSE)</f>
        <v>APIC-10</v>
      </c>
      <c r="F91" s="410" t="str">
        <f>VLOOKUP(A91,'Feature Raw Data'!$A$3:$E$3847,5,FALSE)</f>
        <v>Legacy</v>
      </c>
      <c r="G91" s="410" t="str">
        <f t="shared" si="28"/>
        <v>Yes</v>
      </c>
      <c r="H91" s="410" t="str">
        <f t="shared" si="29"/>
        <v>Yes</v>
      </c>
      <c r="I91" s="412">
        <f>SUMIF('Diags Raw Data'!$A$6:$A$3768,"*"&amp;$A91&amp;"*",'Diags Raw Data'!$K$6:$K$3768)</f>
        <v>1</v>
      </c>
      <c r="J91" s="413">
        <f>SUMIF('Diags Raw Data'!$A$6:$A$3768,"*"&amp;$A91&amp;"*",'Diags Raw Data'!$L$6:$L$3768)</f>
        <v>1</v>
      </c>
      <c r="K91" s="432" cm="1">
        <f t="array" ref="K91">IF(D91="",0, SUMPRODUCT(--(ISNUMBER(SEARCH($A91,'Diags Raw Data'!$A$6:$A$3766))),'Diags Raw Data'!$L$6:$L$3766,'Diags Raw Data'!$N$6:$N$3766)/J91)</f>
        <v>1</v>
      </c>
      <c r="L91" s="433" cm="1">
        <f t="array" ref="L91">IF(D91="",0, SUMPRODUCT(--(ISNUMBER(SEARCH($A91,'Diags Raw Data'!$A$6:$A$3766))),'Diags Raw Data'!$L$6:$L$3766,'Diags Raw Data'!$P$6:$P$3766)/J91)</f>
        <v>1</v>
      </c>
      <c r="M91" s="434" cm="1">
        <f t="array" ref="M91">SUMPRODUCT(--(ISNUMBER(SEARCH($A91,'Diags Raw Data'!$A$6:$A$3766))),--('Diags Raw Data'!$Q$6:$Q$3766&lt;&gt;"N/A"),'Diags Raw Data'!$T$6:$T$3766)+SUMPRODUCT(--(ISNUMBER(SEARCH($A91,'Diags Raw Data'!$A$6:$A$3766))),--('Diags Raw Data'!$Q$6:$Q$3766&lt;&gt;"N/A"),'Diags Raw Data'!$U$6:$U$3766)</f>
        <v>1</v>
      </c>
      <c r="N91" s="434" cm="1">
        <f t="array" ref="N91">SUMPRODUCT(--(ISNUMBER(SEARCH($A91,'Diags Raw Data'!$A$6:$A$3766))),--('Diags Raw Data'!$Q$6:$Q$3766&lt;&gt;"N/A"),'Diags Raw Data'!$T$6:$T$3766)+SUMPRODUCT(--(ISNUMBER(SEARCH($A91,'Diags Raw Data'!$A$6:$A$3766))),--('Diags Raw Data'!$Q$6:$Q$3766&lt;&gt;"N/A"),'Diags Raw Data'!$U$6:$U$3766)</f>
        <v>1</v>
      </c>
      <c r="O91" s="435">
        <f t="shared" si="24"/>
        <v>1</v>
      </c>
      <c r="P91" s="436">
        <f>SUMIF('Diags Raw Data'!$A$6:$A$3766,"*"&amp;$A91&amp;"*",'Diags Raw Data'!$Z$6:$Z$3766)</f>
        <v>1</v>
      </c>
      <c r="Q91" s="437">
        <f>SUM(SUMIF('Diags Raw Data'!$A$6:$A$3766,"*"&amp;$A91&amp;"*",'Diags Raw Data'!$AA$6:$AA$3766),SUMIF('Diags Raw Data'!$A$6:$A$3766,"*"&amp;$A91&amp;"*",'Diags Raw Data'!$AB$6:$AB$3766))</f>
        <v>1</v>
      </c>
      <c r="R91" s="438">
        <f t="shared" si="25"/>
        <v>1</v>
      </c>
      <c r="S91" s="438">
        <f t="shared" si="26"/>
        <v>1</v>
      </c>
      <c r="T91" s="439">
        <f t="shared" si="27"/>
        <v>1</v>
      </c>
      <c r="U91" s="414"/>
      <c r="V91" s="181"/>
    </row>
    <row r="92" spans="1:22" ht="30.75" thickBot="1" x14ac:dyDescent="0.3">
      <c r="A92" s="321" t="s">
        <v>724</v>
      </c>
      <c r="B92" s="407" t="str">
        <f>VLOOKUP(A92,'Feature Raw Data'!$A$3:$B$3847,2,FALSE)</f>
        <v>WS.CDL.Apic.Local_APIC_SMI_Check</v>
      </c>
      <c r="C92" s="408" t="str">
        <f>VLOOKUP(A92,'Feature Raw Data'!$A$3:$C$3929,3,FALSE)</f>
        <v>P1</v>
      </c>
      <c r="D92" s="409" t="str" cm="1">
        <f t="array" ref="D92">_xlfn.TEXTJOIN("",TRUE,IF(ISNUMBER(SEARCH($A92,'Diags Raw Data'!$A$6:$A$3768)),CONCATENATE('Diags Raw Data'!$H$6:$H$3768,", "),""))</f>
        <v xml:space="preserve">Local_APIC_SMI_Check.stf, </v>
      </c>
      <c r="E92" s="410" t="str">
        <f>VLOOKUP(A92,'Diags Raw Data'!$A$6:$D$3768,4,FALSE)</f>
        <v>APIC-10</v>
      </c>
      <c r="F92" s="410" t="str">
        <f>VLOOKUP(A92,'Feature Raw Data'!$A$3:$E$3847,5,FALSE)</f>
        <v>Legacy</v>
      </c>
      <c r="G92" s="410" t="str">
        <f t="shared" si="28"/>
        <v>Yes</v>
      </c>
      <c r="H92" s="410" t="str">
        <f t="shared" si="29"/>
        <v>Yes</v>
      </c>
      <c r="I92" s="412">
        <f>SUMIF('Diags Raw Data'!$A$6:$A$3768,"*"&amp;$A92&amp;"*",'Diags Raw Data'!$K$6:$K$3768)</f>
        <v>1</v>
      </c>
      <c r="J92" s="413">
        <f>SUMIF('Diags Raw Data'!$A$6:$A$3768,"*"&amp;$A92&amp;"*",'Diags Raw Data'!$L$6:$L$3768)</f>
        <v>1</v>
      </c>
      <c r="K92" s="432" cm="1">
        <f t="array" ref="K92">IF(D92="",0, SUMPRODUCT(--(ISNUMBER(SEARCH($A92,'Diags Raw Data'!$A$6:$A$3766))),'Diags Raw Data'!$L$6:$L$3766,'Diags Raw Data'!$N$6:$N$3766)/J92)</f>
        <v>1</v>
      </c>
      <c r="L92" s="433" cm="1">
        <f t="array" ref="L92">IF(D92="",0, SUMPRODUCT(--(ISNUMBER(SEARCH($A92,'Diags Raw Data'!$A$6:$A$3766))),'Diags Raw Data'!$L$6:$L$3766,'Diags Raw Data'!$P$6:$P$3766)/J92)</f>
        <v>1</v>
      </c>
      <c r="M92" s="434" cm="1">
        <f t="array" ref="M92">SUMPRODUCT(--(ISNUMBER(SEARCH($A92,'Diags Raw Data'!$A$6:$A$3766))),--('Diags Raw Data'!$Q$6:$Q$3766&lt;&gt;"N/A"),'Diags Raw Data'!$T$6:$T$3766)+SUMPRODUCT(--(ISNUMBER(SEARCH($A92,'Diags Raw Data'!$A$6:$A$3766))),--('Diags Raw Data'!$Q$6:$Q$3766&lt;&gt;"N/A"),'Diags Raw Data'!$U$6:$U$3766)</f>
        <v>1</v>
      </c>
      <c r="N92" s="434" cm="1">
        <f t="array" ref="N92">SUMPRODUCT(--(ISNUMBER(SEARCH($A92,'Diags Raw Data'!$A$6:$A$3766))),--('Diags Raw Data'!$Q$6:$Q$3766&lt;&gt;"N/A"),'Diags Raw Data'!$T$6:$T$3766)+SUMPRODUCT(--(ISNUMBER(SEARCH($A92,'Diags Raw Data'!$A$6:$A$3766))),--('Diags Raw Data'!$Q$6:$Q$3766&lt;&gt;"N/A"),'Diags Raw Data'!$U$6:$U$3766)</f>
        <v>1</v>
      </c>
      <c r="O92" s="435">
        <f t="shared" ref="O92" si="30">IF((M92=0),0,N92/M92)</f>
        <v>1</v>
      </c>
      <c r="P92" s="436">
        <f>SUMIF('Diags Raw Data'!$A$6:$A$3766,"*"&amp;$A92&amp;"*",'Diags Raw Data'!$Z$6:$Z$3766)</f>
        <v>1</v>
      </c>
      <c r="Q92" s="437">
        <f>SUM(SUMIF('Diags Raw Data'!$A$6:$A$3766,"*"&amp;$A92&amp;"*",'Diags Raw Data'!$AA$6:$AA$3766),SUMIF('Diags Raw Data'!$A$6:$A$3766,"*"&amp;$A92&amp;"*",'Diags Raw Data'!$AB$6:$AB$3766))</f>
        <v>1</v>
      </c>
      <c r="R92" s="438">
        <f t="shared" ref="R92" si="31">IF((J92=0),0,P92/J92)</f>
        <v>1</v>
      </c>
      <c r="S92" s="438">
        <f t="shared" ref="S92" si="32">IF((P92=0),0,Q92/P92)</f>
        <v>1</v>
      </c>
      <c r="T92" s="439">
        <f t="shared" ref="T92" si="33">R92*S92</f>
        <v>1</v>
      </c>
      <c r="U92" s="414"/>
      <c r="V92" s="181"/>
    </row>
    <row r="93" spans="1:22" ht="30.75" thickBot="1" x14ac:dyDescent="0.3">
      <c r="A93" s="321" t="s">
        <v>730</v>
      </c>
      <c r="B93" s="407" t="str">
        <f>VLOOKUP(A93,'Feature Raw Data'!$A$3:$B$3847,2,FALSE)</f>
        <v>WS.CDL.Apic.Local_APIC_Timer_LVT</v>
      </c>
      <c r="C93" s="408" t="str">
        <f>VLOOKUP(A93,'Feature Raw Data'!$A$3:$C$3929,3,FALSE)</f>
        <v>P2</v>
      </c>
      <c r="D93" s="409" t="str" cm="1">
        <f t="array" ref="D93">_xlfn.TEXTJOIN("",TRUE,IF(ISNUMBER(SEARCH($A93,'Diags Raw Data'!$A$6:$A$3768)),CONCATENATE('Diags Raw Data'!$H$6:$H$3768,", "),""))</f>
        <v xml:space="preserve">Local_APIC_Timer_LVT.stf, </v>
      </c>
      <c r="E93" s="410" t="str">
        <f>VLOOKUP(A93,'Diags Raw Data'!$A$6:$D$3768,4,FALSE)</f>
        <v>APIC-10</v>
      </c>
      <c r="F93" s="410" t="str">
        <f>VLOOKUP(A93,'Feature Raw Data'!$A$3:$E$3847,5,FALSE)</f>
        <v>Legacy</v>
      </c>
      <c r="G93" s="410" t="str">
        <f t="shared" si="28"/>
        <v>Yes</v>
      </c>
      <c r="H93" s="410" t="str">
        <f t="shared" si="29"/>
        <v>Yes</v>
      </c>
      <c r="I93" s="412">
        <f>SUMIF('Diags Raw Data'!$A$6:$A$3768,"*"&amp;$A93&amp;"*",'Diags Raw Data'!$K$6:$K$3768)</f>
        <v>1</v>
      </c>
      <c r="J93" s="413">
        <f>SUMIF('Diags Raw Data'!$A$6:$A$3768,"*"&amp;$A93&amp;"*",'Diags Raw Data'!$L$6:$L$3768)</f>
        <v>1</v>
      </c>
      <c r="K93" s="432" cm="1">
        <f t="array" ref="K93">IF(D93="",0, SUMPRODUCT(--(ISNUMBER(SEARCH($A93,'Diags Raw Data'!$A$6:$A$3766))),'Diags Raw Data'!$L$6:$L$3766,'Diags Raw Data'!$N$6:$N$3766)/J93)</f>
        <v>1</v>
      </c>
      <c r="L93" s="433" cm="1">
        <f t="array" ref="L93">IF(D93="",0, SUMPRODUCT(--(ISNUMBER(SEARCH($A93,'Diags Raw Data'!$A$6:$A$3766))),'Diags Raw Data'!$L$6:$L$3766,'Diags Raw Data'!$P$6:$P$3766)/J93)</f>
        <v>1</v>
      </c>
      <c r="M93" s="434" cm="1">
        <f t="array" ref="M93">SUMPRODUCT(--(ISNUMBER(SEARCH($A93,'Diags Raw Data'!$A$6:$A$3766))),--('Diags Raw Data'!$Q$6:$Q$3766&lt;&gt;"N/A"),'Diags Raw Data'!$T$6:$T$3766)+SUMPRODUCT(--(ISNUMBER(SEARCH($A93,'Diags Raw Data'!$A$6:$A$3766))),--('Diags Raw Data'!$Q$6:$Q$3766&lt;&gt;"N/A"),'Diags Raw Data'!$U$6:$U$3766)</f>
        <v>1</v>
      </c>
      <c r="N93" s="434" cm="1">
        <f t="array" ref="N93">SUMPRODUCT(--(ISNUMBER(SEARCH($A93,'Diags Raw Data'!$A$6:$A$3766))),--('Diags Raw Data'!$Q$6:$Q$3766&lt;&gt;"N/A"),'Diags Raw Data'!$T$6:$T$3766)+SUMPRODUCT(--(ISNUMBER(SEARCH($A93,'Diags Raw Data'!$A$6:$A$3766))),--('Diags Raw Data'!$Q$6:$Q$3766&lt;&gt;"N/A"),'Diags Raw Data'!$U$6:$U$3766)</f>
        <v>1</v>
      </c>
      <c r="O93" s="435">
        <f t="shared" si="24"/>
        <v>1</v>
      </c>
      <c r="P93" s="436">
        <f>SUMIF('Diags Raw Data'!$A$6:$A$3766,"*"&amp;$A93&amp;"*",'Diags Raw Data'!$Z$6:$Z$3766)</f>
        <v>1</v>
      </c>
      <c r="Q93" s="437">
        <f>SUM(SUMIF('Diags Raw Data'!$A$6:$A$3766,"*"&amp;$A93&amp;"*",'Diags Raw Data'!$AA$6:$AA$3766),SUMIF('Diags Raw Data'!$A$6:$A$3766,"*"&amp;$A93&amp;"*",'Diags Raw Data'!$AB$6:$AB$3766))</f>
        <v>1</v>
      </c>
      <c r="R93" s="438">
        <f t="shared" si="25"/>
        <v>1</v>
      </c>
      <c r="S93" s="438">
        <f t="shared" si="26"/>
        <v>1</v>
      </c>
      <c r="T93" s="439">
        <f t="shared" si="27"/>
        <v>1</v>
      </c>
      <c r="U93" s="414"/>
      <c r="V93" s="181"/>
    </row>
    <row r="94" spans="1:22" ht="75.75" thickBot="1" x14ac:dyDescent="0.3">
      <c r="A94" s="321" t="s">
        <v>736</v>
      </c>
      <c r="B94" s="407" t="str">
        <f>VLOOKUP(A94,'Feature Raw Data'!$A$3:$B$3847,2,FALSE)</f>
        <v>WS.CDL.Apic.Local_APIC_Performance_Counter_LVT</v>
      </c>
      <c r="C94" s="408" t="str">
        <f>VLOOKUP(A94,'Feature Raw Data'!$A$3:$C$3929,3,FALSE)</f>
        <v>P2</v>
      </c>
      <c r="D94" s="409" t="str" cm="1">
        <f t="array" ref="D94">_xlfn.TEXTJOIN("",TRUE,IF(ISNUMBER(SEARCH($A94,'Diags Raw Data'!$A$6:$A$3768)),CONCATENATE('Diags Raw Data'!$H$6:$H$3768,", "),""))</f>
        <v xml:space="preserve">Performance_Counter_LVT_Interrupts.stf
Performance_Counter_LVT.stf, </v>
      </c>
      <c r="E94" s="410" t="str">
        <f>VLOOKUP(A94,'Diags Raw Data'!$A$6:$D$3768,4,FALSE)</f>
        <v>APIC-10</v>
      </c>
      <c r="F94" s="410" t="str">
        <f>VLOOKUP(A94,'Feature Raw Data'!$A$3:$E$3847,5,FALSE)</f>
        <v>Legacy</v>
      </c>
      <c r="G94" s="410" t="str">
        <f t="shared" si="28"/>
        <v>Yes</v>
      </c>
      <c r="H94" s="410" t="str">
        <f t="shared" si="29"/>
        <v>Yes</v>
      </c>
      <c r="I94" s="412">
        <f>SUMIF('Diags Raw Data'!$A$6:$A$3768,"*"&amp;$A94&amp;"*",'Diags Raw Data'!$K$6:$K$3768)</f>
        <v>1</v>
      </c>
      <c r="J94" s="413">
        <f>SUMIF('Diags Raw Data'!$A$6:$A$3768,"*"&amp;$A94&amp;"*",'Diags Raw Data'!$L$6:$L$3768)</f>
        <v>1</v>
      </c>
      <c r="K94" s="432" cm="1">
        <f t="array" ref="K94">IF(D94="",0, SUMPRODUCT(--(ISNUMBER(SEARCH($A94,'Diags Raw Data'!$A$6:$A$3766))),'Diags Raw Data'!$L$6:$L$3766,'Diags Raw Data'!$N$6:$N$3766)/J94)</f>
        <v>1</v>
      </c>
      <c r="L94" s="433" cm="1">
        <f t="array" ref="L94">IF(D94="",0, SUMPRODUCT(--(ISNUMBER(SEARCH($A94,'Diags Raw Data'!$A$6:$A$3766))),'Diags Raw Data'!$L$6:$L$3766,'Diags Raw Data'!$P$6:$P$3766)/J94)</f>
        <v>1</v>
      </c>
      <c r="M94" s="434" cm="1">
        <f t="array" ref="M94">SUMPRODUCT(--(ISNUMBER(SEARCH($A94,'Diags Raw Data'!$A$6:$A$3766))),--('Diags Raw Data'!$Q$6:$Q$3766&lt;&gt;"N/A"),'Diags Raw Data'!$T$6:$T$3766)+SUMPRODUCT(--(ISNUMBER(SEARCH($A94,'Diags Raw Data'!$A$6:$A$3766))),--('Diags Raw Data'!$Q$6:$Q$3766&lt;&gt;"N/A"),'Diags Raw Data'!$U$6:$U$3766)</f>
        <v>2</v>
      </c>
      <c r="N94" s="434" cm="1">
        <f t="array" ref="N94">SUMPRODUCT(--(ISNUMBER(SEARCH($A94,'Diags Raw Data'!$A$6:$A$3766))),--('Diags Raw Data'!$Q$6:$Q$3766&lt;&gt;"N/A"),'Diags Raw Data'!$T$6:$T$3766)+SUMPRODUCT(--(ISNUMBER(SEARCH($A94,'Diags Raw Data'!$A$6:$A$3766))),--('Diags Raw Data'!$Q$6:$Q$3766&lt;&gt;"N/A"),'Diags Raw Data'!$U$6:$U$3766)</f>
        <v>2</v>
      </c>
      <c r="O94" s="435">
        <f t="shared" si="24"/>
        <v>1</v>
      </c>
      <c r="P94" s="436">
        <f>SUMIF('Diags Raw Data'!$A$6:$A$3766,"*"&amp;$A94&amp;"*",'Diags Raw Data'!$Z$6:$Z$3766)</f>
        <v>2</v>
      </c>
      <c r="Q94" s="437">
        <f>SUM(SUMIF('Diags Raw Data'!$A$6:$A$3766,"*"&amp;$A94&amp;"*",'Diags Raw Data'!$AA$6:$AA$3766),SUMIF('Diags Raw Data'!$A$6:$A$3766,"*"&amp;$A94&amp;"*",'Diags Raw Data'!$AB$6:$AB$3766))</f>
        <v>2</v>
      </c>
      <c r="R94" s="438">
        <f t="shared" si="25"/>
        <v>2</v>
      </c>
      <c r="S94" s="438">
        <f t="shared" si="26"/>
        <v>1</v>
      </c>
      <c r="T94" s="439">
        <f t="shared" si="27"/>
        <v>2</v>
      </c>
      <c r="U94" s="414" t="s">
        <v>1015</v>
      </c>
      <c r="V94" s="181"/>
    </row>
    <row r="95" spans="1:22" ht="75.75" thickBot="1" x14ac:dyDescent="0.3">
      <c r="A95" s="321" t="s">
        <v>741</v>
      </c>
      <c r="B95" s="407" t="str">
        <f>VLOOKUP(A95,'Feature Raw Data'!$A$3:$B$3847,2,FALSE)</f>
        <v>WS.CDL.Apic.Local_APIC_Error_LVT</v>
      </c>
      <c r="C95" s="408" t="str">
        <f>VLOOKUP(A95,'Feature Raw Data'!$A$3:$C$3929,3,FALSE)</f>
        <v>P2</v>
      </c>
      <c r="D95" s="409" t="str" cm="1">
        <f t="array" ref="D95">_xlfn.TEXTJOIN("",TRUE,IF(ISNUMBER(SEARCH($A95,'Diags Raw Data'!$A$6:$A$3768)),CONCATENATE('Diags Raw Data'!$H$6:$H$3768,", "),""))</f>
        <v xml:space="preserve">Local_APIC_Error_LVT.stf, </v>
      </c>
      <c r="E95" s="410" t="str">
        <f>VLOOKUP(A95,'Diags Raw Data'!$A$6:$D$3768,4,FALSE)</f>
        <v>APIC-10</v>
      </c>
      <c r="F95" s="410" t="str">
        <f>VLOOKUP(A95,'Feature Raw Data'!$A$3:$E$3847,5,FALSE)</f>
        <v>Legacy</v>
      </c>
      <c r="G95" s="410" t="str">
        <f t="shared" si="28"/>
        <v>Yes</v>
      </c>
      <c r="H95" s="410" t="str">
        <f t="shared" si="29"/>
        <v>Yes</v>
      </c>
      <c r="I95" s="412">
        <f>SUMIF('Diags Raw Data'!$A$6:$A$3768,"*"&amp;$A95&amp;"*",'Diags Raw Data'!$K$6:$K$3768)</f>
        <v>1</v>
      </c>
      <c r="J95" s="413">
        <f>SUMIF('Diags Raw Data'!$A$6:$A$3768,"*"&amp;$A95&amp;"*",'Diags Raw Data'!$L$6:$L$3768)</f>
        <v>1</v>
      </c>
      <c r="K95" s="432" cm="1">
        <f t="array" ref="K95">IF(D95="",0, SUMPRODUCT(--(ISNUMBER(SEARCH($A95,'Diags Raw Data'!$A$6:$A$3766))),'Diags Raw Data'!$L$6:$L$3766,'Diags Raw Data'!$N$6:$N$3766)/J95)</f>
        <v>1</v>
      </c>
      <c r="L95" s="433" cm="1">
        <f t="array" ref="L95">IF(D95="",0, SUMPRODUCT(--(ISNUMBER(SEARCH($A95,'Diags Raw Data'!$A$6:$A$3766))),'Diags Raw Data'!$L$6:$L$3766,'Diags Raw Data'!$P$6:$P$3766)/J95)</f>
        <v>1</v>
      </c>
      <c r="M95" s="434" cm="1">
        <f t="array" ref="M95">SUMPRODUCT(--(ISNUMBER(SEARCH($A95,'Diags Raw Data'!$A$6:$A$3766))),--('Diags Raw Data'!$Q$6:$Q$3766&lt;&gt;"N/A"),'Diags Raw Data'!$T$6:$T$3766)+SUMPRODUCT(--(ISNUMBER(SEARCH($A95,'Diags Raw Data'!$A$6:$A$3766))),--('Diags Raw Data'!$Q$6:$Q$3766&lt;&gt;"N/A"),'Diags Raw Data'!$U$6:$U$3766)</f>
        <v>1</v>
      </c>
      <c r="N95" s="434" cm="1">
        <f t="array" ref="N95">SUMPRODUCT(--(ISNUMBER(SEARCH($A95,'Diags Raw Data'!$A$6:$A$3766))),--('Diags Raw Data'!$Q$6:$Q$3766&lt;&gt;"N/A"),'Diags Raw Data'!$T$6:$T$3766)+SUMPRODUCT(--(ISNUMBER(SEARCH($A95,'Diags Raw Data'!$A$6:$A$3766))),--('Diags Raw Data'!$Q$6:$Q$3766&lt;&gt;"N/A"),'Diags Raw Data'!$U$6:$U$3766)</f>
        <v>1</v>
      </c>
      <c r="O95" s="435">
        <f t="shared" si="24"/>
        <v>1</v>
      </c>
      <c r="P95" s="436">
        <f>SUMIF('Diags Raw Data'!$A$6:$A$3766,"*"&amp;$A95&amp;"*",'Diags Raw Data'!$Z$6:$Z$3766)</f>
        <v>1</v>
      </c>
      <c r="Q95" s="437">
        <f>SUM(SUMIF('Diags Raw Data'!$A$6:$A$3766,"*"&amp;$A95&amp;"*",'Diags Raw Data'!$AA$6:$AA$3766),SUMIF('Diags Raw Data'!$A$6:$A$3766,"*"&amp;$A95&amp;"*",'Diags Raw Data'!$AB$6:$AB$3766))</f>
        <v>1</v>
      </c>
      <c r="R95" s="438">
        <f t="shared" si="25"/>
        <v>1</v>
      </c>
      <c r="S95" s="438">
        <f t="shared" si="26"/>
        <v>1</v>
      </c>
      <c r="T95" s="439">
        <f t="shared" si="27"/>
        <v>1</v>
      </c>
      <c r="U95" s="414" t="s">
        <v>1015</v>
      </c>
      <c r="V95" s="181"/>
    </row>
    <row r="96" spans="1:22" ht="75.75" thickBot="1" x14ac:dyDescent="0.3">
      <c r="A96" s="321" t="s">
        <v>747</v>
      </c>
      <c r="B96" s="407" t="str">
        <f>VLOOKUP(A96,'Feature Raw Data'!$A$3:$B$3847,2,FALSE)</f>
        <v>WS.CDL.Apic.Local_APIC_Spurious_Interrupt</v>
      </c>
      <c r="C96" s="408" t="str">
        <f>VLOOKUP(A96,'Feature Raw Data'!$A$3:$C$3929,3,FALSE)</f>
        <v>P2</v>
      </c>
      <c r="D96" s="409" t="str" cm="1">
        <f t="array" ref="D96">_xlfn.TEXTJOIN("",TRUE,IF(ISNUMBER(SEARCH($A96,'Diags Raw Data'!$A$6:$A$3768)),CONCATENATE('Diags Raw Data'!$H$6:$H$3768,", "),""))</f>
        <v xml:space="preserve">Local_APIC_Spurious_Interrupt.stf, </v>
      </c>
      <c r="E96" s="410" t="str">
        <f>VLOOKUP(A96,'Diags Raw Data'!$A$6:$D$3768,4,FALSE)</f>
        <v>APIC-10</v>
      </c>
      <c r="F96" s="410" t="str">
        <f>VLOOKUP(A96,'Feature Raw Data'!$A$3:$E$3847,5,FALSE)</f>
        <v>Legacy</v>
      </c>
      <c r="G96" s="410" t="str">
        <f t="shared" si="28"/>
        <v>Yes</v>
      </c>
      <c r="H96" s="410" t="str">
        <f t="shared" si="29"/>
        <v>Yes</v>
      </c>
      <c r="I96" s="412">
        <f>SUMIF('Diags Raw Data'!$A$6:$A$3768,"*"&amp;$A96&amp;"*",'Diags Raw Data'!$K$6:$K$3768)</f>
        <v>1</v>
      </c>
      <c r="J96" s="413">
        <f>SUMIF('Diags Raw Data'!$A$6:$A$3768,"*"&amp;$A96&amp;"*",'Diags Raw Data'!$L$6:$L$3768)</f>
        <v>1</v>
      </c>
      <c r="K96" s="432" cm="1">
        <f t="array" ref="K96">IF(D96="",0, SUMPRODUCT(--(ISNUMBER(SEARCH($A96,'Diags Raw Data'!$A$6:$A$3766))),'Diags Raw Data'!$L$6:$L$3766,'Diags Raw Data'!$N$6:$N$3766)/J96)</f>
        <v>1</v>
      </c>
      <c r="L96" s="433" cm="1">
        <f t="array" ref="L96">IF(D96="",0, SUMPRODUCT(--(ISNUMBER(SEARCH($A96,'Diags Raw Data'!$A$6:$A$3766))),'Diags Raw Data'!$L$6:$L$3766,'Diags Raw Data'!$P$6:$P$3766)/J96)</f>
        <v>1</v>
      </c>
      <c r="M96" s="434" cm="1">
        <f t="array" ref="M96">SUMPRODUCT(--(ISNUMBER(SEARCH($A96,'Diags Raw Data'!$A$6:$A$3766))),--('Diags Raw Data'!$Q$6:$Q$3766&lt;&gt;"N/A"),'Diags Raw Data'!$T$6:$T$3766)+SUMPRODUCT(--(ISNUMBER(SEARCH($A96,'Diags Raw Data'!$A$6:$A$3766))),--('Diags Raw Data'!$Q$6:$Q$3766&lt;&gt;"N/A"),'Diags Raw Data'!$U$6:$U$3766)</f>
        <v>1</v>
      </c>
      <c r="N96" s="434" cm="1">
        <f t="array" ref="N96">SUMPRODUCT(--(ISNUMBER(SEARCH($A96,'Diags Raw Data'!$A$6:$A$3766))),--('Diags Raw Data'!$Q$6:$Q$3766&lt;&gt;"N/A"),'Diags Raw Data'!$T$6:$T$3766)+SUMPRODUCT(--(ISNUMBER(SEARCH($A96,'Diags Raw Data'!$A$6:$A$3766))),--('Diags Raw Data'!$Q$6:$Q$3766&lt;&gt;"N/A"),'Diags Raw Data'!$U$6:$U$3766)</f>
        <v>1</v>
      </c>
      <c r="O96" s="435">
        <f t="shared" si="24"/>
        <v>1</v>
      </c>
      <c r="P96" s="436">
        <f>SUMIF('Diags Raw Data'!$A$6:$A$3766,"*"&amp;$A96&amp;"*",'Diags Raw Data'!$Z$6:$Z$3766)</f>
        <v>1</v>
      </c>
      <c r="Q96" s="437">
        <f>SUM(SUMIF('Diags Raw Data'!$A$6:$A$3766,"*"&amp;$A96&amp;"*",'Diags Raw Data'!$AA$6:$AA$3766),SUMIF('Diags Raw Data'!$A$6:$A$3766,"*"&amp;$A96&amp;"*",'Diags Raw Data'!$AB$6:$AB$3766))</f>
        <v>1</v>
      </c>
      <c r="R96" s="438">
        <f t="shared" si="25"/>
        <v>1</v>
      </c>
      <c r="S96" s="438">
        <f t="shared" si="26"/>
        <v>1</v>
      </c>
      <c r="T96" s="439">
        <f t="shared" si="27"/>
        <v>1</v>
      </c>
      <c r="U96" s="414" t="s">
        <v>1015</v>
      </c>
      <c r="V96" s="181"/>
    </row>
    <row r="97" spans="1:22" ht="75.75" thickBot="1" x14ac:dyDescent="0.3">
      <c r="A97" s="321" t="s">
        <v>753</v>
      </c>
      <c r="B97" s="407" t="str">
        <f>VLOOKUP(A97,'Feature Raw Data'!$A$3:$B$3847,2,FALSE)</f>
        <v>WS.CDL.Apic.Local_APIC_IOAPIC_Interrupts</v>
      </c>
      <c r="C97" s="408" t="str">
        <f>VLOOKUP(A97,'Feature Raw Data'!$A$3:$C$3929,3,FALSE)</f>
        <v>P1</v>
      </c>
      <c r="D97" s="409" t="str" cm="1">
        <f t="array" ref="D97">_xlfn.TEXTJOIN("",TRUE,IF(ISNUMBER(SEARCH($A97,'Diags Raw Data'!$A$6:$A$3768)),CONCATENATE('Diags Raw Data'!$H$6:$H$3768,", "),""))</f>
        <v xml:space="preserve">Local_APIC_IOAPIC_Interrupts.stf, </v>
      </c>
      <c r="E97" s="410" t="str">
        <f>VLOOKUP(A97,'Diags Raw Data'!$A$6:$D$3768,4,FALSE)</f>
        <v>APIC-10</v>
      </c>
      <c r="F97" s="410" t="str">
        <f>VLOOKUP(A97,'Feature Raw Data'!$A$3:$E$3847,5,FALSE)</f>
        <v>Legacy</v>
      </c>
      <c r="G97" s="410" t="str">
        <f t="shared" si="28"/>
        <v>Yes</v>
      </c>
      <c r="H97" s="410" t="str">
        <f t="shared" si="29"/>
        <v>Yes</v>
      </c>
      <c r="I97" s="412">
        <f>SUMIF('Diags Raw Data'!$A$6:$A$3768,"*"&amp;$A97&amp;"*",'Diags Raw Data'!$K$6:$K$3768)</f>
        <v>1</v>
      </c>
      <c r="J97" s="413">
        <f>SUMIF('Diags Raw Data'!$A$6:$A$3768,"*"&amp;$A97&amp;"*",'Diags Raw Data'!$L$6:$L$3768)</f>
        <v>1</v>
      </c>
      <c r="K97" s="432" cm="1">
        <f t="array" ref="K97">IF(D97="",0, SUMPRODUCT(--(ISNUMBER(SEARCH($A97,'Diags Raw Data'!$A$6:$A$3766))),'Diags Raw Data'!$L$6:$L$3766,'Diags Raw Data'!$N$6:$N$3766)/J97)</f>
        <v>1</v>
      </c>
      <c r="L97" s="433" cm="1">
        <f t="array" ref="L97">IF(D97="",0, SUMPRODUCT(--(ISNUMBER(SEARCH($A97,'Diags Raw Data'!$A$6:$A$3766))),'Diags Raw Data'!$L$6:$L$3766,'Diags Raw Data'!$P$6:$P$3766)/J97)</f>
        <v>1</v>
      </c>
      <c r="M97" s="434" cm="1">
        <f t="array" ref="M97">SUMPRODUCT(--(ISNUMBER(SEARCH($A97,'Diags Raw Data'!$A$6:$A$3766))),--('Diags Raw Data'!$Q$6:$Q$3766&lt;&gt;"N/A"),'Diags Raw Data'!$T$6:$T$3766)+SUMPRODUCT(--(ISNUMBER(SEARCH($A97,'Diags Raw Data'!$A$6:$A$3766))),--('Diags Raw Data'!$Q$6:$Q$3766&lt;&gt;"N/A"),'Diags Raw Data'!$U$6:$U$3766)</f>
        <v>1</v>
      </c>
      <c r="N97" s="434" cm="1">
        <f t="array" ref="N97">SUMPRODUCT(--(ISNUMBER(SEARCH($A97,'Diags Raw Data'!$A$6:$A$3766))),--('Diags Raw Data'!$Q$6:$Q$3766&lt;&gt;"N/A"),'Diags Raw Data'!$T$6:$T$3766)+SUMPRODUCT(--(ISNUMBER(SEARCH($A97,'Diags Raw Data'!$A$6:$A$3766))),--('Diags Raw Data'!$Q$6:$Q$3766&lt;&gt;"N/A"),'Diags Raw Data'!$U$6:$U$3766)</f>
        <v>1</v>
      </c>
      <c r="O97" s="435">
        <f t="shared" si="24"/>
        <v>1</v>
      </c>
      <c r="P97" s="436">
        <f>SUMIF('Diags Raw Data'!$A$6:$A$3766,"*"&amp;$A97&amp;"*",'Diags Raw Data'!$Z$6:$Z$3766)</f>
        <v>1</v>
      </c>
      <c r="Q97" s="437">
        <f>SUM(SUMIF('Diags Raw Data'!$A$6:$A$3766,"*"&amp;$A97&amp;"*",'Diags Raw Data'!$AA$6:$AA$3766),SUMIF('Diags Raw Data'!$A$6:$A$3766,"*"&amp;$A97&amp;"*",'Diags Raw Data'!$AB$6:$AB$3766))</f>
        <v>1</v>
      </c>
      <c r="R97" s="438">
        <f t="shared" si="25"/>
        <v>1</v>
      </c>
      <c r="S97" s="438">
        <f t="shared" si="26"/>
        <v>1</v>
      </c>
      <c r="T97" s="439">
        <f t="shared" si="27"/>
        <v>1</v>
      </c>
      <c r="U97" s="414" t="s">
        <v>1015</v>
      </c>
      <c r="V97" s="181"/>
    </row>
    <row r="98" spans="1:22" ht="30.75" thickBot="1" x14ac:dyDescent="0.3">
      <c r="A98" s="321" t="s">
        <v>759</v>
      </c>
      <c r="B98" s="407" t="str">
        <f>VLOOKUP(A98,'Feature Raw Data'!$A$3:$B$3847,2,FALSE)</f>
        <v>WS.CDL.Core.Apic.Func.Local_APIC_Nested_Interrupt</v>
      </c>
      <c r="C98" s="408" t="str">
        <f>VLOOKUP(A98,'Feature Raw Data'!$A$3:$C$3929,3,FALSE)</f>
        <v>P2</v>
      </c>
      <c r="D98" s="409" t="str" cm="1">
        <f t="array" ref="D98">_xlfn.TEXTJOIN("",TRUE,IF(ISNUMBER(SEARCH($A98,'Diags Raw Data'!$A$6:$A$3768)),CONCATENATE('Diags Raw Data'!$H$6:$H$3768,", "),""))</f>
        <v xml:space="preserve">TBD, </v>
      </c>
      <c r="E98" s="410" t="str">
        <f>VLOOKUP(A98,'Diags Raw Data'!$A$6:$D$3768,4,FALSE)</f>
        <v>APIC-10</v>
      </c>
      <c r="F98" s="410" t="str">
        <f>VLOOKUP(A98,'Feature Raw Data'!$A$3:$E$3847,5,FALSE)</f>
        <v>Legacy</v>
      </c>
      <c r="G98" s="410" t="str">
        <f t="shared" si="28"/>
        <v>Yes</v>
      </c>
      <c r="H98" s="410" t="str">
        <f t="shared" si="29"/>
        <v>Yes</v>
      </c>
      <c r="I98" s="412">
        <f>SUMIF('Diags Raw Data'!$A$6:$A$3768,"*"&amp;$A98&amp;"*",'Diags Raw Data'!$K$6:$K$3768)</f>
        <v>1</v>
      </c>
      <c r="J98" s="413">
        <f>SUMIF('Diags Raw Data'!$A$6:$A$3768,"*"&amp;$A98&amp;"*",'Diags Raw Data'!$L$6:$L$3768)</f>
        <v>1</v>
      </c>
      <c r="K98" s="432" cm="1">
        <f t="array" ref="K98">IF(D98="",0, SUMPRODUCT(--(ISNUMBER(SEARCH($A98,'Diags Raw Data'!$A$6:$A$3766))),'Diags Raw Data'!$L$6:$L$3766,'Diags Raw Data'!$N$6:$N$3766)/J98)</f>
        <v>1</v>
      </c>
      <c r="L98" s="433" cm="1">
        <f t="array" ref="L98">IF(D98="",0, SUMPRODUCT(--(ISNUMBER(SEARCH($A98,'Diags Raw Data'!$A$6:$A$3766))),'Diags Raw Data'!$L$6:$L$3766,'Diags Raw Data'!$P$6:$P$3766)/J98)</f>
        <v>1</v>
      </c>
      <c r="M98" s="434" cm="1">
        <f t="array" ref="M98">SUMPRODUCT(--(ISNUMBER(SEARCH($A98,'Diags Raw Data'!$A$6:$A$3766))),--('Diags Raw Data'!$Q$6:$Q$3766&lt;&gt;"N/A"),'Diags Raw Data'!$T$6:$T$3766)+SUMPRODUCT(--(ISNUMBER(SEARCH($A98,'Diags Raw Data'!$A$6:$A$3766))),--('Diags Raw Data'!$Q$6:$Q$3766&lt;&gt;"N/A"),'Diags Raw Data'!$U$6:$U$3766)</f>
        <v>0</v>
      </c>
      <c r="N98" s="434" cm="1">
        <f t="array" ref="N98">SUMPRODUCT(--(ISNUMBER(SEARCH($A98,'Diags Raw Data'!$A$6:$A$3766))),--('Diags Raw Data'!$Q$6:$Q$3766&lt;&gt;"N/A"),'Diags Raw Data'!$T$6:$T$3766)+SUMPRODUCT(--(ISNUMBER(SEARCH($A98,'Diags Raw Data'!$A$6:$A$3766))),--('Diags Raw Data'!$Q$6:$Q$3766&lt;&gt;"N/A"),'Diags Raw Data'!$U$6:$U$3766)</f>
        <v>0</v>
      </c>
      <c r="O98" s="435">
        <f t="shared" si="24"/>
        <v>0</v>
      </c>
      <c r="P98" s="436">
        <f>SUMIF('Diags Raw Data'!$A$6:$A$3766,"*"&amp;$A98&amp;"*",'Diags Raw Data'!$Z$6:$Z$3766)</f>
        <v>1</v>
      </c>
      <c r="Q98" s="437">
        <f>SUM(SUMIF('Diags Raw Data'!$A$6:$A$3766,"*"&amp;$A98&amp;"*",'Diags Raw Data'!$AA$6:$AA$3766),SUMIF('Diags Raw Data'!$A$6:$A$3766,"*"&amp;$A98&amp;"*",'Diags Raw Data'!$AB$6:$AB$3766))</f>
        <v>1</v>
      </c>
      <c r="R98" s="438">
        <f t="shared" si="25"/>
        <v>1</v>
      </c>
      <c r="S98" s="438">
        <f t="shared" si="26"/>
        <v>1</v>
      </c>
      <c r="T98" s="439">
        <f t="shared" si="27"/>
        <v>1</v>
      </c>
      <c r="U98" s="414"/>
      <c r="V98" s="181"/>
    </row>
    <row r="99" spans="1:22" ht="75.75" thickBot="1" x14ac:dyDescent="0.3">
      <c r="A99" s="321" t="s">
        <v>764</v>
      </c>
      <c r="B99" s="407" t="str">
        <f>VLOOKUP(A99,'Feature Raw Data'!$A$3:$B$3847,2,FALSE)</f>
        <v>WS.CDL.Apic.Local_APIC_TPR_And_Interrupt_Priority</v>
      </c>
      <c r="C99" s="408" t="str">
        <f>VLOOKUP(A99,'Feature Raw Data'!$A$3:$C$3929,3,FALSE)</f>
        <v>P2</v>
      </c>
      <c r="D99" s="409" t="str" cm="1">
        <f t="array" ref="D99">_xlfn.TEXTJOIN("",TRUE,IF(ISNUMBER(SEARCH($A99,'Diags Raw Data'!$A$6:$A$3768)),CONCATENATE('Diags Raw Data'!$H$6:$H$3768,", "),""))</f>
        <v xml:space="preserve">Local_APIC_TPR_And_Interrupt_Priority.stf, </v>
      </c>
      <c r="E99" s="410" t="str">
        <f>VLOOKUP(A99,'Diags Raw Data'!$A$6:$D$3768,4,FALSE)</f>
        <v>APIC-10</v>
      </c>
      <c r="F99" s="410" t="str">
        <f>VLOOKUP(A99,'Feature Raw Data'!$A$3:$E$3847,5,FALSE)</f>
        <v>Legacy</v>
      </c>
      <c r="G99" s="410" t="str">
        <f t="shared" si="28"/>
        <v>Yes</v>
      </c>
      <c r="H99" s="410" t="str">
        <f t="shared" si="29"/>
        <v>Yes</v>
      </c>
      <c r="I99" s="412">
        <f>SUMIF('Diags Raw Data'!$A$6:$A$3768,"*"&amp;$A99&amp;"*",'Diags Raw Data'!$K$6:$K$3768)</f>
        <v>1</v>
      </c>
      <c r="J99" s="413">
        <f>SUMIF('Diags Raw Data'!$A$6:$A$3768,"*"&amp;$A99&amp;"*",'Diags Raw Data'!$L$6:$L$3768)</f>
        <v>1</v>
      </c>
      <c r="K99" s="432" cm="1">
        <f t="array" ref="K99">IF(D99="",0, SUMPRODUCT(--(ISNUMBER(SEARCH($A99,'Diags Raw Data'!$A$6:$A$3766))),'Diags Raw Data'!$L$6:$L$3766,'Diags Raw Data'!$N$6:$N$3766)/J99)</f>
        <v>1</v>
      </c>
      <c r="L99" s="433" cm="1">
        <f t="array" ref="L99">IF(D99="",0, SUMPRODUCT(--(ISNUMBER(SEARCH($A99,'Diags Raw Data'!$A$6:$A$3766))),'Diags Raw Data'!$L$6:$L$3766,'Diags Raw Data'!$P$6:$P$3766)/J99)</f>
        <v>1</v>
      </c>
      <c r="M99" s="434" cm="1">
        <f t="array" ref="M99">SUMPRODUCT(--(ISNUMBER(SEARCH($A99,'Diags Raw Data'!$A$6:$A$3766))),--('Diags Raw Data'!$Q$6:$Q$3766&lt;&gt;"N/A"),'Diags Raw Data'!$T$6:$T$3766)+SUMPRODUCT(--(ISNUMBER(SEARCH($A99,'Diags Raw Data'!$A$6:$A$3766))),--('Diags Raw Data'!$Q$6:$Q$3766&lt;&gt;"N/A"),'Diags Raw Data'!$U$6:$U$3766)</f>
        <v>0</v>
      </c>
      <c r="N99" s="434" cm="1">
        <f t="array" ref="N99">SUMPRODUCT(--(ISNUMBER(SEARCH($A99,'Diags Raw Data'!$A$6:$A$3766))),--('Diags Raw Data'!$Q$6:$Q$3766&lt;&gt;"N/A"),'Diags Raw Data'!$T$6:$T$3766)+SUMPRODUCT(--(ISNUMBER(SEARCH($A99,'Diags Raw Data'!$A$6:$A$3766))),--('Diags Raw Data'!$Q$6:$Q$3766&lt;&gt;"N/A"),'Diags Raw Data'!$U$6:$U$3766)</f>
        <v>0</v>
      </c>
      <c r="O99" s="435">
        <f t="shared" si="24"/>
        <v>0</v>
      </c>
      <c r="P99" s="436">
        <f>SUMIF('Diags Raw Data'!$A$6:$A$3766,"*"&amp;$A99&amp;"*",'Diags Raw Data'!$Z$6:$Z$3766)</f>
        <v>1</v>
      </c>
      <c r="Q99" s="437">
        <f>SUM(SUMIF('Diags Raw Data'!$A$6:$A$3766,"*"&amp;$A99&amp;"*",'Diags Raw Data'!$AA$6:$AA$3766),SUMIF('Diags Raw Data'!$A$6:$A$3766,"*"&amp;$A99&amp;"*",'Diags Raw Data'!$AB$6:$AB$3766))</f>
        <v>1</v>
      </c>
      <c r="R99" s="438">
        <f t="shared" si="25"/>
        <v>1</v>
      </c>
      <c r="S99" s="438">
        <f t="shared" si="26"/>
        <v>1</v>
      </c>
      <c r="T99" s="439">
        <f t="shared" si="27"/>
        <v>1</v>
      </c>
      <c r="U99" s="414" t="s">
        <v>1015</v>
      </c>
      <c r="V99" s="181"/>
    </row>
    <row r="100" spans="1:22" ht="75.75" thickBot="1" x14ac:dyDescent="0.3">
      <c r="A100" s="321" t="s">
        <v>770</v>
      </c>
      <c r="B100" s="407" t="str">
        <f>VLOOKUP(A100,'Feature Raw Data'!$A$3:$B$3847,2,FALSE)</f>
        <v>WS.CDL.Apic.Local_APIC_Register_Bits_Read_Write</v>
      </c>
      <c r="C100" s="408" t="str">
        <f>VLOOKUP(A100,'Feature Raw Data'!$A$3:$C$3929,3,FALSE)</f>
        <v>P2</v>
      </c>
      <c r="D100" s="409" t="str" cm="1">
        <f t="array" ref="D100">_xlfn.TEXTJOIN("",TRUE,IF(ISNUMBER(SEARCH($A100,'Diags Raw Data'!$A$6:$A$3768)),CONCATENATE('Diags Raw Data'!$H$6:$H$3768,", "),""))</f>
        <v xml:space="preserve">Local_APIC_Register_Bits_Read_Write.stf, </v>
      </c>
      <c r="E100" s="410" t="str">
        <f>VLOOKUP(A100,'Diags Raw Data'!$A$6:$D$3768,4,FALSE)</f>
        <v>APIC-10</v>
      </c>
      <c r="F100" s="410" t="str">
        <f>VLOOKUP(A100,'Feature Raw Data'!$A$3:$E$3847,5,FALSE)</f>
        <v>Legacy</v>
      </c>
      <c r="G100" s="410" t="str">
        <f t="shared" si="28"/>
        <v>Yes</v>
      </c>
      <c r="H100" s="410" t="str">
        <f t="shared" si="29"/>
        <v>Yes</v>
      </c>
      <c r="I100" s="412">
        <f>SUMIF('Diags Raw Data'!$A$6:$A$3768,"*"&amp;$A100&amp;"*",'Diags Raw Data'!$K$6:$K$3768)</f>
        <v>1</v>
      </c>
      <c r="J100" s="413">
        <f>SUMIF('Diags Raw Data'!$A$6:$A$3768,"*"&amp;$A100&amp;"*",'Diags Raw Data'!$L$6:$L$3768)</f>
        <v>1</v>
      </c>
      <c r="K100" s="432" cm="1">
        <f t="array" ref="K100">IF(D100="",0, SUMPRODUCT(--(ISNUMBER(SEARCH($A100,'Diags Raw Data'!$A$6:$A$3766))),'Diags Raw Data'!$L$6:$L$3766,'Diags Raw Data'!$N$6:$N$3766)/J100)</f>
        <v>1</v>
      </c>
      <c r="L100" s="433" cm="1">
        <f t="array" ref="L100">IF(D100="",0, SUMPRODUCT(--(ISNUMBER(SEARCH($A100,'Diags Raw Data'!$A$6:$A$3766))),'Diags Raw Data'!$L$6:$L$3766,'Diags Raw Data'!$P$6:$P$3766)/J100)</f>
        <v>1</v>
      </c>
      <c r="M100" s="434" cm="1">
        <f t="array" ref="M100">SUMPRODUCT(--(ISNUMBER(SEARCH($A100,'Diags Raw Data'!$A$6:$A$3766))),--('Diags Raw Data'!$Q$6:$Q$3766&lt;&gt;"N/A"),'Diags Raw Data'!$T$6:$T$3766)+SUMPRODUCT(--(ISNUMBER(SEARCH($A100,'Diags Raw Data'!$A$6:$A$3766))),--('Diags Raw Data'!$Q$6:$Q$3766&lt;&gt;"N/A"),'Diags Raw Data'!$U$6:$U$3766)</f>
        <v>1</v>
      </c>
      <c r="N100" s="434" cm="1">
        <f t="array" ref="N100">SUMPRODUCT(--(ISNUMBER(SEARCH($A100,'Diags Raw Data'!$A$6:$A$3766))),--('Diags Raw Data'!$Q$6:$Q$3766&lt;&gt;"N/A"),'Diags Raw Data'!$T$6:$T$3766)+SUMPRODUCT(--(ISNUMBER(SEARCH($A100,'Diags Raw Data'!$A$6:$A$3766))),--('Diags Raw Data'!$Q$6:$Q$3766&lt;&gt;"N/A"),'Diags Raw Data'!$U$6:$U$3766)</f>
        <v>1</v>
      </c>
      <c r="O100" s="435">
        <f t="shared" si="24"/>
        <v>1</v>
      </c>
      <c r="P100" s="436">
        <f>SUMIF('Diags Raw Data'!$A$6:$A$3766,"*"&amp;$A100&amp;"*",'Diags Raw Data'!$Z$6:$Z$3766)</f>
        <v>1</v>
      </c>
      <c r="Q100" s="437">
        <f>SUM(SUMIF('Diags Raw Data'!$A$6:$A$3766,"*"&amp;$A100&amp;"*",'Diags Raw Data'!$AA$6:$AA$3766),SUMIF('Diags Raw Data'!$A$6:$A$3766,"*"&amp;$A100&amp;"*",'Diags Raw Data'!$AB$6:$AB$3766))</f>
        <v>1</v>
      </c>
      <c r="R100" s="438">
        <f t="shared" si="25"/>
        <v>1</v>
      </c>
      <c r="S100" s="438">
        <f t="shared" si="26"/>
        <v>1</v>
      </c>
      <c r="T100" s="439">
        <f t="shared" si="27"/>
        <v>1</v>
      </c>
      <c r="U100" s="414" t="s">
        <v>1015</v>
      </c>
      <c r="V100" s="181"/>
    </row>
    <row r="101" spans="1:22" ht="75.75" thickBot="1" x14ac:dyDescent="0.3">
      <c r="A101" s="321" t="s">
        <v>776</v>
      </c>
      <c r="B101" s="407" t="str">
        <f>VLOOKUP(A101,'Feature Raw Data'!$A$3:$B$3847,2,FALSE)</f>
        <v>WS.CDL.Apic.APIC 52bit Base Address MSR</v>
      </c>
      <c r="C101" s="408" t="str">
        <f>VLOOKUP(A101,'Feature Raw Data'!$A$3:$C$3929,3,FALSE)</f>
        <v>P2</v>
      </c>
      <c r="D101" s="409" t="str" cm="1">
        <f t="array" ref="D101">_xlfn.TEXTJOIN("",TRUE,IF(ISNUMBER(SEARCH($A101,'Diags Raw Data'!$A$6:$A$3768)),CONCATENATE('Diags Raw Data'!$H$6:$H$3768,", "),""))</f>
        <v xml:space="preserve">Manual, </v>
      </c>
      <c r="E101" s="410" t="str">
        <f>VLOOKUP(A101,'Diags Raw Data'!$A$6:$D$3768,4,FALSE)</f>
        <v>APIC-10</v>
      </c>
      <c r="F101" s="410" t="str">
        <f>VLOOKUP(A101,'Feature Raw Data'!$A$3:$E$3847,5,FALSE)</f>
        <v>Legacy</v>
      </c>
      <c r="G101" s="410" t="str">
        <f t="shared" ref="G101:G118" si="34">IF(D101="","No","Yes")</f>
        <v>Yes</v>
      </c>
      <c r="H101" s="410" t="str">
        <f t="shared" ref="H101:H118" si="35">IF(D101="","No","Yes")</f>
        <v>Yes</v>
      </c>
      <c r="I101" s="412">
        <f>SUMIF('Diags Raw Data'!$A$6:$A$3768,"*"&amp;$A101&amp;"*",'Diags Raw Data'!$K$6:$K$3768)</f>
        <v>1</v>
      </c>
      <c r="J101" s="413">
        <f>SUMIF('Diags Raw Data'!$A$6:$A$3768,"*"&amp;$A101&amp;"*",'Diags Raw Data'!$L$6:$L$3768)</f>
        <v>1</v>
      </c>
      <c r="K101" s="432" cm="1">
        <f t="array" ref="K101">IF(D101="",0, SUMPRODUCT(--(ISNUMBER(SEARCH($A101,'Diags Raw Data'!$A$6:$A$3766))),'Diags Raw Data'!$L$6:$L$3766,'Diags Raw Data'!$N$6:$N$3766)/J101)</f>
        <v>1</v>
      </c>
      <c r="L101" s="433" cm="1">
        <f t="array" ref="L101">IF(D101="",0, SUMPRODUCT(--(ISNUMBER(SEARCH($A101,'Diags Raw Data'!$A$6:$A$3766))),'Diags Raw Data'!$L$6:$L$3766,'Diags Raw Data'!$P$6:$P$3766)/J101)</f>
        <v>1</v>
      </c>
      <c r="M101" s="434" cm="1">
        <f t="array" ref="M101">SUMPRODUCT(--(ISNUMBER(SEARCH($A101,'Diags Raw Data'!$A$6:$A$3766))),--('Diags Raw Data'!$Q$6:$Q$3766&lt;&gt;"N/A"),'Diags Raw Data'!$T$6:$T$3766)+SUMPRODUCT(--(ISNUMBER(SEARCH($A101,'Diags Raw Data'!$A$6:$A$3766))),--('Diags Raw Data'!$Q$6:$Q$3766&lt;&gt;"N/A"),'Diags Raw Data'!$U$6:$U$3766)</f>
        <v>1</v>
      </c>
      <c r="N101" s="434" cm="1">
        <f t="array" ref="N101">SUMPRODUCT(--(ISNUMBER(SEARCH($A101,'Diags Raw Data'!$A$6:$A$3766))),--('Diags Raw Data'!$Q$6:$Q$3766&lt;&gt;"N/A"),'Diags Raw Data'!$T$6:$T$3766)+SUMPRODUCT(--(ISNUMBER(SEARCH($A101,'Diags Raw Data'!$A$6:$A$3766))),--('Diags Raw Data'!$Q$6:$Q$3766&lt;&gt;"N/A"),'Diags Raw Data'!$U$6:$U$3766)</f>
        <v>1</v>
      </c>
      <c r="O101" s="435">
        <f t="shared" si="24"/>
        <v>1</v>
      </c>
      <c r="P101" s="436">
        <f>SUMIF('Diags Raw Data'!$A$6:$A$3766,"*"&amp;$A101&amp;"*",'Diags Raw Data'!$Z$6:$Z$3766)</f>
        <v>1</v>
      </c>
      <c r="Q101" s="437">
        <f>SUM(SUMIF('Diags Raw Data'!$A$6:$A$3766,"*"&amp;$A101&amp;"*",'Diags Raw Data'!$AA$6:$AA$3766),SUMIF('Diags Raw Data'!$A$6:$A$3766,"*"&amp;$A101&amp;"*",'Diags Raw Data'!$AB$6:$AB$3766))</f>
        <v>1</v>
      </c>
      <c r="R101" s="438">
        <f t="shared" si="25"/>
        <v>1</v>
      </c>
      <c r="S101" s="438">
        <f t="shared" si="26"/>
        <v>1</v>
      </c>
      <c r="T101" s="439">
        <f t="shared" si="27"/>
        <v>1</v>
      </c>
      <c r="U101" s="414" t="s">
        <v>1015</v>
      </c>
      <c r="V101" s="181"/>
    </row>
    <row r="102" spans="1:22" ht="75.75" thickBot="1" x14ac:dyDescent="0.3">
      <c r="A102" s="321" t="s">
        <v>781</v>
      </c>
      <c r="B102" s="407" t="str">
        <f>VLOOKUP(A102,'Feature Raw Data'!$A$3:$B$3847,2,FALSE)</f>
        <v>WS.CDL.Apic.APIC Stress</v>
      </c>
      <c r="C102" s="408" t="str">
        <f>VLOOKUP(A102,'Feature Raw Data'!$A$3:$C$3929,3,FALSE)</f>
        <v>P1</v>
      </c>
      <c r="D102" s="409" t="str" cm="1">
        <f t="array" ref="D102">_xlfn.TEXTJOIN("",TRUE,IF(ISNUMBER(SEARCH($A102,'Diags Raw Data'!$A$6:$A$3768)),CONCATENATE('Diags Raw Data'!$H$6:$H$3768,", "),""))</f>
        <v xml:space="preserve">XAPIC_Stress_Test.stf, </v>
      </c>
      <c r="E102" s="410" t="str">
        <f>VLOOKUP(A102,'Diags Raw Data'!$A$6:$D$3768,4,FALSE)</f>
        <v>APIC-10</v>
      </c>
      <c r="F102" s="410" t="str">
        <f>VLOOKUP(A102,'Feature Raw Data'!$A$3:$E$3847,5,FALSE)</f>
        <v>Legacy</v>
      </c>
      <c r="G102" s="410" t="str">
        <f t="shared" si="34"/>
        <v>Yes</v>
      </c>
      <c r="H102" s="410" t="str">
        <f t="shared" si="35"/>
        <v>Yes</v>
      </c>
      <c r="I102" s="412">
        <f>SUMIF('Diags Raw Data'!$A$6:$A$3768,"*"&amp;$A102&amp;"*",'Diags Raw Data'!$K$6:$K$3768)</f>
        <v>1</v>
      </c>
      <c r="J102" s="413">
        <f>SUMIF('Diags Raw Data'!$A$6:$A$3768,"*"&amp;$A102&amp;"*",'Diags Raw Data'!$L$6:$L$3768)</f>
        <v>1</v>
      </c>
      <c r="K102" s="432" cm="1">
        <f t="array" ref="K102">IF(D102="",0, SUMPRODUCT(--(ISNUMBER(SEARCH($A102,'Diags Raw Data'!$A$6:$A$3766))),'Diags Raw Data'!$L$6:$L$3766,'Diags Raw Data'!$N$6:$N$3766)/J102)</f>
        <v>1</v>
      </c>
      <c r="L102" s="433" cm="1">
        <f t="array" ref="L102">IF(D102="",0, SUMPRODUCT(--(ISNUMBER(SEARCH($A102,'Diags Raw Data'!$A$6:$A$3766))),'Diags Raw Data'!$L$6:$L$3766,'Diags Raw Data'!$P$6:$P$3766)/J102)</f>
        <v>1</v>
      </c>
      <c r="M102" s="434" cm="1">
        <f t="array" ref="M102">SUMPRODUCT(--(ISNUMBER(SEARCH($A102,'Diags Raw Data'!$A$6:$A$3766))),--('Diags Raw Data'!$Q$6:$Q$3766&lt;&gt;"N/A"),'Diags Raw Data'!$T$6:$T$3766)+SUMPRODUCT(--(ISNUMBER(SEARCH($A102,'Diags Raw Data'!$A$6:$A$3766))),--('Diags Raw Data'!$Q$6:$Q$3766&lt;&gt;"N/A"),'Diags Raw Data'!$U$6:$U$3766)</f>
        <v>1</v>
      </c>
      <c r="N102" s="434" cm="1">
        <f t="array" ref="N102">SUMPRODUCT(--(ISNUMBER(SEARCH($A102,'Diags Raw Data'!$A$6:$A$3766))),--('Diags Raw Data'!$Q$6:$Q$3766&lt;&gt;"N/A"),'Diags Raw Data'!$T$6:$T$3766)+SUMPRODUCT(--(ISNUMBER(SEARCH($A102,'Diags Raw Data'!$A$6:$A$3766))),--('Diags Raw Data'!$Q$6:$Q$3766&lt;&gt;"N/A"),'Diags Raw Data'!$U$6:$U$3766)</f>
        <v>1</v>
      </c>
      <c r="O102" s="435">
        <f t="shared" si="24"/>
        <v>1</v>
      </c>
      <c r="P102" s="436">
        <f>SUMIF('Diags Raw Data'!$A$6:$A$3766,"*"&amp;$A102&amp;"*",'Diags Raw Data'!$Z$6:$Z$3766)</f>
        <v>1</v>
      </c>
      <c r="Q102" s="437">
        <f>SUM(SUMIF('Diags Raw Data'!$A$6:$A$3766,"*"&amp;$A102&amp;"*",'Diags Raw Data'!$AA$6:$AA$3766),SUMIF('Diags Raw Data'!$A$6:$A$3766,"*"&amp;$A102&amp;"*",'Diags Raw Data'!$AB$6:$AB$3766))</f>
        <v>1</v>
      </c>
      <c r="R102" s="438">
        <f t="shared" si="25"/>
        <v>1</v>
      </c>
      <c r="S102" s="438">
        <f t="shared" si="26"/>
        <v>1</v>
      </c>
      <c r="T102" s="439">
        <f t="shared" si="27"/>
        <v>1</v>
      </c>
      <c r="U102" s="414" t="s">
        <v>1015</v>
      </c>
      <c r="V102" s="181"/>
    </row>
    <row r="103" spans="1:22" ht="59.25" customHeight="1" thickBot="1" x14ac:dyDescent="0.3">
      <c r="A103" s="321" t="s">
        <v>787</v>
      </c>
      <c r="B103" s="407" t="str">
        <f>VLOOKUP(A103,'Feature Raw Data'!$A$3:$B$3847,2,FALSE)</f>
        <v>WS.CDL.Apic.Extended LVT interrupts</v>
      </c>
      <c r="C103" s="408" t="str">
        <f>VLOOKUP(A103,'Feature Raw Data'!$A$3:$C$3929,3,FALSE)</f>
        <v>P1</v>
      </c>
      <c r="D103" s="409" t="str" cm="1">
        <f t="array" ref="D103">_xlfn.TEXTJOIN("",TRUE,IF(ISNUMBER(SEARCH($A103,'Diags Raw Data'!$A$6:$A$3768)),CONCATENATE('Diags Raw Data'!$H$6:$H$3768,", "),""))</f>
        <v xml:space="preserve">3.1.45_IBS_Interrupt_Mapping_Instruction_fetch_feature.stf
3.1.45_IBS_Interrupt_Mapping_Instruction_Execution_feature.stf, </v>
      </c>
      <c r="E103" s="410" t="str">
        <f>VLOOKUP(A103,'Diags Raw Data'!$A$6:$D$3768,4,FALSE)</f>
        <v>APIC-10</v>
      </c>
      <c r="F103" s="410" t="str">
        <f>VLOOKUP(A103,'Feature Raw Data'!$A$3:$E$3847,5,FALSE)</f>
        <v>Legacy</v>
      </c>
      <c r="G103" s="410" t="str">
        <f t="shared" si="34"/>
        <v>Yes</v>
      </c>
      <c r="H103" s="410" t="str">
        <f t="shared" si="35"/>
        <v>Yes</v>
      </c>
      <c r="I103" s="412">
        <f>SUMIF('Diags Raw Data'!$A$6:$A$3768,"*"&amp;$A103&amp;"*",'Diags Raw Data'!$K$6:$K$3768)</f>
        <v>1</v>
      </c>
      <c r="J103" s="413">
        <f>SUMIF('Diags Raw Data'!$A$6:$A$3768,"*"&amp;$A103&amp;"*",'Diags Raw Data'!$L$6:$L$3768)</f>
        <v>1</v>
      </c>
      <c r="K103" s="432" cm="1">
        <f t="array" ref="K103">IF(D103="",0, SUMPRODUCT(--(ISNUMBER(SEARCH($A103,'Diags Raw Data'!$A$6:$A$3766))),'Diags Raw Data'!$L$6:$L$3766,'Diags Raw Data'!$N$6:$N$3766)/J103)</f>
        <v>1</v>
      </c>
      <c r="L103" s="433" cm="1">
        <f t="array" ref="L103">IF(D103="",0, SUMPRODUCT(--(ISNUMBER(SEARCH($A103,'Diags Raw Data'!$A$6:$A$3766))),'Diags Raw Data'!$L$6:$L$3766,'Diags Raw Data'!$P$6:$P$3766)/J103)</f>
        <v>1</v>
      </c>
      <c r="M103" s="434" cm="1">
        <f t="array" ref="M103">SUMPRODUCT(--(ISNUMBER(SEARCH($A103,'Diags Raw Data'!$A$6:$A$3766))),--('Diags Raw Data'!$Q$6:$Q$3766&lt;&gt;"N/A"),'Diags Raw Data'!$T$6:$T$3766)+SUMPRODUCT(--(ISNUMBER(SEARCH($A103,'Diags Raw Data'!$A$6:$A$3766))),--('Diags Raw Data'!$Q$6:$Q$3766&lt;&gt;"N/A"),'Diags Raw Data'!$U$6:$U$3766)</f>
        <v>2</v>
      </c>
      <c r="N103" s="434" cm="1">
        <f t="array" ref="N103">SUMPRODUCT(--(ISNUMBER(SEARCH($A103,'Diags Raw Data'!$A$6:$A$3766))),--('Diags Raw Data'!$Q$6:$Q$3766&lt;&gt;"N/A"),'Diags Raw Data'!$T$6:$T$3766)+SUMPRODUCT(--(ISNUMBER(SEARCH($A103,'Diags Raw Data'!$A$6:$A$3766))),--('Diags Raw Data'!$Q$6:$Q$3766&lt;&gt;"N/A"),'Diags Raw Data'!$U$6:$U$3766)</f>
        <v>2</v>
      </c>
      <c r="O103" s="435">
        <f t="shared" si="24"/>
        <v>1</v>
      </c>
      <c r="P103" s="436">
        <f>SUMIF('Diags Raw Data'!$A$6:$A$3766,"*"&amp;$A103&amp;"*",'Diags Raw Data'!$Z$6:$Z$3766)</f>
        <v>2</v>
      </c>
      <c r="Q103" s="437">
        <f>SUM(SUMIF('Diags Raw Data'!$A$6:$A$3766,"*"&amp;$A103&amp;"*",'Diags Raw Data'!$AA$6:$AA$3766),SUMIF('Diags Raw Data'!$A$6:$A$3766,"*"&amp;$A103&amp;"*",'Diags Raw Data'!$AB$6:$AB$3766))</f>
        <v>2</v>
      </c>
      <c r="R103" s="438">
        <f t="shared" si="25"/>
        <v>2</v>
      </c>
      <c r="S103" s="438">
        <f t="shared" si="26"/>
        <v>1</v>
      </c>
      <c r="T103" s="439">
        <f t="shared" si="27"/>
        <v>2</v>
      </c>
      <c r="U103" s="414"/>
      <c r="V103" s="181"/>
    </row>
    <row r="104" spans="1:22" ht="71.25" customHeight="1" thickBot="1" x14ac:dyDescent="0.3">
      <c r="A104" s="321" t="s">
        <v>793</v>
      </c>
      <c r="B104" s="407" t="str">
        <f>VLOOKUP(A104,'Feature Raw Data'!$A$3:$B$3847,2,FALSE)</f>
        <v>WS.CDL.Apic.Local_APIC_Faster TPR write for mov CR8</v>
      </c>
      <c r="C104" s="408" t="str">
        <f>VLOOKUP(A104,'Feature Raw Data'!$A$3:$C$3929,3,FALSE)</f>
        <v>P2</v>
      </c>
      <c r="D104" s="409" t="str" cm="1">
        <f t="array" ref="D104">_xlfn.TEXTJOIN("",TRUE,IF(ISNUMBER(SEARCH($A104,'Diags Raw Data'!$A$6:$A$3768)),CONCATENATE('Diags Raw Data'!$H$6:$H$3768,", "),""))</f>
        <v xml:space="preserve">TPR_Read_Write.stf, </v>
      </c>
      <c r="E104" s="410" t="str">
        <f>VLOOKUP(A104,'Diags Raw Data'!$A$6:$D$3768,4,FALSE)</f>
        <v>APIC-10</v>
      </c>
      <c r="F104" s="410" t="str">
        <f>VLOOKUP(A104,'Feature Raw Data'!$A$3:$E$3847,5,FALSE)</f>
        <v>Legacy</v>
      </c>
      <c r="G104" s="410" t="str">
        <f t="shared" si="34"/>
        <v>Yes</v>
      </c>
      <c r="H104" s="410" t="str">
        <f t="shared" si="35"/>
        <v>Yes</v>
      </c>
      <c r="I104" s="412">
        <f>SUMIF('Diags Raw Data'!$A$6:$A$3768,"*"&amp;$A104&amp;"*",'Diags Raw Data'!$K$6:$K$3768)</f>
        <v>1</v>
      </c>
      <c r="J104" s="413">
        <f>SUMIF('Diags Raw Data'!$A$6:$A$3768,"*"&amp;$A104&amp;"*",'Diags Raw Data'!$L$6:$L$3768)</f>
        <v>1</v>
      </c>
      <c r="K104" s="432" cm="1">
        <f t="array" ref="K104">IF(D104="",0, SUMPRODUCT(--(ISNUMBER(SEARCH($A104,'Diags Raw Data'!$A$6:$A$3766))),'Diags Raw Data'!$L$6:$L$3766,'Diags Raw Data'!$N$6:$N$3766)/J104)</f>
        <v>1</v>
      </c>
      <c r="L104" s="433" cm="1">
        <f t="array" ref="L104">IF(D104="",0, SUMPRODUCT(--(ISNUMBER(SEARCH($A104,'Diags Raw Data'!$A$6:$A$3766))),'Diags Raw Data'!$L$6:$L$3766,'Diags Raw Data'!$P$6:$P$3766)/J104)</f>
        <v>1</v>
      </c>
      <c r="M104" s="434" cm="1">
        <f t="array" ref="M104">SUMPRODUCT(--(ISNUMBER(SEARCH($A104,'Diags Raw Data'!$A$6:$A$3766))),--('Diags Raw Data'!$Q$6:$Q$3766&lt;&gt;"N/A"),'Diags Raw Data'!$T$6:$T$3766)+SUMPRODUCT(--(ISNUMBER(SEARCH($A104,'Diags Raw Data'!$A$6:$A$3766))),--('Diags Raw Data'!$Q$6:$Q$3766&lt;&gt;"N/A"),'Diags Raw Data'!$U$6:$U$3766)</f>
        <v>0</v>
      </c>
      <c r="N104" s="434" cm="1">
        <f t="array" ref="N104">SUMPRODUCT(--(ISNUMBER(SEARCH($A104,'Diags Raw Data'!$A$6:$A$3766))),--('Diags Raw Data'!$Q$6:$Q$3766&lt;&gt;"N/A"),'Diags Raw Data'!$T$6:$T$3766)+SUMPRODUCT(--(ISNUMBER(SEARCH($A104,'Diags Raw Data'!$A$6:$A$3766))),--('Diags Raw Data'!$Q$6:$Q$3766&lt;&gt;"N/A"),'Diags Raw Data'!$U$6:$U$3766)</f>
        <v>0</v>
      </c>
      <c r="O104" s="435">
        <f t="shared" si="24"/>
        <v>0</v>
      </c>
      <c r="P104" s="436">
        <f>SUMIF('Diags Raw Data'!$A$6:$A$3766,"*"&amp;$A104&amp;"*",'Diags Raw Data'!$Z$6:$Z$3766)</f>
        <v>1</v>
      </c>
      <c r="Q104" s="437">
        <f>SUM(SUMIF('Diags Raw Data'!$A$6:$A$3766,"*"&amp;$A104&amp;"*",'Diags Raw Data'!$AA$6:$AA$3766),SUMIF('Diags Raw Data'!$A$6:$A$3766,"*"&amp;$A104&amp;"*",'Diags Raw Data'!$AB$6:$AB$3766))</f>
        <v>1</v>
      </c>
      <c r="R104" s="438">
        <f t="shared" si="25"/>
        <v>1</v>
      </c>
      <c r="S104" s="438">
        <f t="shared" si="26"/>
        <v>1</v>
      </c>
      <c r="T104" s="439">
        <f t="shared" si="27"/>
        <v>1</v>
      </c>
      <c r="U104" s="414"/>
      <c r="V104" s="181"/>
    </row>
    <row r="105" spans="1:22" ht="75.75" thickBot="1" x14ac:dyDescent="0.3">
      <c r="A105" s="321" t="s">
        <v>798</v>
      </c>
      <c r="B105" s="407" t="str">
        <f>VLOOKUP(A105,'Feature Raw Data'!$A$3:$B$3847,2,FALSE)</f>
        <v>WS.CDL.X2Apic.X2APIC_X2APIC_Check</v>
      </c>
      <c r="C105" s="408" t="str">
        <f>VLOOKUP(A105,'Feature Raw Data'!$A$3:$C$3929,3,FALSE)</f>
        <v>P2</v>
      </c>
      <c r="D105" s="409" t="str" cm="1">
        <f t="array" ref="D105">_xlfn.TEXTJOIN("",TRUE,IF(ISNUMBER(SEARCH($A105,'Diags Raw Data'!$A$6:$A$3768)),CONCATENATE('Diags Raw Data'!$H$6:$H$3768,", "),""))</f>
        <v xml:space="preserve">LS08_10_X2APIC_Check.stf, </v>
      </c>
      <c r="E105" s="410" t="str">
        <f>VLOOKUP(A105,'Diags Raw Data'!$A$6:$D$3768,4,FALSE)</f>
        <v>APIC-10</v>
      </c>
      <c r="F105" s="410" t="str">
        <f>VLOOKUP(A105,'Feature Raw Data'!$A$3:$E$3847,5,FALSE)</f>
        <v>Legacy</v>
      </c>
      <c r="G105" s="410" t="str">
        <f t="shared" si="34"/>
        <v>Yes</v>
      </c>
      <c r="H105" s="410" t="str">
        <f t="shared" si="35"/>
        <v>Yes</v>
      </c>
      <c r="I105" s="412">
        <f>SUMIF('Diags Raw Data'!$A$6:$A$3768,"*"&amp;$A105&amp;"*",'Diags Raw Data'!$K$6:$K$3768)</f>
        <v>1</v>
      </c>
      <c r="J105" s="413">
        <f>SUMIF('Diags Raw Data'!$A$6:$A$3768,"*"&amp;$A105&amp;"*",'Diags Raw Data'!$L$6:$L$3768)</f>
        <v>1</v>
      </c>
      <c r="K105" s="432" cm="1">
        <f t="array" ref="K105">IF(D105="",0, SUMPRODUCT(--(ISNUMBER(SEARCH($A105,'Diags Raw Data'!$A$6:$A$3766))),'Diags Raw Data'!$L$6:$L$3766,'Diags Raw Data'!$N$6:$N$3766)/J105)</f>
        <v>1</v>
      </c>
      <c r="L105" s="433" cm="1">
        <f t="array" ref="L105">IF(D105="",0, SUMPRODUCT(--(ISNUMBER(SEARCH($A105,'Diags Raw Data'!$A$6:$A$3766))),'Diags Raw Data'!$L$6:$L$3766,'Diags Raw Data'!$P$6:$P$3766)/J105)</f>
        <v>1</v>
      </c>
      <c r="M105" s="434" cm="1">
        <f t="array" ref="M105">SUMPRODUCT(--(ISNUMBER(SEARCH($A105,'Diags Raw Data'!$A$6:$A$3766))),--('Diags Raw Data'!$Q$6:$Q$3766&lt;&gt;"N/A"),'Diags Raw Data'!$T$6:$T$3766)+SUMPRODUCT(--(ISNUMBER(SEARCH($A105,'Diags Raw Data'!$A$6:$A$3766))),--('Diags Raw Data'!$Q$6:$Q$3766&lt;&gt;"N/A"),'Diags Raw Data'!$U$6:$U$3766)</f>
        <v>1</v>
      </c>
      <c r="N105" s="434" cm="1">
        <f t="array" ref="N105">SUMPRODUCT(--(ISNUMBER(SEARCH($A105,'Diags Raw Data'!$A$6:$A$3766))),--('Diags Raw Data'!$Q$6:$Q$3766&lt;&gt;"N/A"),'Diags Raw Data'!$T$6:$T$3766)+SUMPRODUCT(--(ISNUMBER(SEARCH($A105,'Diags Raw Data'!$A$6:$A$3766))),--('Diags Raw Data'!$Q$6:$Q$3766&lt;&gt;"N/A"),'Diags Raw Data'!$U$6:$U$3766)</f>
        <v>1</v>
      </c>
      <c r="O105" s="435">
        <f t="shared" si="24"/>
        <v>1</v>
      </c>
      <c r="P105" s="436">
        <f>SUMIF('Diags Raw Data'!$A$6:$A$3766,"*"&amp;$A105&amp;"*",'Diags Raw Data'!$Z$6:$Z$3766)</f>
        <v>1</v>
      </c>
      <c r="Q105" s="437">
        <f>SUM(SUMIF('Diags Raw Data'!$A$6:$A$3766,"*"&amp;$A105&amp;"*",'Diags Raw Data'!$AA$6:$AA$3766),SUMIF('Diags Raw Data'!$A$6:$A$3766,"*"&amp;$A105&amp;"*",'Diags Raw Data'!$AB$6:$AB$3766))</f>
        <v>1</v>
      </c>
      <c r="R105" s="438">
        <f t="shared" si="25"/>
        <v>1</v>
      </c>
      <c r="S105" s="438">
        <f t="shared" si="26"/>
        <v>1</v>
      </c>
      <c r="T105" s="439">
        <f t="shared" si="27"/>
        <v>1</v>
      </c>
      <c r="U105" s="414" t="s">
        <v>1015</v>
      </c>
      <c r="V105" s="181"/>
    </row>
    <row r="106" spans="1:22" ht="45" customHeight="1" thickBot="1" x14ac:dyDescent="0.3">
      <c r="A106" s="321" t="s">
        <v>805</v>
      </c>
      <c r="B106" s="407" t="str">
        <f>VLOOKUP(A106,'Feature Raw Data'!$A$3:$B$3847,2,FALSE)</f>
        <v>WS.CDL.X2Apic.X2APIC_APIC_Fixed_Interrupts</v>
      </c>
      <c r="C106" s="408" t="str">
        <f>VLOOKUP(A106,'Feature Raw Data'!$A$3:$C$3929,3,FALSE)</f>
        <v>P1</v>
      </c>
      <c r="D106" s="409" t="str" cm="1">
        <f t="array" ref="D106">_xlfn.TEXTJOIN("",TRUE,IF(ISNUMBER(SEARCH($A106,'Diags Raw Data'!$A$6:$A$3768)),CONCATENATE('Diags Raw Data'!$H$6:$H$3768,", "),""))</f>
        <v xml:space="preserve">LS08_2_Fixed_Interrupts_X2APIC.stf, </v>
      </c>
      <c r="E106" s="410" t="str">
        <f>VLOOKUP(A106,'Diags Raw Data'!$A$6:$D$3768,4,FALSE)</f>
        <v>APIC-10</v>
      </c>
      <c r="F106" s="410" t="str">
        <f>VLOOKUP(A106,'Feature Raw Data'!$A$3:$E$3847,5,FALSE)</f>
        <v>Legacy</v>
      </c>
      <c r="G106" s="410" t="str">
        <f t="shared" si="34"/>
        <v>Yes</v>
      </c>
      <c r="H106" s="410" t="str">
        <f t="shared" si="35"/>
        <v>Yes</v>
      </c>
      <c r="I106" s="412">
        <f>SUMIF('Diags Raw Data'!$A$6:$A$3768,"*"&amp;$A106&amp;"*",'Diags Raw Data'!$K$6:$K$3768)</f>
        <v>1</v>
      </c>
      <c r="J106" s="413">
        <f>SUMIF('Diags Raw Data'!$A$6:$A$3768,"*"&amp;$A106&amp;"*",'Diags Raw Data'!$L$6:$L$3768)</f>
        <v>1</v>
      </c>
      <c r="K106" s="432" cm="1">
        <f t="array" ref="K106">IF(D106="",0, SUMPRODUCT(--(ISNUMBER(SEARCH($A106,'Diags Raw Data'!$A$6:$A$3766))),'Diags Raw Data'!$L$6:$L$3766,'Diags Raw Data'!$N$6:$N$3766)/J106)</f>
        <v>1</v>
      </c>
      <c r="L106" s="433" cm="1">
        <f t="array" ref="L106">IF(D106="",0, SUMPRODUCT(--(ISNUMBER(SEARCH($A106,'Diags Raw Data'!$A$6:$A$3766))),'Diags Raw Data'!$L$6:$L$3766,'Diags Raw Data'!$P$6:$P$3766)/J106)</f>
        <v>1</v>
      </c>
      <c r="M106" s="434" cm="1">
        <f t="array" ref="M106">SUMPRODUCT(--(ISNUMBER(SEARCH($A106,'Diags Raw Data'!$A$6:$A$3766))),--('Diags Raw Data'!$Q$6:$Q$3766&lt;&gt;"N/A"),'Diags Raw Data'!$T$6:$T$3766)+SUMPRODUCT(--(ISNUMBER(SEARCH($A106,'Diags Raw Data'!$A$6:$A$3766))),--('Diags Raw Data'!$Q$6:$Q$3766&lt;&gt;"N/A"),'Diags Raw Data'!$U$6:$U$3766)</f>
        <v>1</v>
      </c>
      <c r="N106" s="434" cm="1">
        <f t="array" ref="N106">SUMPRODUCT(--(ISNUMBER(SEARCH($A106,'Diags Raw Data'!$A$6:$A$3766))),--('Diags Raw Data'!$Q$6:$Q$3766&lt;&gt;"N/A"),'Diags Raw Data'!$T$6:$T$3766)+SUMPRODUCT(--(ISNUMBER(SEARCH($A106,'Diags Raw Data'!$A$6:$A$3766))),--('Diags Raw Data'!$Q$6:$Q$3766&lt;&gt;"N/A"),'Diags Raw Data'!$U$6:$U$3766)</f>
        <v>1</v>
      </c>
      <c r="O106" s="435">
        <f t="shared" si="24"/>
        <v>1</v>
      </c>
      <c r="P106" s="436">
        <f>SUMIF('Diags Raw Data'!$A$6:$A$3766,"*"&amp;$A106&amp;"*",'Diags Raw Data'!$Z$6:$Z$3766)</f>
        <v>1</v>
      </c>
      <c r="Q106" s="437">
        <f>SUM(SUMIF('Diags Raw Data'!$A$6:$A$3766,"*"&amp;$A106&amp;"*",'Diags Raw Data'!$AA$6:$AA$3766),SUMIF('Diags Raw Data'!$A$6:$A$3766,"*"&amp;$A106&amp;"*",'Diags Raw Data'!$AB$6:$AB$3766))</f>
        <v>1</v>
      </c>
      <c r="R106" s="438">
        <f t="shared" si="25"/>
        <v>1</v>
      </c>
      <c r="S106" s="438">
        <f t="shared" si="26"/>
        <v>1</v>
      </c>
      <c r="T106" s="439">
        <f t="shared" si="27"/>
        <v>1</v>
      </c>
      <c r="U106" s="414"/>
      <c r="V106" s="181"/>
    </row>
    <row r="107" spans="1:22" ht="65.25" customHeight="1" thickBot="1" x14ac:dyDescent="0.3">
      <c r="A107" s="321" t="s">
        <v>811</v>
      </c>
      <c r="B107" s="407" t="str">
        <f>VLOOKUP(A107,'Feature Raw Data'!$A$3:$B$3847,2,FALSE)</f>
        <v>WS.CDL.X2Apic.X2APIC_NMI_Check_X2APIC</v>
      </c>
      <c r="C107" s="408" t="str">
        <f>VLOOKUP(A107,'Feature Raw Data'!$A$3:$C$3929,3,FALSE)</f>
        <v>P1</v>
      </c>
      <c r="D107" s="409" t="str" cm="1">
        <f t="array" ref="D107">_xlfn.TEXTJOIN("",TRUE,IF(ISNUMBER(SEARCH($A107,'Diags Raw Data'!$A$6:$A$3768)),CONCATENATE('Diags Raw Data'!$H$6:$H$3768,", "),""))</f>
        <v xml:space="preserve">LS08_4_NMI_Check_X2APIC.stf, </v>
      </c>
      <c r="E107" s="410" t="str">
        <f>VLOOKUP(A107,'Diags Raw Data'!$A$6:$D$3768,4,FALSE)</f>
        <v>APIC-10</v>
      </c>
      <c r="F107" s="410" t="str">
        <f>VLOOKUP(A107,'Feature Raw Data'!$A$3:$E$3847,5,FALSE)</f>
        <v>Legacy</v>
      </c>
      <c r="G107" s="410" t="str">
        <f t="shared" si="34"/>
        <v>Yes</v>
      </c>
      <c r="H107" s="410" t="str">
        <f t="shared" si="35"/>
        <v>Yes</v>
      </c>
      <c r="I107" s="412">
        <f>SUMIF('Diags Raw Data'!$A$6:$A$3768,"*"&amp;$A107&amp;"*",'Diags Raw Data'!$K$6:$K$3768)</f>
        <v>1</v>
      </c>
      <c r="J107" s="413">
        <f>SUMIF('Diags Raw Data'!$A$6:$A$3768,"*"&amp;$A107&amp;"*",'Diags Raw Data'!$L$6:$L$3768)</f>
        <v>1</v>
      </c>
      <c r="K107" s="432" cm="1">
        <f t="array" ref="K107">IF(D107="",0, SUMPRODUCT(--(ISNUMBER(SEARCH($A107,'Diags Raw Data'!$A$6:$A$3766))),'Diags Raw Data'!$L$6:$L$3766,'Diags Raw Data'!$N$6:$N$3766)/J107)</f>
        <v>1</v>
      </c>
      <c r="L107" s="433" cm="1">
        <f t="array" ref="L107">IF(D107="",0, SUMPRODUCT(--(ISNUMBER(SEARCH($A107,'Diags Raw Data'!$A$6:$A$3766))),'Diags Raw Data'!$L$6:$L$3766,'Diags Raw Data'!$P$6:$P$3766)/J107)</f>
        <v>1</v>
      </c>
      <c r="M107" s="434" cm="1">
        <f t="array" ref="M107">SUMPRODUCT(--(ISNUMBER(SEARCH($A107,'Diags Raw Data'!$A$6:$A$3766))),--('Diags Raw Data'!$Q$6:$Q$3766&lt;&gt;"N/A"),'Diags Raw Data'!$T$6:$T$3766)+SUMPRODUCT(--(ISNUMBER(SEARCH($A107,'Diags Raw Data'!$A$6:$A$3766))),--('Diags Raw Data'!$Q$6:$Q$3766&lt;&gt;"N/A"),'Diags Raw Data'!$U$6:$U$3766)</f>
        <v>1</v>
      </c>
      <c r="N107" s="434" cm="1">
        <f t="array" ref="N107">SUMPRODUCT(--(ISNUMBER(SEARCH($A107,'Diags Raw Data'!$A$6:$A$3766))),--('Diags Raw Data'!$Q$6:$Q$3766&lt;&gt;"N/A"),'Diags Raw Data'!$T$6:$T$3766)+SUMPRODUCT(--(ISNUMBER(SEARCH($A107,'Diags Raw Data'!$A$6:$A$3766))),--('Diags Raw Data'!$Q$6:$Q$3766&lt;&gt;"N/A"),'Diags Raw Data'!$U$6:$U$3766)</f>
        <v>1</v>
      </c>
      <c r="O107" s="435">
        <f t="shared" si="24"/>
        <v>1</v>
      </c>
      <c r="P107" s="436">
        <f>SUMIF('Diags Raw Data'!$A$6:$A$3766,"*"&amp;$A107&amp;"*",'Diags Raw Data'!$Z$6:$Z$3766)</f>
        <v>1</v>
      </c>
      <c r="Q107" s="437">
        <f>SUM(SUMIF('Diags Raw Data'!$A$6:$A$3766,"*"&amp;$A107&amp;"*",'Diags Raw Data'!$AA$6:$AA$3766),SUMIF('Diags Raw Data'!$A$6:$A$3766,"*"&amp;$A107&amp;"*",'Diags Raw Data'!$AB$6:$AB$3766))</f>
        <v>1</v>
      </c>
      <c r="R107" s="438">
        <f t="shared" si="25"/>
        <v>1</v>
      </c>
      <c r="S107" s="438">
        <f t="shared" si="26"/>
        <v>1</v>
      </c>
      <c r="T107" s="439">
        <f t="shared" si="27"/>
        <v>1</v>
      </c>
      <c r="U107" s="414"/>
      <c r="V107" s="181"/>
    </row>
    <row r="108" spans="1:22" ht="50.25" customHeight="1" thickBot="1" x14ac:dyDescent="0.3">
      <c r="A108" s="321" t="s">
        <v>817</v>
      </c>
      <c r="B108" s="407" t="str">
        <f>VLOOKUP(A108,'Feature Raw Data'!$A$3:$B$3847,2,FALSE)</f>
        <v>WS.CDL.X2Apic.X2APIC_Self_IPI_X2APIC</v>
      </c>
      <c r="C108" s="408" t="str">
        <f>VLOOKUP(A108,'Feature Raw Data'!$A$3:$C$3929,3,FALSE)</f>
        <v>P1</v>
      </c>
      <c r="D108" s="409" t="str" cm="1">
        <f t="array" ref="D108">_xlfn.TEXTJOIN("",TRUE,IF(ISNUMBER(SEARCH($A108,'Diags Raw Data'!$A$6:$A$3768)),CONCATENATE('Diags Raw Data'!$H$6:$H$3768,", "),""))</f>
        <v xml:space="preserve">LS08_8_Self_IPI_X2APIC.stf, </v>
      </c>
      <c r="E108" s="410" t="str">
        <f>VLOOKUP(A108,'Diags Raw Data'!$A$6:$D$3768,4,FALSE)</f>
        <v>APIC-10</v>
      </c>
      <c r="F108" s="410" t="str">
        <f>VLOOKUP(A108,'Feature Raw Data'!$A$3:$E$3847,5,FALSE)</f>
        <v>Legacy</v>
      </c>
      <c r="G108" s="410" t="str">
        <f t="shared" si="34"/>
        <v>Yes</v>
      </c>
      <c r="H108" s="410" t="str">
        <f t="shared" si="35"/>
        <v>Yes</v>
      </c>
      <c r="I108" s="412">
        <f>SUMIF('Diags Raw Data'!$A$6:$A$3768,"*"&amp;$A108&amp;"*",'Diags Raw Data'!$K$6:$K$3768)</f>
        <v>1</v>
      </c>
      <c r="J108" s="413">
        <f>SUMIF('Diags Raw Data'!$A$6:$A$3768,"*"&amp;$A108&amp;"*",'Diags Raw Data'!$L$6:$L$3768)</f>
        <v>1</v>
      </c>
      <c r="K108" s="432" cm="1">
        <f t="array" ref="K108">IF(D108="",0, SUMPRODUCT(--(ISNUMBER(SEARCH($A108,'Diags Raw Data'!$A$6:$A$3766))),'Diags Raw Data'!$L$6:$L$3766,'Diags Raw Data'!$N$6:$N$3766)/J108)</f>
        <v>1</v>
      </c>
      <c r="L108" s="433" cm="1">
        <f t="array" ref="L108">IF(D108="",0, SUMPRODUCT(--(ISNUMBER(SEARCH($A108,'Diags Raw Data'!$A$6:$A$3766))),'Diags Raw Data'!$L$6:$L$3766,'Diags Raw Data'!$P$6:$P$3766)/J108)</f>
        <v>1</v>
      </c>
      <c r="M108" s="434" cm="1">
        <f t="array" ref="M108">SUMPRODUCT(--(ISNUMBER(SEARCH($A108,'Diags Raw Data'!$A$6:$A$3766))),--('Diags Raw Data'!$Q$6:$Q$3766&lt;&gt;"N/A"),'Diags Raw Data'!$T$6:$T$3766)+SUMPRODUCT(--(ISNUMBER(SEARCH($A108,'Diags Raw Data'!$A$6:$A$3766))),--('Diags Raw Data'!$Q$6:$Q$3766&lt;&gt;"N/A"),'Diags Raw Data'!$U$6:$U$3766)</f>
        <v>1</v>
      </c>
      <c r="N108" s="434" cm="1">
        <f t="array" ref="N108">SUMPRODUCT(--(ISNUMBER(SEARCH($A108,'Diags Raw Data'!$A$6:$A$3766))),--('Diags Raw Data'!$Q$6:$Q$3766&lt;&gt;"N/A"),'Diags Raw Data'!$T$6:$T$3766)+SUMPRODUCT(--(ISNUMBER(SEARCH($A108,'Diags Raw Data'!$A$6:$A$3766))),--('Diags Raw Data'!$Q$6:$Q$3766&lt;&gt;"N/A"),'Diags Raw Data'!$U$6:$U$3766)</f>
        <v>1</v>
      </c>
      <c r="O108" s="435">
        <f t="shared" si="24"/>
        <v>1</v>
      </c>
      <c r="P108" s="436">
        <f>SUMIF('Diags Raw Data'!$A$6:$A$3766,"*"&amp;$A108&amp;"*",'Diags Raw Data'!$Z$6:$Z$3766)</f>
        <v>1</v>
      </c>
      <c r="Q108" s="437">
        <f>SUM(SUMIF('Diags Raw Data'!$A$6:$A$3766,"*"&amp;$A108&amp;"*",'Diags Raw Data'!$AA$6:$AA$3766),SUMIF('Diags Raw Data'!$A$6:$A$3766,"*"&amp;$A108&amp;"*",'Diags Raw Data'!$AB$6:$AB$3766))</f>
        <v>1</v>
      </c>
      <c r="R108" s="438">
        <f t="shared" si="25"/>
        <v>1</v>
      </c>
      <c r="S108" s="438">
        <f t="shared" si="26"/>
        <v>1</v>
      </c>
      <c r="T108" s="439">
        <f t="shared" si="27"/>
        <v>1</v>
      </c>
      <c r="U108" s="414"/>
      <c r="V108" s="181"/>
    </row>
    <row r="109" spans="1:22" ht="60" customHeight="1" thickBot="1" x14ac:dyDescent="0.3">
      <c r="A109" s="321" t="s">
        <v>823</v>
      </c>
      <c r="B109" s="407" t="str">
        <f>VLOOKUP(A109,'Feature Raw Data'!$A$3:$B$3847,2,FALSE)</f>
        <v>WS.CDL.X2Apic.X2APIC_SMI_Check_X2APIC</v>
      </c>
      <c r="C109" s="408" t="str">
        <f>VLOOKUP(A109,'Feature Raw Data'!$A$3:$C$3929,3,FALSE)</f>
        <v>P1</v>
      </c>
      <c r="D109" s="409" t="str" cm="1">
        <f t="array" ref="D109">_xlfn.TEXTJOIN("",TRUE,IF(ISNUMBER(SEARCH($A109,'Diags Raw Data'!$A$6:$A$3768)),CONCATENATE('Diags Raw Data'!$H$6:$H$3768,", "),""))</f>
        <v xml:space="preserve">LS08_7_SMI_Check_X2APIC.stf, </v>
      </c>
      <c r="E109" s="410" t="str">
        <f>VLOOKUP(A109,'Diags Raw Data'!$A$6:$D$3768,4,FALSE)</f>
        <v>APIC-10</v>
      </c>
      <c r="F109" s="410" t="str">
        <f>VLOOKUP(A109,'Feature Raw Data'!$A$3:$E$3847,5,FALSE)</f>
        <v>Legacy</v>
      </c>
      <c r="G109" s="410" t="str">
        <f t="shared" si="34"/>
        <v>Yes</v>
      </c>
      <c r="H109" s="410" t="str">
        <f t="shared" si="35"/>
        <v>Yes</v>
      </c>
      <c r="I109" s="412">
        <f>SUMIF('Diags Raw Data'!$A$6:$A$3768,"*"&amp;$A109&amp;"*",'Diags Raw Data'!$K$6:$K$3768)</f>
        <v>1</v>
      </c>
      <c r="J109" s="413">
        <f>SUMIF('Diags Raw Data'!$A$6:$A$3768,"*"&amp;$A109&amp;"*",'Diags Raw Data'!$L$6:$L$3768)</f>
        <v>1</v>
      </c>
      <c r="K109" s="432" cm="1">
        <f t="array" ref="K109">IF(D109="",0, SUMPRODUCT(--(ISNUMBER(SEARCH($A109,'Diags Raw Data'!$A$6:$A$3766))),'Diags Raw Data'!$L$6:$L$3766,'Diags Raw Data'!$N$6:$N$3766)/J109)</f>
        <v>1</v>
      </c>
      <c r="L109" s="433" cm="1">
        <f t="array" ref="L109">IF(D109="",0, SUMPRODUCT(--(ISNUMBER(SEARCH($A109,'Diags Raw Data'!$A$6:$A$3766))),'Diags Raw Data'!$L$6:$L$3766,'Diags Raw Data'!$P$6:$P$3766)/J109)</f>
        <v>1</v>
      </c>
      <c r="M109" s="434" cm="1">
        <f t="array" ref="M109">SUMPRODUCT(--(ISNUMBER(SEARCH($A109,'Diags Raw Data'!$A$6:$A$3766))),--('Diags Raw Data'!$Q$6:$Q$3766&lt;&gt;"N/A"),'Diags Raw Data'!$T$6:$T$3766)+SUMPRODUCT(--(ISNUMBER(SEARCH($A109,'Diags Raw Data'!$A$6:$A$3766))),--('Diags Raw Data'!$Q$6:$Q$3766&lt;&gt;"N/A"),'Diags Raw Data'!$U$6:$U$3766)</f>
        <v>1</v>
      </c>
      <c r="N109" s="434" cm="1">
        <f t="array" ref="N109">SUMPRODUCT(--(ISNUMBER(SEARCH($A109,'Diags Raw Data'!$A$6:$A$3766))),--('Diags Raw Data'!$Q$6:$Q$3766&lt;&gt;"N/A"),'Diags Raw Data'!$T$6:$T$3766)+SUMPRODUCT(--(ISNUMBER(SEARCH($A109,'Diags Raw Data'!$A$6:$A$3766))),--('Diags Raw Data'!$Q$6:$Q$3766&lt;&gt;"N/A"),'Diags Raw Data'!$U$6:$U$3766)</f>
        <v>1</v>
      </c>
      <c r="O109" s="435">
        <f t="shared" si="24"/>
        <v>1</v>
      </c>
      <c r="P109" s="436">
        <f>SUMIF('Diags Raw Data'!$A$6:$A$3766,"*"&amp;$A109&amp;"*",'Diags Raw Data'!$Z$6:$Z$3766)</f>
        <v>1</v>
      </c>
      <c r="Q109" s="437">
        <f>SUM(SUMIF('Diags Raw Data'!$A$6:$A$3766,"*"&amp;$A109&amp;"*",'Diags Raw Data'!$AA$6:$AA$3766),SUMIF('Diags Raw Data'!$A$6:$A$3766,"*"&amp;$A109&amp;"*",'Diags Raw Data'!$AB$6:$AB$3766))</f>
        <v>1</v>
      </c>
      <c r="R109" s="438">
        <f t="shared" si="25"/>
        <v>1</v>
      </c>
      <c r="S109" s="438">
        <f t="shared" si="26"/>
        <v>1</v>
      </c>
      <c r="T109" s="439">
        <f t="shared" si="27"/>
        <v>1</v>
      </c>
      <c r="U109" s="414"/>
      <c r="V109" s="181"/>
    </row>
    <row r="110" spans="1:22" ht="75.75" thickBot="1" x14ac:dyDescent="0.3">
      <c r="A110" s="321" t="s">
        <v>829</v>
      </c>
      <c r="B110" s="407" t="str">
        <f>VLOOKUP(A110,'Feature Raw Data'!$A$3:$B$3847,2,FALSE)</f>
        <v>WS.CDL.X2Apic.X2APIC_Timer_LVT_X2APIC</v>
      </c>
      <c r="C110" s="408" t="str">
        <f>VLOOKUP(A110,'Feature Raw Data'!$A$3:$C$3929,3,FALSE)</f>
        <v>P2</v>
      </c>
      <c r="D110" s="409" t="str" cm="1">
        <f t="array" ref="D110">_xlfn.TEXTJOIN("",TRUE,IF(ISNUMBER(SEARCH($A110,'Diags Raw Data'!$A$6:$A$3768)),CONCATENATE('Diags Raw Data'!$H$6:$H$3768,", "),""))</f>
        <v xml:space="preserve">LS08_9_Timer_LVT_X2APIC.stf, </v>
      </c>
      <c r="E110" s="410" t="str">
        <f>VLOOKUP(A110,'Diags Raw Data'!$A$6:$D$3768,4,FALSE)</f>
        <v>APIC-10</v>
      </c>
      <c r="F110" s="410" t="str">
        <f>VLOOKUP(A110,'Feature Raw Data'!$A$3:$E$3847,5,FALSE)</f>
        <v>Legacy</v>
      </c>
      <c r="G110" s="410" t="str">
        <f t="shared" si="34"/>
        <v>Yes</v>
      </c>
      <c r="H110" s="410" t="str">
        <f t="shared" si="35"/>
        <v>Yes</v>
      </c>
      <c r="I110" s="412">
        <f>SUMIF('Diags Raw Data'!$A$6:$A$3768,"*"&amp;$A110&amp;"*",'Diags Raw Data'!$K$6:$K$3768)</f>
        <v>1</v>
      </c>
      <c r="J110" s="413">
        <f>SUMIF('Diags Raw Data'!$A$6:$A$3768,"*"&amp;$A110&amp;"*",'Diags Raw Data'!$L$6:$L$3768)</f>
        <v>1</v>
      </c>
      <c r="K110" s="432" cm="1">
        <f t="array" ref="K110">IF(D110="",0, SUMPRODUCT(--(ISNUMBER(SEARCH($A110,'Diags Raw Data'!$A$6:$A$3766))),'Diags Raw Data'!$L$6:$L$3766,'Diags Raw Data'!$N$6:$N$3766)/J110)</f>
        <v>1</v>
      </c>
      <c r="L110" s="433" cm="1">
        <f t="array" ref="L110">IF(D110="",0, SUMPRODUCT(--(ISNUMBER(SEARCH($A110,'Diags Raw Data'!$A$6:$A$3766))),'Diags Raw Data'!$L$6:$L$3766,'Diags Raw Data'!$P$6:$P$3766)/J110)</f>
        <v>1</v>
      </c>
      <c r="M110" s="434" cm="1">
        <f t="array" ref="M110">SUMPRODUCT(--(ISNUMBER(SEARCH($A110,'Diags Raw Data'!$A$6:$A$3766))),--('Diags Raw Data'!$Q$6:$Q$3766&lt;&gt;"N/A"),'Diags Raw Data'!$T$6:$T$3766)+SUMPRODUCT(--(ISNUMBER(SEARCH($A110,'Diags Raw Data'!$A$6:$A$3766))),--('Diags Raw Data'!$Q$6:$Q$3766&lt;&gt;"N/A"),'Diags Raw Data'!$U$6:$U$3766)</f>
        <v>1</v>
      </c>
      <c r="N110" s="434" cm="1">
        <f t="array" ref="N110">SUMPRODUCT(--(ISNUMBER(SEARCH($A110,'Diags Raw Data'!$A$6:$A$3766))),--('Diags Raw Data'!$Q$6:$Q$3766&lt;&gt;"N/A"),'Diags Raw Data'!$T$6:$T$3766)+SUMPRODUCT(--(ISNUMBER(SEARCH($A110,'Diags Raw Data'!$A$6:$A$3766))),--('Diags Raw Data'!$Q$6:$Q$3766&lt;&gt;"N/A"),'Diags Raw Data'!$U$6:$U$3766)</f>
        <v>1</v>
      </c>
      <c r="O110" s="435">
        <f t="shared" si="24"/>
        <v>1</v>
      </c>
      <c r="P110" s="436">
        <f>SUMIF('Diags Raw Data'!$A$6:$A$3766,"*"&amp;$A110&amp;"*",'Diags Raw Data'!$Z$6:$Z$3766)</f>
        <v>1</v>
      </c>
      <c r="Q110" s="437">
        <f>SUM(SUMIF('Diags Raw Data'!$A$6:$A$3766,"*"&amp;$A110&amp;"*",'Diags Raw Data'!$AA$6:$AA$3766),SUMIF('Diags Raw Data'!$A$6:$A$3766,"*"&amp;$A110&amp;"*",'Diags Raw Data'!$AB$6:$AB$3766))</f>
        <v>1</v>
      </c>
      <c r="R110" s="438">
        <f t="shared" si="25"/>
        <v>1</v>
      </c>
      <c r="S110" s="438">
        <f t="shared" si="26"/>
        <v>1</v>
      </c>
      <c r="T110" s="439">
        <f t="shared" si="27"/>
        <v>1</v>
      </c>
      <c r="U110" s="414" t="s">
        <v>1015</v>
      </c>
      <c r="V110" s="181"/>
    </row>
    <row r="111" spans="1:22" ht="75.75" thickBot="1" x14ac:dyDescent="0.3">
      <c r="A111" s="321" t="s">
        <v>835</v>
      </c>
      <c r="B111" s="407" t="str">
        <f>VLOOKUP(A111,'Feature Raw Data'!$A$3:$B$3847,2,FALSE)</f>
        <v>WS.CDL.X2Apic.X2APIC_Performance_Counter_LVT_X2APIC</v>
      </c>
      <c r="C111" s="408" t="str">
        <f>VLOOKUP(A111,'Feature Raw Data'!$A$3:$C$3929,3,FALSE)</f>
        <v>P2</v>
      </c>
      <c r="D111" s="409" t="str" cm="1">
        <f t="array" ref="D111">_xlfn.TEXTJOIN("",TRUE,IF(ISNUMBER(SEARCH($A111,'Diags Raw Data'!$A$6:$A$3768)),CONCATENATE('Diags Raw Data'!$H$6:$H$3768,", "),""))</f>
        <v xml:space="preserve">LS08_6_Performance_Counter_LVT_X2APIC.stf, </v>
      </c>
      <c r="E111" s="410" t="str">
        <f>VLOOKUP(A111,'Diags Raw Data'!$A$6:$D$3768,4,FALSE)</f>
        <v>APIC-10</v>
      </c>
      <c r="F111" s="410" t="str">
        <f>VLOOKUP(A111,'Feature Raw Data'!$A$3:$E$3847,5,FALSE)</f>
        <v>Legacy</v>
      </c>
      <c r="G111" s="410" t="str">
        <f t="shared" si="34"/>
        <v>Yes</v>
      </c>
      <c r="H111" s="410" t="str">
        <f t="shared" si="35"/>
        <v>Yes</v>
      </c>
      <c r="I111" s="412">
        <f>SUMIF('Diags Raw Data'!$A$6:$A$3768,"*"&amp;$A111&amp;"*",'Diags Raw Data'!$K$6:$K$3768)</f>
        <v>1</v>
      </c>
      <c r="J111" s="413">
        <f>SUMIF('Diags Raw Data'!$A$6:$A$3768,"*"&amp;$A111&amp;"*",'Diags Raw Data'!$L$6:$L$3768)</f>
        <v>1</v>
      </c>
      <c r="K111" s="432" cm="1">
        <f t="array" ref="K111">IF(D111="",0, SUMPRODUCT(--(ISNUMBER(SEARCH($A111,'Diags Raw Data'!$A$6:$A$3766))),'Diags Raw Data'!$L$6:$L$3766,'Diags Raw Data'!$N$6:$N$3766)/J111)</f>
        <v>1</v>
      </c>
      <c r="L111" s="433" cm="1">
        <f t="array" ref="L111">IF(D111="",0, SUMPRODUCT(--(ISNUMBER(SEARCH($A111,'Diags Raw Data'!$A$6:$A$3766))),'Diags Raw Data'!$L$6:$L$3766,'Diags Raw Data'!$P$6:$P$3766)/J111)</f>
        <v>1</v>
      </c>
      <c r="M111" s="434" cm="1">
        <f t="array" ref="M111">SUMPRODUCT(--(ISNUMBER(SEARCH($A111,'Diags Raw Data'!$A$6:$A$3766))),--('Diags Raw Data'!$Q$6:$Q$3766&lt;&gt;"N/A"),'Diags Raw Data'!$T$6:$T$3766)+SUMPRODUCT(--(ISNUMBER(SEARCH($A111,'Diags Raw Data'!$A$6:$A$3766))),--('Diags Raw Data'!$Q$6:$Q$3766&lt;&gt;"N/A"),'Diags Raw Data'!$U$6:$U$3766)</f>
        <v>1</v>
      </c>
      <c r="N111" s="434" cm="1">
        <f t="array" ref="N111">SUMPRODUCT(--(ISNUMBER(SEARCH($A111,'Diags Raw Data'!$A$6:$A$3766))),--('Diags Raw Data'!$Q$6:$Q$3766&lt;&gt;"N/A"),'Diags Raw Data'!$T$6:$T$3766)+SUMPRODUCT(--(ISNUMBER(SEARCH($A111,'Diags Raw Data'!$A$6:$A$3766))),--('Diags Raw Data'!$Q$6:$Q$3766&lt;&gt;"N/A"),'Diags Raw Data'!$U$6:$U$3766)</f>
        <v>1</v>
      </c>
      <c r="O111" s="435">
        <f t="shared" si="24"/>
        <v>1</v>
      </c>
      <c r="P111" s="436">
        <f>SUMIF('Diags Raw Data'!$A$6:$A$3766,"*"&amp;$A111&amp;"*",'Diags Raw Data'!$Z$6:$Z$3766)</f>
        <v>1</v>
      </c>
      <c r="Q111" s="437">
        <f>SUM(SUMIF('Diags Raw Data'!$A$6:$A$3766,"*"&amp;$A111&amp;"*",'Diags Raw Data'!$AA$6:$AA$3766),SUMIF('Diags Raw Data'!$A$6:$A$3766,"*"&amp;$A111&amp;"*",'Diags Raw Data'!$AB$6:$AB$3766))</f>
        <v>1</v>
      </c>
      <c r="R111" s="438">
        <f t="shared" si="25"/>
        <v>1</v>
      </c>
      <c r="S111" s="438">
        <f t="shared" si="26"/>
        <v>1</v>
      </c>
      <c r="T111" s="439">
        <f t="shared" si="27"/>
        <v>1</v>
      </c>
      <c r="U111" s="414" t="s">
        <v>1015</v>
      </c>
      <c r="V111" s="181"/>
    </row>
    <row r="112" spans="1:22" ht="75.75" thickBot="1" x14ac:dyDescent="0.3">
      <c r="A112" s="321" t="s">
        <v>841</v>
      </c>
      <c r="B112" s="407" t="str">
        <f>VLOOKUP(A112,'Feature Raw Data'!$A$3:$B$3847,2,FALSE)</f>
        <v>WS.CDL.X2Apic.X2APIC_Error_LVT_X2APIC</v>
      </c>
      <c r="C112" s="408" t="str">
        <f>VLOOKUP(A112,'Feature Raw Data'!$A$3:$C$3929,3,FALSE)</f>
        <v>P2</v>
      </c>
      <c r="D112" s="409" t="str" cm="1">
        <f t="array" ref="D112">_xlfn.TEXTJOIN("",TRUE,IF(ISNUMBER(SEARCH($A112,'Diags Raw Data'!$A$6:$A$3768)),CONCATENATE('Diags Raw Data'!$H$6:$H$3768,", "),""))</f>
        <v xml:space="preserve">LS08_1_Error_LVT_X2APIC.stf, </v>
      </c>
      <c r="E112" s="410" t="str">
        <f>VLOOKUP(A112,'Diags Raw Data'!$A$6:$D$3768,4,FALSE)</f>
        <v>APIC-10</v>
      </c>
      <c r="F112" s="410" t="str">
        <f>VLOOKUP(A112,'Feature Raw Data'!$A$3:$E$3847,5,FALSE)</f>
        <v>Legacy</v>
      </c>
      <c r="G112" s="410" t="str">
        <f t="shared" si="34"/>
        <v>Yes</v>
      </c>
      <c r="H112" s="410" t="str">
        <f t="shared" si="35"/>
        <v>Yes</v>
      </c>
      <c r="I112" s="412">
        <f>SUMIF('Diags Raw Data'!$A$6:$A$3768,"*"&amp;$A112&amp;"*",'Diags Raw Data'!$K$6:$K$3768)</f>
        <v>1</v>
      </c>
      <c r="J112" s="413">
        <f>SUMIF('Diags Raw Data'!$A$6:$A$3768,"*"&amp;$A112&amp;"*",'Diags Raw Data'!$L$6:$L$3768)</f>
        <v>1</v>
      </c>
      <c r="K112" s="432" cm="1">
        <f t="array" ref="K112">IF(D112="",0, SUMPRODUCT(--(ISNUMBER(SEARCH($A112,'Diags Raw Data'!$A$6:$A$3766))),'Diags Raw Data'!$L$6:$L$3766,'Diags Raw Data'!$N$6:$N$3766)/J112)</f>
        <v>1</v>
      </c>
      <c r="L112" s="433" cm="1">
        <f t="array" ref="L112">IF(D112="",0, SUMPRODUCT(--(ISNUMBER(SEARCH($A112,'Diags Raw Data'!$A$6:$A$3766))),'Diags Raw Data'!$L$6:$L$3766,'Diags Raw Data'!$P$6:$P$3766)/J112)</f>
        <v>1</v>
      </c>
      <c r="M112" s="434" cm="1">
        <f t="array" ref="M112">SUMPRODUCT(--(ISNUMBER(SEARCH($A112,'Diags Raw Data'!$A$6:$A$3766))),--('Diags Raw Data'!$Q$6:$Q$3766&lt;&gt;"N/A"),'Diags Raw Data'!$T$6:$T$3766)+SUMPRODUCT(--(ISNUMBER(SEARCH($A112,'Diags Raw Data'!$A$6:$A$3766))),--('Diags Raw Data'!$Q$6:$Q$3766&lt;&gt;"N/A"),'Diags Raw Data'!$U$6:$U$3766)</f>
        <v>1</v>
      </c>
      <c r="N112" s="434" cm="1">
        <f t="array" ref="N112">SUMPRODUCT(--(ISNUMBER(SEARCH($A112,'Diags Raw Data'!$A$6:$A$3766))),--('Diags Raw Data'!$Q$6:$Q$3766&lt;&gt;"N/A"),'Diags Raw Data'!$T$6:$T$3766)+SUMPRODUCT(--(ISNUMBER(SEARCH($A112,'Diags Raw Data'!$A$6:$A$3766))),--('Diags Raw Data'!$Q$6:$Q$3766&lt;&gt;"N/A"),'Diags Raw Data'!$U$6:$U$3766)</f>
        <v>1</v>
      </c>
      <c r="O112" s="435">
        <f t="shared" si="24"/>
        <v>1</v>
      </c>
      <c r="P112" s="436">
        <f>SUMIF('Diags Raw Data'!$A$6:$A$3766,"*"&amp;$A112&amp;"*",'Diags Raw Data'!$Z$6:$Z$3766)</f>
        <v>1</v>
      </c>
      <c r="Q112" s="437">
        <f>SUM(SUMIF('Diags Raw Data'!$A$6:$A$3766,"*"&amp;$A112&amp;"*",'Diags Raw Data'!$AA$6:$AA$3766),SUMIF('Diags Raw Data'!$A$6:$A$3766,"*"&amp;$A112&amp;"*",'Diags Raw Data'!$AB$6:$AB$3766))</f>
        <v>1</v>
      </c>
      <c r="R112" s="438">
        <f t="shared" si="25"/>
        <v>1</v>
      </c>
      <c r="S112" s="438">
        <f t="shared" si="26"/>
        <v>1</v>
      </c>
      <c r="T112" s="439">
        <f t="shared" si="27"/>
        <v>1</v>
      </c>
      <c r="U112" s="414" t="s">
        <v>1015</v>
      </c>
      <c r="V112" s="181"/>
    </row>
    <row r="113" spans="1:22" ht="62.25" customHeight="1" thickBot="1" x14ac:dyDescent="0.3">
      <c r="A113" s="321" t="s">
        <v>847</v>
      </c>
      <c r="B113" s="407" t="str">
        <f>VLOOKUP(A113,'Feature Raw Data'!$A$3:$B$3847,2,FALSE)</f>
        <v>WS.CDL.X2Apic.X2APIC_5_NMI_Flood_X2APIC</v>
      </c>
      <c r="C113" s="408" t="str">
        <f>VLOOKUP(A113,'Feature Raw Data'!$A$3:$C$3929,3,FALSE)</f>
        <v>P2</v>
      </c>
      <c r="D113" s="409" t="str" cm="1">
        <f t="array" ref="D113">_xlfn.TEXTJOIN("",TRUE,IF(ISNUMBER(SEARCH($A113,'Diags Raw Data'!$A$6:$A$3768)),CONCATENATE('Diags Raw Data'!$H$6:$H$3768,", "),""))</f>
        <v xml:space="preserve">LS08_5_NMI_Flood_X2APIC.stf, </v>
      </c>
      <c r="E113" s="410" t="str">
        <f>VLOOKUP(A113,'Diags Raw Data'!$A$6:$D$3768,4,FALSE)</f>
        <v>APIC-10</v>
      </c>
      <c r="F113" s="410" t="str">
        <f>VLOOKUP(A113,'Feature Raw Data'!$A$3:$E$3847,5,FALSE)</f>
        <v>Legacy</v>
      </c>
      <c r="G113" s="410" t="str">
        <f t="shared" si="34"/>
        <v>Yes</v>
      </c>
      <c r="H113" s="410" t="str">
        <f t="shared" si="35"/>
        <v>Yes</v>
      </c>
      <c r="I113" s="412">
        <f>SUMIF('Diags Raw Data'!$A$6:$A$3768,"*"&amp;$A113&amp;"*",'Diags Raw Data'!$K$6:$K$3768)</f>
        <v>1</v>
      </c>
      <c r="J113" s="413">
        <f>SUMIF('Diags Raw Data'!$A$6:$A$3768,"*"&amp;$A113&amp;"*",'Diags Raw Data'!$L$6:$L$3768)</f>
        <v>1</v>
      </c>
      <c r="K113" s="432" cm="1">
        <f t="array" ref="K113">IF(D113="",0, SUMPRODUCT(--(ISNUMBER(SEARCH($A113,'Diags Raw Data'!$A$6:$A$3766))),'Diags Raw Data'!$L$6:$L$3766,'Diags Raw Data'!$N$6:$N$3766)/J113)</f>
        <v>1</v>
      </c>
      <c r="L113" s="433" cm="1">
        <f t="array" ref="L113">IF(D113="",0, SUMPRODUCT(--(ISNUMBER(SEARCH($A113,'Diags Raw Data'!$A$6:$A$3766))),'Diags Raw Data'!$L$6:$L$3766,'Diags Raw Data'!$P$6:$P$3766)/J113)</f>
        <v>1</v>
      </c>
      <c r="M113" s="434" cm="1">
        <f t="array" ref="M113">SUMPRODUCT(--(ISNUMBER(SEARCH($A113,'Diags Raw Data'!$A$6:$A$3766))),--('Diags Raw Data'!$Q$6:$Q$3766&lt;&gt;"N/A"),'Diags Raw Data'!$T$6:$T$3766)+SUMPRODUCT(--(ISNUMBER(SEARCH($A113,'Diags Raw Data'!$A$6:$A$3766))),--('Diags Raw Data'!$Q$6:$Q$3766&lt;&gt;"N/A"),'Diags Raw Data'!$U$6:$U$3766)</f>
        <v>1</v>
      </c>
      <c r="N113" s="434" cm="1">
        <f t="array" ref="N113">SUMPRODUCT(--(ISNUMBER(SEARCH($A113,'Diags Raw Data'!$A$6:$A$3766))),--('Diags Raw Data'!$Q$6:$Q$3766&lt;&gt;"N/A"),'Diags Raw Data'!$T$6:$T$3766)+SUMPRODUCT(--(ISNUMBER(SEARCH($A113,'Diags Raw Data'!$A$6:$A$3766))),--('Diags Raw Data'!$Q$6:$Q$3766&lt;&gt;"N/A"),'Diags Raw Data'!$U$6:$U$3766)</f>
        <v>1</v>
      </c>
      <c r="O113" s="435">
        <f t="shared" si="24"/>
        <v>1</v>
      </c>
      <c r="P113" s="436">
        <f>SUMIF('Diags Raw Data'!$A$6:$A$3766,"*"&amp;$A113&amp;"*",'Diags Raw Data'!$Z$6:$Z$3766)</f>
        <v>1</v>
      </c>
      <c r="Q113" s="437">
        <f>SUM(SUMIF('Diags Raw Data'!$A$6:$A$3766,"*"&amp;$A113&amp;"*",'Diags Raw Data'!$AA$6:$AA$3766),SUMIF('Diags Raw Data'!$A$6:$A$3766,"*"&amp;$A113&amp;"*",'Diags Raw Data'!$AB$6:$AB$3766))</f>
        <v>1</v>
      </c>
      <c r="R113" s="438">
        <f t="shared" si="25"/>
        <v>1</v>
      </c>
      <c r="S113" s="438">
        <f t="shared" si="26"/>
        <v>1</v>
      </c>
      <c r="T113" s="439">
        <f t="shared" si="27"/>
        <v>1</v>
      </c>
      <c r="U113" s="414" t="s">
        <v>1017</v>
      </c>
      <c r="V113" s="181"/>
    </row>
    <row r="114" spans="1:22" ht="67.5" customHeight="1" thickBot="1" x14ac:dyDescent="0.3">
      <c r="A114" s="321" t="s">
        <v>851</v>
      </c>
      <c r="B114" s="407" t="str">
        <f>VLOOKUP(A114,'Feature Raw Data'!$A$3:$B$3847,2,FALSE)</f>
        <v>WS.CDL.X2Apic.X2APIC_IOAPIC_Interrupts_X2APIC</v>
      </c>
      <c r="C114" s="408" t="str">
        <f>VLOOKUP(A114,'Feature Raw Data'!$A$3:$C$3929,3,FALSE)</f>
        <v>P2</v>
      </c>
      <c r="D114" s="409" t="str" cm="1">
        <f t="array" ref="D114">_xlfn.TEXTJOIN("",TRUE,IF(ISNUMBER(SEARCH($A114,'Diags Raw Data'!$A$6:$A$3768)),CONCATENATE('Diags Raw Data'!$H$6:$H$3768,", "),""))</f>
        <v xml:space="preserve">LS08_3_IOAPIC_Interrupts_X2APIC.stf, </v>
      </c>
      <c r="E114" s="410" t="str">
        <f>VLOOKUP(A114,'Diags Raw Data'!$A$6:$D$3768,4,FALSE)</f>
        <v>APIC-10</v>
      </c>
      <c r="F114" s="410" t="str">
        <f>VLOOKUP(A114,'Feature Raw Data'!$A$3:$E$3847,5,FALSE)</f>
        <v>Legacy</v>
      </c>
      <c r="G114" s="410" t="str">
        <f t="shared" si="34"/>
        <v>Yes</v>
      </c>
      <c r="H114" s="410" t="str">
        <f t="shared" si="35"/>
        <v>Yes</v>
      </c>
      <c r="I114" s="412">
        <f>SUMIF('Diags Raw Data'!$A$6:$A$3768,"*"&amp;$A114&amp;"*",'Diags Raw Data'!$K$6:$K$3768)</f>
        <v>1</v>
      </c>
      <c r="J114" s="413">
        <f>SUMIF('Diags Raw Data'!$A$6:$A$3768,"*"&amp;$A114&amp;"*",'Diags Raw Data'!$L$6:$L$3768)</f>
        <v>1</v>
      </c>
      <c r="K114" s="432" cm="1">
        <f t="array" ref="K114">IF(D114="",0, SUMPRODUCT(--(ISNUMBER(SEARCH($A114,'Diags Raw Data'!$A$6:$A$3766))),'Diags Raw Data'!$L$6:$L$3766,'Diags Raw Data'!$N$6:$N$3766)/J114)</f>
        <v>1</v>
      </c>
      <c r="L114" s="433" cm="1">
        <f t="array" ref="L114">IF(D114="",0, SUMPRODUCT(--(ISNUMBER(SEARCH($A114,'Diags Raw Data'!$A$6:$A$3766))),'Diags Raw Data'!$L$6:$L$3766,'Diags Raw Data'!$P$6:$P$3766)/J114)</f>
        <v>1</v>
      </c>
      <c r="M114" s="434" cm="1">
        <f t="array" ref="M114">SUMPRODUCT(--(ISNUMBER(SEARCH($A114,'Diags Raw Data'!$A$6:$A$3766))),--('Diags Raw Data'!$Q$6:$Q$3766&lt;&gt;"N/A"),'Diags Raw Data'!$T$6:$T$3766)+SUMPRODUCT(--(ISNUMBER(SEARCH($A114,'Diags Raw Data'!$A$6:$A$3766))),--('Diags Raw Data'!$Q$6:$Q$3766&lt;&gt;"N/A"),'Diags Raw Data'!$U$6:$U$3766)</f>
        <v>0</v>
      </c>
      <c r="N114" s="434" cm="1">
        <f t="array" ref="N114">SUMPRODUCT(--(ISNUMBER(SEARCH($A114,'Diags Raw Data'!$A$6:$A$3766))),--('Diags Raw Data'!$Q$6:$Q$3766&lt;&gt;"N/A"),'Diags Raw Data'!$T$6:$T$3766)+SUMPRODUCT(--(ISNUMBER(SEARCH($A114,'Diags Raw Data'!$A$6:$A$3766))),--('Diags Raw Data'!$Q$6:$Q$3766&lt;&gt;"N/A"),'Diags Raw Data'!$U$6:$U$3766)</f>
        <v>0</v>
      </c>
      <c r="O114" s="435">
        <f t="shared" si="24"/>
        <v>0</v>
      </c>
      <c r="P114" s="436">
        <f>SUMIF('Diags Raw Data'!$A$6:$A$3766,"*"&amp;$A114&amp;"*",'Diags Raw Data'!$Z$6:$Z$3766)</f>
        <v>0</v>
      </c>
      <c r="Q114" s="437">
        <f>SUM(SUMIF('Diags Raw Data'!$A$6:$A$3766,"*"&amp;$A114&amp;"*",'Diags Raw Data'!$AA$6:$AA$3766),SUMIF('Diags Raw Data'!$A$6:$A$3766,"*"&amp;$A114&amp;"*",'Diags Raw Data'!$AB$6:$AB$3766))</f>
        <v>0</v>
      </c>
      <c r="R114" s="438">
        <f t="shared" si="25"/>
        <v>0</v>
      </c>
      <c r="S114" s="438">
        <f t="shared" si="26"/>
        <v>0</v>
      </c>
      <c r="T114" s="439">
        <f t="shared" si="27"/>
        <v>0</v>
      </c>
      <c r="U114" s="414" t="s">
        <v>1017</v>
      </c>
      <c r="V114" s="181"/>
    </row>
    <row r="115" spans="1:22" ht="51.75" customHeight="1" thickBot="1" x14ac:dyDescent="0.3">
      <c r="A115" s="321" t="s">
        <v>857</v>
      </c>
      <c r="B115" s="407" t="str">
        <f>VLOOKUP(A115,'Feature Raw Data'!$A$3:$B$3847,2,FALSE)</f>
        <v>WS.CDL.X2Apic.X2APIC_APIC Stress</v>
      </c>
      <c r="C115" s="408" t="str">
        <f>VLOOKUP(A115,'Feature Raw Data'!$A$3:$C$3929,3,FALSE)</f>
        <v>P2</v>
      </c>
      <c r="D115" s="409" t="str" cm="1">
        <f t="array" ref="D115">_xlfn.TEXTJOIN("",TRUE,IF(ISNUMBER(SEARCH($A115,'Diags Raw Data'!$A$6:$A$3768)),CONCATENATE('Diags Raw Data'!$H$6:$H$3768,", "),""))</f>
        <v xml:space="preserve">X2APIC_Stress_Test.stf, </v>
      </c>
      <c r="E115" s="410" t="str">
        <f>VLOOKUP(A115,'Diags Raw Data'!$A$6:$D$3768,4,FALSE)</f>
        <v>APIC-10</v>
      </c>
      <c r="F115" s="410" t="str">
        <f>VLOOKUP(A115,'Feature Raw Data'!$A$3:$E$3847,5,FALSE)</f>
        <v>Legacy</v>
      </c>
      <c r="G115" s="410" t="str">
        <f t="shared" si="34"/>
        <v>Yes</v>
      </c>
      <c r="H115" s="410" t="str">
        <f t="shared" si="35"/>
        <v>Yes</v>
      </c>
      <c r="I115" s="412">
        <f>SUMIF('Diags Raw Data'!$A$6:$A$3768,"*"&amp;$A115&amp;"*",'Diags Raw Data'!$K$6:$K$3768)</f>
        <v>1</v>
      </c>
      <c r="J115" s="413">
        <f>SUMIF('Diags Raw Data'!$A$6:$A$3768,"*"&amp;$A115&amp;"*",'Diags Raw Data'!$L$6:$L$3768)</f>
        <v>1</v>
      </c>
      <c r="K115" s="432" cm="1">
        <f t="array" ref="K115">IF(D115="",0, SUMPRODUCT(--(ISNUMBER(SEARCH($A115,'Diags Raw Data'!$A$6:$A$3766))),'Diags Raw Data'!$L$6:$L$3766,'Diags Raw Data'!$N$6:$N$3766)/J115)</f>
        <v>1</v>
      </c>
      <c r="L115" s="433" cm="1">
        <f t="array" ref="L115">IF(D115="",0, SUMPRODUCT(--(ISNUMBER(SEARCH($A115,'Diags Raw Data'!$A$6:$A$3766))),'Diags Raw Data'!$L$6:$L$3766,'Diags Raw Data'!$P$6:$P$3766)/J115)</f>
        <v>1</v>
      </c>
      <c r="M115" s="434" cm="1">
        <f t="array" ref="M115">SUMPRODUCT(--(ISNUMBER(SEARCH($A115,'Diags Raw Data'!$A$6:$A$3766))),--('Diags Raw Data'!$Q$6:$Q$3766&lt;&gt;"N/A"),'Diags Raw Data'!$T$6:$T$3766)+SUMPRODUCT(--(ISNUMBER(SEARCH($A115,'Diags Raw Data'!$A$6:$A$3766))),--('Diags Raw Data'!$Q$6:$Q$3766&lt;&gt;"N/A"),'Diags Raw Data'!$U$6:$U$3766)</f>
        <v>0</v>
      </c>
      <c r="N115" s="434" cm="1">
        <f t="array" ref="N115">SUMPRODUCT(--(ISNUMBER(SEARCH($A115,'Diags Raw Data'!$A$6:$A$3766))),--('Diags Raw Data'!$Q$6:$Q$3766&lt;&gt;"N/A"),'Diags Raw Data'!$T$6:$T$3766)+SUMPRODUCT(--(ISNUMBER(SEARCH($A115,'Diags Raw Data'!$A$6:$A$3766))),--('Diags Raw Data'!$Q$6:$Q$3766&lt;&gt;"N/A"),'Diags Raw Data'!$U$6:$U$3766)</f>
        <v>0</v>
      </c>
      <c r="O115" s="435">
        <f t="shared" si="24"/>
        <v>0</v>
      </c>
      <c r="P115" s="436">
        <f>SUMIF('Diags Raw Data'!$A$6:$A$3766,"*"&amp;$A115&amp;"*",'Diags Raw Data'!$Z$6:$Z$3766)</f>
        <v>0</v>
      </c>
      <c r="Q115" s="437">
        <f>SUM(SUMIF('Diags Raw Data'!$A$6:$A$3766,"*"&amp;$A115&amp;"*",'Diags Raw Data'!$AA$6:$AA$3766),SUMIF('Diags Raw Data'!$A$6:$A$3766,"*"&amp;$A115&amp;"*",'Diags Raw Data'!$AB$6:$AB$3766))</f>
        <v>0</v>
      </c>
      <c r="R115" s="438">
        <f t="shared" si="25"/>
        <v>0</v>
      </c>
      <c r="S115" s="438">
        <f t="shared" si="26"/>
        <v>0</v>
      </c>
      <c r="T115" s="439">
        <f t="shared" si="27"/>
        <v>0</v>
      </c>
      <c r="U115" s="414"/>
      <c r="V115" s="181"/>
    </row>
    <row r="116" spans="1:22" ht="75.75" thickBot="1" x14ac:dyDescent="0.3">
      <c r="A116" s="321" t="s">
        <v>863</v>
      </c>
      <c r="B116" s="407" t="str">
        <f>VLOOKUP(A116,'Feature Raw Data'!$A$3:$B$3847,2,FALSE)</f>
        <v>WS.Storm.SVM.BasicSVMFeatures</v>
      </c>
      <c r="C116" s="408" t="str">
        <f>VLOOKUP(A116,'Feature Raw Data'!$A$3:$C$3929,3,FALSE)</f>
        <v>P2</v>
      </c>
      <c r="D116" s="409" t="str" cm="1">
        <f t="array" ref="D116">_xlfn.TEXTJOIN("",TRUE,IF(ISNUMBER(SEARCH($A116,'Diags Raw Data'!$A$6:$A$3768)),CONCATENATE('Diags Raw Data'!$H$6:$H$3768,", "),""))</f>
        <v xml:space="preserve">svm_migration.yml, </v>
      </c>
      <c r="E116" s="410" t="str">
        <f>VLOOKUP(A116,'Diags Raw Data'!$A$6:$D$3768,4,FALSE)</f>
        <v>SVM-12</v>
      </c>
      <c r="F116" s="410" t="str">
        <f>VLOOKUP(A116,'Feature Raw Data'!$A$3:$E$3847,5,FALSE)</f>
        <v>Legacy</v>
      </c>
      <c r="G116" s="410" t="str">
        <f t="shared" si="34"/>
        <v>Yes</v>
      </c>
      <c r="H116" s="410" t="str">
        <f t="shared" si="35"/>
        <v>Yes</v>
      </c>
      <c r="I116" s="412">
        <f>SUMIF('Diags Raw Data'!$A$6:$A$3768,"*"&amp;$A116&amp;"*",'Diags Raw Data'!$K$6:$K$3768)</f>
        <v>1</v>
      </c>
      <c r="J116" s="413">
        <f>SUMIF('Diags Raw Data'!$A$6:$A$3768,"*"&amp;$A116&amp;"*",'Diags Raw Data'!$L$6:$L$3768)</f>
        <v>1</v>
      </c>
      <c r="K116" s="432" cm="1">
        <f t="array" ref="K116">IF(D116="",0, SUMPRODUCT(--(ISNUMBER(SEARCH($A116,'Diags Raw Data'!$A$6:$A$3766))),'Diags Raw Data'!$L$6:$L$3766,'Diags Raw Data'!$N$6:$N$3766)/J116)</f>
        <v>1</v>
      </c>
      <c r="L116" s="433" cm="1">
        <f t="array" ref="L116">IF(D116="",0, SUMPRODUCT(--(ISNUMBER(SEARCH($A116,'Diags Raw Data'!$A$6:$A$3766))),'Diags Raw Data'!$L$6:$L$3766,'Diags Raw Data'!$P$6:$P$3766)/J116)</f>
        <v>1</v>
      </c>
      <c r="M116" s="434" cm="1">
        <f t="array" ref="M116">SUMPRODUCT(--(ISNUMBER(SEARCH($A116,'Diags Raw Data'!$A$6:$A$3766))),--('Diags Raw Data'!$Q$6:$Q$3766&lt;&gt;"N/A"),'Diags Raw Data'!$T$6:$T$3766)+SUMPRODUCT(--(ISNUMBER(SEARCH($A116,'Diags Raw Data'!$A$6:$A$3766))),--('Diags Raw Data'!$Q$6:$Q$3766&lt;&gt;"N/A"),'Diags Raw Data'!$U$6:$U$3766)</f>
        <v>1000</v>
      </c>
      <c r="N116" s="434" cm="1">
        <f t="array" ref="N116">SUMPRODUCT(--(ISNUMBER(SEARCH($A116,'Diags Raw Data'!$A$6:$A$3766))),--('Diags Raw Data'!$Q$6:$Q$3766&lt;&gt;"N/A"),'Diags Raw Data'!$T$6:$T$3766)+SUMPRODUCT(--(ISNUMBER(SEARCH($A116,'Diags Raw Data'!$A$6:$A$3766))),--('Diags Raw Data'!$Q$6:$Q$3766&lt;&gt;"N/A"),'Diags Raw Data'!$U$6:$U$3766)</f>
        <v>1000</v>
      </c>
      <c r="O116" s="435">
        <f t="shared" si="24"/>
        <v>1</v>
      </c>
      <c r="P116" s="436">
        <f>SUMIF('Diags Raw Data'!$A$6:$A$3766,"*"&amp;$A116&amp;"*",'Diags Raw Data'!$Z$6:$Z$3766)</f>
        <v>2000</v>
      </c>
      <c r="Q116" s="437">
        <f>SUM(SUMIF('Diags Raw Data'!$A$6:$A$3766,"*"&amp;$A116&amp;"*",'Diags Raw Data'!$AA$6:$AA$3766),SUMIF('Diags Raw Data'!$A$6:$A$3766,"*"&amp;$A116&amp;"*",'Diags Raw Data'!$AB$6:$AB$3766))</f>
        <v>2000</v>
      </c>
      <c r="R116" s="438">
        <f t="shared" si="25"/>
        <v>2000</v>
      </c>
      <c r="S116" s="438">
        <f t="shared" si="26"/>
        <v>1</v>
      </c>
      <c r="T116" s="439">
        <f t="shared" si="27"/>
        <v>2000</v>
      </c>
      <c r="U116" s="414" t="s">
        <v>1015</v>
      </c>
      <c r="V116" s="181"/>
    </row>
    <row r="117" spans="1:22" ht="75.75" thickBot="1" x14ac:dyDescent="0.3">
      <c r="A117" s="321" t="s">
        <v>869</v>
      </c>
      <c r="B117" s="407" t="str">
        <f>VLOOKUP(A117,'Feature Raw Data'!$A$3:$B$3847,2,FALSE)</f>
        <v>WS.Storm.SVM.svm_vmexit_invalid</v>
      </c>
      <c r="C117" s="408" t="str">
        <f>VLOOKUP(A117,'Feature Raw Data'!$A$3:$C$3929,3,FALSE)</f>
        <v>P4</v>
      </c>
      <c r="D117" s="409" t="str" cm="1">
        <f t="array" ref="D117">_xlfn.TEXTJOIN("",TRUE,IF(ISNUMBER(SEARCH($A117,'Diags Raw Data'!$A$6:$A$3768)),CONCATENATE('Diags Raw Data'!$H$6:$H$3768,", "),""))</f>
        <v xml:space="preserve">vmexit_invalid.yml, </v>
      </c>
      <c r="E117" s="410" t="str">
        <f>VLOOKUP(A117,'Diags Raw Data'!$A$6:$D$3768,4,FALSE)</f>
        <v>SVM-12</v>
      </c>
      <c r="F117" s="410" t="str">
        <f>VLOOKUP(A117,'Feature Raw Data'!$A$3:$E$3847,5,FALSE)</f>
        <v>Legacy</v>
      </c>
      <c r="G117" s="410" t="str">
        <f t="shared" si="34"/>
        <v>Yes</v>
      </c>
      <c r="H117" s="410" t="str">
        <f t="shared" si="35"/>
        <v>Yes</v>
      </c>
      <c r="I117" s="412">
        <f>SUMIF('Diags Raw Data'!$A$6:$A$3768,"*"&amp;$A117&amp;"*",'Diags Raw Data'!$K$6:$K$3768)</f>
        <v>1</v>
      </c>
      <c r="J117" s="413">
        <f>SUMIF('Diags Raw Data'!$A$6:$A$3768,"*"&amp;$A117&amp;"*",'Diags Raw Data'!$L$6:$L$3768)</f>
        <v>1</v>
      </c>
      <c r="K117" s="432" cm="1">
        <f t="array" ref="K117">IF(D117="",0, SUMPRODUCT(--(ISNUMBER(SEARCH($A117,'Diags Raw Data'!$A$6:$A$3766))),'Diags Raw Data'!$L$6:$L$3766,'Diags Raw Data'!$N$6:$N$3766)/J117)</f>
        <v>1</v>
      </c>
      <c r="L117" s="433" cm="1">
        <f t="array" ref="L117">IF(D117="",0, SUMPRODUCT(--(ISNUMBER(SEARCH($A117,'Diags Raw Data'!$A$6:$A$3766))),'Diags Raw Data'!$L$6:$L$3766,'Diags Raw Data'!$P$6:$P$3766)/J117)</f>
        <v>1</v>
      </c>
      <c r="M117" s="434" cm="1">
        <f t="array" ref="M117">SUMPRODUCT(--(ISNUMBER(SEARCH($A117,'Diags Raw Data'!$A$6:$A$3766))),--('Diags Raw Data'!$Q$6:$Q$3766&lt;&gt;"N/A"),'Diags Raw Data'!$T$6:$T$3766)+SUMPRODUCT(--(ISNUMBER(SEARCH($A117,'Diags Raw Data'!$A$6:$A$3766))),--('Diags Raw Data'!$Q$6:$Q$3766&lt;&gt;"N/A"),'Diags Raw Data'!$U$6:$U$3766)</f>
        <v>1719</v>
      </c>
      <c r="N117" s="434" cm="1">
        <f t="array" ref="N117">SUMPRODUCT(--(ISNUMBER(SEARCH($A117,'Diags Raw Data'!$A$6:$A$3766))),--('Diags Raw Data'!$Q$6:$Q$3766&lt;&gt;"N/A"),'Diags Raw Data'!$T$6:$T$3766)+SUMPRODUCT(--(ISNUMBER(SEARCH($A117,'Diags Raw Data'!$A$6:$A$3766))),--('Diags Raw Data'!$Q$6:$Q$3766&lt;&gt;"N/A"),'Diags Raw Data'!$U$6:$U$3766)</f>
        <v>1719</v>
      </c>
      <c r="O117" s="435">
        <f t="shared" si="24"/>
        <v>1</v>
      </c>
      <c r="P117" s="436">
        <f>SUMIF('Diags Raw Data'!$A$6:$A$3766,"*"&amp;$A117&amp;"*",'Diags Raw Data'!$Z$6:$Z$3766)</f>
        <v>2000</v>
      </c>
      <c r="Q117" s="437">
        <f>SUM(SUMIF('Diags Raw Data'!$A$6:$A$3766,"*"&amp;$A117&amp;"*",'Diags Raw Data'!$AA$6:$AA$3766),SUMIF('Diags Raw Data'!$A$6:$A$3766,"*"&amp;$A117&amp;"*",'Diags Raw Data'!$AB$6:$AB$3766))</f>
        <v>2000</v>
      </c>
      <c r="R117" s="438">
        <f t="shared" si="25"/>
        <v>2000</v>
      </c>
      <c r="S117" s="438">
        <f t="shared" si="26"/>
        <v>1</v>
      </c>
      <c r="T117" s="439">
        <f t="shared" si="27"/>
        <v>2000</v>
      </c>
      <c r="U117" s="414" t="s">
        <v>1015</v>
      </c>
      <c r="V117" s="181"/>
    </row>
    <row r="118" spans="1:22" ht="15.75" thickBot="1" x14ac:dyDescent="0.3">
      <c r="A118" s="321" t="s">
        <v>873</v>
      </c>
      <c r="B118" s="407" t="str">
        <f>VLOOKUP(A118,'Feature Raw Data'!$A$3:$B$3847,2,FALSE)</f>
        <v>WS.CDL.CDLOverSVM.Diag1</v>
      </c>
      <c r="C118" s="408" t="str">
        <f>VLOOKUP(A118,'Feature Raw Data'!$A$3:$C$3929,3,FALSE)</f>
        <v>P1</v>
      </c>
      <c r="D118" s="409" t="str" cm="1">
        <f t="array" ref="D118">_xlfn.TEXTJOIN("",TRUE,IF(ISNUMBER(SEARCH($A118,'Diags Raw Data'!$A$6:$A$3768)),CONCATENATE('Diags Raw Data'!$H$6:$H$3768,", "),""))</f>
        <v xml:space="preserve">command_input_short_list_Turin.yaml, </v>
      </c>
      <c r="E118" s="410" t="str">
        <f>VLOOKUP(A118,'Diags Raw Data'!$A$6:$D$3768,4,FALSE)</f>
        <v>SVM-12</v>
      </c>
      <c r="F118" s="410" t="str">
        <f>VLOOKUP(A118,'Feature Raw Data'!$A$3:$E$3847,5,FALSE)</f>
        <v>Legacy</v>
      </c>
      <c r="G118" s="410" t="str">
        <f t="shared" si="34"/>
        <v>Yes</v>
      </c>
      <c r="H118" s="410" t="str">
        <f t="shared" si="35"/>
        <v>Yes</v>
      </c>
      <c r="I118" s="412">
        <f>SUMIF('Diags Raw Data'!$A$6:$A$3768,"*"&amp;$A118&amp;"*",'Diags Raw Data'!$K$6:$K$3768)</f>
        <v>1</v>
      </c>
      <c r="J118" s="413">
        <f>SUMIF('Diags Raw Data'!$A$6:$A$3768,"*"&amp;$A118&amp;"*",'Diags Raw Data'!$L$6:$L$3768)</f>
        <v>1</v>
      </c>
      <c r="K118" s="432" cm="1">
        <f t="array" ref="K118">IF(D118="",0, SUMPRODUCT(--(ISNUMBER(SEARCH($A118,'Diags Raw Data'!$A$6:$A$3766))),'Diags Raw Data'!$L$6:$L$3766,'Diags Raw Data'!$N$6:$N$3766)/J118)</f>
        <v>1</v>
      </c>
      <c r="L118" s="433" cm="1">
        <f t="array" ref="L118">IF(D118="",0, SUMPRODUCT(--(ISNUMBER(SEARCH($A118,'Diags Raw Data'!$A$6:$A$3766))),'Diags Raw Data'!$L$6:$L$3766,'Diags Raw Data'!$P$6:$P$3766)/J118)</f>
        <v>1</v>
      </c>
      <c r="M118" s="434" cm="1">
        <f t="array" ref="M118">SUMPRODUCT(--(ISNUMBER(SEARCH($A118,'Diags Raw Data'!$A$6:$A$3766))),--('Diags Raw Data'!$Q$6:$Q$3766&lt;&gt;"N/A"),'Diags Raw Data'!$T$6:$T$3766)+SUMPRODUCT(--(ISNUMBER(SEARCH($A118,'Diags Raw Data'!$A$6:$A$3766))),--('Diags Raw Data'!$Q$6:$Q$3766&lt;&gt;"N/A"),'Diags Raw Data'!$U$6:$U$3766)</f>
        <v>10</v>
      </c>
      <c r="N118" s="434" cm="1">
        <f t="array" ref="N118">SUMPRODUCT(--(ISNUMBER(SEARCH($A118,'Diags Raw Data'!$A$6:$A$3766))),--('Diags Raw Data'!$Q$6:$Q$3766&lt;&gt;"N/A"),'Diags Raw Data'!$T$6:$T$3766)+SUMPRODUCT(--(ISNUMBER(SEARCH($A118,'Diags Raw Data'!$A$6:$A$3766))),--('Diags Raw Data'!$Q$6:$Q$3766&lt;&gt;"N/A"),'Diags Raw Data'!$U$6:$U$3766)</f>
        <v>10</v>
      </c>
      <c r="O118" s="435">
        <f t="shared" ref="O118" si="36">IF((M118=0),0,N118/M118)</f>
        <v>1</v>
      </c>
      <c r="P118" s="436">
        <f>SUMIF('Diags Raw Data'!$A$6:$A$3766,"*"&amp;$A118&amp;"*",'Diags Raw Data'!$Z$6:$Z$3766)</f>
        <v>2</v>
      </c>
      <c r="Q118" s="437">
        <f>SUM(SUMIF('Diags Raw Data'!$A$6:$A$3766,"*"&amp;$A118&amp;"*",'Diags Raw Data'!$AA$6:$AA$3766),SUMIF('Diags Raw Data'!$A$6:$A$3766,"*"&amp;$A118&amp;"*",'Diags Raw Data'!$AB$6:$AB$3766))</f>
        <v>2</v>
      </c>
      <c r="R118" s="438">
        <f t="shared" ref="R118" si="37">IF((J118=0),0,P118/J118)</f>
        <v>2</v>
      </c>
      <c r="S118" s="438">
        <f t="shared" ref="S118" si="38">IF((P118=0),0,Q118/P118)</f>
        <v>1</v>
      </c>
      <c r="T118" s="439">
        <f t="shared" ref="T118" si="39">R118*S118</f>
        <v>2</v>
      </c>
      <c r="U118" s="414"/>
      <c r="V118" s="181"/>
    </row>
    <row r="119" spans="1:22" ht="120.75" thickBot="1" x14ac:dyDescent="0.3">
      <c r="A119" s="321" t="s">
        <v>877</v>
      </c>
      <c r="B119" s="407" t="str">
        <f>VLOOKUP(A119,'Feature Raw Data'!$A$3:$B$3847,2,FALSE)</f>
        <v>WS.IT.CDL.CrossSMTPair.IT_Group_1</v>
      </c>
      <c r="C119" s="408" t="str">
        <f>VLOOKUP(A119,'Feature Raw Data'!$A$3:$C$3929,3,FALSE)</f>
        <v>P1</v>
      </c>
      <c r="D119" s="409" t="str" cm="1">
        <f t="array" ref="D119">_xlfn.TEXTJOIN("",TRUE,IF(ISNUMBER(SEARCH($A119,'Diags Raw Data'!$A$6:$A$3768)),CONCATENATE('Diags Raw Data'!$H$6:$H$3768,", "),""))</f>
        <v xml:space="preserve">command_input_short_list_Turin.yaml, </v>
      </c>
      <c r="E119" s="410" t="str">
        <f>VLOOKUP(A119,'Diags Raw Data'!$A$6:$D$3768,4,FALSE)</f>
        <v>IT-11</v>
      </c>
      <c r="F119" s="410" t="str">
        <f>VLOOKUP(A119,'Feature Raw Data'!$A$3:$E$3847,5,FALSE)</f>
        <v>Legacy</v>
      </c>
      <c r="G119" s="410" t="str">
        <f t="shared" ref="G119:G127" si="40">IF(D119="","No","Yes")</f>
        <v>Yes</v>
      </c>
      <c r="H119" s="410" t="str">
        <f t="shared" ref="H119:H127" si="41">IF(D119="","No","Yes")</f>
        <v>Yes</v>
      </c>
      <c r="I119" s="412">
        <f>SUMIF('Diags Raw Data'!$A$6:$A$3768,"*"&amp;$A119&amp;"*",'Diags Raw Data'!$K$6:$K$3768)</f>
        <v>1</v>
      </c>
      <c r="J119" s="413">
        <f>SUMIF('Diags Raw Data'!$A$6:$A$3768,"*"&amp;$A119&amp;"*",'Diags Raw Data'!$L$6:$L$3768)</f>
        <v>1</v>
      </c>
      <c r="K119" s="432" cm="1">
        <f t="array" ref="K119">IF(D119="",0, SUMPRODUCT(--(ISNUMBER(SEARCH($A119,'Diags Raw Data'!$A$6:$A$3766))),'Diags Raw Data'!$L$6:$L$3766,'Diags Raw Data'!$N$6:$N$3766)/J119)</f>
        <v>1</v>
      </c>
      <c r="L119" s="433" cm="1">
        <f t="array" ref="L119">IF(D119="",0, SUMPRODUCT(--(ISNUMBER(SEARCH($A119,'Diags Raw Data'!$A$6:$A$3766))),'Diags Raw Data'!$L$6:$L$3766,'Diags Raw Data'!$P$6:$P$3766)/J119)</f>
        <v>1</v>
      </c>
      <c r="M119" s="434" cm="1">
        <f t="array" ref="M119">SUMPRODUCT(--(ISNUMBER(SEARCH($A119,'Diags Raw Data'!$A$6:$A$3766))),--('Diags Raw Data'!$Q$6:$Q$3766&lt;&gt;"N/A"),'Diags Raw Data'!$T$6:$T$3766)+SUMPRODUCT(--(ISNUMBER(SEARCH($A119,'Diags Raw Data'!$A$6:$A$3766))),--('Diags Raw Data'!$Q$6:$Q$3766&lt;&gt;"N/A"),'Diags Raw Data'!$U$6:$U$3766)</f>
        <v>10</v>
      </c>
      <c r="N119" s="434" cm="1">
        <f t="array" ref="N119">SUMPRODUCT(--(ISNUMBER(SEARCH($A119,'Diags Raw Data'!$A$6:$A$3766))),--('Diags Raw Data'!$Q$6:$Q$3766&lt;&gt;"N/A"),'Diags Raw Data'!$T$6:$T$3766)+SUMPRODUCT(--(ISNUMBER(SEARCH($A119,'Diags Raw Data'!$A$6:$A$3766))),--('Diags Raw Data'!$Q$6:$Q$3766&lt;&gt;"N/A"),'Diags Raw Data'!$U$6:$U$3766)</f>
        <v>10</v>
      </c>
      <c r="O119" s="435">
        <f t="shared" ref="O119:O149" si="42">IF((M119=0),0,N119/M119)</f>
        <v>1</v>
      </c>
      <c r="P119" s="436">
        <f>SUMIF('Diags Raw Data'!$A$6:$A$3766,"*"&amp;$A119&amp;"*",'Diags Raw Data'!$Z$6:$Z$3766)</f>
        <v>10</v>
      </c>
      <c r="Q119" s="437">
        <f>SUM(SUMIF('Diags Raw Data'!$A$6:$A$3766,"*"&amp;$A119&amp;"*",'Diags Raw Data'!$AA$6:$AA$3766),SUMIF('Diags Raw Data'!$A$6:$A$3766,"*"&amp;$A119&amp;"*",'Diags Raw Data'!$AB$6:$AB$3766))</f>
        <v>10</v>
      </c>
      <c r="R119" s="438">
        <f t="shared" ref="R119:R149" si="43">IF((J119=0),0,P119/J119)</f>
        <v>10</v>
      </c>
      <c r="S119" s="438">
        <f t="shared" ref="S119:S149" si="44">IF((P119=0),0,Q119/P119)</f>
        <v>1</v>
      </c>
      <c r="T119" s="439">
        <f t="shared" ref="T119:T149" si="45">R119*S119</f>
        <v>10</v>
      </c>
      <c r="U119" s="414"/>
      <c r="V119" s="181"/>
    </row>
    <row r="120" spans="1:22" ht="90.75" thickBot="1" x14ac:dyDescent="0.3">
      <c r="A120" s="321" t="s">
        <v>884</v>
      </c>
      <c r="B120" s="407" t="str">
        <f>VLOOKUP(A120,'Feature Raw Data'!$A$3:$B$3847,2,FALSE)</f>
        <v>WS.IT.CDL.CrossSMTPair.IT_Group_2</v>
      </c>
      <c r="C120" s="408" t="str">
        <f>VLOOKUP(A120,'Feature Raw Data'!$A$3:$C$3929,3,FALSE)</f>
        <v>P1</v>
      </c>
      <c r="D120" s="409" t="str" cm="1">
        <f t="array" ref="D120">_xlfn.TEXTJOIN("",TRUE,IF(ISNUMBER(SEARCH($A120,'Diags Raw Data'!$A$6:$A$3768)),CONCATENATE('Diags Raw Data'!$H$6:$H$3768,", "),""))</f>
        <v xml:space="preserve">command_input_short_list_Turin.yaml, </v>
      </c>
      <c r="E120" s="410" t="str">
        <f>VLOOKUP(A120,'Diags Raw Data'!$A$6:$D$3768,4,FALSE)</f>
        <v>IT-11</v>
      </c>
      <c r="F120" s="410" t="str">
        <f>VLOOKUP(A120,'Feature Raw Data'!$A$3:$E$3847,5,FALSE)</f>
        <v>Legacy</v>
      </c>
      <c r="G120" s="410" t="str">
        <f t="shared" si="40"/>
        <v>Yes</v>
      </c>
      <c r="H120" s="410" t="str">
        <f t="shared" si="41"/>
        <v>Yes</v>
      </c>
      <c r="I120" s="412">
        <f>SUMIF('Diags Raw Data'!$A$6:$A$3768,"*"&amp;$A120&amp;"*",'Diags Raw Data'!$K$6:$K$3768)</f>
        <v>1</v>
      </c>
      <c r="J120" s="413">
        <f>SUMIF('Diags Raw Data'!$A$6:$A$3768,"*"&amp;$A120&amp;"*",'Diags Raw Data'!$L$6:$L$3768)</f>
        <v>1</v>
      </c>
      <c r="K120" s="432" cm="1">
        <f t="array" ref="K120">IF(D120="",0, SUMPRODUCT(--(ISNUMBER(SEARCH($A120,'Diags Raw Data'!$A$6:$A$3766))),'Diags Raw Data'!$L$6:$L$3766,'Diags Raw Data'!$N$6:$N$3766)/J120)</f>
        <v>1</v>
      </c>
      <c r="L120" s="433" cm="1">
        <f t="array" ref="L120">IF(D120="",0, SUMPRODUCT(--(ISNUMBER(SEARCH($A120,'Diags Raw Data'!$A$6:$A$3766))),'Diags Raw Data'!$L$6:$L$3766,'Diags Raw Data'!$P$6:$P$3766)/J120)</f>
        <v>1</v>
      </c>
      <c r="M120" s="434" cm="1">
        <f t="array" ref="M120">SUMPRODUCT(--(ISNUMBER(SEARCH($A120,'Diags Raw Data'!$A$6:$A$3766))),--('Diags Raw Data'!$Q$6:$Q$3766&lt;&gt;"N/A"),'Diags Raw Data'!$T$6:$T$3766)+SUMPRODUCT(--(ISNUMBER(SEARCH($A120,'Diags Raw Data'!$A$6:$A$3766))),--('Diags Raw Data'!$Q$6:$Q$3766&lt;&gt;"N/A"),'Diags Raw Data'!$U$6:$U$3766)</f>
        <v>10</v>
      </c>
      <c r="N120" s="434" cm="1">
        <f t="array" ref="N120">SUMPRODUCT(--(ISNUMBER(SEARCH($A120,'Diags Raw Data'!$A$6:$A$3766))),--('Diags Raw Data'!$Q$6:$Q$3766&lt;&gt;"N/A"),'Diags Raw Data'!$T$6:$T$3766)+SUMPRODUCT(--(ISNUMBER(SEARCH($A120,'Diags Raw Data'!$A$6:$A$3766))),--('Diags Raw Data'!$Q$6:$Q$3766&lt;&gt;"N/A"),'Diags Raw Data'!$U$6:$U$3766)</f>
        <v>10</v>
      </c>
      <c r="O120" s="435">
        <f t="shared" si="42"/>
        <v>1</v>
      </c>
      <c r="P120" s="436">
        <f>SUMIF('Diags Raw Data'!$A$6:$A$3766,"*"&amp;$A120&amp;"*",'Diags Raw Data'!$Z$6:$Z$3766)</f>
        <v>10</v>
      </c>
      <c r="Q120" s="437">
        <f>SUM(SUMIF('Diags Raw Data'!$A$6:$A$3766,"*"&amp;$A120&amp;"*",'Diags Raw Data'!$AA$6:$AA$3766),SUMIF('Diags Raw Data'!$A$6:$A$3766,"*"&amp;$A120&amp;"*",'Diags Raw Data'!$AB$6:$AB$3766))</f>
        <v>10</v>
      </c>
      <c r="R120" s="438">
        <f t="shared" si="43"/>
        <v>10</v>
      </c>
      <c r="S120" s="438">
        <f t="shared" si="44"/>
        <v>1</v>
      </c>
      <c r="T120" s="439">
        <f t="shared" si="45"/>
        <v>10</v>
      </c>
      <c r="U120" s="414"/>
      <c r="V120" s="181"/>
    </row>
    <row r="121" spans="1:22" ht="90.75" thickBot="1" x14ac:dyDescent="0.3">
      <c r="A121" s="321" t="s">
        <v>887</v>
      </c>
      <c r="B121" s="407" t="str">
        <f>VLOOKUP(A121,'Feature Raw Data'!$A$3:$B$3847,2,FALSE)</f>
        <v>WS.IT.CDL.CrossSMTPair.IT_Group_3</v>
      </c>
      <c r="C121" s="408" t="str">
        <f>VLOOKUP(A121,'Feature Raw Data'!$A$3:$C$3929,3,FALSE)</f>
        <v>P1</v>
      </c>
      <c r="D121" s="409" t="str" cm="1">
        <f t="array" ref="D121">_xlfn.TEXTJOIN("",TRUE,IF(ISNUMBER(SEARCH($A121,'Diags Raw Data'!$A$6:$A$3768)),CONCATENATE('Diags Raw Data'!$H$6:$H$3768,", "),""))</f>
        <v xml:space="preserve">command_input_short_list_Turin.yaml, </v>
      </c>
      <c r="E121" s="410" t="str">
        <f>VLOOKUP(A121,'Diags Raw Data'!$A$6:$D$3768,4,FALSE)</f>
        <v>IT-11</v>
      </c>
      <c r="F121" s="410" t="str">
        <f>VLOOKUP(A121,'Feature Raw Data'!$A$3:$E$3847,5,FALSE)</f>
        <v>Legacy</v>
      </c>
      <c r="G121" s="410" t="str">
        <f t="shared" si="40"/>
        <v>Yes</v>
      </c>
      <c r="H121" s="410" t="str">
        <f t="shared" si="41"/>
        <v>Yes</v>
      </c>
      <c r="I121" s="412">
        <f>SUMIF('Diags Raw Data'!$A$6:$A$3768,"*"&amp;$A121&amp;"*",'Diags Raw Data'!$K$6:$K$3768)</f>
        <v>1</v>
      </c>
      <c r="J121" s="413">
        <f>SUMIF('Diags Raw Data'!$A$6:$A$3768,"*"&amp;$A121&amp;"*",'Diags Raw Data'!$L$6:$L$3768)</f>
        <v>1</v>
      </c>
      <c r="K121" s="432" cm="1">
        <f t="array" ref="K121">IF(D121="",0, SUMPRODUCT(--(ISNUMBER(SEARCH($A121,'Diags Raw Data'!$A$6:$A$3766))),'Diags Raw Data'!$L$6:$L$3766,'Diags Raw Data'!$N$6:$N$3766)/J121)</f>
        <v>1</v>
      </c>
      <c r="L121" s="433" cm="1">
        <f t="array" ref="L121">IF(D121="",0, SUMPRODUCT(--(ISNUMBER(SEARCH($A121,'Diags Raw Data'!$A$6:$A$3766))),'Diags Raw Data'!$L$6:$L$3766,'Diags Raw Data'!$P$6:$P$3766)/J121)</f>
        <v>1</v>
      </c>
      <c r="M121" s="434" cm="1">
        <f t="array" ref="M121">SUMPRODUCT(--(ISNUMBER(SEARCH($A121,'Diags Raw Data'!$A$6:$A$3766))),--('Diags Raw Data'!$Q$6:$Q$3766&lt;&gt;"N/A"),'Diags Raw Data'!$T$6:$T$3766)+SUMPRODUCT(--(ISNUMBER(SEARCH($A121,'Diags Raw Data'!$A$6:$A$3766))),--('Diags Raw Data'!$Q$6:$Q$3766&lt;&gt;"N/A"),'Diags Raw Data'!$U$6:$U$3766)</f>
        <v>10</v>
      </c>
      <c r="N121" s="434" cm="1">
        <f t="array" ref="N121">SUMPRODUCT(--(ISNUMBER(SEARCH($A121,'Diags Raw Data'!$A$6:$A$3766))),--('Diags Raw Data'!$Q$6:$Q$3766&lt;&gt;"N/A"),'Diags Raw Data'!$T$6:$T$3766)+SUMPRODUCT(--(ISNUMBER(SEARCH($A121,'Diags Raw Data'!$A$6:$A$3766))),--('Diags Raw Data'!$Q$6:$Q$3766&lt;&gt;"N/A"),'Diags Raw Data'!$U$6:$U$3766)</f>
        <v>10</v>
      </c>
      <c r="O121" s="435">
        <f t="shared" si="42"/>
        <v>1</v>
      </c>
      <c r="P121" s="436">
        <f>SUMIF('Diags Raw Data'!$A$6:$A$3766,"*"&amp;$A121&amp;"*",'Diags Raw Data'!$Z$6:$Z$3766)</f>
        <v>10</v>
      </c>
      <c r="Q121" s="437">
        <f>SUM(SUMIF('Diags Raw Data'!$A$6:$A$3766,"*"&amp;$A121&amp;"*",'Diags Raw Data'!$AA$6:$AA$3766),SUMIF('Diags Raw Data'!$A$6:$A$3766,"*"&amp;$A121&amp;"*",'Diags Raw Data'!$AB$6:$AB$3766))</f>
        <v>10</v>
      </c>
      <c r="R121" s="438">
        <f t="shared" si="43"/>
        <v>10</v>
      </c>
      <c r="S121" s="438">
        <f t="shared" si="44"/>
        <v>1</v>
      </c>
      <c r="T121" s="439">
        <f t="shared" si="45"/>
        <v>10</v>
      </c>
      <c r="U121" s="414"/>
      <c r="V121" s="181"/>
    </row>
    <row r="122" spans="1:22" ht="75.75" thickBot="1" x14ac:dyDescent="0.3">
      <c r="A122" s="321" t="s">
        <v>890</v>
      </c>
      <c r="B122" s="407" t="str">
        <f>VLOOKUP(A122,'Feature Raw Data'!$A$3:$B$3847,2,FALSE)</f>
        <v>WS.IT.CDL.CrossSMTPair.IT_Group_4</v>
      </c>
      <c r="C122" s="408" t="str">
        <f>VLOOKUP(A122,'Feature Raw Data'!$A$3:$C$3929,3,FALSE)</f>
        <v>P1</v>
      </c>
      <c r="D122" s="409" t="str" cm="1">
        <f t="array" ref="D122">_xlfn.TEXTJOIN("",TRUE,IF(ISNUMBER(SEARCH($A122,'Diags Raw Data'!$A$6:$A$3768)),CONCATENATE('Diags Raw Data'!$H$6:$H$3768,", "),""))</f>
        <v xml:space="preserve">command_input_short_list_Turin.yaml, </v>
      </c>
      <c r="E122" s="410" t="str">
        <f>VLOOKUP(A122,'Diags Raw Data'!$A$6:$D$3768,4,FALSE)</f>
        <v>IT-11</v>
      </c>
      <c r="F122" s="410" t="str">
        <f>VLOOKUP(A122,'Feature Raw Data'!$A$3:$E$3847,5,FALSE)</f>
        <v>Legacy</v>
      </c>
      <c r="G122" s="410" t="str">
        <f t="shared" si="40"/>
        <v>Yes</v>
      </c>
      <c r="H122" s="410" t="str">
        <f t="shared" si="41"/>
        <v>Yes</v>
      </c>
      <c r="I122" s="412">
        <f>SUMIF('Diags Raw Data'!$A$6:$A$3768,"*"&amp;$A122&amp;"*",'Diags Raw Data'!$K$6:$K$3768)</f>
        <v>1</v>
      </c>
      <c r="J122" s="413">
        <f>SUMIF('Diags Raw Data'!$A$6:$A$3768,"*"&amp;$A122&amp;"*",'Diags Raw Data'!$L$6:$L$3768)</f>
        <v>1</v>
      </c>
      <c r="K122" s="432" cm="1">
        <f t="array" ref="K122">IF(D122="",0, SUMPRODUCT(--(ISNUMBER(SEARCH($A122,'Diags Raw Data'!$A$6:$A$3766))),'Diags Raw Data'!$L$6:$L$3766,'Diags Raw Data'!$N$6:$N$3766)/J122)</f>
        <v>1</v>
      </c>
      <c r="L122" s="433" cm="1">
        <f t="array" ref="L122">IF(D122="",0, SUMPRODUCT(--(ISNUMBER(SEARCH($A122,'Diags Raw Data'!$A$6:$A$3766))),'Diags Raw Data'!$L$6:$L$3766,'Diags Raw Data'!$P$6:$P$3766)/J122)</f>
        <v>1</v>
      </c>
      <c r="M122" s="434" cm="1">
        <f t="array" ref="M122">SUMPRODUCT(--(ISNUMBER(SEARCH($A122,'Diags Raw Data'!$A$6:$A$3766))),--('Diags Raw Data'!$Q$6:$Q$3766&lt;&gt;"N/A"),'Diags Raw Data'!$T$6:$T$3766)+SUMPRODUCT(--(ISNUMBER(SEARCH($A122,'Diags Raw Data'!$A$6:$A$3766))),--('Diags Raw Data'!$Q$6:$Q$3766&lt;&gt;"N/A"),'Diags Raw Data'!$U$6:$U$3766)</f>
        <v>10</v>
      </c>
      <c r="N122" s="434" cm="1">
        <f t="array" ref="N122">SUMPRODUCT(--(ISNUMBER(SEARCH($A122,'Diags Raw Data'!$A$6:$A$3766))),--('Diags Raw Data'!$Q$6:$Q$3766&lt;&gt;"N/A"),'Diags Raw Data'!$T$6:$T$3766)+SUMPRODUCT(--(ISNUMBER(SEARCH($A122,'Diags Raw Data'!$A$6:$A$3766))),--('Diags Raw Data'!$Q$6:$Q$3766&lt;&gt;"N/A"),'Diags Raw Data'!$U$6:$U$3766)</f>
        <v>10</v>
      </c>
      <c r="O122" s="435">
        <f t="shared" si="42"/>
        <v>1</v>
      </c>
      <c r="P122" s="436">
        <f>SUMIF('Diags Raw Data'!$A$6:$A$3766,"*"&amp;$A122&amp;"*",'Diags Raw Data'!$Z$6:$Z$3766)</f>
        <v>10</v>
      </c>
      <c r="Q122" s="437">
        <f>SUM(SUMIF('Diags Raw Data'!$A$6:$A$3766,"*"&amp;$A122&amp;"*",'Diags Raw Data'!$AA$6:$AA$3766),SUMIF('Diags Raw Data'!$A$6:$A$3766,"*"&amp;$A122&amp;"*",'Diags Raw Data'!$AB$6:$AB$3766))</f>
        <v>10</v>
      </c>
      <c r="R122" s="438">
        <f t="shared" si="43"/>
        <v>10</v>
      </c>
      <c r="S122" s="438">
        <f t="shared" si="44"/>
        <v>1</v>
      </c>
      <c r="T122" s="439">
        <f t="shared" si="45"/>
        <v>10</v>
      </c>
      <c r="U122" s="414"/>
      <c r="V122" s="181"/>
    </row>
    <row r="123" spans="1:22" ht="75.75" thickBot="1" x14ac:dyDescent="0.3">
      <c r="A123" s="321" t="s">
        <v>892</v>
      </c>
      <c r="B123" s="407" t="str">
        <f>VLOOKUP(A123,'Feature Raw Data'!$A$3:$B$3847,2,FALSE)</f>
        <v>WS.IT.CDL.CrossSMTPair.IT_Group_5</v>
      </c>
      <c r="C123" s="408" t="str">
        <f>VLOOKUP(A123,'Feature Raw Data'!$A$3:$C$3929,3,FALSE)</f>
        <v>P1</v>
      </c>
      <c r="D123" s="409" t="str" cm="1">
        <f t="array" ref="D123">_xlfn.TEXTJOIN("",TRUE,IF(ISNUMBER(SEARCH($A123,'Diags Raw Data'!$A$6:$A$3768)),CONCATENATE('Diags Raw Data'!$H$6:$H$3768,", "),""))</f>
        <v xml:space="preserve">command_input_short_list_Turin.yaml, </v>
      </c>
      <c r="E123" s="410" t="str">
        <f>VLOOKUP(A123,'Diags Raw Data'!$A$6:$D$3768,4,FALSE)</f>
        <v>IT-11</v>
      </c>
      <c r="F123" s="410" t="str">
        <f>VLOOKUP(A123,'Feature Raw Data'!$A$3:$E$3847,5,FALSE)</f>
        <v>Legacy</v>
      </c>
      <c r="G123" s="410" t="str">
        <f t="shared" si="40"/>
        <v>Yes</v>
      </c>
      <c r="H123" s="410" t="str">
        <f t="shared" si="41"/>
        <v>Yes</v>
      </c>
      <c r="I123" s="412">
        <f>SUMIF('Diags Raw Data'!$A$6:$A$3768,"*"&amp;$A123&amp;"*",'Diags Raw Data'!$K$6:$K$3768)</f>
        <v>1</v>
      </c>
      <c r="J123" s="413">
        <f>SUMIF('Diags Raw Data'!$A$6:$A$3768,"*"&amp;$A123&amp;"*",'Diags Raw Data'!$L$6:$L$3768)</f>
        <v>1</v>
      </c>
      <c r="K123" s="432" cm="1">
        <f t="array" ref="K123">IF(D123="",0, SUMPRODUCT(--(ISNUMBER(SEARCH($A123,'Diags Raw Data'!$A$6:$A$3766))),'Diags Raw Data'!$L$6:$L$3766,'Diags Raw Data'!$N$6:$N$3766)/J123)</f>
        <v>1</v>
      </c>
      <c r="L123" s="433" cm="1">
        <f t="array" ref="L123">IF(D123="",0, SUMPRODUCT(--(ISNUMBER(SEARCH($A123,'Diags Raw Data'!$A$6:$A$3766))),'Diags Raw Data'!$L$6:$L$3766,'Diags Raw Data'!$P$6:$P$3766)/J123)</f>
        <v>1</v>
      </c>
      <c r="M123" s="434" cm="1">
        <f t="array" ref="M123">SUMPRODUCT(--(ISNUMBER(SEARCH($A123,'Diags Raw Data'!$A$6:$A$3766))),--('Diags Raw Data'!$Q$6:$Q$3766&lt;&gt;"N/A"),'Diags Raw Data'!$T$6:$T$3766)+SUMPRODUCT(--(ISNUMBER(SEARCH($A123,'Diags Raw Data'!$A$6:$A$3766))),--('Diags Raw Data'!$Q$6:$Q$3766&lt;&gt;"N/A"),'Diags Raw Data'!$U$6:$U$3766)</f>
        <v>10</v>
      </c>
      <c r="N123" s="434" cm="1">
        <f t="array" ref="N123">SUMPRODUCT(--(ISNUMBER(SEARCH($A123,'Diags Raw Data'!$A$6:$A$3766))),--('Diags Raw Data'!$Q$6:$Q$3766&lt;&gt;"N/A"),'Diags Raw Data'!$T$6:$T$3766)+SUMPRODUCT(--(ISNUMBER(SEARCH($A123,'Diags Raw Data'!$A$6:$A$3766))),--('Diags Raw Data'!$Q$6:$Q$3766&lt;&gt;"N/A"),'Diags Raw Data'!$U$6:$U$3766)</f>
        <v>10</v>
      </c>
      <c r="O123" s="435">
        <f t="shared" ref="O123:O124" si="46">IF((M123=0),0,N123/M123)</f>
        <v>1</v>
      </c>
      <c r="P123" s="436">
        <f>SUMIF('Diags Raw Data'!$A$6:$A$3766,"*"&amp;$A123&amp;"*",'Diags Raw Data'!$Z$6:$Z$3766)</f>
        <v>10</v>
      </c>
      <c r="Q123" s="437">
        <f>SUM(SUMIF('Diags Raw Data'!$A$6:$A$3766,"*"&amp;$A123&amp;"*",'Diags Raw Data'!$AA$6:$AA$3766),SUMIF('Diags Raw Data'!$A$6:$A$3766,"*"&amp;$A123&amp;"*",'Diags Raw Data'!$AB$6:$AB$3766))</f>
        <v>10</v>
      </c>
      <c r="R123" s="438">
        <f t="shared" ref="R123:R124" si="47">IF((J123=0),0,P123/J123)</f>
        <v>10</v>
      </c>
      <c r="S123" s="438">
        <f t="shared" ref="S123:S124" si="48">IF((P123=0),0,Q123/P123)</f>
        <v>1</v>
      </c>
      <c r="T123" s="439">
        <f t="shared" ref="T123:T124" si="49">R123*S123</f>
        <v>10</v>
      </c>
      <c r="U123" s="414"/>
      <c r="V123" s="181"/>
    </row>
    <row r="124" spans="1:22" ht="75.75" thickBot="1" x14ac:dyDescent="0.3">
      <c r="A124" s="321" t="s">
        <v>895</v>
      </c>
      <c r="B124" s="407" t="str">
        <f>VLOOKUP(A124,'Feature Raw Data'!$A$3:$B$3847,2,FALSE)</f>
        <v>WS.IT.CDL.CrossSMTPair.IT_Group_6</v>
      </c>
      <c r="C124" s="408" t="str">
        <f>VLOOKUP(A124,'Feature Raw Data'!$A$3:$C$3929,3,FALSE)</f>
        <v>P1</v>
      </c>
      <c r="D124" s="409" t="str" cm="1">
        <f t="array" ref="D124">_xlfn.TEXTJOIN("",TRUE,IF(ISNUMBER(SEARCH($A124,'Diags Raw Data'!$A$6:$A$3768)),CONCATENATE('Diags Raw Data'!$H$6:$H$3768,", "),""))</f>
        <v xml:space="preserve">command_input_short_list_Turin.yaml, </v>
      </c>
      <c r="E124" s="410" t="str">
        <f>VLOOKUP(A124,'Diags Raw Data'!$A$6:$D$3768,4,FALSE)</f>
        <v>IT-11</v>
      </c>
      <c r="F124" s="410" t="str">
        <f>VLOOKUP(A124,'Feature Raw Data'!$A$3:$E$3847,5,FALSE)</f>
        <v>Legacy</v>
      </c>
      <c r="G124" s="410" t="str">
        <f t="shared" si="40"/>
        <v>Yes</v>
      </c>
      <c r="H124" s="410" t="str">
        <f t="shared" si="41"/>
        <v>Yes</v>
      </c>
      <c r="I124" s="412">
        <f>SUMIF('Diags Raw Data'!$A$6:$A$3768,"*"&amp;$A124&amp;"*",'Diags Raw Data'!$K$6:$K$3768)</f>
        <v>1</v>
      </c>
      <c r="J124" s="413">
        <f>SUMIF('Diags Raw Data'!$A$6:$A$3768,"*"&amp;$A124&amp;"*",'Diags Raw Data'!$L$6:$L$3768)</f>
        <v>1</v>
      </c>
      <c r="K124" s="432" cm="1">
        <f t="array" ref="K124">IF(D124="",0, SUMPRODUCT(--(ISNUMBER(SEARCH($A124,'Diags Raw Data'!$A$6:$A$3766))),'Diags Raw Data'!$L$6:$L$3766,'Diags Raw Data'!$N$6:$N$3766)/J124)</f>
        <v>1</v>
      </c>
      <c r="L124" s="433" cm="1">
        <f t="array" ref="L124">IF(D124="",0, SUMPRODUCT(--(ISNUMBER(SEARCH($A124,'Diags Raw Data'!$A$6:$A$3766))),'Diags Raw Data'!$L$6:$L$3766,'Diags Raw Data'!$P$6:$P$3766)/J124)</f>
        <v>1</v>
      </c>
      <c r="M124" s="434" cm="1">
        <f t="array" ref="M124">SUMPRODUCT(--(ISNUMBER(SEARCH($A124,'Diags Raw Data'!$A$6:$A$3766))),--('Diags Raw Data'!$Q$6:$Q$3766&lt;&gt;"N/A"),'Diags Raw Data'!$T$6:$T$3766)+SUMPRODUCT(--(ISNUMBER(SEARCH($A124,'Diags Raw Data'!$A$6:$A$3766))),--('Diags Raw Data'!$Q$6:$Q$3766&lt;&gt;"N/A"),'Diags Raw Data'!$U$6:$U$3766)</f>
        <v>10</v>
      </c>
      <c r="N124" s="434" cm="1">
        <f t="array" ref="N124">SUMPRODUCT(--(ISNUMBER(SEARCH($A124,'Diags Raw Data'!$A$6:$A$3766))),--('Diags Raw Data'!$Q$6:$Q$3766&lt;&gt;"N/A"),'Diags Raw Data'!$T$6:$T$3766)+SUMPRODUCT(--(ISNUMBER(SEARCH($A124,'Diags Raw Data'!$A$6:$A$3766))),--('Diags Raw Data'!$Q$6:$Q$3766&lt;&gt;"N/A"),'Diags Raw Data'!$U$6:$U$3766)</f>
        <v>10</v>
      </c>
      <c r="O124" s="435">
        <f t="shared" si="46"/>
        <v>1</v>
      </c>
      <c r="P124" s="436">
        <f>SUMIF('Diags Raw Data'!$A$6:$A$3766,"*"&amp;$A124&amp;"*",'Diags Raw Data'!$Z$6:$Z$3766)</f>
        <v>10</v>
      </c>
      <c r="Q124" s="437">
        <f>SUM(SUMIF('Diags Raw Data'!$A$6:$A$3766,"*"&amp;$A124&amp;"*",'Diags Raw Data'!$AA$6:$AA$3766),SUMIF('Diags Raw Data'!$A$6:$A$3766,"*"&amp;$A124&amp;"*",'Diags Raw Data'!$AB$6:$AB$3766))</f>
        <v>10</v>
      </c>
      <c r="R124" s="438">
        <f t="shared" si="47"/>
        <v>10</v>
      </c>
      <c r="S124" s="438">
        <f t="shared" si="48"/>
        <v>1</v>
      </c>
      <c r="T124" s="439">
        <f t="shared" si="49"/>
        <v>10</v>
      </c>
      <c r="U124" s="414"/>
      <c r="V124" s="181"/>
    </row>
    <row r="125" spans="1:22" ht="105.75" thickBot="1" x14ac:dyDescent="0.3">
      <c r="A125" s="321" t="s">
        <v>898</v>
      </c>
      <c r="B125" s="407" t="str">
        <f>VLOOKUP(A125,'Feature Raw Data'!$A$3:$B$3847,2,FALSE)</f>
        <v>WS.IRR.CDL.BP_CFG_Bit_10</v>
      </c>
      <c r="C125" s="408" t="str">
        <f>VLOOKUP(A125,'Feature Raw Data'!$A$3:$C$3929,3,FALSE)</f>
        <v>P2</v>
      </c>
      <c r="D125" s="409" t="str" cm="1">
        <f t="array" ref="D125">_xlfn.TEXTJOIN("",TRUE,IF(ISNUMBER(SEARCH($A125,'Diags Raw Data'!$A$6:$A$3768)),CONCATENATE('Diags Raw Data'!$H$6:$H$3768,", "),""))</f>
        <v xml:space="preserve">command_input_short_list_Turin.yaml, </v>
      </c>
      <c r="E125" s="410" t="str">
        <f>VLOOKUP(A125,'Diags Raw Data'!$A$6:$D$3768,4,FALSE)</f>
        <v>IRR-13</v>
      </c>
      <c r="F125" s="410" t="str">
        <f>VLOOKUP(A125,'Feature Raw Data'!$A$3:$E$3847,5,FALSE)</f>
        <v>Legacy</v>
      </c>
      <c r="G125" s="410" t="str">
        <f t="shared" si="40"/>
        <v>Yes</v>
      </c>
      <c r="H125" s="410" t="str">
        <f t="shared" si="41"/>
        <v>Yes</v>
      </c>
      <c r="I125" s="412">
        <f>SUMIF('Diags Raw Data'!$A$6:$A$3768,"*"&amp;$A125&amp;"*",'Diags Raw Data'!$K$6:$K$3768)</f>
        <v>1</v>
      </c>
      <c r="J125" s="413">
        <f>SUMIF('Diags Raw Data'!$A$6:$A$3768,"*"&amp;$A125&amp;"*",'Diags Raw Data'!$L$6:$L$3768)</f>
        <v>1</v>
      </c>
      <c r="K125" s="432" cm="1">
        <f t="array" ref="K125">IF(D125="",0, SUMPRODUCT(--(ISNUMBER(SEARCH($A125,'Diags Raw Data'!$A$6:$A$3766))),'Diags Raw Data'!$L$6:$L$3766,'Diags Raw Data'!$N$6:$N$3766)/J125)</f>
        <v>1</v>
      </c>
      <c r="L125" s="433" cm="1">
        <f t="array" ref="L125">IF(D125="",0, SUMPRODUCT(--(ISNUMBER(SEARCH($A125,'Diags Raw Data'!$A$6:$A$3766))),'Diags Raw Data'!$L$6:$L$3766,'Diags Raw Data'!$P$6:$P$3766)/J125)</f>
        <v>1</v>
      </c>
      <c r="M125" s="434" cm="1">
        <f t="array" ref="M125">SUMPRODUCT(--(ISNUMBER(SEARCH($A125,'Diags Raw Data'!$A$6:$A$3766))),--('Diags Raw Data'!$Q$6:$Q$3766&lt;&gt;"N/A"),'Diags Raw Data'!$T$6:$T$3766)+SUMPRODUCT(--(ISNUMBER(SEARCH($A125,'Diags Raw Data'!$A$6:$A$3766))),--('Diags Raw Data'!$Q$6:$Q$3766&lt;&gt;"N/A"),'Diags Raw Data'!$U$6:$U$3766)</f>
        <v>10</v>
      </c>
      <c r="N125" s="434" cm="1">
        <f t="array" ref="N125">SUMPRODUCT(--(ISNUMBER(SEARCH($A125,'Diags Raw Data'!$A$6:$A$3766))),--('Diags Raw Data'!$Q$6:$Q$3766&lt;&gt;"N/A"),'Diags Raw Data'!$T$6:$T$3766)+SUMPRODUCT(--(ISNUMBER(SEARCH($A125,'Diags Raw Data'!$A$6:$A$3766))),--('Diags Raw Data'!$Q$6:$Q$3766&lt;&gt;"N/A"),'Diags Raw Data'!$U$6:$U$3766)</f>
        <v>10</v>
      </c>
      <c r="O125" s="435">
        <f t="shared" si="42"/>
        <v>1</v>
      </c>
      <c r="P125" s="436">
        <f>SUMIF('Diags Raw Data'!$A$6:$A$3766,"*"&amp;$A125&amp;"*",'Diags Raw Data'!$Z$6:$Z$3766)</f>
        <v>1</v>
      </c>
      <c r="Q125" s="437">
        <f>SUM(SUMIF('Diags Raw Data'!$A$6:$A$3766,"*"&amp;$A125&amp;"*",'Diags Raw Data'!$AA$6:$AA$3766),SUMIF('Diags Raw Data'!$A$6:$A$3766,"*"&amp;$A125&amp;"*",'Diags Raw Data'!$AB$6:$AB$3766))</f>
        <v>1</v>
      </c>
      <c r="R125" s="438">
        <f t="shared" si="43"/>
        <v>1</v>
      </c>
      <c r="S125" s="438">
        <f t="shared" si="44"/>
        <v>1</v>
      </c>
      <c r="T125" s="439">
        <f t="shared" si="45"/>
        <v>1</v>
      </c>
      <c r="U125" s="414" t="s">
        <v>1022</v>
      </c>
      <c r="V125" s="181"/>
    </row>
    <row r="126" spans="1:22" ht="90.75" thickBot="1" x14ac:dyDescent="0.3">
      <c r="A126" s="321" t="s">
        <v>903</v>
      </c>
      <c r="B126" s="407" t="str">
        <f>VLOOKUP(A126,'Feature Raw Data'!$A$3:$B$3847,2,FALSE)</f>
        <v>WS.IRR.CDL.BP_CFG_Bit_09</v>
      </c>
      <c r="C126" s="408" t="str">
        <f>VLOOKUP(A126,'Feature Raw Data'!$A$3:$C$3929,3,FALSE)</f>
        <v>P2</v>
      </c>
      <c r="D126" s="409" t="str" cm="1">
        <f t="array" ref="D126">_xlfn.TEXTJOIN("",TRUE,IF(ISNUMBER(SEARCH($A126,'Diags Raw Data'!$A$6:$A$3768)),CONCATENATE('Diags Raw Data'!$H$6:$H$3768,", "),""))</f>
        <v xml:space="preserve">command_input_short_list_Turin.yaml, </v>
      </c>
      <c r="E126" s="410" t="str">
        <f>VLOOKUP(A126,'Diags Raw Data'!$A$6:$D$3768,4,FALSE)</f>
        <v>IRR-13</v>
      </c>
      <c r="F126" s="410" t="str">
        <f>VLOOKUP(A126,'Feature Raw Data'!$A$3:$E$3847,5,FALSE)</f>
        <v>Legacy</v>
      </c>
      <c r="G126" s="410" t="str">
        <f t="shared" si="40"/>
        <v>Yes</v>
      </c>
      <c r="H126" s="410" t="str">
        <f t="shared" si="41"/>
        <v>Yes</v>
      </c>
      <c r="I126" s="412">
        <f>SUMIF('Diags Raw Data'!$A$6:$A$3768,"*"&amp;$A126&amp;"*",'Diags Raw Data'!$K$6:$K$3768)</f>
        <v>1</v>
      </c>
      <c r="J126" s="413">
        <f>SUMIF('Diags Raw Data'!$A$6:$A$3768,"*"&amp;$A126&amp;"*",'Diags Raw Data'!$L$6:$L$3768)</f>
        <v>1</v>
      </c>
      <c r="K126" s="432" cm="1">
        <f t="array" ref="K126">IF(D126="",0, SUMPRODUCT(--(ISNUMBER(SEARCH($A126,'Diags Raw Data'!$A$6:$A$3766))),'Diags Raw Data'!$L$6:$L$3766,'Diags Raw Data'!$N$6:$N$3766)/J126)</f>
        <v>1</v>
      </c>
      <c r="L126" s="433" cm="1">
        <f t="array" ref="L126">IF(D126="",0, SUMPRODUCT(--(ISNUMBER(SEARCH($A126,'Diags Raw Data'!$A$6:$A$3766))),'Diags Raw Data'!$L$6:$L$3766,'Diags Raw Data'!$P$6:$P$3766)/J126)</f>
        <v>1</v>
      </c>
      <c r="M126" s="434" cm="1">
        <f t="array" ref="M126">SUMPRODUCT(--(ISNUMBER(SEARCH($A126,'Diags Raw Data'!$A$6:$A$3766))),--('Diags Raw Data'!$Q$6:$Q$3766&lt;&gt;"N/A"),'Diags Raw Data'!$T$6:$T$3766)+SUMPRODUCT(--(ISNUMBER(SEARCH($A126,'Diags Raw Data'!$A$6:$A$3766))),--('Diags Raw Data'!$Q$6:$Q$3766&lt;&gt;"N/A"),'Diags Raw Data'!$U$6:$U$3766)</f>
        <v>10</v>
      </c>
      <c r="N126" s="434" cm="1">
        <f t="array" ref="N126">SUMPRODUCT(--(ISNUMBER(SEARCH($A126,'Diags Raw Data'!$A$6:$A$3766))),--('Diags Raw Data'!$Q$6:$Q$3766&lt;&gt;"N/A"),'Diags Raw Data'!$T$6:$T$3766)+SUMPRODUCT(--(ISNUMBER(SEARCH($A126,'Diags Raw Data'!$A$6:$A$3766))),--('Diags Raw Data'!$Q$6:$Q$3766&lt;&gt;"N/A"),'Diags Raw Data'!$U$6:$U$3766)</f>
        <v>10</v>
      </c>
      <c r="O126" s="435">
        <f t="shared" si="42"/>
        <v>1</v>
      </c>
      <c r="P126" s="436">
        <f>SUMIF('Diags Raw Data'!$A$6:$A$3766,"*"&amp;$A126&amp;"*",'Diags Raw Data'!$Z$6:$Z$3766)</f>
        <v>1</v>
      </c>
      <c r="Q126" s="437">
        <f>SUM(SUMIF('Diags Raw Data'!$A$6:$A$3766,"*"&amp;$A126&amp;"*",'Diags Raw Data'!$AA$6:$AA$3766),SUMIF('Diags Raw Data'!$A$6:$A$3766,"*"&amp;$A126&amp;"*",'Diags Raw Data'!$AB$6:$AB$3766))</f>
        <v>1</v>
      </c>
      <c r="R126" s="438">
        <f t="shared" si="43"/>
        <v>1</v>
      </c>
      <c r="S126" s="438">
        <f t="shared" si="44"/>
        <v>1</v>
      </c>
      <c r="T126" s="439">
        <f t="shared" si="45"/>
        <v>1</v>
      </c>
      <c r="U126" s="414" t="s">
        <v>1022</v>
      </c>
      <c r="V126" s="181"/>
    </row>
    <row r="127" spans="1:22" ht="105.75" thickBot="1" x14ac:dyDescent="0.3">
      <c r="A127" s="321" t="s">
        <v>906</v>
      </c>
      <c r="B127" s="407" t="str">
        <f>VLOOKUP(A127,'Feature Raw Data'!$A$3:$B$3847,2,FALSE)</f>
        <v>WS.IRR.CDL.BP_CFG_Bit_11</v>
      </c>
      <c r="C127" s="408" t="str">
        <f>VLOOKUP(A127,'Feature Raw Data'!$A$3:$C$3929,3,FALSE)</f>
        <v>P2</v>
      </c>
      <c r="D127" s="409" t="str" cm="1">
        <f t="array" ref="D127">_xlfn.TEXTJOIN("",TRUE,IF(ISNUMBER(SEARCH($A127,'Diags Raw Data'!$A$6:$A$3768)),CONCATENATE('Diags Raw Data'!$H$6:$H$3768,", "),""))</f>
        <v xml:space="preserve">command_input_short_list_Turin.yaml, </v>
      </c>
      <c r="E127" s="410" t="str">
        <f>VLOOKUP(A127,'Diags Raw Data'!$A$6:$D$3768,4,FALSE)</f>
        <v>IRR-13</v>
      </c>
      <c r="F127" s="410" t="str">
        <f>VLOOKUP(A127,'Feature Raw Data'!$A$3:$E$3847,5,FALSE)</f>
        <v>Legacy</v>
      </c>
      <c r="G127" s="410" t="str">
        <f t="shared" si="40"/>
        <v>Yes</v>
      </c>
      <c r="H127" s="410" t="str">
        <f t="shared" si="41"/>
        <v>Yes</v>
      </c>
      <c r="I127" s="412">
        <f>SUMIF('Diags Raw Data'!$A$6:$A$3768,"*"&amp;$A127&amp;"*",'Diags Raw Data'!$K$6:$K$3768)</f>
        <v>1</v>
      </c>
      <c r="J127" s="413">
        <f>SUMIF('Diags Raw Data'!$A$6:$A$3768,"*"&amp;$A127&amp;"*",'Diags Raw Data'!$L$6:$L$3768)</f>
        <v>1</v>
      </c>
      <c r="K127" s="432" cm="1">
        <f t="array" ref="K127">IF(D127="",0, SUMPRODUCT(--(ISNUMBER(SEARCH($A127,'Diags Raw Data'!$A$6:$A$3766))),'Diags Raw Data'!$L$6:$L$3766,'Diags Raw Data'!$N$6:$N$3766)/J127)</f>
        <v>1</v>
      </c>
      <c r="L127" s="433" cm="1">
        <f t="array" ref="L127">IF(D127="",0, SUMPRODUCT(--(ISNUMBER(SEARCH($A127,'Diags Raw Data'!$A$6:$A$3766))),'Diags Raw Data'!$L$6:$L$3766,'Diags Raw Data'!$P$6:$P$3766)/J127)</f>
        <v>1</v>
      </c>
      <c r="M127" s="434" cm="1">
        <f t="array" ref="M127">SUMPRODUCT(--(ISNUMBER(SEARCH($A127,'Diags Raw Data'!$A$6:$A$3766))),--('Diags Raw Data'!$Q$6:$Q$3766&lt;&gt;"N/A"),'Diags Raw Data'!$T$6:$T$3766)+SUMPRODUCT(--(ISNUMBER(SEARCH($A127,'Diags Raw Data'!$A$6:$A$3766))),--('Diags Raw Data'!$Q$6:$Q$3766&lt;&gt;"N/A"),'Diags Raw Data'!$U$6:$U$3766)</f>
        <v>10</v>
      </c>
      <c r="N127" s="434" cm="1">
        <f t="array" ref="N127">SUMPRODUCT(--(ISNUMBER(SEARCH($A127,'Diags Raw Data'!$A$6:$A$3766))),--('Diags Raw Data'!$Q$6:$Q$3766&lt;&gt;"N/A"),'Diags Raw Data'!$T$6:$T$3766)+SUMPRODUCT(--(ISNUMBER(SEARCH($A127,'Diags Raw Data'!$A$6:$A$3766))),--('Diags Raw Data'!$Q$6:$Q$3766&lt;&gt;"N/A"),'Diags Raw Data'!$U$6:$U$3766)</f>
        <v>10</v>
      </c>
      <c r="O127" s="435">
        <f t="shared" si="42"/>
        <v>1</v>
      </c>
      <c r="P127" s="436">
        <f>SUMIF('Diags Raw Data'!$A$6:$A$3766,"*"&amp;$A127&amp;"*",'Diags Raw Data'!$Z$6:$Z$3766)</f>
        <v>1</v>
      </c>
      <c r="Q127" s="437">
        <f>SUM(SUMIF('Diags Raw Data'!$A$6:$A$3766,"*"&amp;$A127&amp;"*",'Diags Raw Data'!$AA$6:$AA$3766),SUMIF('Diags Raw Data'!$A$6:$A$3766,"*"&amp;$A127&amp;"*",'Diags Raw Data'!$AB$6:$AB$3766))</f>
        <v>1</v>
      </c>
      <c r="R127" s="438">
        <f t="shared" si="43"/>
        <v>1</v>
      </c>
      <c r="S127" s="438">
        <f t="shared" si="44"/>
        <v>1</v>
      </c>
      <c r="T127" s="439">
        <f t="shared" si="45"/>
        <v>1</v>
      </c>
      <c r="U127" s="414" t="s">
        <v>1022</v>
      </c>
      <c r="V127" s="181"/>
    </row>
    <row r="128" spans="1:22" ht="75.75" thickBot="1" x14ac:dyDescent="0.3">
      <c r="A128" s="321" t="s">
        <v>909</v>
      </c>
      <c r="B128" s="407" t="str">
        <f>VLOOKUP(A128,'Feature Raw Data'!$A$3:$B$3847,2,FALSE)</f>
        <v>WS.IRR.CDL.BP_CFG_Bit_06</v>
      </c>
      <c r="C128" s="408" t="str">
        <f>VLOOKUP(A128,'Feature Raw Data'!$A$3:$C$3929,3,FALSE)</f>
        <v>P2</v>
      </c>
      <c r="D128" s="409" t="str" cm="1">
        <f t="array" ref="D128">_xlfn.TEXTJOIN("",TRUE,IF(ISNUMBER(SEARCH($A128,'Diags Raw Data'!$A$6:$A$3768)),CONCATENATE('Diags Raw Data'!$H$6:$H$3768,", "),""))</f>
        <v xml:space="preserve">command_input_short_list_Turin.yaml, </v>
      </c>
      <c r="E128" s="410" t="str">
        <f>VLOOKUP(A128,'Diags Raw Data'!$A$6:$D$3768,4,FALSE)</f>
        <v>IRR-13</v>
      </c>
      <c r="F128" s="410" t="str">
        <f>VLOOKUP(A128,'Feature Raw Data'!$A$3:$E$3847,5,FALSE)</f>
        <v>Legacy</v>
      </c>
      <c r="G128" s="410" t="str">
        <f t="shared" ref="G128:G141" si="50">IF(D128="","No","Yes")</f>
        <v>Yes</v>
      </c>
      <c r="H128" s="410" t="str">
        <f t="shared" ref="H128:H141" si="51">IF(D128="","No","Yes")</f>
        <v>Yes</v>
      </c>
      <c r="I128" s="412">
        <f>SUMIF('Diags Raw Data'!$A$6:$A$3768,"*"&amp;$A128&amp;"*",'Diags Raw Data'!$K$6:$K$3768)</f>
        <v>1</v>
      </c>
      <c r="J128" s="413">
        <f>SUMIF('Diags Raw Data'!$A$6:$A$3768,"*"&amp;$A128&amp;"*",'Diags Raw Data'!$L$6:$L$3768)</f>
        <v>1</v>
      </c>
      <c r="K128" s="432" cm="1">
        <f t="array" ref="K128">IF(D128="",0, SUMPRODUCT(--(ISNUMBER(SEARCH($A128,'Diags Raw Data'!$A$6:$A$3766))),'Diags Raw Data'!$L$6:$L$3766,'Diags Raw Data'!$N$6:$N$3766)/J128)</f>
        <v>1</v>
      </c>
      <c r="L128" s="433" cm="1">
        <f t="array" ref="L128">IF(D128="",0, SUMPRODUCT(--(ISNUMBER(SEARCH($A128,'Diags Raw Data'!$A$6:$A$3766))),'Diags Raw Data'!$L$6:$L$3766,'Diags Raw Data'!$P$6:$P$3766)/J128)</f>
        <v>1</v>
      </c>
      <c r="M128" s="434" cm="1">
        <f t="array" ref="M128">SUMPRODUCT(--(ISNUMBER(SEARCH($A128,'Diags Raw Data'!$A$6:$A$3766))),--('Diags Raw Data'!$Q$6:$Q$3766&lt;&gt;"N/A"),'Diags Raw Data'!$T$6:$T$3766)+SUMPRODUCT(--(ISNUMBER(SEARCH($A128,'Diags Raw Data'!$A$6:$A$3766))),--('Diags Raw Data'!$Q$6:$Q$3766&lt;&gt;"N/A"),'Diags Raw Data'!$U$6:$U$3766)</f>
        <v>10</v>
      </c>
      <c r="N128" s="434" cm="1">
        <f t="array" ref="N128">SUMPRODUCT(--(ISNUMBER(SEARCH($A128,'Diags Raw Data'!$A$6:$A$3766))),--('Diags Raw Data'!$Q$6:$Q$3766&lt;&gt;"N/A"),'Diags Raw Data'!$T$6:$T$3766)+SUMPRODUCT(--(ISNUMBER(SEARCH($A128,'Diags Raw Data'!$A$6:$A$3766))),--('Diags Raw Data'!$Q$6:$Q$3766&lt;&gt;"N/A"),'Diags Raw Data'!$U$6:$U$3766)</f>
        <v>10</v>
      </c>
      <c r="O128" s="435">
        <f t="shared" si="42"/>
        <v>1</v>
      </c>
      <c r="P128" s="436">
        <f>SUMIF('Diags Raw Data'!$A$6:$A$3766,"*"&amp;$A128&amp;"*",'Diags Raw Data'!$Z$6:$Z$3766)</f>
        <v>1</v>
      </c>
      <c r="Q128" s="437">
        <f>SUM(SUMIF('Diags Raw Data'!$A$6:$A$3766,"*"&amp;$A128&amp;"*",'Diags Raw Data'!$AA$6:$AA$3766),SUMIF('Diags Raw Data'!$A$6:$A$3766,"*"&amp;$A128&amp;"*",'Diags Raw Data'!$AB$6:$AB$3766))</f>
        <v>1</v>
      </c>
      <c r="R128" s="438">
        <f t="shared" si="43"/>
        <v>1</v>
      </c>
      <c r="S128" s="438">
        <f t="shared" si="44"/>
        <v>1</v>
      </c>
      <c r="T128" s="439">
        <f t="shared" si="45"/>
        <v>1</v>
      </c>
      <c r="U128" s="414" t="s">
        <v>1022</v>
      </c>
      <c r="V128" s="181"/>
    </row>
    <row r="129" spans="1:22" ht="105.75" thickBot="1" x14ac:dyDescent="0.3">
      <c r="A129" s="321" t="s">
        <v>912</v>
      </c>
      <c r="B129" s="407" t="str">
        <f>VLOOKUP(A129,'Feature Raw Data'!$A$3:$B$3847,2,FALSE)</f>
        <v>WS.IRR.CDL.DE_TKN_CFG_Bit_50_45</v>
      </c>
      <c r="C129" s="408" t="str">
        <f>VLOOKUP(A129,'Feature Raw Data'!$A$3:$C$3929,3,FALSE)</f>
        <v>P2</v>
      </c>
      <c r="D129" s="409" t="str" cm="1">
        <f t="array" ref="D129">_xlfn.TEXTJOIN("",TRUE,IF(ISNUMBER(SEARCH($A129,'Diags Raw Data'!$A$6:$A$3768)),CONCATENATE('Diags Raw Data'!$H$6:$H$3768,", "),""))</f>
        <v xml:space="preserve">command_input_short_list_Turin.yaml, </v>
      </c>
      <c r="E129" s="410" t="str">
        <f>VLOOKUP(A129,'Diags Raw Data'!$A$6:$D$3768,4,FALSE)</f>
        <v>IRR-13</v>
      </c>
      <c r="F129" s="410" t="str">
        <f>VLOOKUP(A129,'Feature Raw Data'!$A$3:$E$3847,5,FALSE)</f>
        <v>Legacy</v>
      </c>
      <c r="G129" s="410" t="str">
        <f t="shared" si="50"/>
        <v>Yes</v>
      </c>
      <c r="H129" s="410" t="str">
        <f t="shared" si="51"/>
        <v>Yes</v>
      </c>
      <c r="I129" s="412">
        <f>SUMIF('Diags Raw Data'!$A$6:$A$3768,"*"&amp;$A129&amp;"*",'Diags Raw Data'!$K$6:$K$3768)</f>
        <v>1</v>
      </c>
      <c r="J129" s="413">
        <f>SUMIF('Diags Raw Data'!$A$6:$A$3768,"*"&amp;$A129&amp;"*",'Diags Raw Data'!$L$6:$L$3768)</f>
        <v>1</v>
      </c>
      <c r="K129" s="432" cm="1">
        <f t="array" ref="K129">IF(D129="",0, SUMPRODUCT(--(ISNUMBER(SEARCH($A129,'Diags Raw Data'!$A$6:$A$3766))),'Diags Raw Data'!$L$6:$L$3766,'Diags Raw Data'!$N$6:$N$3766)/J129)</f>
        <v>1</v>
      </c>
      <c r="L129" s="433" cm="1">
        <f t="array" ref="L129">IF(D129="",0, SUMPRODUCT(--(ISNUMBER(SEARCH($A129,'Diags Raw Data'!$A$6:$A$3766))),'Diags Raw Data'!$L$6:$L$3766,'Diags Raw Data'!$P$6:$P$3766)/J129)</f>
        <v>1</v>
      </c>
      <c r="M129" s="434" cm="1">
        <f t="array" ref="M129">SUMPRODUCT(--(ISNUMBER(SEARCH($A129,'Diags Raw Data'!$A$6:$A$3766))),--('Diags Raw Data'!$Q$6:$Q$3766&lt;&gt;"N/A"),'Diags Raw Data'!$T$6:$T$3766)+SUMPRODUCT(--(ISNUMBER(SEARCH($A129,'Diags Raw Data'!$A$6:$A$3766))),--('Diags Raw Data'!$Q$6:$Q$3766&lt;&gt;"N/A"),'Diags Raw Data'!$U$6:$U$3766)</f>
        <v>10</v>
      </c>
      <c r="N129" s="434" cm="1">
        <f t="array" ref="N129">SUMPRODUCT(--(ISNUMBER(SEARCH($A129,'Diags Raw Data'!$A$6:$A$3766))),--('Diags Raw Data'!$Q$6:$Q$3766&lt;&gt;"N/A"),'Diags Raw Data'!$T$6:$T$3766)+SUMPRODUCT(--(ISNUMBER(SEARCH($A129,'Diags Raw Data'!$A$6:$A$3766))),--('Diags Raw Data'!$Q$6:$Q$3766&lt;&gt;"N/A"),'Diags Raw Data'!$U$6:$U$3766)</f>
        <v>10</v>
      </c>
      <c r="O129" s="435">
        <f t="shared" si="42"/>
        <v>1</v>
      </c>
      <c r="P129" s="436">
        <f>SUMIF('Diags Raw Data'!$A$6:$A$3766,"*"&amp;$A129&amp;"*",'Diags Raw Data'!$Z$6:$Z$3766)</f>
        <v>1</v>
      </c>
      <c r="Q129" s="437">
        <f>SUM(SUMIF('Diags Raw Data'!$A$6:$A$3766,"*"&amp;$A129&amp;"*",'Diags Raw Data'!$AA$6:$AA$3766),SUMIF('Diags Raw Data'!$A$6:$A$3766,"*"&amp;$A129&amp;"*",'Diags Raw Data'!$AB$6:$AB$3766))</f>
        <v>1</v>
      </c>
      <c r="R129" s="438">
        <f t="shared" si="43"/>
        <v>1</v>
      </c>
      <c r="S129" s="438">
        <f t="shared" si="44"/>
        <v>1</v>
      </c>
      <c r="T129" s="439">
        <f t="shared" si="45"/>
        <v>1</v>
      </c>
      <c r="U129" s="414" t="s">
        <v>1022</v>
      </c>
      <c r="V129" s="181"/>
    </row>
    <row r="130" spans="1:22" ht="105.75" thickBot="1" x14ac:dyDescent="0.3">
      <c r="A130" s="321" t="s">
        <v>914</v>
      </c>
      <c r="B130" s="407" t="str">
        <f>VLOOKUP(A130,'Feature Raw Data'!$A$3:$B$3847,2,FALSE)</f>
        <v>WS.IRR.CDL.DE_TKN_CFG_Bit_08_10</v>
      </c>
      <c r="C130" s="408" t="str">
        <f>VLOOKUP(A130,'Feature Raw Data'!$A$3:$C$3929,3,FALSE)</f>
        <v>P2</v>
      </c>
      <c r="D130" s="409" t="str" cm="1">
        <f t="array" ref="D130">_xlfn.TEXTJOIN("",TRUE,IF(ISNUMBER(SEARCH($A130,'Diags Raw Data'!$A$6:$A$3768)),CONCATENATE('Diags Raw Data'!$H$6:$H$3768,", "),""))</f>
        <v xml:space="preserve">command_input_short_list_Turin.yaml, </v>
      </c>
      <c r="E130" s="410" t="str">
        <f>VLOOKUP(A130,'Diags Raw Data'!$A$6:$D$3768,4,FALSE)</f>
        <v>IRR-13</v>
      </c>
      <c r="F130" s="410" t="str">
        <f>VLOOKUP(A130,'Feature Raw Data'!$A$3:$E$3847,5,FALSE)</f>
        <v>Legacy</v>
      </c>
      <c r="G130" s="410" t="str">
        <f t="shared" si="50"/>
        <v>Yes</v>
      </c>
      <c r="H130" s="410" t="str">
        <f t="shared" si="51"/>
        <v>Yes</v>
      </c>
      <c r="I130" s="412">
        <f>SUMIF('Diags Raw Data'!$A$6:$A$3768,"*"&amp;$A130&amp;"*",'Diags Raw Data'!$K$6:$K$3768)</f>
        <v>1</v>
      </c>
      <c r="J130" s="413">
        <f>SUMIF('Diags Raw Data'!$A$6:$A$3768,"*"&amp;$A130&amp;"*",'Diags Raw Data'!$L$6:$L$3768)</f>
        <v>1</v>
      </c>
      <c r="K130" s="432" cm="1">
        <f t="array" ref="K130">IF(D130="",0, SUMPRODUCT(--(ISNUMBER(SEARCH($A130,'Diags Raw Data'!$A$6:$A$3766))),'Diags Raw Data'!$L$6:$L$3766,'Diags Raw Data'!$N$6:$N$3766)/J130)</f>
        <v>1</v>
      </c>
      <c r="L130" s="433" cm="1">
        <f t="array" ref="L130">IF(D130="",0, SUMPRODUCT(--(ISNUMBER(SEARCH($A130,'Diags Raw Data'!$A$6:$A$3766))),'Diags Raw Data'!$L$6:$L$3766,'Diags Raw Data'!$P$6:$P$3766)/J130)</f>
        <v>1</v>
      </c>
      <c r="M130" s="434" cm="1">
        <f t="array" ref="M130">SUMPRODUCT(--(ISNUMBER(SEARCH($A130,'Diags Raw Data'!$A$6:$A$3766))),--('Diags Raw Data'!$Q$6:$Q$3766&lt;&gt;"N/A"),'Diags Raw Data'!$T$6:$T$3766)+SUMPRODUCT(--(ISNUMBER(SEARCH($A130,'Diags Raw Data'!$A$6:$A$3766))),--('Diags Raw Data'!$Q$6:$Q$3766&lt;&gt;"N/A"),'Diags Raw Data'!$U$6:$U$3766)</f>
        <v>10</v>
      </c>
      <c r="N130" s="434" cm="1">
        <f t="array" ref="N130">SUMPRODUCT(--(ISNUMBER(SEARCH($A130,'Diags Raw Data'!$A$6:$A$3766))),--('Diags Raw Data'!$Q$6:$Q$3766&lt;&gt;"N/A"),'Diags Raw Data'!$T$6:$T$3766)+SUMPRODUCT(--(ISNUMBER(SEARCH($A130,'Diags Raw Data'!$A$6:$A$3766))),--('Diags Raw Data'!$Q$6:$Q$3766&lt;&gt;"N/A"),'Diags Raw Data'!$U$6:$U$3766)</f>
        <v>10</v>
      </c>
      <c r="O130" s="435">
        <f t="shared" si="42"/>
        <v>1</v>
      </c>
      <c r="P130" s="436">
        <f>SUMIF('Diags Raw Data'!$A$6:$A$3766,"*"&amp;$A130&amp;"*",'Diags Raw Data'!$Z$6:$Z$3766)</f>
        <v>1</v>
      </c>
      <c r="Q130" s="437">
        <f>SUM(SUMIF('Diags Raw Data'!$A$6:$A$3766,"*"&amp;$A130&amp;"*",'Diags Raw Data'!$AA$6:$AA$3766),SUMIF('Diags Raw Data'!$A$6:$A$3766,"*"&amp;$A130&amp;"*",'Diags Raw Data'!$AB$6:$AB$3766))</f>
        <v>1</v>
      </c>
      <c r="R130" s="438">
        <f t="shared" si="43"/>
        <v>1</v>
      </c>
      <c r="S130" s="438">
        <f t="shared" si="44"/>
        <v>1</v>
      </c>
      <c r="T130" s="439">
        <f t="shared" si="45"/>
        <v>1</v>
      </c>
      <c r="U130" s="414" t="s">
        <v>1022</v>
      </c>
      <c r="V130" s="181"/>
    </row>
    <row r="131" spans="1:22" ht="105.75" thickBot="1" x14ac:dyDescent="0.3">
      <c r="A131" s="321" t="s">
        <v>916</v>
      </c>
      <c r="B131" s="407" t="str">
        <f>VLOOKUP(A131,'Feature Raw Data'!$A$3:$B$3847,2,FALSE)</f>
        <v>WS.IRR.CDL.DE_TKN_CFG_Bit_57_51</v>
      </c>
      <c r="C131" s="408" t="str">
        <f>VLOOKUP(A131,'Feature Raw Data'!$A$3:$C$3929,3,FALSE)</f>
        <v>P2</v>
      </c>
      <c r="D131" s="409" t="str" cm="1">
        <f t="array" ref="D131">_xlfn.TEXTJOIN("",TRUE,IF(ISNUMBER(SEARCH($A131,'Diags Raw Data'!$A$6:$A$3768)),CONCATENATE('Diags Raw Data'!$H$6:$H$3768,", "),""))</f>
        <v xml:space="preserve">command_input_short_list_Turin.yaml, </v>
      </c>
      <c r="E131" s="410" t="str">
        <f>VLOOKUP(A131,'Diags Raw Data'!$A$6:$D$3768,4,FALSE)</f>
        <v>IRR-13</v>
      </c>
      <c r="F131" s="410" t="str">
        <f>VLOOKUP(A131,'Feature Raw Data'!$A$3:$E$3847,5,FALSE)</f>
        <v>Legacy</v>
      </c>
      <c r="G131" s="410" t="str">
        <f t="shared" si="50"/>
        <v>Yes</v>
      </c>
      <c r="H131" s="410" t="str">
        <f t="shared" si="51"/>
        <v>Yes</v>
      </c>
      <c r="I131" s="412">
        <f>SUMIF('Diags Raw Data'!$A$6:$A$3768,"*"&amp;$A131&amp;"*",'Diags Raw Data'!$K$6:$K$3768)</f>
        <v>1</v>
      </c>
      <c r="J131" s="413">
        <f>SUMIF('Diags Raw Data'!$A$6:$A$3768,"*"&amp;$A131&amp;"*",'Diags Raw Data'!$L$6:$L$3768)</f>
        <v>1</v>
      </c>
      <c r="K131" s="432" cm="1">
        <f t="array" ref="K131">IF(D131="",0, SUMPRODUCT(--(ISNUMBER(SEARCH($A131,'Diags Raw Data'!$A$6:$A$3766))),'Diags Raw Data'!$L$6:$L$3766,'Diags Raw Data'!$N$6:$N$3766)/J131)</f>
        <v>1</v>
      </c>
      <c r="L131" s="433" cm="1">
        <f t="array" ref="L131">IF(D131="",0, SUMPRODUCT(--(ISNUMBER(SEARCH($A131,'Diags Raw Data'!$A$6:$A$3766))),'Diags Raw Data'!$L$6:$L$3766,'Diags Raw Data'!$P$6:$P$3766)/J131)</f>
        <v>1</v>
      </c>
      <c r="M131" s="434" cm="1">
        <f t="array" ref="M131">SUMPRODUCT(--(ISNUMBER(SEARCH($A131,'Diags Raw Data'!$A$6:$A$3766))),--('Diags Raw Data'!$Q$6:$Q$3766&lt;&gt;"N/A"),'Diags Raw Data'!$T$6:$T$3766)+SUMPRODUCT(--(ISNUMBER(SEARCH($A131,'Diags Raw Data'!$A$6:$A$3766))),--('Diags Raw Data'!$Q$6:$Q$3766&lt;&gt;"N/A"),'Diags Raw Data'!$U$6:$U$3766)</f>
        <v>10</v>
      </c>
      <c r="N131" s="434" cm="1">
        <f t="array" ref="N131">SUMPRODUCT(--(ISNUMBER(SEARCH($A131,'Diags Raw Data'!$A$6:$A$3766))),--('Diags Raw Data'!$Q$6:$Q$3766&lt;&gt;"N/A"),'Diags Raw Data'!$T$6:$T$3766)+SUMPRODUCT(--(ISNUMBER(SEARCH($A131,'Diags Raw Data'!$A$6:$A$3766))),--('Diags Raw Data'!$Q$6:$Q$3766&lt;&gt;"N/A"),'Diags Raw Data'!$U$6:$U$3766)</f>
        <v>10</v>
      </c>
      <c r="O131" s="435">
        <f t="shared" si="42"/>
        <v>1</v>
      </c>
      <c r="P131" s="436">
        <f>SUMIF('Diags Raw Data'!$A$6:$A$3766,"*"&amp;$A131&amp;"*",'Diags Raw Data'!$Z$6:$Z$3766)</f>
        <v>1</v>
      </c>
      <c r="Q131" s="437">
        <f>SUM(SUMIF('Diags Raw Data'!$A$6:$A$3766,"*"&amp;$A131&amp;"*",'Diags Raw Data'!$AA$6:$AA$3766),SUMIF('Diags Raw Data'!$A$6:$A$3766,"*"&amp;$A131&amp;"*",'Diags Raw Data'!$AB$6:$AB$3766))</f>
        <v>1</v>
      </c>
      <c r="R131" s="438">
        <f t="shared" si="43"/>
        <v>1</v>
      </c>
      <c r="S131" s="438">
        <f t="shared" si="44"/>
        <v>1</v>
      </c>
      <c r="T131" s="439">
        <f t="shared" si="45"/>
        <v>1</v>
      </c>
      <c r="U131" s="414" t="s">
        <v>1022</v>
      </c>
      <c r="V131" s="181"/>
    </row>
    <row r="132" spans="1:22" ht="90.75" thickBot="1" x14ac:dyDescent="0.3">
      <c r="A132" s="321" t="s">
        <v>918</v>
      </c>
      <c r="B132" s="407" t="str">
        <f>VLOOKUP(A132,'Feature Raw Data'!$A$3:$B$3847,2,FALSE)</f>
        <v>WS.IRR.CDL.DE_TKN_CFG_Bit_50_45</v>
      </c>
      <c r="C132" s="408" t="str">
        <f>VLOOKUP(A132,'Feature Raw Data'!$A$3:$C$3929,3,FALSE)</f>
        <v>P2</v>
      </c>
      <c r="D132" s="409" t="str" cm="1">
        <f t="array" ref="D132">_xlfn.TEXTJOIN("",TRUE,IF(ISNUMBER(SEARCH($A132,'Diags Raw Data'!$A$6:$A$3768)),CONCATENATE('Diags Raw Data'!$H$6:$H$3768,", "),""))</f>
        <v xml:space="preserve">command_input_short_list_Turin.yaml, </v>
      </c>
      <c r="E132" s="410" t="str">
        <f>VLOOKUP(A132,'Diags Raw Data'!$A$6:$D$3768,4,FALSE)</f>
        <v>IRR-13</v>
      </c>
      <c r="F132" s="410" t="str">
        <f>VLOOKUP(A132,'Feature Raw Data'!$A$3:$E$3847,5,FALSE)</f>
        <v>Legacy</v>
      </c>
      <c r="G132" s="410" t="str">
        <f t="shared" si="50"/>
        <v>Yes</v>
      </c>
      <c r="H132" s="410" t="str">
        <f t="shared" si="51"/>
        <v>Yes</v>
      </c>
      <c r="I132" s="412">
        <f>SUMIF('Diags Raw Data'!$A$6:$A$3768,"*"&amp;$A132&amp;"*",'Diags Raw Data'!$K$6:$K$3768)</f>
        <v>1</v>
      </c>
      <c r="J132" s="413">
        <f>SUMIF('Diags Raw Data'!$A$6:$A$3768,"*"&amp;$A132&amp;"*",'Diags Raw Data'!$L$6:$L$3768)</f>
        <v>1</v>
      </c>
      <c r="K132" s="432" cm="1">
        <f t="array" ref="K132">IF(D132="",0, SUMPRODUCT(--(ISNUMBER(SEARCH($A132,'Diags Raw Data'!$A$6:$A$3766))),'Diags Raw Data'!$L$6:$L$3766,'Diags Raw Data'!$N$6:$N$3766)/J132)</f>
        <v>1</v>
      </c>
      <c r="L132" s="433" cm="1">
        <f t="array" ref="L132">IF(D132="",0, SUMPRODUCT(--(ISNUMBER(SEARCH($A132,'Diags Raw Data'!$A$6:$A$3766))),'Diags Raw Data'!$L$6:$L$3766,'Diags Raw Data'!$P$6:$P$3766)/J132)</f>
        <v>1</v>
      </c>
      <c r="M132" s="434" cm="1">
        <f t="array" ref="M132">SUMPRODUCT(--(ISNUMBER(SEARCH($A132,'Diags Raw Data'!$A$6:$A$3766))),--('Diags Raw Data'!$Q$6:$Q$3766&lt;&gt;"N/A"),'Diags Raw Data'!$T$6:$T$3766)+SUMPRODUCT(--(ISNUMBER(SEARCH($A132,'Diags Raw Data'!$A$6:$A$3766))),--('Diags Raw Data'!$Q$6:$Q$3766&lt;&gt;"N/A"),'Diags Raw Data'!$U$6:$U$3766)</f>
        <v>10</v>
      </c>
      <c r="N132" s="434" cm="1">
        <f t="array" ref="N132">SUMPRODUCT(--(ISNUMBER(SEARCH($A132,'Diags Raw Data'!$A$6:$A$3766))),--('Diags Raw Data'!$Q$6:$Q$3766&lt;&gt;"N/A"),'Diags Raw Data'!$T$6:$T$3766)+SUMPRODUCT(--(ISNUMBER(SEARCH($A132,'Diags Raw Data'!$A$6:$A$3766))),--('Diags Raw Data'!$Q$6:$Q$3766&lt;&gt;"N/A"),'Diags Raw Data'!$U$6:$U$3766)</f>
        <v>10</v>
      </c>
      <c r="O132" s="435">
        <f t="shared" si="42"/>
        <v>1</v>
      </c>
      <c r="P132" s="436">
        <f>SUMIF('Diags Raw Data'!$A$6:$A$3766,"*"&amp;$A132&amp;"*",'Diags Raw Data'!$Z$6:$Z$3766)</f>
        <v>1</v>
      </c>
      <c r="Q132" s="437">
        <f>SUM(SUMIF('Diags Raw Data'!$A$6:$A$3766,"*"&amp;$A132&amp;"*",'Diags Raw Data'!$AA$6:$AA$3766),SUMIF('Diags Raw Data'!$A$6:$A$3766,"*"&amp;$A132&amp;"*",'Diags Raw Data'!$AB$6:$AB$3766))</f>
        <v>1</v>
      </c>
      <c r="R132" s="438">
        <f t="shared" si="43"/>
        <v>1</v>
      </c>
      <c r="S132" s="438">
        <f t="shared" si="44"/>
        <v>1</v>
      </c>
      <c r="T132" s="439">
        <f t="shared" si="45"/>
        <v>1</v>
      </c>
      <c r="U132" s="414" t="s">
        <v>1022</v>
      </c>
      <c r="V132" s="181"/>
    </row>
    <row r="133" spans="1:22" ht="105.75" thickBot="1" x14ac:dyDescent="0.3">
      <c r="A133" s="321" t="s">
        <v>920</v>
      </c>
      <c r="B133" s="407" t="str">
        <f>VLOOKUP(A133,'Feature Raw Data'!$A$3:$B$3847,2,FALSE)</f>
        <v>WS.IRR.CDL.IC_CFG_Bit_5</v>
      </c>
      <c r="C133" s="408" t="str">
        <f>VLOOKUP(A133,'Feature Raw Data'!$A$3:$C$3929,3,FALSE)</f>
        <v>P2</v>
      </c>
      <c r="D133" s="409" t="str" cm="1">
        <f t="array" ref="D133">_xlfn.TEXTJOIN("",TRUE,IF(ISNUMBER(SEARCH($A133,'Diags Raw Data'!$A$6:$A$3768)),CONCATENATE('Diags Raw Data'!$H$6:$H$3768,", "),""))</f>
        <v xml:space="preserve">command_input_short_list_Turin.yaml, </v>
      </c>
      <c r="E133" s="410" t="str">
        <f>VLOOKUP(A133,'Diags Raw Data'!$A$6:$D$3768,4,FALSE)</f>
        <v>IRR-13</v>
      </c>
      <c r="F133" s="410" t="str">
        <f>VLOOKUP(A133,'Feature Raw Data'!$A$3:$E$3847,5,FALSE)</f>
        <v>Legacy</v>
      </c>
      <c r="G133" s="410" t="str">
        <f t="shared" si="50"/>
        <v>Yes</v>
      </c>
      <c r="H133" s="410" t="str">
        <f t="shared" si="51"/>
        <v>Yes</v>
      </c>
      <c r="I133" s="412">
        <f>SUMIF('Diags Raw Data'!$A$6:$A$3768,"*"&amp;$A133&amp;"*",'Diags Raw Data'!$K$6:$K$3768)</f>
        <v>1</v>
      </c>
      <c r="J133" s="413">
        <f>SUMIF('Diags Raw Data'!$A$6:$A$3768,"*"&amp;$A133&amp;"*",'Diags Raw Data'!$L$6:$L$3768)</f>
        <v>1</v>
      </c>
      <c r="K133" s="432" cm="1">
        <f t="array" ref="K133">IF(D133="",0, SUMPRODUCT(--(ISNUMBER(SEARCH($A133,'Diags Raw Data'!$A$6:$A$3766))),'Diags Raw Data'!$L$6:$L$3766,'Diags Raw Data'!$N$6:$N$3766)/J133)</f>
        <v>1</v>
      </c>
      <c r="L133" s="433" cm="1">
        <f t="array" ref="L133">IF(D133="",0, SUMPRODUCT(--(ISNUMBER(SEARCH($A133,'Diags Raw Data'!$A$6:$A$3766))),'Diags Raw Data'!$L$6:$L$3766,'Diags Raw Data'!$P$6:$P$3766)/J133)</f>
        <v>1</v>
      </c>
      <c r="M133" s="434" cm="1">
        <f t="array" ref="M133">SUMPRODUCT(--(ISNUMBER(SEARCH($A133,'Diags Raw Data'!$A$6:$A$3766))),--('Diags Raw Data'!$Q$6:$Q$3766&lt;&gt;"N/A"),'Diags Raw Data'!$T$6:$T$3766)+SUMPRODUCT(--(ISNUMBER(SEARCH($A133,'Diags Raw Data'!$A$6:$A$3766))),--('Diags Raw Data'!$Q$6:$Q$3766&lt;&gt;"N/A"),'Diags Raw Data'!$U$6:$U$3766)</f>
        <v>10</v>
      </c>
      <c r="N133" s="434" cm="1">
        <f t="array" ref="N133">SUMPRODUCT(--(ISNUMBER(SEARCH($A133,'Diags Raw Data'!$A$6:$A$3766))),--('Diags Raw Data'!$Q$6:$Q$3766&lt;&gt;"N/A"),'Diags Raw Data'!$T$6:$T$3766)+SUMPRODUCT(--(ISNUMBER(SEARCH($A133,'Diags Raw Data'!$A$6:$A$3766))),--('Diags Raw Data'!$Q$6:$Q$3766&lt;&gt;"N/A"),'Diags Raw Data'!$U$6:$U$3766)</f>
        <v>10</v>
      </c>
      <c r="O133" s="435">
        <f t="shared" si="42"/>
        <v>1</v>
      </c>
      <c r="P133" s="436">
        <f>SUMIF('Diags Raw Data'!$A$6:$A$3766,"*"&amp;$A133&amp;"*",'Diags Raw Data'!$Z$6:$Z$3766)</f>
        <v>1</v>
      </c>
      <c r="Q133" s="437">
        <f>SUM(SUMIF('Diags Raw Data'!$A$6:$A$3766,"*"&amp;$A133&amp;"*",'Diags Raw Data'!$AA$6:$AA$3766),SUMIF('Diags Raw Data'!$A$6:$A$3766,"*"&amp;$A133&amp;"*",'Diags Raw Data'!$AB$6:$AB$3766))</f>
        <v>1</v>
      </c>
      <c r="R133" s="438">
        <f t="shared" si="43"/>
        <v>1</v>
      </c>
      <c r="S133" s="438">
        <f t="shared" si="44"/>
        <v>1</v>
      </c>
      <c r="T133" s="439">
        <f t="shared" si="45"/>
        <v>1</v>
      </c>
      <c r="U133" s="414" t="s">
        <v>1022</v>
      </c>
      <c r="V133" s="181"/>
    </row>
    <row r="134" spans="1:22" ht="120.75" thickBot="1" x14ac:dyDescent="0.3">
      <c r="A134" s="321" t="s">
        <v>922</v>
      </c>
      <c r="B134" s="407" t="str">
        <f>VLOOKUP(A134,'Feature Raw Data'!$A$3:$B$3847,2,FALSE)</f>
        <v>WS.IRR.CDL.IC_CFG_Bit_26</v>
      </c>
      <c r="C134" s="408" t="str">
        <f>VLOOKUP(A134,'Feature Raw Data'!$A$3:$C$3929,3,FALSE)</f>
        <v>P2</v>
      </c>
      <c r="D134" s="409" t="str" cm="1">
        <f t="array" ref="D134">_xlfn.TEXTJOIN("",TRUE,IF(ISNUMBER(SEARCH($A134,'Diags Raw Data'!$A$6:$A$3768)),CONCATENATE('Diags Raw Data'!$H$6:$H$3768,", "),""))</f>
        <v xml:space="preserve">command_input_short_list_Turin.yaml, </v>
      </c>
      <c r="E134" s="410" t="str">
        <f>VLOOKUP(A134,'Diags Raw Data'!$A$6:$D$3768,4,FALSE)</f>
        <v>IRR-13</v>
      </c>
      <c r="F134" s="410" t="str">
        <f>VLOOKUP(A134,'Feature Raw Data'!$A$3:$E$3847,5,FALSE)</f>
        <v>Legacy</v>
      </c>
      <c r="G134" s="410" t="str">
        <f t="shared" si="50"/>
        <v>Yes</v>
      </c>
      <c r="H134" s="410" t="str">
        <f t="shared" si="51"/>
        <v>Yes</v>
      </c>
      <c r="I134" s="412">
        <f>SUMIF('Diags Raw Data'!$A$6:$A$3768,"*"&amp;$A134&amp;"*",'Diags Raw Data'!$K$6:$K$3768)</f>
        <v>1</v>
      </c>
      <c r="J134" s="413">
        <f>SUMIF('Diags Raw Data'!$A$6:$A$3768,"*"&amp;$A134&amp;"*",'Diags Raw Data'!$L$6:$L$3768)</f>
        <v>1</v>
      </c>
      <c r="K134" s="432" cm="1">
        <f t="array" ref="K134">IF(D134="",0, SUMPRODUCT(--(ISNUMBER(SEARCH($A134,'Diags Raw Data'!$A$6:$A$3766))),'Diags Raw Data'!$L$6:$L$3766,'Diags Raw Data'!$N$6:$N$3766)/J134)</f>
        <v>1</v>
      </c>
      <c r="L134" s="433" cm="1">
        <f t="array" ref="L134">IF(D134="",0, SUMPRODUCT(--(ISNUMBER(SEARCH($A134,'Diags Raw Data'!$A$6:$A$3766))),'Diags Raw Data'!$L$6:$L$3766,'Diags Raw Data'!$P$6:$P$3766)/J134)</f>
        <v>1</v>
      </c>
      <c r="M134" s="434" cm="1">
        <f t="array" ref="M134">SUMPRODUCT(--(ISNUMBER(SEARCH($A134,'Diags Raw Data'!$A$6:$A$3766))),--('Diags Raw Data'!$Q$6:$Q$3766&lt;&gt;"N/A"),'Diags Raw Data'!$T$6:$T$3766)+SUMPRODUCT(--(ISNUMBER(SEARCH($A134,'Diags Raw Data'!$A$6:$A$3766))),--('Diags Raw Data'!$Q$6:$Q$3766&lt;&gt;"N/A"),'Diags Raw Data'!$U$6:$U$3766)</f>
        <v>10</v>
      </c>
      <c r="N134" s="434" cm="1">
        <f t="array" ref="N134">SUMPRODUCT(--(ISNUMBER(SEARCH($A134,'Diags Raw Data'!$A$6:$A$3766))),--('Diags Raw Data'!$Q$6:$Q$3766&lt;&gt;"N/A"),'Diags Raw Data'!$T$6:$T$3766)+SUMPRODUCT(--(ISNUMBER(SEARCH($A134,'Diags Raw Data'!$A$6:$A$3766))),--('Diags Raw Data'!$Q$6:$Q$3766&lt;&gt;"N/A"),'Diags Raw Data'!$U$6:$U$3766)</f>
        <v>10</v>
      </c>
      <c r="O134" s="435">
        <f t="shared" si="42"/>
        <v>1</v>
      </c>
      <c r="P134" s="436">
        <f>SUMIF('Diags Raw Data'!$A$6:$A$3766,"*"&amp;$A134&amp;"*",'Diags Raw Data'!$Z$6:$Z$3766)</f>
        <v>1</v>
      </c>
      <c r="Q134" s="437">
        <f>SUM(SUMIF('Diags Raw Data'!$A$6:$A$3766,"*"&amp;$A134&amp;"*",'Diags Raw Data'!$AA$6:$AA$3766),SUMIF('Diags Raw Data'!$A$6:$A$3766,"*"&amp;$A134&amp;"*",'Diags Raw Data'!$AB$6:$AB$3766))</f>
        <v>1</v>
      </c>
      <c r="R134" s="438">
        <f t="shared" si="43"/>
        <v>1</v>
      </c>
      <c r="S134" s="438">
        <f t="shared" si="44"/>
        <v>1</v>
      </c>
      <c r="T134" s="439">
        <f t="shared" si="45"/>
        <v>1</v>
      </c>
      <c r="U134" s="414" t="s">
        <v>1022</v>
      </c>
      <c r="V134" s="181"/>
    </row>
    <row r="135" spans="1:22" ht="75.75" thickBot="1" x14ac:dyDescent="0.3">
      <c r="A135" s="321" t="s">
        <v>925</v>
      </c>
      <c r="B135" s="407" t="str">
        <f>VLOOKUP(A135,'Feature Raw Data'!$A$3:$B$3847,2,FALSE)</f>
        <v>WS.IRR.CDL.IC_CFG_Bit_25</v>
      </c>
      <c r="C135" s="408" t="str">
        <f>VLOOKUP(A135,'Feature Raw Data'!$A$3:$C$3929,3,FALSE)</f>
        <v>P2</v>
      </c>
      <c r="D135" s="409" t="str" cm="1">
        <f t="array" ref="D135">_xlfn.TEXTJOIN("",TRUE,IF(ISNUMBER(SEARCH($A135,'Diags Raw Data'!$A$6:$A$3768)),CONCATENATE('Diags Raw Data'!$H$6:$H$3768,", "),""))</f>
        <v xml:space="preserve">command_input_short_list_Turin.yaml, </v>
      </c>
      <c r="E135" s="410" t="str">
        <f>VLOOKUP(A135,'Diags Raw Data'!$A$6:$D$3768,4,FALSE)</f>
        <v>IRR-13</v>
      </c>
      <c r="F135" s="410" t="str">
        <f>VLOOKUP(A135,'Feature Raw Data'!$A$3:$E$3847,5,FALSE)</f>
        <v>Legacy</v>
      </c>
      <c r="G135" s="410" t="str">
        <f t="shared" si="50"/>
        <v>Yes</v>
      </c>
      <c r="H135" s="410" t="str">
        <f t="shared" si="51"/>
        <v>Yes</v>
      </c>
      <c r="I135" s="412">
        <f>SUMIF('Diags Raw Data'!$A$6:$A$3768,"*"&amp;$A135&amp;"*",'Diags Raw Data'!$K$6:$K$3768)</f>
        <v>1</v>
      </c>
      <c r="J135" s="413">
        <f>SUMIF('Diags Raw Data'!$A$6:$A$3768,"*"&amp;$A135&amp;"*",'Diags Raw Data'!$L$6:$L$3768)</f>
        <v>1</v>
      </c>
      <c r="K135" s="432" cm="1">
        <f t="array" ref="K135">IF(D135="",0, SUMPRODUCT(--(ISNUMBER(SEARCH($A135,'Diags Raw Data'!$A$6:$A$3766))),'Diags Raw Data'!$L$6:$L$3766,'Diags Raw Data'!$N$6:$N$3766)/J135)</f>
        <v>1</v>
      </c>
      <c r="L135" s="433" cm="1">
        <f t="array" ref="L135">IF(D135="",0, SUMPRODUCT(--(ISNUMBER(SEARCH($A135,'Diags Raw Data'!$A$6:$A$3766))),'Diags Raw Data'!$L$6:$L$3766,'Diags Raw Data'!$P$6:$P$3766)/J135)</f>
        <v>1</v>
      </c>
      <c r="M135" s="434" cm="1">
        <f t="array" ref="M135">SUMPRODUCT(--(ISNUMBER(SEARCH($A135,'Diags Raw Data'!$A$6:$A$3766))),--('Diags Raw Data'!$Q$6:$Q$3766&lt;&gt;"N/A"),'Diags Raw Data'!$T$6:$T$3766)+SUMPRODUCT(--(ISNUMBER(SEARCH($A135,'Diags Raw Data'!$A$6:$A$3766))),--('Diags Raw Data'!$Q$6:$Q$3766&lt;&gt;"N/A"),'Diags Raw Data'!$U$6:$U$3766)</f>
        <v>10</v>
      </c>
      <c r="N135" s="434" cm="1">
        <f t="array" ref="N135">SUMPRODUCT(--(ISNUMBER(SEARCH($A135,'Diags Raw Data'!$A$6:$A$3766))),--('Diags Raw Data'!$Q$6:$Q$3766&lt;&gt;"N/A"),'Diags Raw Data'!$T$6:$T$3766)+SUMPRODUCT(--(ISNUMBER(SEARCH($A135,'Diags Raw Data'!$A$6:$A$3766))),--('Diags Raw Data'!$Q$6:$Q$3766&lt;&gt;"N/A"),'Diags Raw Data'!$U$6:$U$3766)</f>
        <v>10</v>
      </c>
      <c r="O135" s="435">
        <f t="shared" si="42"/>
        <v>1</v>
      </c>
      <c r="P135" s="436">
        <f>SUMIF('Diags Raw Data'!$A$6:$A$3766,"*"&amp;$A135&amp;"*",'Diags Raw Data'!$Z$6:$Z$3766)</f>
        <v>1</v>
      </c>
      <c r="Q135" s="437">
        <f>SUM(SUMIF('Diags Raw Data'!$A$6:$A$3766,"*"&amp;$A135&amp;"*",'Diags Raw Data'!$AA$6:$AA$3766),SUMIF('Diags Raw Data'!$A$6:$A$3766,"*"&amp;$A135&amp;"*",'Diags Raw Data'!$AB$6:$AB$3766))</f>
        <v>1</v>
      </c>
      <c r="R135" s="438">
        <f t="shared" si="43"/>
        <v>1</v>
      </c>
      <c r="S135" s="438">
        <f t="shared" si="44"/>
        <v>1</v>
      </c>
      <c r="T135" s="439">
        <f t="shared" si="45"/>
        <v>1</v>
      </c>
      <c r="U135" s="414" t="s">
        <v>1022</v>
      </c>
      <c r="V135" s="181"/>
    </row>
    <row r="136" spans="1:22" ht="75.75" thickBot="1" x14ac:dyDescent="0.3">
      <c r="A136" s="321" t="s">
        <v>927</v>
      </c>
      <c r="B136" s="407" t="str">
        <f>VLOOKUP(A136,'Feature Raw Data'!$A$3:$B$3847,2,FALSE)</f>
        <v>WS.IRR.CDL.IC_CFG_Bit_2</v>
      </c>
      <c r="C136" s="408" t="str">
        <f>VLOOKUP(A136,'Feature Raw Data'!$A$3:$C$3929,3,FALSE)</f>
        <v>P2</v>
      </c>
      <c r="D136" s="409" t="str" cm="1">
        <f t="array" ref="D136">_xlfn.TEXTJOIN("",TRUE,IF(ISNUMBER(SEARCH($A136,'Diags Raw Data'!$A$6:$A$3768)),CONCATENATE('Diags Raw Data'!$H$6:$H$3768,", "),""))</f>
        <v xml:space="preserve">command_input_short_list_Turin_P1.yaml, </v>
      </c>
      <c r="E136" s="410" t="str">
        <f>VLOOKUP(A136,'Diags Raw Data'!$A$6:$D$3768,4,FALSE)</f>
        <v>IRR-13</v>
      </c>
      <c r="F136" s="410" t="str">
        <f>VLOOKUP(A136,'Feature Raw Data'!$A$3:$E$3847,5,FALSE)</f>
        <v>Legacy</v>
      </c>
      <c r="G136" s="410" t="str">
        <f t="shared" si="50"/>
        <v>Yes</v>
      </c>
      <c r="H136" s="410" t="str">
        <f t="shared" si="51"/>
        <v>Yes</v>
      </c>
      <c r="I136" s="412">
        <f>SUMIF('Diags Raw Data'!$A$6:$A$3768,"*"&amp;$A136&amp;"*",'Diags Raw Data'!$K$6:$K$3768)</f>
        <v>1</v>
      </c>
      <c r="J136" s="413">
        <f>SUMIF('Diags Raw Data'!$A$6:$A$3768,"*"&amp;$A136&amp;"*",'Diags Raw Data'!$L$6:$L$3768)</f>
        <v>1</v>
      </c>
      <c r="K136" s="432" cm="1">
        <f t="array" ref="K136">IF(D136="",0, SUMPRODUCT(--(ISNUMBER(SEARCH($A136,'Diags Raw Data'!$A$6:$A$3766))),'Diags Raw Data'!$L$6:$L$3766,'Diags Raw Data'!$N$6:$N$3766)/J136)</f>
        <v>1</v>
      </c>
      <c r="L136" s="433" cm="1">
        <f t="array" ref="L136">IF(D136="",0, SUMPRODUCT(--(ISNUMBER(SEARCH($A136,'Diags Raw Data'!$A$6:$A$3766))),'Diags Raw Data'!$L$6:$L$3766,'Diags Raw Data'!$P$6:$P$3766)/J136)</f>
        <v>1</v>
      </c>
      <c r="M136" s="434" cm="1">
        <f t="array" ref="M136">SUMPRODUCT(--(ISNUMBER(SEARCH($A136,'Diags Raw Data'!$A$6:$A$3766))),--('Diags Raw Data'!$Q$6:$Q$3766&lt;&gt;"N/A"),'Diags Raw Data'!$T$6:$T$3766)+SUMPRODUCT(--(ISNUMBER(SEARCH($A136,'Diags Raw Data'!$A$6:$A$3766))),--('Diags Raw Data'!$Q$6:$Q$3766&lt;&gt;"N/A"),'Diags Raw Data'!$U$6:$U$3766)</f>
        <v>10</v>
      </c>
      <c r="N136" s="434" cm="1">
        <f t="array" ref="N136">SUMPRODUCT(--(ISNUMBER(SEARCH($A136,'Diags Raw Data'!$A$6:$A$3766))),--('Diags Raw Data'!$Q$6:$Q$3766&lt;&gt;"N/A"),'Diags Raw Data'!$T$6:$T$3766)+SUMPRODUCT(--(ISNUMBER(SEARCH($A136,'Diags Raw Data'!$A$6:$A$3766))),--('Diags Raw Data'!$Q$6:$Q$3766&lt;&gt;"N/A"),'Diags Raw Data'!$U$6:$U$3766)</f>
        <v>10</v>
      </c>
      <c r="O136" s="435">
        <f t="shared" si="42"/>
        <v>1</v>
      </c>
      <c r="P136" s="436">
        <f>SUMIF('Diags Raw Data'!$A$6:$A$3766,"*"&amp;$A136&amp;"*",'Diags Raw Data'!$Z$6:$Z$3766)</f>
        <v>1</v>
      </c>
      <c r="Q136" s="437">
        <f>SUM(SUMIF('Diags Raw Data'!$A$6:$A$3766,"*"&amp;$A136&amp;"*",'Diags Raw Data'!$AA$6:$AA$3766),SUMIF('Diags Raw Data'!$A$6:$A$3766,"*"&amp;$A136&amp;"*",'Diags Raw Data'!$AB$6:$AB$3766))</f>
        <v>1</v>
      </c>
      <c r="R136" s="438">
        <f t="shared" si="43"/>
        <v>1</v>
      </c>
      <c r="S136" s="438">
        <f t="shared" si="44"/>
        <v>1</v>
      </c>
      <c r="T136" s="439">
        <f t="shared" si="45"/>
        <v>1</v>
      </c>
      <c r="U136" s="414" t="s">
        <v>1022</v>
      </c>
      <c r="V136" s="181"/>
    </row>
    <row r="137" spans="1:22" ht="75.75" thickBot="1" x14ac:dyDescent="0.3">
      <c r="A137" s="321" t="s">
        <v>929</v>
      </c>
      <c r="B137" s="407" t="str">
        <f>VLOOKUP(A137,'Feature Raw Data'!$A$3:$B$3847,2,FALSE)</f>
        <v>WS.IRR.CDL.IC_CFG_Bit_20_13</v>
      </c>
      <c r="C137" s="408" t="str">
        <f>VLOOKUP(A137,'Feature Raw Data'!$A$3:$C$3929,3,FALSE)</f>
        <v>P2</v>
      </c>
      <c r="D137" s="409" t="str" cm="1">
        <f t="array" ref="D137">_xlfn.TEXTJOIN("",TRUE,IF(ISNUMBER(SEARCH($A137,'Diags Raw Data'!$A$6:$A$3768)),CONCATENATE('Diags Raw Data'!$H$6:$H$3768,", "),""))</f>
        <v xml:space="preserve">command_input_short_list_Turin_P1.yaml, </v>
      </c>
      <c r="E137" s="410" t="str">
        <f>VLOOKUP(A137,'Diags Raw Data'!$A$6:$D$3768,4,FALSE)</f>
        <v>IRR-13</v>
      </c>
      <c r="F137" s="410" t="str">
        <f>VLOOKUP(A137,'Feature Raw Data'!$A$3:$E$3847,5,FALSE)</f>
        <v>Legacy</v>
      </c>
      <c r="G137" s="410" t="str">
        <f t="shared" si="50"/>
        <v>Yes</v>
      </c>
      <c r="H137" s="410" t="str">
        <f t="shared" si="51"/>
        <v>Yes</v>
      </c>
      <c r="I137" s="412">
        <f>SUMIF('Diags Raw Data'!$A$6:$A$3768,"*"&amp;$A137&amp;"*",'Diags Raw Data'!$K$6:$K$3768)</f>
        <v>1</v>
      </c>
      <c r="J137" s="413">
        <f>SUMIF('Diags Raw Data'!$A$6:$A$3768,"*"&amp;$A137&amp;"*",'Diags Raw Data'!$L$6:$L$3768)</f>
        <v>1</v>
      </c>
      <c r="K137" s="432" cm="1">
        <f t="array" ref="K137">IF(D137="",0, SUMPRODUCT(--(ISNUMBER(SEARCH($A137,'Diags Raw Data'!$A$6:$A$3766))),'Diags Raw Data'!$L$6:$L$3766,'Diags Raw Data'!$N$6:$N$3766)/J137)</f>
        <v>1</v>
      </c>
      <c r="L137" s="433" cm="1">
        <f t="array" ref="L137">IF(D137="",0, SUMPRODUCT(--(ISNUMBER(SEARCH($A137,'Diags Raw Data'!$A$6:$A$3766))),'Diags Raw Data'!$L$6:$L$3766,'Diags Raw Data'!$P$6:$P$3766)/J137)</f>
        <v>1</v>
      </c>
      <c r="M137" s="434" cm="1">
        <f t="array" ref="M137">SUMPRODUCT(--(ISNUMBER(SEARCH($A137,'Diags Raw Data'!$A$6:$A$3766))),--('Diags Raw Data'!$Q$6:$Q$3766&lt;&gt;"N/A"),'Diags Raw Data'!$T$6:$T$3766)+SUMPRODUCT(--(ISNUMBER(SEARCH($A137,'Diags Raw Data'!$A$6:$A$3766))),--('Diags Raw Data'!$Q$6:$Q$3766&lt;&gt;"N/A"),'Diags Raw Data'!$U$6:$U$3766)</f>
        <v>10</v>
      </c>
      <c r="N137" s="434" cm="1">
        <f t="array" ref="N137">SUMPRODUCT(--(ISNUMBER(SEARCH($A137,'Diags Raw Data'!$A$6:$A$3766))),--('Diags Raw Data'!$Q$6:$Q$3766&lt;&gt;"N/A"),'Diags Raw Data'!$T$6:$T$3766)+SUMPRODUCT(--(ISNUMBER(SEARCH($A137,'Diags Raw Data'!$A$6:$A$3766))),--('Diags Raw Data'!$Q$6:$Q$3766&lt;&gt;"N/A"),'Diags Raw Data'!$U$6:$U$3766)</f>
        <v>10</v>
      </c>
      <c r="O137" s="435">
        <f t="shared" si="42"/>
        <v>1</v>
      </c>
      <c r="P137" s="436">
        <f>SUMIF('Diags Raw Data'!$A$6:$A$3766,"*"&amp;$A137&amp;"*",'Diags Raw Data'!$Z$6:$Z$3766)</f>
        <v>1</v>
      </c>
      <c r="Q137" s="437">
        <f>SUM(SUMIF('Diags Raw Data'!$A$6:$A$3766,"*"&amp;$A137&amp;"*",'Diags Raw Data'!$AA$6:$AA$3766),SUMIF('Diags Raw Data'!$A$6:$A$3766,"*"&amp;$A137&amp;"*",'Diags Raw Data'!$AB$6:$AB$3766))</f>
        <v>1</v>
      </c>
      <c r="R137" s="438">
        <f t="shared" si="43"/>
        <v>1</v>
      </c>
      <c r="S137" s="438">
        <f t="shared" si="44"/>
        <v>1</v>
      </c>
      <c r="T137" s="439">
        <f t="shared" si="45"/>
        <v>1</v>
      </c>
      <c r="U137" s="414" t="s">
        <v>1022</v>
      </c>
      <c r="V137" s="181"/>
    </row>
    <row r="138" spans="1:22" ht="75.75" thickBot="1" x14ac:dyDescent="0.3">
      <c r="A138" s="321" t="s">
        <v>931</v>
      </c>
      <c r="B138" s="407" t="str">
        <f>VLOOKUP(A138,'Feature Raw Data'!$A$3:$B$3847,2,FALSE)</f>
        <v>WS.IRR.CDL.IC_CFG_Bit_38_35</v>
      </c>
      <c r="C138" s="408" t="str">
        <f>VLOOKUP(A138,'Feature Raw Data'!$A$3:$C$3929,3,FALSE)</f>
        <v>P2</v>
      </c>
      <c r="D138" s="409" t="str" cm="1">
        <f t="array" ref="D138">_xlfn.TEXTJOIN("",TRUE,IF(ISNUMBER(SEARCH($A138,'Diags Raw Data'!$A$6:$A$3768)),CONCATENATE('Diags Raw Data'!$H$6:$H$3768,", "),""))</f>
        <v xml:space="preserve">command_input_short_list_Turin_P1.yaml, </v>
      </c>
      <c r="E138" s="410" t="str">
        <f>VLOOKUP(A138,'Diags Raw Data'!$A$6:$D$3768,4,FALSE)</f>
        <v>IRR-13</v>
      </c>
      <c r="F138" s="410" t="str">
        <f>VLOOKUP(A138,'Feature Raw Data'!$A$3:$E$3847,5,FALSE)</f>
        <v>Legacy</v>
      </c>
      <c r="G138" s="410" t="str">
        <f t="shared" si="50"/>
        <v>Yes</v>
      </c>
      <c r="H138" s="410" t="str">
        <f t="shared" si="51"/>
        <v>Yes</v>
      </c>
      <c r="I138" s="412">
        <f>SUMIF('Diags Raw Data'!$A$6:$A$3768,"*"&amp;$A138&amp;"*",'Diags Raw Data'!$K$6:$K$3768)</f>
        <v>1</v>
      </c>
      <c r="J138" s="413">
        <f>SUMIF('Diags Raw Data'!$A$6:$A$3768,"*"&amp;$A138&amp;"*",'Diags Raw Data'!$L$6:$L$3768)</f>
        <v>1</v>
      </c>
      <c r="K138" s="432" cm="1">
        <f t="array" ref="K138">IF(D138="",0, SUMPRODUCT(--(ISNUMBER(SEARCH($A138,'Diags Raw Data'!$A$6:$A$3766))),'Diags Raw Data'!$L$6:$L$3766,'Diags Raw Data'!$N$6:$N$3766)/J138)</f>
        <v>1</v>
      </c>
      <c r="L138" s="433" cm="1">
        <f t="array" ref="L138">IF(D138="",0, SUMPRODUCT(--(ISNUMBER(SEARCH($A138,'Diags Raw Data'!$A$6:$A$3766))),'Diags Raw Data'!$L$6:$L$3766,'Diags Raw Data'!$P$6:$P$3766)/J138)</f>
        <v>1</v>
      </c>
      <c r="M138" s="434" cm="1">
        <f t="array" ref="M138">SUMPRODUCT(--(ISNUMBER(SEARCH($A138,'Diags Raw Data'!$A$6:$A$3766))),--('Diags Raw Data'!$Q$6:$Q$3766&lt;&gt;"N/A"),'Diags Raw Data'!$T$6:$T$3766)+SUMPRODUCT(--(ISNUMBER(SEARCH($A138,'Diags Raw Data'!$A$6:$A$3766))),--('Diags Raw Data'!$Q$6:$Q$3766&lt;&gt;"N/A"),'Diags Raw Data'!$U$6:$U$3766)</f>
        <v>10</v>
      </c>
      <c r="N138" s="434" cm="1">
        <f t="array" ref="N138">SUMPRODUCT(--(ISNUMBER(SEARCH($A138,'Diags Raw Data'!$A$6:$A$3766))),--('Diags Raw Data'!$Q$6:$Q$3766&lt;&gt;"N/A"),'Diags Raw Data'!$T$6:$T$3766)+SUMPRODUCT(--(ISNUMBER(SEARCH($A138,'Diags Raw Data'!$A$6:$A$3766))),--('Diags Raw Data'!$Q$6:$Q$3766&lt;&gt;"N/A"),'Diags Raw Data'!$U$6:$U$3766)</f>
        <v>10</v>
      </c>
      <c r="O138" s="435">
        <f t="shared" si="42"/>
        <v>1</v>
      </c>
      <c r="P138" s="436">
        <f>SUMIF('Diags Raw Data'!$A$6:$A$3766,"*"&amp;$A138&amp;"*",'Diags Raw Data'!$Z$6:$Z$3766)</f>
        <v>1</v>
      </c>
      <c r="Q138" s="437">
        <f>SUM(SUMIF('Diags Raw Data'!$A$6:$A$3766,"*"&amp;$A138&amp;"*",'Diags Raw Data'!$AA$6:$AA$3766),SUMIF('Diags Raw Data'!$A$6:$A$3766,"*"&amp;$A138&amp;"*",'Diags Raw Data'!$AB$6:$AB$3766))</f>
        <v>1</v>
      </c>
      <c r="R138" s="438">
        <f t="shared" si="43"/>
        <v>1</v>
      </c>
      <c r="S138" s="438">
        <f t="shared" si="44"/>
        <v>1</v>
      </c>
      <c r="T138" s="439">
        <f t="shared" si="45"/>
        <v>1</v>
      </c>
      <c r="U138" s="414" t="s">
        <v>1022</v>
      </c>
      <c r="V138" s="181"/>
    </row>
    <row r="139" spans="1:22" ht="75.75" thickBot="1" x14ac:dyDescent="0.3">
      <c r="A139" s="321" t="s">
        <v>933</v>
      </c>
      <c r="B139" s="407" t="str">
        <f>VLOOKUP(A139,'Feature Raw Data'!$A$3:$B$3847,2,FALSE)</f>
        <v>WS.IRR.CDL.LS_CFG_Bit_60</v>
      </c>
      <c r="C139" s="408" t="str">
        <f>VLOOKUP(A139,'Feature Raw Data'!$A$3:$C$3929,3,FALSE)</f>
        <v>P2</v>
      </c>
      <c r="D139" s="409" t="str" cm="1">
        <f t="array" ref="D139">_xlfn.TEXTJOIN("",TRUE,IF(ISNUMBER(SEARCH($A139,'Diags Raw Data'!$A$6:$A$3768)),CONCATENATE('Diags Raw Data'!$H$6:$H$3768,", "),""))</f>
        <v xml:space="preserve">command_input_short_list_Turin_P1.yaml, </v>
      </c>
      <c r="E139" s="410" t="str">
        <f>VLOOKUP(A139,'Diags Raw Data'!$A$6:$D$3768,4,FALSE)</f>
        <v>IRR-13</v>
      </c>
      <c r="F139" s="410" t="str">
        <f>VLOOKUP(A139,'Feature Raw Data'!$A$3:$E$3847,5,FALSE)</f>
        <v>Legacy</v>
      </c>
      <c r="G139" s="410" t="str">
        <f t="shared" si="50"/>
        <v>Yes</v>
      </c>
      <c r="H139" s="410" t="str">
        <f t="shared" si="51"/>
        <v>Yes</v>
      </c>
      <c r="I139" s="412">
        <f>SUMIF('Diags Raw Data'!$A$6:$A$3768,"*"&amp;$A139&amp;"*",'Diags Raw Data'!$K$6:$K$3768)</f>
        <v>1</v>
      </c>
      <c r="J139" s="413">
        <f>SUMIF('Diags Raw Data'!$A$6:$A$3768,"*"&amp;$A139&amp;"*",'Diags Raw Data'!$L$6:$L$3768)</f>
        <v>1</v>
      </c>
      <c r="K139" s="432" cm="1">
        <f t="array" ref="K139">IF(D139="",0, SUMPRODUCT(--(ISNUMBER(SEARCH($A139,'Diags Raw Data'!$A$6:$A$3766))),'Diags Raw Data'!$L$6:$L$3766,'Diags Raw Data'!$N$6:$N$3766)/J139)</f>
        <v>1</v>
      </c>
      <c r="L139" s="433" cm="1">
        <f t="array" ref="L139">IF(D139="",0, SUMPRODUCT(--(ISNUMBER(SEARCH($A139,'Diags Raw Data'!$A$6:$A$3766))),'Diags Raw Data'!$L$6:$L$3766,'Diags Raw Data'!$P$6:$P$3766)/J139)</f>
        <v>1</v>
      </c>
      <c r="M139" s="434" cm="1">
        <f t="array" ref="M139">SUMPRODUCT(--(ISNUMBER(SEARCH($A139,'Diags Raw Data'!$A$6:$A$3766))),--('Diags Raw Data'!$Q$6:$Q$3766&lt;&gt;"N/A"),'Diags Raw Data'!$T$6:$T$3766)+SUMPRODUCT(--(ISNUMBER(SEARCH($A139,'Diags Raw Data'!$A$6:$A$3766))),--('Diags Raw Data'!$Q$6:$Q$3766&lt;&gt;"N/A"),'Diags Raw Data'!$U$6:$U$3766)</f>
        <v>10</v>
      </c>
      <c r="N139" s="434" cm="1">
        <f t="array" ref="N139">SUMPRODUCT(--(ISNUMBER(SEARCH($A139,'Diags Raw Data'!$A$6:$A$3766))),--('Diags Raw Data'!$Q$6:$Q$3766&lt;&gt;"N/A"),'Diags Raw Data'!$T$6:$T$3766)+SUMPRODUCT(--(ISNUMBER(SEARCH($A139,'Diags Raw Data'!$A$6:$A$3766))),--('Diags Raw Data'!$Q$6:$Q$3766&lt;&gt;"N/A"),'Diags Raw Data'!$U$6:$U$3766)</f>
        <v>10</v>
      </c>
      <c r="O139" s="435">
        <f t="shared" si="42"/>
        <v>1</v>
      </c>
      <c r="P139" s="436">
        <f>SUMIF('Diags Raw Data'!$A$6:$A$3766,"*"&amp;$A139&amp;"*",'Diags Raw Data'!$Z$6:$Z$3766)</f>
        <v>1</v>
      </c>
      <c r="Q139" s="437">
        <f>SUM(SUMIF('Diags Raw Data'!$A$6:$A$3766,"*"&amp;$A139&amp;"*",'Diags Raw Data'!$AA$6:$AA$3766),SUMIF('Diags Raw Data'!$A$6:$A$3766,"*"&amp;$A139&amp;"*",'Diags Raw Data'!$AB$6:$AB$3766))</f>
        <v>1</v>
      </c>
      <c r="R139" s="438">
        <f t="shared" si="43"/>
        <v>1</v>
      </c>
      <c r="S139" s="438">
        <f t="shared" si="44"/>
        <v>1</v>
      </c>
      <c r="T139" s="439">
        <f t="shared" si="45"/>
        <v>1</v>
      </c>
      <c r="U139" s="414" t="s">
        <v>1022</v>
      </c>
      <c r="V139" s="181"/>
    </row>
    <row r="140" spans="1:22" ht="75.75" thickBot="1" x14ac:dyDescent="0.3">
      <c r="A140" s="321" t="s">
        <v>935</v>
      </c>
      <c r="B140" s="407" t="str">
        <f>VLOOKUP(A140,'Feature Raw Data'!$A$3:$B$3847,2,FALSE)</f>
        <v>WS.IRR.CDL.LS_CFG3_Bit_30</v>
      </c>
      <c r="C140" s="408" t="str">
        <f>VLOOKUP(A140,'Feature Raw Data'!$A$3:$C$3929,3,FALSE)</f>
        <v>P2</v>
      </c>
      <c r="D140" s="409" t="str" cm="1">
        <f t="array" ref="D140">_xlfn.TEXTJOIN("",TRUE,IF(ISNUMBER(SEARCH($A140,'Diags Raw Data'!$A$6:$A$3768)),CONCATENATE('Diags Raw Data'!$H$6:$H$3768,", "),""))</f>
        <v xml:space="preserve">command_input_short_list_Turin_P1.yaml, </v>
      </c>
      <c r="E140" s="410" t="str">
        <f>VLOOKUP(A140,'Diags Raw Data'!$A$6:$D$3768,4,FALSE)</f>
        <v>IRR-13</v>
      </c>
      <c r="F140" s="410" t="str">
        <f>VLOOKUP(A140,'Feature Raw Data'!$A$3:$E$3847,5,FALSE)</f>
        <v>Legacy</v>
      </c>
      <c r="G140" s="410" t="str">
        <f t="shared" si="50"/>
        <v>Yes</v>
      </c>
      <c r="H140" s="410" t="str">
        <f t="shared" si="51"/>
        <v>Yes</v>
      </c>
      <c r="I140" s="412">
        <f>SUMIF('Diags Raw Data'!$A$6:$A$3768,"*"&amp;$A140&amp;"*",'Diags Raw Data'!$K$6:$K$3768)</f>
        <v>1</v>
      </c>
      <c r="J140" s="413">
        <f>SUMIF('Diags Raw Data'!$A$6:$A$3768,"*"&amp;$A140&amp;"*",'Diags Raw Data'!$L$6:$L$3768)</f>
        <v>1</v>
      </c>
      <c r="K140" s="432" cm="1">
        <f t="array" ref="K140">IF(D140="",0, SUMPRODUCT(--(ISNUMBER(SEARCH($A140,'Diags Raw Data'!$A$6:$A$3766))),'Diags Raw Data'!$L$6:$L$3766,'Diags Raw Data'!$N$6:$N$3766)/J140)</f>
        <v>1</v>
      </c>
      <c r="L140" s="433" cm="1">
        <f t="array" ref="L140">IF(D140="",0, SUMPRODUCT(--(ISNUMBER(SEARCH($A140,'Diags Raw Data'!$A$6:$A$3766))),'Diags Raw Data'!$L$6:$L$3766,'Diags Raw Data'!$P$6:$P$3766)/J140)</f>
        <v>1</v>
      </c>
      <c r="M140" s="434" cm="1">
        <f t="array" ref="M140">SUMPRODUCT(--(ISNUMBER(SEARCH($A140,'Diags Raw Data'!$A$6:$A$3766))),--('Diags Raw Data'!$Q$6:$Q$3766&lt;&gt;"N/A"),'Diags Raw Data'!$T$6:$T$3766)+SUMPRODUCT(--(ISNUMBER(SEARCH($A140,'Diags Raw Data'!$A$6:$A$3766))),--('Diags Raw Data'!$Q$6:$Q$3766&lt;&gt;"N/A"),'Diags Raw Data'!$U$6:$U$3766)</f>
        <v>10</v>
      </c>
      <c r="N140" s="434" cm="1">
        <f t="array" ref="N140">SUMPRODUCT(--(ISNUMBER(SEARCH($A140,'Diags Raw Data'!$A$6:$A$3766))),--('Diags Raw Data'!$Q$6:$Q$3766&lt;&gt;"N/A"),'Diags Raw Data'!$T$6:$T$3766)+SUMPRODUCT(--(ISNUMBER(SEARCH($A140,'Diags Raw Data'!$A$6:$A$3766))),--('Diags Raw Data'!$Q$6:$Q$3766&lt;&gt;"N/A"),'Diags Raw Data'!$U$6:$U$3766)</f>
        <v>10</v>
      </c>
      <c r="O140" s="435">
        <f t="shared" si="42"/>
        <v>1</v>
      </c>
      <c r="P140" s="436">
        <f>SUMIF('Diags Raw Data'!$A$6:$A$3766,"*"&amp;$A140&amp;"*",'Diags Raw Data'!$Z$6:$Z$3766)</f>
        <v>1</v>
      </c>
      <c r="Q140" s="437">
        <f>SUM(SUMIF('Diags Raw Data'!$A$6:$A$3766,"*"&amp;$A140&amp;"*",'Diags Raw Data'!$AA$6:$AA$3766),SUMIF('Diags Raw Data'!$A$6:$A$3766,"*"&amp;$A140&amp;"*",'Diags Raw Data'!$AB$6:$AB$3766))</f>
        <v>1</v>
      </c>
      <c r="R140" s="438">
        <f t="shared" si="43"/>
        <v>1</v>
      </c>
      <c r="S140" s="438">
        <f t="shared" si="44"/>
        <v>1</v>
      </c>
      <c r="T140" s="439">
        <f t="shared" si="45"/>
        <v>1</v>
      </c>
      <c r="U140" s="414" t="s">
        <v>1022</v>
      </c>
      <c r="V140" s="181"/>
    </row>
    <row r="141" spans="1:22" ht="120.75" thickBot="1" x14ac:dyDescent="0.3">
      <c r="A141" s="321" t="s">
        <v>937</v>
      </c>
      <c r="B141" s="407" t="str">
        <f>VLOOKUP(A141,'Feature Raw Data'!$A$3:$B$3847,2,FALSE)</f>
        <v>WS.IRR.CDL.EX_CFG_Bit_52</v>
      </c>
      <c r="C141" s="408" t="str">
        <f>VLOOKUP(A141,'Feature Raw Data'!$A$3:$C$3929,3,FALSE)</f>
        <v>P2</v>
      </c>
      <c r="D141" s="409" t="str" cm="1">
        <f t="array" ref="D141">_xlfn.TEXTJOIN("",TRUE,IF(ISNUMBER(SEARCH($A141,'Diags Raw Data'!$A$6:$A$3768)),CONCATENATE('Diags Raw Data'!$H$6:$H$3768,", "),""))</f>
        <v xml:space="preserve">command_input_short_list_Turin_P1.yaml, </v>
      </c>
      <c r="E141" s="410" t="str">
        <f>VLOOKUP(A141,'Diags Raw Data'!$A$6:$D$3768,4,FALSE)</f>
        <v>IRR-13</v>
      </c>
      <c r="F141" s="410" t="str">
        <f>VLOOKUP(A141,'Feature Raw Data'!$A$3:$E$3847,5,FALSE)</f>
        <v>Legacy</v>
      </c>
      <c r="G141" s="410" t="str">
        <f t="shared" si="50"/>
        <v>Yes</v>
      </c>
      <c r="H141" s="410" t="str">
        <f t="shared" si="51"/>
        <v>Yes</v>
      </c>
      <c r="I141" s="412">
        <f>SUMIF('Diags Raw Data'!$A$6:$A$3768,"*"&amp;$A141&amp;"*",'Diags Raw Data'!$K$6:$K$3768)</f>
        <v>1</v>
      </c>
      <c r="J141" s="413">
        <f>SUMIF('Diags Raw Data'!$A$6:$A$3768,"*"&amp;$A141&amp;"*",'Diags Raw Data'!$L$6:$L$3768)</f>
        <v>1</v>
      </c>
      <c r="K141" s="432" cm="1">
        <f t="array" ref="K141">IF(D141="",0, SUMPRODUCT(--(ISNUMBER(SEARCH($A141,'Diags Raw Data'!$A$6:$A$3766))),'Diags Raw Data'!$L$6:$L$3766,'Diags Raw Data'!$N$6:$N$3766)/J141)</f>
        <v>1</v>
      </c>
      <c r="L141" s="433" cm="1">
        <f t="array" ref="L141">IF(D141="",0, SUMPRODUCT(--(ISNUMBER(SEARCH($A141,'Diags Raw Data'!$A$6:$A$3766))),'Diags Raw Data'!$L$6:$L$3766,'Diags Raw Data'!$P$6:$P$3766)/J141)</f>
        <v>1</v>
      </c>
      <c r="M141" s="434" cm="1">
        <f t="array" ref="M141">SUMPRODUCT(--(ISNUMBER(SEARCH($A141,'Diags Raw Data'!$A$6:$A$3766))),--('Diags Raw Data'!$Q$6:$Q$3766&lt;&gt;"N/A"),'Diags Raw Data'!$T$6:$T$3766)+SUMPRODUCT(--(ISNUMBER(SEARCH($A141,'Diags Raw Data'!$A$6:$A$3766))),--('Diags Raw Data'!$Q$6:$Q$3766&lt;&gt;"N/A"),'Diags Raw Data'!$U$6:$U$3766)</f>
        <v>10</v>
      </c>
      <c r="N141" s="434" cm="1">
        <f t="array" ref="N141">SUMPRODUCT(--(ISNUMBER(SEARCH($A141,'Diags Raw Data'!$A$6:$A$3766))),--('Diags Raw Data'!$Q$6:$Q$3766&lt;&gt;"N/A"),'Diags Raw Data'!$T$6:$T$3766)+SUMPRODUCT(--(ISNUMBER(SEARCH($A141,'Diags Raw Data'!$A$6:$A$3766))),--('Diags Raw Data'!$Q$6:$Q$3766&lt;&gt;"N/A"),'Diags Raw Data'!$U$6:$U$3766)</f>
        <v>10</v>
      </c>
      <c r="O141" s="435">
        <f t="shared" si="42"/>
        <v>1</v>
      </c>
      <c r="P141" s="436">
        <f>SUMIF('Diags Raw Data'!$A$6:$A$3766,"*"&amp;$A141&amp;"*",'Diags Raw Data'!$Z$6:$Z$3766)</f>
        <v>1</v>
      </c>
      <c r="Q141" s="437">
        <f>SUM(SUMIF('Diags Raw Data'!$A$6:$A$3766,"*"&amp;$A141&amp;"*",'Diags Raw Data'!$AA$6:$AA$3766),SUMIF('Diags Raw Data'!$A$6:$A$3766,"*"&amp;$A141&amp;"*",'Diags Raw Data'!$AB$6:$AB$3766))</f>
        <v>1</v>
      </c>
      <c r="R141" s="438">
        <f t="shared" si="43"/>
        <v>1</v>
      </c>
      <c r="S141" s="438">
        <f t="shared" si="44"/>
        <v>1</v>
      </c>
      <c r="T141" s="439">
        <f t="shared" si="45"/>
        <v>1</v>
      </c>
      <c r="U141" s="414" t="s">
        <v>1022</v>
      </c>
      <c r="V141" s="181"/>
    </row>
    <row r="142" spans="1:22" ht="90.75" thickBot="1" x14ac:dyDescent="0.3">
      <c r="A142" s="321" t="s">
        <v>940</v>
      </c>
      <c r="B142" s="407" t="str">
        <f>VLOOKUP(A142,'Feature Raw Data'!$A$3:$B$3847,2,FALSE)</f>
        <v>WS.IRR.CDL.EX_CFG_Bit_24</v>
      </c>
      <c r="C142" s="408" t="str">
        <f>VLOOKUP(A142,'Feature Raw Data'!$A$3:$C$3929,3,FALSE)</f>
        <v>P2</v>
      </c>
      <c r="D142" s="409" t="str" cm="1">
        <f t="array" ref="D142">_xlfn.TEXTJOIN("",TRUE,IF(ISNUMBER(SEARCH($A142,'Diags Raw Data'!$A$6:$A$3768)),CONCATENATE('Diags Raw Data'!$H$6:$H$3768,", "),""))</f>
        <v xml:space="preserve">command_input_short_list_Turin_P1.yaml, </v>
      </c>
      <c r="E142" s="410" t="str">
        <f>VLOOKUP(A142,'Diags Raw Data'!$A$6:$D$3768,4,FALSE)</f>
        <v>IRR-13</v>
      </c>
      <c r="F142" s="410" t="str">
        <f>VLOOKUP(A142,'Feature Raw Data'!$A$3:$E$3847,5,FALSE)</f>
        <v>Legacy</v>
      </c>
      <c r="G142" s="410" t="str">
        <f t="shared" ref="G142:G149" si="52">IF(D142="","No","Yes")</f>
        <v>Yes</v>
      </c>
      <c r="H142" s="410" t="str">
        <f t="shared" ref="H142:H149" si="53">IF(D142="","No","Yes")</f>
        <v>Yes</v>
      </c>
      <c r="I142" s="412">
        <f>SUMIF('Diags Raw Data'!$A$6:$A$3768,"*"&amp;$A142&amp;"*",'Diags Raw Data'!$K$6:$K$3768)</f>
        <v>1</v>
      </c>
      <c r="J142" s="413">
        <f>SUMIF('Diags Raw Data'!$A$6:$A$3768,"*"&amp;$A142&amp;"*",'Diags Raw Data'!$L$6:$L$3768)</f>
        <v>1</v>
      </c>
      <c r="K142" s="432" cm="1">
        <f t="array" ref="K142">IF(D142="",0, SUMPRODUCT(--(ISNUMBER(SEARCH($A142,'Diags Raw Data'!$A$6:$A$3766))),'Diags Raw Data'!$L$6:$L$3766,'Diags Raw Data'!$N$6:$N$3766)/J142)</f>
        <v>1</v>
      </c>
      <c r="L142" s="433" cm="1">
        <f t="array" ref="L142">IF(D142="",0, SUMPRODUCT(--(ISNUMBER(SEARCH($A142,'Diags Raw Data'!$A$6:$A$3766))),'Diags Raw Data'!$L$6:$L$3766,'Diags Raw Data'!$P$6:$P$3766)/J142)</f>
        <v>1</v>
      </c>
      <c r="M142" s="434" cm="1">
        <f t="array" ref="M142">SUMPRODUCT(--(ISNUMBER(SEARCH($A142,'Diags Raw Data'!$A$6:$A$3766))),--('Diags Raw Data'!$Q$6:$Q$3766&lt;&gt;"N/A"),'Diags Raw Data'!$T$6:$T$3766)+SUMPRODUCT(--(ISNUMBER(SEARCH($A142,'Diags Raw Data'!$A$6:$A$3766))),--('Diags Raw Data'!$Q$6:$Q$3766&lt;&gt;"N/A"),'Diags Raw Data'!$U$6:$U$3766)</f>
        <v>10</v>
      </c>
      <c r="N142" s="434" cm="1">
        <f t="array" ref="N142">SUMPRODUCT(--(ISNUMBER(SEARCH($A142,'Diags Raw Data'!$A$6:$A$3766))),--('Diags Raw Data'!$Q$6:$Q$3766&lt;&gt;"N/A"),'Diags Raw Data'!$T$6:$T$3766)+SUMPRODUCT(--(ISNUMBER(SEARCH($A142,'Diags Raw Data'!$A$6:$A$3766))),--('Diags Raw Data'!$Q$6:$Q$3766&lt;&gt;"N/A"),'Diags Raw Data'!$U$6:$U$3766)</f>
        <v>10</v>
      </c>
      <c r="O142" s="435">
        <f t="shared" si="42"/>
        <v>1</v>
      </c>
      <c r="P142" s="436">
        <f>SUMIF('Diags Raw Data'!$A$6:$A$3766,"*"&amp;$A142&amp;"*",'Diags Raw Data'!$Z$6:$Z$3766)</f>
        <v>1</v>
      </c>
      <c r="Q142" s="437">
        <f>SUM(SUMIF('Diags Raw Data'!$A$6:$A$3766,"*"&amp;$A142&amp;"*",'Diags Raw Data'!$AA$6:$AA$3766),SUMIF('Diags Raw Data'!$A$6:$A$3766,"*"&amp;$A142&amp;"*",'Diags Raw Data'!$AB$6:$AB$3766))</f>
        <v>1</v>
      </c>
      <c r="R142" s="438">
        <f t="shared" si="43"/>
        <v>1</v>
      </c>
      <c r="S142" s="438">
        <f t="shared" si="44"/>
        <v>1</v>
      </c>
      <c r="T142" s="439">
        <f t="shared" si="45"/>
        <v>1</v>
      </c>
      <c r="U142" s="414" t="s">
        <v>1022</v>
      </c>
      <c r="V142" s="181"/>
    </row>
    <row r="143" spans="1:22" ht="75.75" thickBot="1" x14ac:dyDescent="0.3">
      <c r="A143" s="321" t="s">
        <v>942</v>
      </c>
      <c r="B143" s="407" t="str">
        <f>VLOOKUP(A143,'Feature Raw Data'!$A$3:$B$3847,2,FALSE)</f>
        <v>WS.IRR.CDL.CH_L2_CFG0_Bit_0</v>
      </c>
      <c r="C143" s="408" t="str">
        <f>VLOOKUP(A143,'Feature Raw Data'!$A$3:$C$3929,3,FALSE)</f>
        <v>P2</v>
      </c>
      <c r="D143" s="409" t="str" cm="1">
        <f t="array" ref="D143">_xlfn.TEXTJOIN("",TRUE,IF(ISNUMBER(SEARCH($A143,'Diags Raw Data'!$A$6:$A$3768)),CONCATENATE('Diags Raw Data'!$H$6:$H$3768,", "),""))</f>
        <v xml:space="preserve">cdl_it_executor.py , </v>
      </c>
      <c r="E143" s="410" t="str">
        <f>VLOOKUP(A143,'Diags Raw Data'!$A$6:$D$3768,4,FALSE)</f>
        <v>IRR-13</v>
      </c>
      <c r="F143" s="410" t="str">
        <f>VLOOKUP(A143,'Feature Raw Data'!$A$3:$E$3847,5,FALSE)</f>
        <v>Legacy</v>
      </c>
      <c r="G143" s="410" t="str">
        <f t="shared" si="52"/>
        <v>Yes</v>
      </c>
      <c r="H143" s="410" t="str">
        <f t="shared" si="53"/>
        <v>Yes</v>
      </c>
      <c r="I143" s="412">
        <f>SUMIF('Diags Raw Data'!$A$6:$A$3768,"*"&amp;$A143&amp;"*",'Diags Raw Data'!$K$6:$K$3768)</f>
        <v>1</v>
      </c>
      <c r="J143" s="413">
        <f>SUMIF('Diags Raw Data'!$A$6:$A$3768,"*"&amp;$A143&amp;"*",'Diags Raw Data'!$L$6:$L$3768)</f>
        <v>1</v>
      </c>
      <c r="K143" s="432" cm="1">
        <f t="array" ref="K143">IF(D143="",0, SUMPRODUCT(--(ISNUMBER(SEARCH($A143,'Diags Raw Data'!$A$6:$A$3766))),'Diags Raw Data'!$L$6:$L$3766,'Diags Raw Data'!$N$6:$N$3766)/J143)</f>
        <v>1</v>
      </c>
      <c r="L143" s="433" cm="1">
        <f t="array" ref="L143">IF(D143="",0, SUMPRODUCT(--(ISNUMBER(SEARCH($A143,'Diags Raw Data'!$A$6:$A$3766))),'Diags Raw Data'!$L$6:$L$3766,'Diags Raw Data'!$P$6:$P$3766)/J143)</f>
        <v>1</v>
      </c>
      <c r="M143" s="434" cm="1">
        <f t="array" ref="M143">SUMPRODUCT(--(ISNUMBER(SEARCH($A143,'Diags Raw Data'!$A$6:$A$3766))),--('Diags Raw Data'!$Q$6:$Q$3766&lt;&gt;"N/A"),'Diags Raw Data'!$T$6:$T$3766)+SUMPRODUCT(--(ISNUMBER(SEARCH($A143,'Diags Raw Data'!$A$6:$A$3766))),--('Diags Raw Data'!$Q$6:$Q$3766&lt;&gt;"N/A"),'Diags Raw Data'!$U$6:$U$3766)</f>
        <v>10</v>
      </c>
      <c r="N143" s="434" cm="1">
        <f t="array" ref="N143">SUMPRODUCT(--(ISNUMBER(SEARCH($A143,'Diags Raw Data'!$A$6:$A$3766))),--('Diags Raw Data'!$Q$6:$Q$3766&lt;&gt;"N/A"),'Diags Raw Data'!$T$6:$T$3766)+SUMPRODUCT(--(ISNUMBER(SEARCH($A143,'Diags Raw Data'!$A$6:$A$3766))),--('Diags Raw Data'!$Q$6:$Q$3766&lt;&gt;"N/A"),'Diags Raw Data'!$U$6:$U$3766)</f>
        <v>10</v>
      </c>
      <c r="O143" s="435">
        <f t="shared" si="42"/>
        <v>1</v>
      </c>
      <c r="P143" s="436">
        <f>SUMIF('Diags Raw Data'!$A$6:$A$3766,"*"&amp;$A143&amp;"*",'Diags Raw Data'!$Z$6:$Z$3766)</f>
        <v>1</v>
      </c>
      <c r="Q143" s="437">
        <f>SUM(SUMIF('Diags Raw Data'!$A$6:$A$3766,"*"&amp;$A143&amp;"*",'Diags Raw Data'!$AA$6:$AA$3766),SUMIF('Diags Raw Data'!$A$6:$A$3766,"*"&amp;$A143&amp;"*",'Diags Raw Data'!$AB$6:$AB$3766))</f>
        <v>1</v>
      </c>
      <c r="R143" s="438">
        <f t="shared" si="43"/>
        <v>1</v>
      </c>
      <c r="S143" s="438">
        <f t="shared" si="44"/>
        <v>1</v>
      </c>
      <c r="T143" s="439">
        <f t="shared" si="45"/>
        <v>1</v>
      </c>
      <c r="U143" s="414" t="s">
        <v>1022</v>
      </c>
      <c r="V143" s="181"/>
    </row>
    <row r="144" spans="1:22" ht="75.75" thickBot="1" x14ac:dyDescent="0.3">
      <c r="A144" s="321" t="s">
        <v>1006</v>
      </c>
      <c r="B144" s="407" t="str">
        <f>VLOOKUP(A144,'Feature Raw Data'!$A$3:$B$3847,2,FALSE)</f>
        <v>WS.IRR.CDL.CH_L2_CFG0_Bit_1</v>
      </c>
      <c r="C144" s="408" t="str">
        <f>VLOOKUP(A144,'Feature Raw Data'!$A$3:$C$3929,3,FALSE)</f>
        <v>P2</v>
      </c>
      <c r="D144" s="409" t="str" cm="1">
        <f t="array" ref="D144">_xlfn.TEXTJOIN("",TRUE,IF(ISNUMBER(SEARCH($A144,'Diags Raw Data'!$A$6:$A$3768)),CONCATENATE('Diags Raw Data'!$H$6:$H$3768,", "),""))</f>
        <v/>
      </c>
      <c r="E144" s="410" t="e">
        <f>VLOOKUP(A144,'Diags Raw Data'!$A$6:$D$3768,4,FALSE)</f>
        <v>#N/A</v>
      </c>
      <c r="F144" s="410" t="str">
        <f>VLOOKUP(A144,'Feature Raw Data'!$A$3:$E$3847,5,FALSE)</f>
        <v>Legacy</v>
      </c>
      <c r="G144" s="410" t="str">
        <f t="shared" si="52"/>
        <v>No</v>
      </c>
      <c r="H144" s="410" t="str">
        <f t="shared" si="53"/>
        <v>No</v>
      </c>
      <c r="I144" s="412">
        <f>SUMIF('Diags Raw Data'!$A$6:$A$3768,"*"&amp;$A144&amp;"*",'Diags Raw Data'!$K$6:$K$3768)</f>
        <v>0</v>
      </c>
      <c r="J144" s="413">
        <f>SUMIF('Diags Raw Data'!$A$6:$A$3768,"*"&amp;$A144&amp;"*",'Diags Raw Data'!$L$6:$L$3768)</f>
        <v>0</v>
      </c>
      <c r="K144" s="432" cm="1">
        <f t="array" ref="K144">IF(D144="",0, SUMPRODUCT(--(ISNUMBER(SEARCH($A144,'Diags Raw Data'!$A$6:$A$3766))),'Diags Raw Data'!$L$6:$L$3766,'Diags Raw Data'!$N$6:$N$3766)/J144)</f>
        <v>0</v>
      </c>
      <c r="L144" s="433" cm="1">
        <f t="array" ref="L144">IF(D144="",0, SUMPRODUCT(--(ISNUMBER(SEARCH($A144,'Diags Raw Data'!$A$6:$A$3766))),'Diags Raw Data'!$L$6:$L$3766,'Diags Raw Data'!$P$6:$P$3766)/J144)</f>
        <v>0</v>
      </c>
      <c r="M144" s="434" cm="1">
        <f t="array" ref="M144">SUMPRODUCT(--(ISNUMBER(SEARCH($A144,'Diags Raw Data'!$A$6:$A$3766))),--('Diags Raw Data'!$Q$6:$Q$3766&lt;&gt;"N/A"),'Diags Raw Data'!$T$6:$T$3766)+SUMPRODUCT(--(ISNUMBER(SEARCH($A144,'Diags Raw Data'!$A$6:$A$3766))),--('Diags Raw Data'!$Q$6:$Q$3766&lt;&gt;"N/A"),'Diags Raw Data'!$U$6:$U$3766)</f>
        <v>0</v>
      </c>
      <c r="N144" s="434" cm="1">
        <f t="array" ref="N144">SUMPRODUCT(--(ISNUMBER(SEARCH($A144,'Diags Raw Data'!$A$6:$A$3766))),--('Diags Raw Data'!$Q$6:$Q$3766&lt;&gt;"N/A"),'Diags Raw Data'!$T$6:$T$3766)+SUMPRODUCT(--(ISNUMBER(SEARCH($A144,'Diags Raw Data'!$A$6:$A$3766))),--('Diags Raw Data'!$Q$6:$Q$3766&lt;&gt;"N/A"),'Diags Raw Data'!$U$6:$U$3766)</f>
        <v>0</v>
      </c>
      <c r="O144" s="435">
        <f t="shared" si="42"/>
        <v>0</v>
      </c>
      <c r="P144" s="436">
        <f>SUMIF('Diags Raw Data'!$A$6:$A$3766,"*"&amp;$A144&amp;"*",'Diags Raw Data'!$Z$6:$Z$3766)</f>
        <v>0</v>
      </c>
      <c r="Q144" s="437">
        <f>SUM(SUMIF('Diags Raw Data'!$A$6:$A$3766,"*"&amp;$A144&amp;"*",'Diags Raw Data'!$AA$6:$AA$3766),SUMIF('Diags Raw Data'!$A$6:$A$3766,"*"&amp;$A144&amp;"*",'Diags Raw Data'!$AB$6:$AB$3766))</f>
        <v>0</v>
      </c>
      <c r="R144" s="438">
        <f t="shared" si="43"/>
        <v>0</v>
      </c>
      <c r="S144" s="438">
        <f t="shared" si="44"/>
        <v>0</v>
      </c>
      <c r="T144" s="439">
        <f t="shared" si="45"/>
        <v>0</v>
      </c>
      <c r="U144" s="414" t="s">
        <v>1022</v>
      </c>
      <c r="V144" s="181"/>
    </row>
    <row r="145" spans="1:22" ht="90.75" thickBot="1" x14ac:dyDescent="0.3">
      <c r="A145" s="321" t="s">
        <v>946</v>
      </c>
      <c r="B145" s="407" t="str">
        <f>VLOOKUP(A145,'Feature Raw Data'!$A$3:$B$3847,2,FALSE)</f>
        <v>WS.IRR.CDL.CH_L2_CFG0_Bit_2</v>
      </c>
      <c r="C145" s="408" t="str">
        <f>VLOOKUP(A145,'Feature Raw Data'!$A$3:$C$3929,3,FALSE)</f>
        <v>P2</v>
      </c>
      <c r="D145" s="409" t="str" cm="1">
        <f t="array" ref="D145">_xlfn.TEXTJOIN("",TRUE,IF(ISNUMBER(SEARCH($A145,'Diags Raw Data'!$A$6:$A$3768)),CONCATENATE('Diags Raw Data'!$H$6:$H$3768,", "),""))</f>
        <v xml:space="preserve">command_input_short_list_Turin_P1.yaml, </v>
      </c>
      <c r="E145" s="410" t="str">
        <f>VLOOKUP(A145,'Diags Raw Data'!$A$6:$D$3768,4,FALSE)</f>
        <v>IRR-13</v>
      </c>
      <c r="F145" s="410" t="str">
        <f>VLOOKUP(A145,'Feature Raw Data'!$A$3:$E$3847,5,FALSE)</f>
        <v>Legacy</v>
      </c>
      <c r="G145" s="410" t="str">
        <f t="shared" si="52"/>
        <v>Yes</v>
      </c>
      <c r="H145" s="410" t="str">
        <f t="shared" si="53"/>
        <v>Yes</v>
      </c>
      <c r="I145" s="412">
        <f>SUMIF('Diags Raw Data'!$A$6:$A$3768,"*"&amp;$A145&amp;"*",'Diags Raw Data'!$K$6:$K$3768)</f>
        <v>1</v>
      </c>
      <c r="J145" s="413">
        <f>SUMIF('Diags Raw Data'!$A$6:$A$3768,"*"&amp;$A145&amp;"*",'Diags Raw Data'!$L$6:$L$3768)</f>
        <v>1</v>
      </c>
      <c r="K145" s="432" cm="1">
        <f t="array" ref="K145">IF(D145="",0, SUMPRODUCT(--(ISNUMBER(SEARCH($A145,'Diags Raw Data'!$A$6:$A$3766))),'Diags Raw Data'!$L$6:$L$3766,'Diags Raw Data'!$N$6:$N$3766)/J145)</f>
        <v>1</v>
      </c>
      <c r="L145" s="433" cm="1">
        <f t="array" ref="L145">IF(D145="",0, SUMPRODUCT(--(ISNUMBER(SEARCH($A145,'Diags Raw Data'!$A$6:$A$3766))),'Diags Raw Data'!$L$6:$L$3766,'Diags Raw Data'!$P$6:$P$3766)/J145)</f>
        <v>1</v>
      </c>
      <c r="M145" s="434" cm="1">
        <f t="array" ref="M145">SUMPRODUCT(--(ISNUMBER(SEARCH($A145,'Diags Raw Data'!$A$6:$A$3766))),--('Diags Raw Data'!$Q$6:$Q$3766&lt;&gt;"N/A"),'Diags Raw Data'!$T$6:$T$3766)+SUMPRODUCT(--(ISNUMBER(SEARCH($A145,'Diags Raw Data'!$A$6:$A$3766))),--('Diags Raw Data'!$Q$6:$Q$3766&lt;&gt;"N/A"),'Diags Raw Data'!$U$6:$U$3766)</f>
        <v>10</v>
      </c>
      <c r="N145" s="434" cm="1">
        <f t="array" ref="N145">SUMPRODUCT(--(ISNUMBER(SEARCH($A145,'Diags Raw Data'!$A$6:$A$3766))),--('Diags Raw Data'!$Q$6:$Q$3766&lt;&gt;"N/A"),'Diags Raw Data'!$T$6:$T$3766)+SUMPRODUCT(--(ISNUMBER(SEARCH($A145,'Diags Raw Data'!$A$6:$A$3766))),--('Diags Raw Data'!$Q$6:$Q$3766&lt;&gt;"N/A"),'Diags Raw Data'!$U$6:$U$3766)</f>
        <v>10</v>
      </c>
      <c r="O145" s="435">
        <f t="shared" si="42"/>
        <v>1</v>
      </c>
      <c r="P145" s="436">
        <f>SUMIF('Diags Raw Data'!$A$6:$A$3766,"*"&amp;$A145&amp;"*",'Diags Raw Data'!$Z$6:$Z$3766)</f>
        <v>1</v>
      </c>
      <c r="Q145" s="437">
        <f>SUM(SUMIF('Diags Raw Data'!$A$6:$A$3766,"*"&amp;$A145&amp;"*",'Diags Raw Data'!$AA$6:$AA$3766),SUMIF('Diags Raw Data'!$A$6:$A$3766,"*"&amp;$A145&amp;"*",'Diags Raw Data'!$AB$6:$AB$3766))</f>
        <v>1</v>
      </c>
      <c r="R145" s="438">
        <f t="shared" si="43"/>
        <v>1</v>
      </c>
      <c r="S145" s="438">
        <f t="shared" si="44"/>
        <v>1</v>
      </c>
      <c r="T145" s="439">
        <f t="shared" si="45"/>
        <v>1</v>
      </c>
      <c r="U145" s="414" t="s">
        <v>1022</v>
      </c>
      <c r="V145" s="181"/>
    </row>
    <row r="146" spans="1:22" ht="90.75" thickBot="1" x14ac:dyDescent="0.3">
      <c r="A146" s="321" t="s">
        <v>948</v>
      </c>
      <c r="B146" s="407" t="str">
        <f>VLOOKUP(A146,'Feature Raw Data'!$A$3:$B$3847,2,FALSE)</f>
        <v>WS.IRR.CDL.CH_L2_CFG0_Bit_3</v>
      </c>
      <c r="C146" s="408" t="str">
        <f>VLOOKUP(A146,'Feature Raw Data'!$A$3:$C$3929,3,FALSE)</f>
        <v>P2</v>
      </c>
      <c r="D146" s="409" t="str" cm="1">
        <f t="array" ref="D146">_xlfn.TEXTJOIN("",TRUE,IF(ISNUMBER(SEARCH($A146,'Diags Raw Data'!$A$6:$A$3768)),CONCATENATE('Diags Raw Data'!$H$6:$H$3768,", "),""))</f>
        <v xml:space="preserve">command_input_short_list_Turin_P1.yaml, </v>
      </c>
      <c r="E146" s="410" t="str">
        <f>VLOOKUP(A146,'Diags Raw Data'!$A$6:$D$3768,4,FALSE)</f>
        <v>IRR-13</v>
      </c>
      <c r="F146" s="410" t="str">
        <f>VLOOKUP(A146,'Feature Raw Data'!$A$3:$E$3847,5,FALSE)</f>
        <v>Legacy</v>
      </c>
      <c r="G146" s="410" t="str">
        <f t="shared" si="52"/>
        <v>Yes</v>
      </c>
      <c r="H146" s="410" t="str">
        <f t="shared" si="53"/>
        <v>Yes</v>
      </c>
      <c r="I146" s="412">
        <f>SUMIF('Diags Raw Data'!$A$6:$A$3768,"*"&amp;$A146&amp;"*",'Diags Raw Data'!$K$6:$K$3768)</f>
        <v>1</v>
      </c>
      <c r="J146" s="413">
        <f>SUMIF('Diags Raw Data'!$A$6:$A$3768,"*"&amp;$A146&amp;"*",'Diags Raw Data'!$L$6:$L$3768)</f>
        <v>1</v>
      </c>
      <c r="K146" s="432" cm="1">
        <f t="array" ref="K146">IF(D146="",0, SUMPRODUCT(--(ISNUMBER(SEARCH($A146,'Diags Raw Data'!$A$6:$A$3766))),'Diags Raw Data'!$L$6:$L$3766,'Diags Raw Data'!$N$6:$N$3766)/J146)</f>
        <v>1</v>
      </c>
      <c r="L146" s="433" cm="1">
        <f t="array" ref="L146">IF(D146="",0, SUMPRODUCT(--(ISNUMBER(SEARCH($A146,'Diags Raw Data'!$A$6:$A$3766))),'Diags Raw Data'!$L$6:$L$3766,'Diags Raw Data'!$P$6:$P$3766)/J146)</f>
        <v>1</v>
      </c>
      <c r="M146" s="434" cm="1">
        <f t="array" ref="M146">SUMPRODUCT(--(ISNUMBER(SEARCH($A146,'Diags Raw Data'!$A$6:$A$3766))),--('Diags Raw Data'!$Q$6:$Q$3766&lt;&gt;"N/A"),'Diags Raw Data'!$T$6:$T$3766)+SUMPRODUCT(--(ISNUMBER(SEARCH($A146,'Diags Raw Data'!$A$6:$A$3766))),--('Diags Raw Data'!$Q$6:$Q$3766&lt;&gt;"N/A"),'Diags Raw Data'!$U$6:$U$3766)</f>
        <v>10</v>
      </c>
      <c r="N146" s="434" cm="1">
        <f t="array" ref="N146">SUMPRODUCT(--(ISNUMBER(SEARCH($A146,'Diags Raw Data'!$A$6:$A$3766))),--('Diags Raw Data'!$Q$6:$Q$3766&lt;&gt;"N/A"),'Diags Raw Data'!$T$6:$T$3766)+SUMPRODUCT(--(ISNUMBER(SEARCH($A146,'Diags Raw Data'!$A$6:$A$3766))),--('Diags Raw Data'!$Q$6:$Q$3766&lt;&gt;"N/A"),'Diags Raw Data'!$U$6:$U$3766)</f>
        <v>10</v>
      </c>
      <c r="O146" s="435">
        <f t="shared" si="42"/>
        <v>1</v>
      </c>
      <c r="P146" s="436">
        <f>SUMIF('Diags Raw Data'!$A$6:$A$3766,"*"&amp;$A146&amp;"*",'Diags Raw Data'!$Z$6:$Z$3766)</f>
        <v>1</v>
      </c>
      <c r="Q146" s="437">
        <f>SUM(SUMIF('Diags Raw Data'!$A$6:$A$3766,"*"&amp;$A146&amp;"*",'Diags Raw Data'!$AA$6:$AA$3766),SUMIF('Diags Raw Data'!$A$6:$A$3766,"*"&amp;$A146&amp;"*",'Diags Raw Data'!$AB$6:$AB$3766))</f>
        <v>1</v>
      </c>
      <c r="R146" s="438">
        <f t="shared" si="43"/>
        <v>1</v>
      </c>
      <c r="S146" s="438">
        <f t="shared" si="44"/>
        <v>1</v>
      </c>
      <c r="T146" s="439">
        <f t="shared" si="45"/>
        <v>1</v>
      </c>
      <c r="U146" s="414" t="s">
        <v>1022</v>
      </c>
      <c r="V146" s="181"/>
    </row>
    <row r="147" spans="1:22" ht="75.75" thickBot="1" x14ac:dyDescent="0.3">
      <c r="A147" s="321" t="s">
        <v>950</v>
      </c>
      <c r="B147" s="407" t="str">
        <f>VLOOKUP(A147,'Feature Raw Data'!$A$3:$B$3847,2,FALSE)</f>
        <v>WS.IRR.CDL.CH_L2_CFG0_Bit_4</v>
      </c>
      <c r="C147" s="408" t="str">
        <f>VLOOKUP(A147,'Feature Raw Data'!$A$3:$C$3929,3,FALSE)</f>
        <v>P2</v>
      </c>
      <c r="D147" s="409" t="str" cm="1">
        <f t="array" ref="D147">_xlfn.TEXTJOIN("",TRUE,IF(ISNUMBER(SEARCH($A147,'Diags Raw Data'!$A$6:$A$3768)),CONCATENATE('Diags Raw Data'!$H$6:$H$3768,", "),""))</f>
        <v xml:space="preserve">python3 cdl_it_executor.py , </v>
      </c>
      <c r="E147" s="410" t="str">
        <f>VLOOKUP(A147,'Diags Raw Data'!$A$6:$D$3768,4,FALSE)</f>
        <v>IRR-13</v>
      </c>
      <c r="F147" s="410" t="str">
        <f>VLOOKUP(A147,'Feature Raw Data'!$A$3:$E$3847,5,FALSE)</f>
        <v>Legacy</v>
      </c>
      <c r="G147" s="410" t="str">
        <f t="shared" si="52"/>
        <v>Yes</v>
      </c>
      <c r="H147" s="410" t="str">
        <f t="shared" si="53"/>
        <v>Yes</v>
      </c>
      <c r="I147" s="412">
        <f>SUMIF('Diags Raw Data'!$A$6:$A$3768,"*"&amp;$A147&amp;"*",'Diags Raw Data'!$K$6:$K$3768)</f>
        <v>1</v>
      </c>
      <c r="J147" s="413">
        <f>SUMIF('Diags Raw Data'!$A$6:$A$3768,"*"&amp;$A147&amp;"*",'Diags Raw Data'!$L$6:$L$3768)</f>
        <v>1</v>
      </c>
      <c r="K147" s="432" cm="1">
        <f t="array" ref="K147">IF(D147="",0, SUMPRODUCT(--(ISNUMBER(SEARCH($A147,'Diags Raw Data'!$A$6:$A$3766))),'Diags Raw Data'!$L$6:$L$3766,'Diags Raw Data'!$N$6:$N$3766)/J147)</f>
        <v>1</v>
      </c>
      <c r="L147" s="433" cm="1">
        <f t="array" ref="L147">IF(D147="",0, SUMPRODUCT(--(ISNUMBER(SEARCH($A147,'Diags Raw Data'!$A$6:$A$3766))),'Diags Raw Data'!$L$6:$L$3766,'Diags Raw Data'!$P$6:$P$3766)/J147)</f>
        <v>1</v>
      </c>
      <c r="M147" s="434" cm="1">
        <f t="array" ref="M147">SUMPRODUCT(--(ISNUMBER(SEARCH($A147,'Diags Raw Data'!$A$6:$A$3766))),--('Diags Raw Data'!$Q$6:$Q$3766&lt;&gt;"N/A"),'Diags Raw Data'!$T$6:$T$3766)+SUMPRODUCT(--(ISNUMBER(SEARCH($A147,'Diags Raw Data'!$A$6:$A$3766))),--('Diags Raw Data'!$Q$6:$Q$3766&lt;&gt;"N/A"),'Diags Raw Data'!$U$6:$U$3766)</f>
        <v>10</v>
      </c>
      <c r="N147" s="434" cm="1">
        <f t="array" ref="N147">SUMPRODUCT(--(ISNUMBER(SEARCH($A147,'Diags Raw Data'!$A$6:$A$3766))),--('Diags Raw Data'!$Q$6:$Q$3766&lt;&gt;"N/A"),'Diags Raw Data'!$T$6:$T$3766)+SUMPRODUCT(--(ISNUMBER(SEARCH($A147,'Diags Raw Data'!$A$6:$A$3766))),--('Diags Raw Data'!$Q$6:$Q$3766&lt;&gt;"N/A"),'Diags Raw Data'!$U$6:$U$3766)</f>
        <v>10</v>
      </c>
      <c r="O147" s="435">
        <f t="shared" si="42"/>
        <v>1</v>
      </c>
      <c r="P147" s="436">
        <f>SUMIF('Diags Raw Data'!$A$6:$A$3766,"*"&amp;$A147&amp;"*",'Diags Raw Data'!$Z$6:$Z$3766)</f>
        <v>1</v>
      </c>
      <c r="Q147" s="437">
        <f>SUM(SUMIF('Diags Raw Data'!$A$6:$A$3766,"*"&amp;$A147&amp;"*",'Diags Raw Data'!$AA$6:$AA$3766),SUMIF('Diags Raw Data'!$A$6:$A$3766,"*"&amp;$A147&amp;"*",'Diags Raw Data'!$AB$6:$AB$3766))</f>
        <v>1</v>
      </c>
      <c r="R147" s="438">
        <f t="shared" si="43"/>
        <v>1</v>
      </c>
      <c r="S147" s="438">
        <f t="shared" si="44"/>
        <v>1</v>
      </c>
      <c r="T147" s="439">
        <f t="shared" si="45"/>
        <v>1</v>
      </c>
      <c r="U147" s="414" t="s">
        <v>1022</v>
      </c>
      <c r="V147" s="181"/>
    </row>
    <row r="148" spans="1:22" ht="75.75" thickBot="1" x14ac:dyDescent="0.3">
      <c r="A148" s="321" t="s">
        <v>952</v>
      </c>
      <c r="B148" s="407" t="str">
        <f>VLOOKUP(A148,'Feature Raw Data'!$A$3:$B$3847,2,FALSE)</f>
        <v>WS.IT.CDL.HDRT</v>
      </c>
      <c r="C148" s="408" t="str">
        <f>VLOOKUP(A148,'Feature Raw Data'!$A$3:$C$3929,3,FALSE)</f>
        <v>P1</v>
      </c>
      <c r="D148" s="409" t="str" cm="1">
        <f t="array" ref="D148">_xlfn.TEXTJOIN("",TRUE,IF(ISNUMBER(SEARCH($A148,'Diags Raw Data'!$A$6:$A$3768)),CONCATENATE('Diags Raw Data'!$H$6:$H$3768,", "),""))</f>
        <v xml:space="preserve">HDRT.stf, </v>
      </c>
      <c r="E148" s="410" t="str">
        <f>VLOOKUP(A148,'Diags Raw Data'!$A$6:$D$3768,4,FALSE)</f>
        <v>IT-11</v>
      </c>
      <c r="F148" s="410" t="str">
        <f>VLOOKUP(A148,'Feature Raw Data'!$A$3:$E$3847,5,FALSE)</f>
        <v>Legacy</v>
      </c>
      <c r="G148" s="410" t="str">
        <f t="shared" si="52"/>
        <v>Yes</v>
      </c>
      <c r="H148" s="410" t="str">
        <f t="shared" si="53"/>
        <v>Yes</v>
      </c>
      <c r="I148" s="412">
        <f>SUMIF('Diags Raw Data'!$A$6:$A$3768,"*"&amp;$A148&amp;"*",'Diags Raw Data'!$K$6:$K$3768)</f>
        <v>1</v>
      </c>
      <c r="J148" s="413">
        <f>SUMIF('Diags Raw Data'!$A$6:$A$3768,"*"&amp;$A148&amp;"*",'Diags Raw Data'!$L$6:$L$3768)</f>
        <v>1</v>
      </c>
      <c r="K148" s="432" cm="1">
        <f t="array" ref="K148">IF(D148="",0, SUMPRODUCT(--(ISNUMBER(SEARCH($A148,'Diags Raw Data'!$A$6:$A$3766))),'Diags Raw Data'!$L$6:$L$3766,'Diags Raw Data'!$N$6:$N$3766)/J148)</f>
        <v>1</v>
      </c>
      <c r="L148" s="433" cm="1">
        <f t="array" ref="L148">IF(D148="",0, SUMPRODUCT(--(ISNUMBER(SEARCH($A148,'Diags Raw Data'!$A$6:$A$3766))),'Diags Raw Data'!$L$6:$L$3766,'Diags Raw Data'!$P$6:$P$3766)/J148)</f>
        <v>1</v>
      </c>
      <c r="M148" s="434" cm="1">
        <f t="array" ref="M148">SUMPRODUCT(--(ISNUMBER(SEARCH($A148,'Diags Raw Data'!$A$6:$A$3766))),--('Diags Raw Data'!$Q$6:$Q$3766&lt;&gt;"N/A"),'Diags Raw Data'!$T$6:$T$3766)+SUMPRODUCT(--(ISNUMBER(SEARCH($A148,'Diags Raw Data'!$A$6:$A$3766))),--('Diags Raw Data'!$Q$6:$Q$3766&lt;&gt;"N/A"),'Diags Raw Data'!$U$6:$U$3766)</f>
        <v>100</v>
      </c>
      <c r="N148" s="434" cm="1">
        <f t="array" ref="N148">SUMPRODUCT(--(ISNUMBER(SEARCH($A148,'Diags Raw Data'!$A$6:$A$3766))),--('Diags Raw Data'!$Q$6:$Q$3766&lt;&gt;"N/A"),'Diags Raw Data'!$T$6:$T$3766)+SUMPRODUCT(--(ISNUMBER(SEARCH($A148,'Diags Raw Data'!$A$6:$A$3766))),--('Diags Raw Data'!$Q$6:$Q$3766&lt;&gt;"N/A"),'Diags Raw Data'!$U$6:$U$3766)</f>
        <v>100</v>
      </c>
      <c r="O148" s="435">
        <f t="shared" si="42"/>
        <v>1</v>
      </c>
      <c r="P148" s="436">
        <f>SUMIF('Diags Raw Data'!$A$6:$A$3766,"*"&amp;$A148&amp;"*",'Diags Raw Data'!$Z$6:$Z$3766)</f>
        <v>100</v>
      </c>
      <c r="Q148" s="437">
        <f>SUM(SUMIF('Diags Raw Data'!$A$6:$A$3766,"*"&amp;$A148&amp;"*",'Diags Raw Data'!$AA$6:$AA$3766),SUMIF('Diags Raw Data'!$A$6:$A$3766,"*"&amp;$A148&amp;"*",'Diags Raw Data'!$AB$6:$AB$3766))</f>
        <v>100</v>
      </c>
      <c r="R148" s="438">
        <f t="shared" si="43"/>
        <v>100</v>
      </c>
      <c r="S148" s="438">
        <f t="shared" si="44"/>
        <v>1</v>
      </c>
      <c r="T148" s="439">
        <f t="shared" si="45"/>
        <v>100</v>
      </c>
      <c r="U148" s="414" t="s">
        <v>1022</v>
      </c>
      <c r="V148" s="181"/>
    </row>
    <row r="149" spans="1:22" ht="135" x14ac:dyDescent="0.25">
      <c r="A149" s="321" t="s">
        <v>956</v>
      </c>
      <c r="B149" s="407" t="str">
        <f>VLOOKUP(A149,'Feature Raw Data'!$A$3:$B$3847,2,FALSE)</f>
        <v>WS.IT.CDL.CCX_Exerciser</v>
      </c>
      <c r="C149" s="408" t="str">
        <f>VLOOKUP(A149,'Feature Raw Data'!$A$3:$C$3929,3,FALSE)</f>
        <v>P1</v>
      </c>
      <c r="D149" s="409" t="str" cm="1">
        <f t="array" ref="D149">_xlfn.TEXTJOIN("",TRUE,IF(ISNUMBER(SEARCH($A149,'Diags Raw Data'!$A$6:$A$3768)),CONCATENATE('Diags Raw Data'!$H$6:$H$3768,", "),""))</f>
        <v xml:space="preserve">CCX_Exerciser.stf
CCX_Exerciser_fusion.stf
CCX_Exerciser_random.stf
CCX_Exerciser_clbl.stf
CCX_Exerciser_hdrt.stf
CCX_Exerciser_retq.stf
CCX_Exerciser_diag_instances.stf
CCX_Exerciser_lsdc.stf
CCX_Exerciser_stlf.stf, </v>
      </c>
      <c r="E149" s="410" t="str">
        <f>VLOOKUP(A149,'Diags Raw Data'!$A$6:$D$3768,4,FALSE)</f>
        <v>IT-11</v>
      </c>
      <c r="F149" s="410" t="str">
        <f>VLOOKUP(A149,'Feature Raw Data'!$A$3:$E$3847,5,FALSE)</f>
        <v>Legacy</v>
      </c>
      <c r="G149" s="410" t="str">
        <f t="shared" si="52"/>
        <v>Yes</v>
      </c>
      <c r="H149" s="410" t="str">
        <f t="shared" si="53"/>
        <v>Yes</v>
      </c>
      <c r="I149" s="412">
        <f>SUMIF('Diags Raw Data'!$A$6:$A$3768,"*"&amp;$A149&amp;"*",'Diags Raw Data'!$K$6:$K$3768)</f>
        <v>5</v>
      </c>
      <c r="J149" s="413">
        <f>SUMIF('Diags Raw Data'!$A$6:$A$3768,"*"&amp;$A149&amp;"*",'Diags Raw Data'!$L$6:$L$3768)</f>
        <v>1</v>
      </c>
      <c r="K149" s="432" cm="1">
        <f t="array" ref="K149">IF(D149="",0, SUMPRODUCT(--(ISNUMBER(SEARCH($A149,'Diags Raw Data'!$A$6:$A$3766))),'Diags Raw Data'!$L$6:$L$3766,'Diags Raw Data'!$N$6:$N$3766)/J149)</f>
        <v>1</v>
      </c>
      <c r="L149" s="433" cm="1">
        <f t="array" ref="L149">IF(D149="",0, SUMPRODUCT(--(ISNUMBER(SEARCH($A149,'Diags Raw Data'!$A$6:$A$3766))),'Diags Raw Data'!$L$6:$L$3766,'Diags Raw Data'!$P$6:$P$3766)/J149)</f>
        <v>1</v>
      </c>
      <c r="M149" s="434" cm="1">
        <f t="array" ref="M149">SUMPRODUCT(--(ISNUMBER(SEARCH($A149,'Diags Raw Data'!$A$6:$A$3766))),--('Diags Raw Data'!$Q$6:$Q$3766&lt;&gt;"N/A"),'Diags Raw Data'!$T$6:$T$3766)+SUMPRODUCT(--(ISNUMBER(SEARCH($A149,'Diags Raw Data'!$A$6:$A$3766))),--('Diags Raw Data'!$Q$6:$Q$3766&lt;&gt;"N/A"),'Diags Raw Data'!$U$6:$U$3766)</f>
        <v>22</v>
      </c>
      <c r="N149" s="434" cm="1">
        <f t="array" ref="N149">SUMPRODUCT(--(ISNUMBER(SEARCH($A149,'Diags Raw Data'!$A$6:$A$3766))),--('Diags Raw Data'!$Q$6:$Q$3766&lt;&gt;"N/A"),'Diags Raw Data'!$T$6:$T$3766)+SUMPRODUCT(--(ISNUMBER(SEARCH($A149,'Diags Raw Data'!$A$6:$A$3766))),--('Diags Raw Data'!$Q$6:$Q$3766&lt;&gt;"N/A"),'Diags Raw Data'!$U$6:$U$3766)</f>
        <v>22</v>
      </c>
      <c r="O149" s="435">
        <f t="shared" si="42"/>
        <v>1</v>
      </c>
      <c r="P149" s="436">
        <f>SUMIF('Diags Raw Data'!$A$6:$A$3766,"*"&amp;$A149&amp;"*",'Diags Raw Data'!$Z$6:$Z$3766)</f>
        <v>22</v>
      </c>
      <c r="Q149" s="437">
        <f>SUM(SUMIF('Diags Raw Data'!$A$6:$A$3766,"*"&amp;$A149&amp;"*",'Diags Raw Data'!$AA$6:$AA$3766),SUMIF('Diags Raw Data'!$A$6:$A$3766,"*"&amp;$A149&amp;"*",'Diags Raw Data'!$AB$6:$AB$3766))</f>
        <v>22</v>
      </c>
      <c r="R149" s="438">
        <f t="shared" si="43"/>
        <v>22</v>
      </c>
      <c r="S149" s="438">
        <f t="shared" si="44"/>
        <v>1</v>
      </c>
      <c r="T149" s="439">
        <f t="shared" si="45"/>
        <v>22</v>
      </c>
      <c r="U149" s="414" t="s">
        <v>1022</v>
      </c>
      <c r="V149" s="181"/>
    </row>
    <row r="150" spans="1:22" x14ac:dyDescent="0.25">
      <c r="A150" s="356"/>
      <c r="B150" s="385"/>
      <c r="C150" s="333"/>
      <c r="D150" s="82"/>
      <c r="E150" s="180"/>
      <c r="F150" s="180"/>
      <c r="G150" s="180"/>
      <c r="H150" s="180"/>
      <c r="I150" s="333"/>
      <c r="J150" s="192"/>
      <c r="K150" s="440"/>
      <c r="L150" s="441"/>
      <c r="M150" s="442"/>
      <c r="N150" s="443"/>
      <c r="O150" s="444"/>
      <c r="P150" s="445"/>
      <c r="Q150" s="446"/>
      <c r="R150" s="447"/>
      <c r="S150" s="447"/>
      <c r="T150" s="448"/>
      <c r="U150" s="414"/>
      <c r="V150" s="181"/>
    </row>
    <row r="151" spans="1:22" x14ac:dyDescent="0.25">
      <c r="A151" s="356"/>
      <c r="B151" s="385"/>
      <c r="C151" s="333"/>
      <c r="D151" s="82"/>
      <c r="E151" s="180"/>
      <c r="F151" s="180"/>
      <c r="G151" s="180"/>
      <c r="H151" s="180"/>
      <c r="I151" s="333"/>
      <c r="J151" s="192"/>
      <c r="K151" s="440"/>
      <c r="L151" s="441"/>
      <c r="M151" s="442"/>
      <c r="N151" s="443"/>
      <c r="O151" s="444"/>
      <c r="P151" s="445"/>
      <c r="Q151" s="446"/>
      <c r="R151" s="447"/>
      <c r="S151" s="447"/>
      <c r="T151" s="448"/>
      <c r="U151" s="357"/>
      <c r="V151" s="181"/>
    </row>
    <row r="152" spans="1:22" ht="15.75" thickBot="1" x14ac:dyDescent="0.3">
      <c r="A152" s="362"/>
      <c r="B152" s="386"/>
      <c r="C152" s="363"/>
      <c r="D152" s="364"/>
      <c r="E152" s="365"/>
      <c r="F152" s="365"/>
      <c r="G152" s="365"/>
      <c r="H152" s="365"/>
      <c r="I152" s="363"/>
      <c r="J152" s="366"/>
      <c r="K152" s="449"/>
      <c r="L152" s="450"/>
      <c r="M152" s="451"/>
      <c r="N152" s="452"/>
      <c r="O152" s="453"/>
      <c r="P152" s="454"/>
      <c r="Q152" s="455"/>
      <c r="R152" s="456"/>
      <c r="S152" s="456"/>
      <c r="T152" s="457"/>
      <c r="U152" s="367"/>
      <c r="V152" s="181"/>
    </row>
    <row r="153" spans="1:22" x14ac:dyDescent="0.25">
      <c r="A153" s="578" t="s">
        <v>1023</v>
      </c>
      <c r="B153" s="643"/>
      <c r="C153" s="643"/>
      <c r="D153" s="643"/>
      <c r="E153" s="643"/>
      <c r="F153" s="643"/>
      <c r="G153" s="643"/>
      <c r="H153" s="643"/>
      <c r="I153" s="643"/>
      <c r="J153" s="643"/>
      <c r="K153" s="643"/>
      <c r="L153" s="643"/>
      <c r="M153" s="643"/>
      <c r="N153" s="643"/>
      <c r="O153" s="643"/>
      <c r="P153" s="643"/>
      <c r="Q153" s="643"/>
      <c r="R153" s="643"/>
      <c r="S153" s="643"/>
      <c r="T153" s="643"/>
      <c r="U153" s="644"/>
      <c r="V153" s="181"/>
    </row>
    <row r="154" spans="1:22" ht="15.75" thickBot="1" x14ac:dyDescent="0.3">
      <c r="A154" s="645"/>
      <c r="B154" s="646"/>
      <c r="C154" s="646"/>
      <c r="D154" s="646"/>
      <c r="E154" s="646"/>
      <c r="F154" s="646"/>
      <c r="G154" s="646"/>
      <c r="H154" s="646"/>
      <c r="I154" s="646"/>
      <c r="J154" s="646"/>
      <c r="K154" s="646"/>
      <c r="L154" s="646"/>
      <c r="M154" s="646"/>
      <c r="N154" s="646"/>
      <c r="O154" s="646"/>
      <c r="P154" s="646"/>
      <c r="Q154" s="646"/>
      <c r="R154" s="646"/>
      <c r="S154" s="646"/>
      <c r="T154" s="646"/>
      <c r="U154" s="647"/>
      <c r="V154" s="181"/>
    </row>
    <row r="155" spans="1:22" s="186" customFormat="1" ht="18.75" x14ac:dyDescent="0.25">
      <c r="A155" s="637" t="s">
        <v>302</v>
      </c>
      <c r="B155" s="638"/>
      <c r="C155" s="638"/>
      <c r="D155" s="638"/>
      <c r="E155" s="638"/>
      <c r="F155" s="639"/>
      <c r="G155" s="375">
        <f>COUNTIF(G7:G152,"Yes")</f>
        <v>142</v>
      </c>
      <c r="H155" s="375">
        <f>COUNTIF(H7:H152,"Yes")</f>
        <v>142</v>
      </c>
      <c r="I155" s="670">
        <f>'Diags Raw Data'!K152</f>
        <v>170</v>
      </c>
      <c r="J155" s="672">
        <f>'Diags Raw Data'!L152</f>
        <v>141</v>
      </c>
      <c r="K155" s="657">
        <f>'Diags Raw Data'!N152</f>
        <v>1</v>
      </c>
      <c r="L155" s="659">
        <f>'Diags Raw Data'!P152</f>
        <v>1</v>
      </c>
      <c r="M155" s="661">
        <f>'Diags Raw Data'!R152</f>
        <v>48458</v>
      </c>
      <c r="N155" s="652">
        <f>SUM('Diags Raw Data'!T152+'Diags Raw Data'!U152)</f>
        <v>48588</v>
      </c>
      <c r="O155" s="648">
        <f>IF((M155=0),0,N155/M155)</f>
        <v>1.0026827355648191</v>
      </c>
      <c r="P155" s="650">
        <f>'Diags Raw Data'!Z152</f>
        <v>88733</v>
      </c>
      <c r="Q155" s="668">
        <f>SUM('Diags Raw Data'!AA152+'Diags Raw Data'!AB152)</f>
        <v>88733</v>
      </c>
      <c r="R155" s="663">
        <f>IF((J155=0),0,P155/J155)</f>
        <v>629.3120567375887</v>
      </c>
      <c r="S155" s="663">
        <f>IF((P155=0),0,Q155/P155)</f>
        <v>1</v>
      </c>
      <c r="T155" s="663">
        <f>R155*S155</f>
        <v>629.3120567375887</v>
      </c>
      <c r="U155" s="667"/>
      <c r="V155" s="185"/>
    </row>
    <row r="156" spans="1:22" ht="19.5" thickBot="1" x14ac:dyDescent="0.3">
      <c r="A156" s="640"/>
      <c r="B156" s="641"/>
      <c r="C156" s="641"/>
      <c r="D156" s="641"/>
      <c r="E156" s="641"/>
      <c r="F156" s="642"/>
      <c r="G156" s="376">
        <f>COUNTIF(G7:G152,"Yes")/COUNTA(A7:A152)</f>
        <v>0.99300699300699302</v>
      </c>
      <c r="H156" s="376">
        <f>(COUNTIF(H7:H152,"Yes")/G155)</f>
        <v>1</v>
      </c>
      <c r="I156" s="671"/>
      <c r="J156" s="673"/>
      <c r="K156" s="658"/>
      <c r="L156" s="660"/>
      <c r="M156" s="662"/>
      <c r="N156" s="653"/>
      <c r="O156" s="649"/>
      <c r="P156" s="651"/>
      <c r="Q156" s="669"/>
      <c r="R156" s="664"/>
      <c r="S156" s="664"/>
      <c r="T156" s="664"/>
      <c r="U156" s="666"/>
      <c r="V156" s="181"/>
    </row>
    <row r="157" spans="1:22" x14ac:dyDescent="0.25">
      <c r="A157" s="187"/>
      <c r="B157" s="188"/>
      <c r="C157" s="188"/>
      <c r="D157" s="187"/>
      <c r="E157" s="188"/>
      <c r="F157" s="188"/>
      <c r="G157" s="358"/>
      <c r="H157" s="188"/>
      <c r="I157" s="368"/>
      <c r="J157" s="368"/>
      <c r="K157" s="193"/>
      <c r="L157" s="193"/>
      <c r="M157" s="194"/>
      <c r="N157" s="194"/>
      <c r="O157" s="193"/>
      <c r="P157" s="190"/>
      <c r="Q157" s="190"/>
      <c r="R157" s="197"/>
      <c r="S157" s="197"/>
      <c r="T157" s="198"/>
      <c r="U157" s="187"/>
    </row>
  </sheetData>
  <sheetProtection insertColumns="0" insertRows="0" deleteRows="0" sort="0"/>
  <autoFilter ref="A6:U156"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55:K156"/>
    <mergeCell ref="L155:L156"/>
    <mergeCell ref="M155:M156"/>
    <mergeCell ref="T2:T3"/>
    <mergeCell ref="U2:U3"/>
    <mergeCell ref="R2:R3"/>
    <mergeCell ref="S2:S3"/>
    <mergeCell ref="S155:S156"/>
    <mergeCell ref="T155:T156"/>
    <mergeCell ref="U155:U156"/>
    <mergeCell ref="Q155:Q156"/>
    <mergeCell ref="R155:R156"/>
    <mergeCell ref="I155:I156"/>
    <mergeCell ref="J155:J156"/>
    <mergeCell ref="K5:L5"/>
    <mergeCell ref="A5:J5"/>
    <mergeCell ref="M5:O5"/>
    <mergeCell ref="P5:U5"/>
    <mergeCell ref="A155:F156"/>
    <mergeCell ref="A153:U154"/>
    <mergeCell ref="O155:O156"/>
    <mergeCell ref="P155:P156"/>
    <mergeCell ref="N155:N156"/>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1024</v>
      </c>
      <c r="C1" s="36" t="s">
        <v>1025</v>
      </c>
      <c r="D1" s="36" t="s">
        <v>1026</v>
      </c>
      <c r="E1" s="36" t="s">
        <v>1027</v>
      </c>
      <c r="F1" s="36" t="s">
        <v>1028</v>
      </c>
      <c r="G1" s="37" t="s">
        <v>1029</v>
      </c>
      <c r="H1" s="12"/>
      <c r="I1" s="12"/>
      <c r="J1" s="12"/>
      <c r="K1" s="12"/>
      <c r="L1" s="13"/>
      <c r="M1" s="1"/>
      <c r="N1" s="11"/>
      <c r="X1" s="11"/>
      <c r="AB1" s="687" t="s">
        <v>1030</v>
      </c>
      <c r="AM1" s="687" t="s">
        <v>1031</v>
      </c>
    </row>
    <row r="2" spans="1:40" s="14" customFormat="1" ht="12" x14ac:dyDescent="0.2">
      <c r="A2" s="35" t="s">
        <v>1032</v>
      </c>
      <c r="B2" s="15">
        <v>42994</v>
      </c>
      <c r="C2" s="15">
        <v>43190</v>
      </c>
      <c r="D2" s="16" t="e">
        <f>#REF!</f>
        <v>#REF!</v>
      </c>
      <c r="E2" s="16" t="e">
        <f>#REF!</f>
        <v>#REF!</v>
      </c>
      <c r="F2" s="16">
        <f>(C2-B2)/7</f>
        <v>28</v>
      </c>
      <c r="G2" s="17" t="e">
        <f>E2/F2</f>
        <v>#REF!</v>
      </c>
      <c r="H2" s="18"/>
      <c r="I2" s="18"/>
      <c r="J2" s="18"/>
      <c r="K2" s="18"/>
      <c r="L2" s="19"/>
      <c r="M2" s="20"/>
      <c r="N2" s="21"/>
      <c r="X2" s="21"/>
      <c r="AB2" s="688"/>
      <c r="AM2" s="68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9" t="s">
        <v>1033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0"/>
      <c r="B5" s="47" t="s">
        <v>1034</v>
      </c>
      <c r="C5" s="47" t="s">
        <v>1035</v>
      </c>
      <c r="D5" s="47" t="s">
        <v>1036</v>
      </c>
      <c r="E5" s="47" t="s">
        <v>1037</v>
      </c>
      <c r="F5" s="47" t="s">
        <v>1038</v>
      </c>
      <c r="G5" s="47" t="s">
        <v>1039</v>
      </c>
      <c r="H5" s="47" t="s">
        <v>1040</v>
      </c>
      <c r="I5" s="47" t="s">
        <v>1041</v>
      </c>
      <c r="J5" s="47" t="s">
        <v>1042</v>
      </c>
      <c r="K5" s="47" t="s">
        <v>1043</v>
      </c>
      <c r="L5" s="47" t="s">
        <v>1044</v>
      </c>
      <c r="M5" s="47" t="s">
        <v>1045</v>
      </c>
      <c r="N5" s="47" t="s">
        <v>1046</v>
      </c>
      <c r="O5" s="47" t="s">
        <v>1047</v>
      </c>
      <c r="P5" s="47" t="s">
        <v>1048</v>
      </c>
      <c r="Q5" s="47" t="s">
        <v>1049</v>
      </c>
      <c r="R5" s="47" t="s">
        <v>1050</v>
      </c>
      <c r="S5" s="47" t="s">
        <v>1051</v>
      </c>
      <c r="T5" s="47" t="s">
        <v>1052</v>
      </c>
      <c r="U5" s="47" t="s">
        <v>1053</v>
      </c>
      <c r="V5" s="47" t="s">
        <v>1054</v>
      </c>
      <c r="W5" s="47" t="s">
        <v>1055</v>
      </c>
      <c r="X5" s="47" t="s">
        <v>1056</v>
      </c>
      <c r="Y5" s="47" t="s">
        <v>1057</v>
      </c>
      <c r="Z5" s="47" t="s">
        <v>1058</v>
      </c>
      <c r="AA5" s="47" t="s">
        <v>1059</v>
      </c>
      <c r="AB5" s="47" t="s">
        <v>1060</v>
      </c>
      <c r="AC5" s="47" t="s">
        <v>1061</v>
      </c>
      <c r="AD5" s="47" t="s">
        <v>1062</v>
      </c>
      <c r="AE5" s="47" t="s">
        <v>1063</v>
      </c>
      <c r="AF5" s="47" t="s">
        <v>1064</v>
      </c>
      <c r="AG5" s="47" t="s">
        <v>1065</v>
      </c>
      <c r="AH5" s="47" t="s">
        <v>1066</v>
      </c>
      <c r="AI5" s="47" t="s">
        <v>1067</v>
      </c>
      <c r="AJ5" s="47" t="s">
        <v>1068</v>
      </c>
      <c r="AK5" s="47" t="s">
        <v>1069</v>
      </c>
      <c r="AL5" s="66" t="s">
        <v>1070</v>
      </c>
      <c r="AM5" s="65" t="s">
        <v>1071</v>
      </c>
      <c r="AN5" s="50"/>
    </row>
    <row r="6" spans="1:40" ht="12" x14ac:dyDescent="0.2">
      <c r="A6" s="48" t="s">
        <v>1072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1073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9" t="s">
        <v>1074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1"/>
      <c r="B10" s="32" t="s">
        <v>1034</v>
      </c>
      <c r="C10" s="32" t="s">
        <v>1035</v>
      </c>
      <c r="D10" s="32" t="s">
        <v>1036</v>
      </c>
      <c r="E10" s="32" t="s">
        <v>1037</v>
      </c>
      <c r="F10" s="32" t="s">
        <v>1038</v>
      </c>
      <c r="G10" s="32" t="s">
        <v>1039</v>
      </c>
      <c r="H10" s="32" t="s">
        <v>1040</v>
      </c>
      <c r="I10" s="32" t="s">
        <v>1041</v>
      </c>
      <c r="J10" s="32" t="s">
        <v>1042</v>
      </c>
      <c r="K10" s="32" t="s">
        <v>1043</v>
      </c>
      <c r="L10" s="32" t="s">
        <v>1044</v>
      </c>
      <c r="M10" s="32" t="s">
        <v>1045</v>
      </c>
      <c r="N10" s="32" t="s">
        <v>1046</v>
      </c>
      <c r="O10" s="32" t="s">
        <v>1047</v>
      </c>
      <c r="P10" s="32" t="s">
        <v>1048</v>
      </c>
      <c r="Q10" s="32" t="s">
        <v>1049</v>
      </c>
      <c r="R10" s="32" t="s">
        <v>1050</v>
      </c>
      <c r="S10" s="32" t="s">
        <v>1051</v>
      </c>
      <c r="T10" s="32" t="s">
        <v>1052</v>
      </c>
      <c r="U10" s="32" t="s">
        <v>1053</v>
      </c>
      <c r="V10" s="32" t="s">
        <v>1054</v>
      </c>
      <c r="W10" s="32" t="s">
        <v>1055</v>
      </c>
      <c r="X10" s="32" t="s">
        <v>1056</v>
      </c>
      <c r="Y10" s="32" t="s">
        <v>1057</v>
      </c>
      <c r="Z10" s="32" t="s">
        <v>1058</v>
      </c>
      <c r="AA10" s="32" t="s">
        <v>1059</v>
      </c>
      <c r="AB10" s="32" t="s">
        <v>1060</v>
      </c>
      <c r="AC10" s="32" t="s">
        <v>1061</v>
      </c>
      <c r="AD10" s="32" t="s">
        <v>1062</v>
      </c>
      <c r="AE10" s="32" t="s">
        <v>1063</v>
      </c>
      <c r="AF10" s="32" t="s">
        <v>1064</v>
      </c>
      <c r="AG10" s="32" t="s">
        <v>1065</v>
      </c>
      <c r="AH10" s="32" t="s">
        <v>1066</v>
      </c>
      <c r="AI10" s="32" t="s">
        <v>1067</v>
      </c>
      <c r="AJ10" s="64" t="s">
        <v>1068</v>
      </c>
      <c r="AK10" s="63" t="s">
        <v>1069</v>
      </c>
      <c r="AL10" s="47" t="s">
        <v>1070</v>
      </c>
      <c r="AM10" s="72" t="s">
        <v>1071</v>
      </c>
      <c r="AN10" s="68"/>
    </row>
    <row r="11" spans="1:40" x14ac:dyDescent="0.25">
      <c r="A11" s="42" t="s">
        <v>1072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1073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1075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1076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1077</v>
      </c>
      <c r="B1" s="157" t="s">
        <v>1078</v>
      </c>
      <c r="C1" s="158" t="s">
        <v>1079</v>
      </c>
      <c r="D1" s="158" t="s">
        <v>1080</v>
      </c>
      <c r="E1" s="158" t="s">
        <v>1081</v>
      </c>
      <c r="F1" s="158" t="s">
        <v>1082</v>
      </c>
      <c r="G1" s="158" t="s">
        <v>1083</v>
      </c>
      <c r="H1" s="158" t="s">
        <v>1084</v>
      </c>
      <c r="I1" s="158" t="s">
        <v>1085</v>
      </c>
      <c r="J1" s="158" t="s">
        <v>1086</v>
      </c>
      <c r="K1" s="158" t="s">
        <v>1087</v>
      </c>
      <c r="L1" s="158" t="s">
        <v>1088</v>
      </c>
      <c r="M1" s="158" t="s">
        <v>1089</v>
      </c>
      <c r="N1" s="158" t="s">
        <v>1090</v>
      </c>
      <c r="O1" s="158" t="s">
        <v>1091</v>
      </c>
      <c r="P1" s="158" t="s">
        <v>1092</v>
      </c>
      <c r="Q1" s="158" t="s">
        <v>1093</v>
      </c>
      <c r="R1" s="158" t="s">
        <v>1094</v>
      </c>
      <c r="S1" s="158" t="s">
        <v>1095</v>
      </c>
      <c r="T1" s="158" t="s">
        <v>1096</v>
      </c>
      <c r="U1" s="158" t="s">
        <v>1097</v>
      </c>
      <c r="V1" s="158" t="s">
        <v>1098</v>
      </c>
      <c r="W1" s="158" t="s">
        <v>1099</v>
      </c>
      <c r="X1" s="158" t="s">
        <v>1100</v>
      </c>
      <c r="Y1" s="158" t="s">
        <v>1101</v>
      </c>
      <c r="Z1" s="158" t="s">
        <v>1102</v>
      </c>
      <c r="AA1" s="158" t="s">
        <v>1103</v>
      </c>
      <c r="AB1" s="158" t="s">
        <v>1104</v>
      </c>
      <c r="AC1" s="158" t="s">
        <v>1105</v>
      </c>
      <c r="AD1" s="158" t="s">
        <v>1106</v>
      </c>
      <c r="AE1" s="158" t="s">
        <v>1107</v>
      </c>
      <c r="AF1" s="158" t="s">
        <v>1108</v>
      </c>
      <c r="AG1" s="158" t="s">
        <v>1109</v>
      </c>
      <c r="AH1" s="158" t="s">
        <v>1110</v>
      </c>
      <c r="AI1" s="158" t="s">
        <v>1111</v>
      </c>
      <c r="AJ1" s="158" t="s">
        <v>1112</v>
      </c>
      <c r="AK1" s="158" t="s">
        <v>1113</v>
      </c>
      <c r="AL1" s="158" t="s">
        <v>1114</v>
      </c>
      <c r="AM1" s="158" t="s">
        <v>1115</v>
      </c>
      <c r="AN1" s="158" t="s">
        <v>1116</v>
      </c>
      <c r="AO1" s="158" t="s">
        <v>1117</v>
      </c>
      <c r="AP1" s="158" t="s">
        <v>1118</v>
      </c>
      <c r="AQ1" s="158" t="s">
        <v>1119</v>
      </c>
      <c r="AR1" s="158" t="s">
        <v>1120</v>
      </c>
      <c r="AS1" s="158" t="s">
        <v>1121</v>
      </c>
      <c r="AT1" s="158" t="s">
        <v>1122</v>
      </c>
      <c r="AU1" s="158" t="s">
        <v>1123</v>
      </c>
      <c r="AV1" s="158" t="s">
        <v>1124</v>
      </c>
      <c r="AW1" s="158" t="s">
        <v>1125</v>
      </c>
      <c r="AX1" s="158" t="s">
        <v>1126</v>
      </c>
      <c r="AY1" s="158" t="s">
        <v>1127</v>
      </c>
      <c r="AZ1" s="158" t="s">
        <v>1128</v>
      </c>
      <c r="BA1" s="158" t="s">
        <v>1129</v>
      </c>
      <c r="BB1" s="159" t="s">
        <v>1130</v>
      </c>
    </row>
    <row r="2" spans="1:54" s="135" customFormat="1" x14ac:dyDescent="0.2">
      <c r="A2" s="151" t="s">
        <v>1073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1076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1074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1073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1075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1131</v>
      </c>
      <c r="B3" s="129" t="s">
        <v>1132</v>
      </c>
      <c r="C3" s="129"/>
      <c r="D3" s="217"/>
      <c r="E3" s="129"/>
    </row>
    <row r="4" spans="1:5" x14ac:dyDescent="0.25">
      <c r="A4" s="79" t="s">
        <v>47</v>
      </c>
      <c r="B4">
        <v>0</v>
      </c>
    </row>
    <row r="5" spans="1:5" x14ac:dyDescent="0.25">
      <c r="A5" s="79" t="s">
        <v>1133</v>
      </c>
      <c r="B5">
        <v>85</v>
      </c>
      <c r="D5" s="130">
        <f>GETPIVOTDATA("#Tests",$A$3,"ETA","wk-1")/GETPIVOTDATA("#Tests",$A$3)</f>
        <v>0.17</v>
      </c>
      <c r="E5" s="131">
        <f>D5</f>
        <v>0.17</v>
      </c>
    </row>
    <row r="6" spans="1:5" x14ac:dyDescent="0.25">
      <c r="A6" s="79" t="s">
        <v>1134</v>
      </c>
      <c r="B6">
        <v>48</v>
      </c>
      <c r="D6" s="130">
        <f>GETPIVOTDATA("#Tests",$A$3,"ETA","wk-2")/GETPIVOTDATA("#Tests",$A$3)</f>
        <v>9.6000000000000002E-2</v>
      </c>
      <c r="E6" s="131">
        <f t="shared" ref="E6:E12" si="0">E5+D6</f>
        <v>0.26600000000000001</v>
      </c>
    </row>
    <row r="7" spans="1:5" x14ac:dyDescent="0.25">
      <c r="A7" s="79" t="s">
        <v>1135</v>
      </c>
      <c r="B7">
        <v>96</v>
      </c>
      <c r="D7" s="130">
        <f>GETPIVOTDATA("#Tests",$A$3,"ETA","wk-3")/GETPIVOTDATA("#Tests",$A$3)</f>
        <v>0.192</v>
      </c>
      <c r="E7" s="131">
        <f t="shared" si="0"/>
        <v>0.45800000000000002</v>
      </c>
    </row>
    <row r="8" spans="1:5" x14ac:dyDescent="0.25">
      <c r="A8" s="79" t="s">
        <v>1136</v>
      </c>
      <c r="B8">
        <v>79</v>
      </c>
      <c r="D8" s="130">
        <f>GETPIVOTDATA("#Tests",$A$3,"ETA","wk-4")/GETPIVOTDATA("#Tests",$A$3)</f>
        <v>0.158</v>
      </c>
      <c r="E8" s="131">
        <f t="shared" si="0"/>
        <v>0.61599999999999999</v>
      </c>
    </row>
    <row r="9" spans="1:5" x14ac:dyDescent="0.25">
      <c r="A9" s="79" t="s">
        <v>1137</v>
      </c>
      <c r="B9">
        <v>82</v>
      </c>
      <c r="D9" s="130">
        <f>GETPIVOTDATA("#Tests",$A$3,"ETA","wk-5")/GETPIVOTDATA("#Tests",$A$3)</f>
        <v>0.16400000000000001</v>
      </c>
      <c r="E9" s="131">
        <f t="shared" si="0"/>
        <v>0.78</v>
      </c>
    </row>
    <row r="10" spans="1:5" x14ac:dyDescent="0.25">
      <c r="A10" s="79" t="s">
        <v>1138</v>
      </c>
      <c r="B10">
        <v>60</v>
      </c>
      <c r="D10" s="130">
        <f>GETPIVOTDATA("#Tests",$A$3,"ETA","wk-6")/GETPIVOTDATA("#Tests",$A$3)</f>
        <v>0.12</v>
      </c>
      <c r="E10" s="131">
        <f t="shared" si="0"/>
        <v>0.9</v>
      </c>
    </row>
    <row r="11" spans="1:5" x14ac:dyDescent="0.25">
      <c r="A11" s="79" t="s">
        <v>1139</v>
      </c>
      <c r="B11">
        <v>30</v>
      </c>
      <c r="D11" s="130">
        <f>GETPIVOTDATA("#Tests",$A$3,"ETA","wk-7")/GETPIVOTDATA("#Tests",$A$3)</f>
        <v>0.06</v>
      </c>
      <c r="E11" s="131">
        <f t="shared" si="0"/>
        <v>0.96</v>
      </c>
    </row>
    <row r="12" spans="1:5" x14ac:dyDescent="0.25">
      <c r="A12" s="79" t="s">
        <v>1140</v>
      </c>
      <c r="B12">
        <v>20</v>
      </c>
      <c r="D12" s="130">
        <f>GETPIVOTDATA("#Tests",$A$3,"ETA","wk-8")/GETPIVOTDATA("#Tests",$A$3)</f>
        <v>0.04</v>
      </c>
      <c r="E12" s="131">
        <f t="shared" si="0"/>
        <v>1</v>
      </c>
    </row>
    <row r="13" spans="1:5" x14ac:dyDescent="0.25">
      <c r="A13" s="79" t="s">
        <v>965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2024-02-29T21:55:32Z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