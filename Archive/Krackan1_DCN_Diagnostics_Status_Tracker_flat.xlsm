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workbookPr codeName="ThisWorkbook"/>
  <mc:AlternateContent xmlns:mc="http://schemas.openxmlformats.org/markup-compatibility/2006">
    <mc:Choice Requires="x15">
      <x15ac:absPath xmlns:x15ac="http://schemas.microsoft.com/office/spreadsheetml/2010/11/ac" url="C:\Users\pregier\Documents\qTest\python\flatten\flatten\outputdir\"/>
    </mc:Choice>
  </mc:AlternateContent>
  <xr:revisionPtr revIDLastSave="0" documentId="8_{7DDFAC07-37AD-4C3C-AE20-6F589457692A}" xr6:coauthVersionLast="47" xr6:coauthVersionMax="47" xr10:uidLastSave="{00000000-0000-0000-0000-000000000000}"/>
  <bookViews>
    <workbookView xWindow="-26490" yWindow="2565" windowWidth="20880" windowHeight="11760" tabRatio="614" firstSheet="3"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Feature Summary" sheetId="55" r:id="rId7"/>
    <sheet name="Sub-IP Block Summary" sheetId="59" r:id="rId8"/>
    <sheet name="Feature Raw Data" sheetId="52" r:id="rId9"/>
    <sheet name="Progress (WIP)" sheetId="26" state="hidden" r:id="rId10"/>
    <sheet name="Coverage Plan" sheetId="57" state="hidden" r:id="rId11"/>
    <sheet name="Progress" sheetId="51" r:id="rId12"/>
  </sheets>
  <definedNames>
    <definedName name="_xlnm._FilterDatabase" localSheetId="5" hidden="1">'Diags Raw Data'!$A$5:$AH$211</definedName>
    <definedName name="_xlnm._FilterDatabase" localSheetId="8" hidden="1">'Feature Raw Data'!$A$2:$E$141</definedName>
    <definedName name="_xlnm._FilterDatabase" localSheetId="6" hidden="1">'Feature Summary'!$A$6:$U$152</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4"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Z2" i="53" l="1"/>
  <c r="G15" i="59"/>
  <c r="G14" i="59"/>
  <c r="P118" i="55"/>
  <c r="G47" i="59"/>
  <c r="M47" i="59" s="1"/>
  <c r="G36" i="59"/>
  <c r="P40" i="55"/>
  <c r="P135" i="55"/>
  <c r="S135" i="55" s="1"/>
  <c r="P59" i="55"/>
  <c r="P58" i="55"/>
  <c r="P81" i="55"/>
  <c r="O36" i="59"/>
  <c r="D15" i="55" a="1"/>
  <c r="D15" i="55" s="1"/>
  <c r="G49" i="59"/>
  <c r="B55" i="59"/>
  <c r="F55" i="59" s="1"/>
  <c r="C55" i="59"/>
  <c r="L55" i="59" s="1"/>
  <c r="D55" i="59"/>
  <c r="E55" i="59"/>
  <c r="G55" i="59"/>
  <c r="M55" i="59" s="1"/>
  <c r="H55" i="59"/>
  <c r="I55" i="59"/>
  <c r="J55" i="59"/>
  <c r="K55" i="59"/>
  <c r="U55" i="59"/>
  <c r="P55" i="59"/>
  <c r="Q55" i="59"/>
  <c r="R55" i="59"/>
  <c r="S55" i="59"/>
  <c r="B51" i="59"/>
  <c r="F51" i="59" s="1"/>
  <c r="C51" i="59"/>
  <c r="L51" i="59" s="1"/>
  <c r="D51" i="59"/>
  <c r="E51" i="59"/>
  <c r="G51" i="59"/>
  <c r="M51" i="59" s="1"/>
  <c r="H51" i="59"/>
  <c r="I51" i="59"/>
  <c r="J51" i="59"/>
  <c r="K51" i="59"/>
  <c r="O51" i="59"/>
  <c r="U51" i="59" s="1"/>
  <c r="P51" i="59"/>
  <c r="Q51" i="59"/>
  <c r="R51" i="59"/>
  <c r="S51" i="59"/>
  <c r="B36" i="59"/>
  <c r="C36" i="59"/>
  <c r="N36" i="59"/>
  <c r="D36" i="59"/>
  <c r="E36" i="59"/>
  <c r="H36" i="59"/>
  <c r="I36" i="59"/>
  <c r="J36" i="59"/>
  <c r="K36" i="59"/>
  <c r="P36" i="59"/>
  <c r="Q36" i="59"/>
  <c r="R36" i="59"/>
  <c r="S36" i="59"/>
  <c r="B17" i="59"/>
  <c r="C17" i="59"/>
  <c r="N17" i="59" s="1"/>
  <c r="D17" i="59"/>
  <c r="E17" i="59"/>
  <c r="G17" i="59"/>
  <c r="M17" i="59" s="1"/>
  <c r="H17" i="59"/>
  <c r="I17" i="59"/>
  <c r="J17" i="59"/>
  <c r="K17" i="59"/>
  <c r="P17" i="59"/>
  <c r="Q17" i="59"/>
  <c r="R17" i="59"/>
  <c r="S17" i="59"/>
  <c r="B16" i="59"/>
  <c r="T16" i="59" s="1"/>
  <c r="B48" i="59"/>
  <c r="C48" i="59"/>
  <c r="D48" i="59"/>
  <c r="E48" i="59"/>
  <c r="H48" i="59"/>
  <c r="I48" i="59"/>
  <c r="J48" i="59"/>
  <c r="K48" i="59"/>
  <c r="P48" i="59"/>
  <c r="Q48" i="59"/>
  <c r="R48" i="59"/>
  <c r="S48" i="59"/>
  <c r="B49" i="59"/>
  <c r="F49" i="59" s="1"/>
  <c r="C49" i="59"/>
  <c r="D49" i="59"/>
  <c r="E49" i="59"/>
  <c r="H49" i="59"/>
  <c r="I49" i="59"/>
  <c r="J49" i="59"/>
  <c r="K49" i="59"/>
  <c r="P49" i="59"/>
  <c r="U49" i="59"/>
  <c r="Q49" i="59"/>
  <c r="R49" i="59"/>
  <c r="S49" i="59"/>
  <c r="B50" i="59"/>
  <c r="E50" i="59"/>
  <c r="P50" i="59"/>
  <c r="U50" i="59"/>
  <c r="C50" i="59"/>
  <c r="H50" i="59"/>
  <c r="I50" i="59"/>
  <c r="D50" i="59"/>
  <c r="J50" i="59"/>
  <c r="K50" i="59"/>
  <c r="Q50" i="59"/>
  <c r="R50" i="59"/>
  <c r="S50" i="59"/>
  <c r="B24" i="59"/>
  <c r="F24" i="59" s="1"/>
  <c r="C24" i="59"/>
  <c r="L24" i="59" s="1"/>
  <c r="D24" i="59"/>
  <c r="E24" i="59"/>
  <c r="G24" i="59"/>
  <c r="M24" i="59" s="1"/>
  <c r="H24" i="59"/>
  <c r="I24" i="59"/>
  <c r="J24" i="59"/>
  <c r="K24" i="59"/>
  <c r="O24" i="59"/>
  <c r="U24" i="59" s="1"/>
  <c r="P24" i="59"/>
  <c r="P23" i="59"/>
  <c r="P25" i="59"/>
  <c r="P26" i="59"/>
  <c r="P27" i="59"/>
  <c r="P28" i="59"/>
  <c r="P29" i="59"/>
  <c r="P30" i="59"/>
  <c r="P31" i="59"/>
  <c r="P32" i="59"/>
  <c r="B32" i="59"/>
  <c r="P33" i="59"/>
  <c r="P34" i="59"/>
  <c r="P35" i="59"/>
  <c r="P37" i="59"/>
  <c r="B23" i="59"/>
  <c r="B25" i="59"/>
  <c r="T25" i="59" s="1"/>
  <c r="B26" i="59"/>
  <c r="V26" i="59" s="1"/>
  <c r="B27" i="59"/>
  <c r="T27" i="59" s="1"/>
  <c r="B28" i="59"/>
  <c r="B29" i="59"/>
  <c r="T29" i="59" s="1"/>
  <c r="B30" i="59"/>
  <c r="T30" i="59" s="1"/>
  <c r="B31" i="59"/>
  <c r="B33" i="59"/>
  <c r="T33" i="59" s="1"/>
  <c r="B34" i="59"/>
  <c r="F34" i="59" s="1"/>
  <c r="B35" i="59"/>
  <c r="V35" i="59" s="1"/>
  <c r="B37" i="59"/>
  <c r="Q23" i="59"/>
  <c r="Q24" i="59"/>
  <c r="Q25" i="59"/>
  <c r="Q26" i="59"/>
  <c r="Q27" i="59"/>
  <c r="Q28" i="59"/>
  <c r="Q29" i="59"/>
  <c r="Q30" i="59"/>
  <c r="Q31" i="59"/>
  <c r="Q32" i="59"/>
  <c r="V32" i="59" s="1"/>
  <c r="Q33" i="59"/>
  <c r="Q34" i="59"/>
  <c r="Q35" i="59"/>
  <c r="Q37" i="59"/>
  <c r="R24" i="59"/>
  <c r="R23" i="59"/>
  <c r="R25" i="59"/>
  <c r="R26" i="59"/>
  <c r="R27" i="59"/>
  <c r="R28" i="59"/>
  <c r="R29" i="59"/>
  <c r="R30" i="59"/>
  <c r="R31" i="59"/>
  <c r="R32" i="59"/>
  <c r="R33" i="59"/>
  <c r="R34" i="59"/>
  <c r="R35" i="59"/>
  <c r="R37" i="59"/>
  <c r="S24" i="59"/>
  <c r="C25" i="59"/>
  <c r="N25" i="59" s="1"/>
  <c r="D25" i="59"/>
  <c r="E25" i="59"/>
  <c r="G25" i="59"/>
  <c r="M25" i="59" s="1"/>
  <c r="H25" i="59"/>
  <c r="I25" i="59"/>
  <c r="J25" i="59"/>
  <c r="K25" i="59"/>
  <c r="O25" i="59"/>
  <c r="U25" i="59" s="1"/>
  <c r="S25" i="59"/>
  <c r="C26" i="59"/>
  <c r="L26" i="59" s="1"/>
  <c r="D26" i="59"/>
  <c r="E26" i="59"/>
  <c r="G26" i="59"/>
  <c r="M26" i="59" s="1"/>
  <c r="H26" i="59"/>
  <c r="I26" i="59"/>
  <c r="J26" i="59"/>
  <c r="K26" i="59"/>
  <c r="O26" i="59"/>
  <c r="U26" i="59" s="1"/>
  <c r="S26" i="59"/>
  <c r="C27" i="59"/>
  <c r="L27" i="59" s="1"/>
  <c r="D27" i="59"/>
  <c r="E27" i="59"/>
  <c r="G27" i="59"/>
  <c r="M27" i="59" s="1"/>
  <c r="H27" i="59"/>
  <c r="I27" i="59"/>
  <c r="J27" i="59"/>
  <c r="K27" i="59"/>
  <c r="O27" i="59"/>
  <c r="U27" i="59" s="1"/>
  <c r="S27" i="59"/>
  <c r="V28" i="59"/>
  <c r="C28" i="59"/>
  <c r="N28" i="59" s="1"/>
  <c r="D28" i="59"/>
  <c r="E28" i="59"/>
  <c r="G28" i="59"/>
  <c r="M28" i="59" s="1"/>
  <c r="H28" i="59"/>
  <c r="I28" i="59"/>
  <c r="J28" i="59"/>
  <c r="K28" i="59"/>
  <c r="O28" i="59"/>
  <c r="U28" i="59"/>
  <c r="S28" i="59"/>
  <c r="C29" i="59"/>
  <c r="D29" i="59"/>
  <c r="E29" i="59"/>
  <c r="G29" i="59"/>
  <c r="M29" i="59" s="1"/>
  <c r="H29" i="59"/>
  <c r="I29" i="59"/>
  <c r="J29" i="59"/>
  <c r="K29" i="59"/>
  <c r="O29" i="59"/>
  <c r="U29" i="59" s="1"/>
  <c r="S29" i="59"/>
  <c r="C30" i="59"/>
  <c r="L30" i="59" s="1"/>
  <c r="D30" i="59"/>
  <c r="E30" i="59"/>
  <c r="G30" i="59"/>
  <c r="M30" i="59" s="1"/>
  <c r="H30" i="59"/>
  <c r="I30" i="59"/>
  <c r="J30" i="59"/>
  <c r="K30" i="59"/>
  <c r="O30" i="59"/>
  <c r="U30" i="59" s="1"/>
  <c r="S30" i="59"/>
  <c r="C31" i="59"/>
  <c r="N31" i="59" s="1"/>
  <c r="D31" i="59"/>
  <c r="E31" i="59"/>
  <c r="G31" i="59"/>
  <c r="M31" i="59" s="1"/>
  <c r="H31" i="59"/>
  <c r="I31" i="59"/>
  <c r="J31" i="59"/>
  <c r="K31" i="59"/>
  <c r="O31" i="59"/>
  <c r="U31" i="59" s="1"/>
  <c r="S31" i="59"/>
  <c r="E32" i="59"/>
  <c r="C32" i="59"/>
  <c r="D32" i="59"/>
  <c r="H32" i="59"/>
  <c r="I32" i="59"/>
  <c r="J32" i="59"/>
  <c r="K32" i="59"/>
  <c r="P44" i="55"/>
  <c r="P46" i="55"/>
  <c r="S46" i="55" s="1"/>
  <c r="Q49" i="55"/>
  <c r="P42" i="55"/>
  <c r="S42" i="55" s="1"/>
  <c r="U10" i="59"/>
  <c r="Q54" i="55"/>
  <c r="J54" i="55"/>
  <c r="P57" i="55"/>
  <c r="P60" i="55"/>
  <c r="P130" i="55"/>
  <c r="P14" i="59"/>
  <c r="P67" i="55"/>
  <c r="Q86" i="55"/>
  <c r="P7" i="59"/>
  <c r="J102" i="55"/>
  <c r="R102" i="55" s="1"/>
  <c r="S88" i="55"/>
  <c r="J88" i="55"/>
  <c r="R88" i="55" s="1"/>
  <c r="T88" i="55" s="1"/>
  <c r="S123" i="55"/>
  <c r="S53" i="55"/>
  <c r="P22" i="55"/>
  <c r="J95" i="55"/>
  <c r="J123" i="55"/>
  <c r="S32" i="59"/>
  <c r="C33" i="59"/>
  <c r="L33" i="59" s="1"/>
  <c r="D33" i="59"/>
  <c r="E33" i="59"/>
  <c r="G33" i="59"/>
  <c r="M33" i="59" s="1"/>
  <c r="H33" i="59"/>
  <c r="I33" i="59"/>
  <c r="J33" i="59"/>
  <c r="K33" i="59"/>
  <c r="O33" i="59"/>
  <c r="U33" i="59" s="1"/>
  <c r="S33" i="59"/>
  <c r="C34" i="59"/>
  <c r="D34" i="59"/>
  <c r="E34" i="59"/>
  <c r="G34" i="59"/>
  <c r="M34" i="59" s="1"/>
  <c r="H34" i="59"/>
  <c r="I34" i="59"/>
  <c r="J34" i="59"/>
  <c r="K34" i="59"/>
  <c r="O34" i="59"/>
  <c r="U34" i="59" s="1"/>
  <c r="S34" i="59"/>
  <c r="C35" i="59"/>
  <c r="N35" i="59" s="1"/>
  <c r="D35" i="59"/>
  <c r="E35" i="59"/>
  <c r="G35" i="59"/>
  <c r="M35" i="59" s="1"/>
  <c r="H35" i="59"/>
  <c r="I35" i="59"/>
  <c r="J35" i="59"/>
  <c r="K35" i="59"/>
  <c r="O35" i="59"/>
  <c r="U35" i="59" s="1"/>
  <c r="S35" i="59"/>
  <c r="C37" i="59"/>
  <c r="N37" i="59" s="1"/>
  <c r="D37" i="59"/>
  <c r="E37" i="59"/>
  <c r="G37" i="59"/>
  <c r="M37" i="59" s="1"/>
  <c r="H37" i="59"/>
  <c r="I37" i="59"/>
  <c r="J37" i="59"/>
  <c r="K37" i="59"/>
  <c r="O37" i="59"/>
  <c r="U37" i="59" s="1"/>
  <c r="S37" i="59"/>
  <c r="C16" i="59"/>
  <c r="D16" i="59"/>
  <c r="E16" i="59"/>
  <c r="H16" i="59"/>
  <c r="I16" i="59"/>
  <c r="J16" i="59"/>
  <c r="K16" i="59"/>
  <c r="P16" i="59"/>
  <c r="Q16" i="59"/>
  <c r="R16" i="59"/>
  <c r="S16" i="59"/>
  <c r="B10" i="59"/>
  <c r="C10" i="59"/>
  <c r="D10" i="59"/>
  <c r="E10" i="59"/>
  <c r="F10" i="59" s="1"/>
  <c r="H10" i="59"/>
  <c r="I10" i="59"/>
  <c r="J10" i="59"/>
  <c r="K10" i="59"/>
  <c r="P10" i="59"/>
  <c r="Q10" i="59"/>
  <c r="R10" i="59"/>
  <c r="S10" i="59"/>
  <c r="B11" i="59"/>
  <c r="C11" i="59"/>
  <c r="D11" i="59"/>
  <c r="E11" i="59"/>
  <c r="H11" i="59"/>
  <c r="I11" i="59"/>
  <c r="J11" i="59"/>
  <c r="K11" i="59"/>
  <c r="P11" i="59"/>
  <c r="Q11" i="59"/>
  <c r="R11" i="59"/>
  <c r="S11" i="59"/>
  <c r="B12" i="59"/>
  <c r="C12" i="59"/>
  <c r="D12" i="59"/>
  <c r="E12" i="59"/>
  <c r="H12" i="59"/>
  <c r="I12" i="59"/>
  <c r="J12" i="59"/>
  <c r="K12" i="59"/>
  <c r="P12" i="59"/>
  <c r="Q12" i="59"/>
  <c r="R12" i="59"/>
  <c r="R4" i="59"/>
  <c r="R5" i="59"/>
  <c r="R6" i="59"/>
  <c r="R7" i="59"/>
  <c r="R8" i="59"/>
  <c r="R9" i="59"/>
  <c r="R13" i="59"/>
  <c r="R14" i="59"/>
  <c r="R15" i="59"/>
  <c r="R18" i="59"/>
  <c r="S12" i="59"/>
  <c r="D36" i="55" a="1"/>
  <c r="D36" i="55" s="1"/>
  <c r="H36" i="55" s="1"/>
  <c r="E36" i="55"/>
  <c r="F36" i="55"/>
  <c r="I36" i="55"/>
  <c r="J36" i="55"/>
  <c r="Q36" i="55"/>
  <c r="D37" i="55" a="1"/>
  <c r="D37" i="55" s="1"/>
  <c r="H37" i="55" s="1"/>
  <c r="E37" i="55"/>
  <c r="F37" i="55"/>
  <c r="I37" i="55"/>
  <c r="J37" i="55"/>
  <c r="Q37" i="55"/>
  <c r="D38" i="55" a="1"/>
  <c r="D38" i="55" s="1"/>
  <c r="E38" i="55"/>
  <c r="F38" i="55"/>
  <c r="I38" i="55"/>
  <c r="J38" i="55"/>
  <c r="Q38" i="55"/>
  <c r="D39" i="55" a="1"/>
  <c r="D39" i="55" s="1"/>
  <c r="K39" i="55" s="1" a="1"/>
  <c r="K39" i="55" s="1"/>
  <c r="E39" i="55"/>
  <c r="F39" i="55"/>
  <c r="I39" i="55"/>
  <c r="J39" i="55"/>
  <c r="Q39" i="55"/>
  <c r="D40" i="55" a="1"/>
  <c r="D40" i="55" s="1"/>
  <c r="E40" i="55"/>
  <c r="F40" i="55"/>
  <c r="I40" i="55"/>
  <c r="J40" i="55"/>
  <c r="Q40" i="55"/>
  <c r="D41" i="55" a="1"/>
  <c r="D41" i="55" s="1"/>
  <c r="E41" i="55"/>
  <c r="F41" i="55"/>
  <c r="I41" i="55"/>
  <c r="J41" i="55"/>
  <c r="Q41" i="55"/>
  <c r="D42" i="55" a="1"/>
  <c r="D42" i="55" s="1"/>
  <c r="G42" i="55" s="1"/>
  <c r="E42" i="55"/>
  <c r="F42" i="55"/>
  <c r="I42" i="55"/>
  <c r="J42" i="55"/>
  <c r="Q42" i="55"/>
  <c r="D43" i="55" a="1"/>
  <c r="D43" i="55" s="1"/>
  <c r="E43" i="55"/>
  <c r="F43" i="55"/>
  <c r="I43" i="55"/>
  <c r="J43" i="55"/>
  <c r="Q43" i="55"/>
  <c r="D44" i="55" a="1"/>
  <c r="D44" i="55" s="1"/>
  <c r="J91" i="55"/>
  <c r="J44" i="55"/>
  <c r="E44" i="55"/>
  <c r="F44" i="55"/>
  <c r="I44" i="55"/>
  <c r="Q44" i="55"/>
  <c r="D45" i="55" a="1"/>
  <c r="D45" i="55" s="1"/>
  <c r="E45" i="55"/>
  <c r="F45" i="55"/>
  <c r="I45" i="55"/>
  <c r="J45" i="55"/>
  <c r="Q45" i="55"/>
  <c r="D46" i="55" a="1"/>
  <c r="D46" i="55" s="1"/>
  <c r="E46" i="55"/>
  <c r="F46" i="55"/>
  <c r="I46" i="55"/>
  <c r="J46" i="55"/>
  <c r="Q46" i="55"/>
  <c r="D47" i="55" a="1"/>
  <c r="D47" i="55" s="1"/>
  <c r="E47" i="55"/>
  <c r="F47" i="55"/>
  <c r="I47" i="55"/>
  <c r="J47" i="55"/>
  <c r="Q47" i="55"/>
  <c r="D48" i="55" a="1"/>
  <c r="D48" i="55" s="1"/>
  <c r="E48" i="55"/>
  <c r="F48" i="55"/>
  <c r="I48" i="55"/>
  <c r="J48" i="55"/>
  <c r="Q48" i="55"/>
  <c r="D49" i="55" a="1"/>
  <c r="D49" i="55" s="1"/>
  <c r="E49" i="55"/>
  <c r="F49" i="55"/>
  <c r="I49" i="55"/>
  <c r="J49" i="55"/>
  <c r="D50" i="55" a="1"/>
  <c r="D50" i="55" s="1"/>
  <c r="H50" i="55" s="1"/>
  <c r="E50" i="55"/>
  <c r="F50" i="55"/>
  <c r="I50" i="55"/>
  <c r="J50" i="55"/>
  <c r="Q50" i="55"/>
  <c r="D51" i="55" a="1"/>
  <c r="D51" i="55" s="1"/>
  <c r="E51" i="55"/>
  <c r="F51" i="55"/>
  <c r="I51" i="55"/>
  <c r="J51" i="55"/>
  <c r="Q51" i="55"/>
  <c r="D52" i="55" a="1"/>
  <c r="D52" i="55" s="1"/>
  <c r="E52" i="55"/>
  <c r="F52" i="55"/>
  <c r="I52" i="55"/>
  <c r="J52" i="55"/>
  <c r="Q52" i="55"/>
  <c r="D53" i="55" a="1"/>
  <c r="D53" i="55" s="1"/>
  <c r="J53" i="55"/>
  <c r="Q53" i="55"/>
  <c r="E53" i="55"/>
  <c r="F53" i="55"/>
  <c r="I53" i="55"/>
  <c r="D54" i="55" a="1"/>
  <c r="D54" i="55" s="1"/>
  <c r="E54" i="55"/>
  <c r="F54" i="55"/>
  <c r="I54" i="55"/>
  <c r="D55" i="55" a="1"/>
  <c r="D55" i="55" s="1"/>
  <c r="J55" i="55"/>
  <c r="E55" i="55"/>
  <c r="F55" i="55"/>
  <c r="I55" i="55"/>
  <c r="Q55" i="55"/>
  <c r="D56" i="55" a="1"/>
  <c r="D56" i="55" s="1"/>
  <c r="E56" i="55"/>
  <c r="F56" i="55"/>
  <c r="I56" i="55"/>
  <c r="J56" i="55"/>
  <c r="Q56" i="55"/>
  <c r="D57" i="55" a="1"/>
  <c r="D57" i="55" s="1"/>
  <c r="E57" i="55"/>
  <c r="F57" i="55"/>
  <c r="I57" i="55"/>
  <c r="J57" i="55"/>
  <c r="Q57" i="55"/>
  <c r="D58" i="55" a="1"/>
  <c r="D58" i="55" s="1"/>
  <c r="J58" i="55"/>
  <c r="E58" i="55"/>
  <c r="F58" i="55"/>
  <c r="I58" i="55"/>
  <c r="Q58" i="55"/>
  <c r="D59" i="55" a="1"/>
  <c r="D59" i="55" s="1"/>
  <c r="E59" i="55"/>
  <c r="F59" i="55"/>
  <c r="I59" i="55"/>
  <c r="J59" i="55"/>
  <c r="Q59" i="55"/>
  <c r="D60" i="55" a="1"/>
  <c r="D60" i="55" s="1"/>
  <c r="E60" i="55"/>
  <c r="F60" i="55"/>
  <c r="I60" i="55"/>
  <c r="J60" i="55"/>
  <c r="Q60" i="55"/>
  <c r="D61" i="55" a="1"/>
  <c r="D61" i="55" s="1"/>
  <c r="J61" i="55"/>
  <c r="E61" i="55"/>
  <c r="F61" i="55"/>
  <c r="I61" i="55"/>
  <c r="Q61" i="55"/>
  <c r="D62" i="55" a="1"/>
  <c r="D62" i="55" s="1"/>
  <c r="E62" i="55"/>
  <c r="F62" i="55"/>
  <c r="I62" i="55"/>
  <c r="J62" i="55"/>
  <c r="Q62" i="55"/>
  <c r="D63" i="55" a="1"/>
  <c r="D63" i="55" s="1"/>
  <c r="E63" i="55"/>
  <c r="F63" i="55"/>
  <c r="I63" i="55"/>
  <c r="J63" i="55"/>
  <c r="Q63" i="55"/>
  <c r="D64" i="55" a="1"/>
  <c r="D64" i="55" s="1"/>
  <c r="H64" i="55" s="1"/>
  <c r="E64" i="55"/>
  <c r="F64" i="55"/>
  <c r="I64" i="55"/>
  <c r="J64" i="55"/>
  <c r="Q64" i="55"/>
  <c r="D65" i="55" a="1"/>
  <c r="D65" i="55" s="1"/>
  <c r="E65" i="55"/>
  <c r="F65" i="55"/>
  <c r="I65" i="55"/>
  <c r="J65" i="55"/>
  <c r="Q65" i="55"/>
  <c r="D66" i="55" a="1"/>
  <c r="D66" i="55" s="1"/>
  <c r="J66" i="55"/>
  <c r="E66" i="55"/>
  <c r="F66" i="55"/>
  <c r="I66" i="55"/>
  <c r="Q66" i="55"/>
  <c r="D67" i="55" a="1"/>
  <c r="D67" i="55" s="1"/>
  <c r="E67" i="55"/>
  <c r="F67" i="55"/>
  <c r="I67" i="55"/>
  <c r="J67" i="55"/>
  <c r="Q67" i="55"/>
  <c r="D68" i="55" a="1"/>
  <c r="D68" i="55" s="1"/>
  <c r="G68" i="55" s="1"/>
  <c r="E68" i="55"/>
  <c r="F68" i="55"/>
  <c r="I68" i="55"/>
  <c r="J68" i="55"/>
  <c r="Q68" i="55"/>
  <c r="D69" i="55" a="1"/>
  <c r="D69" i="55" s="1"/>
  <c r="E69" i="55"/>
  <c r="F69" i="55"/>
  <c r="I69" i="55"/>
  <c r="J69" i="55"/>
  <c r="Q69" i="55"/>
  <c r="D70" i="55" a="1"/>
  <c r="D70" i="55" s="1"/>
  <c r="J70" i="55"/>
  <c r="E70" i="55"/>
  <c r="F70" i="55"/>
  <c r="I70" i="55"/>
  <c r="Q70" i="55"/>
  <c r="D71" i="55" a="1"/>
  <c r="D71" i="55" s="1"/>
  <c r="E71" i="55"/>
  <c r="F71" i="55"/>
  <c r="I71" i="55"/>
  <c r="J71" i="55"/>
  <c r="Q71" i="55"/>
  <c r="D72" i="55" a="1"/>
  <c r="D72" i="55" s="1"/>
  <c r="E72" i="55"/>
  <c r="F72" i="55"/>
  <c r="I72" i="55"/>
  <c r="J72" i="55"/>
  <c r="R72" i="55" s="1"/>
  <c r="P72" i="55"/>
  <c r="S72" i="55" s="1"/>
  <c r="T72" i="55" s="1"/>
  <c r="Q72" i="55"/>
  <c r="D73" i="55" a="1"/>
  <c r="D73" i="55" s="1"/>
  <c r="E73" i="55"/>
  <c r="F73" i="55"/>
  <c r="I73" i="55"/>
  <c r="J73" i="55"/>
  <c r="Q73" i="55"/>
  <c r="D74" i="55" a="1"/>
  <c r="D74" i="55" s="1"/>
  <c r="E74" i="55"/>
  <c r="F74" i="55"/>
  <c r="I74" i="55"/>
  <c r="J74" i="55"/>
  <c r="Q74" i="55"/>
  <c r="S74" i="55"/>
  <c r="D75" i="55" a="1"/>
  <c r="D75" i="55" s="1"/>
  <c r="E75" i="55"/>
  <c r="F75" i="55"/>
  <c r="I75" i="55"/>
  <c r="J75" i="55"/>
  <c r="Q75" i="55"/>
  <c r="D76" i="55" a="1"/>
  <c r="D76" i="55" s="1"/>
  <c r="J76" i="55"/>
  <c r="E76" i="55"/>
  <c r="F76" i="55"/>
  <c r="I76" i="55"/>
  <c r="Q76" i="55"/>
  <c r="D77" i="55" a="1"/>
  <c r="D77" i="55" s="1"/>
  <c r="E77" i="55"/>
  <c r="F77" i="55"/>
  <c r="I77" i="55"/>
  <c r="J77" i="55"/>
  <c r="Q77" i="55"/>
  <c r="D78" i="55" a="1"/>
  <c r="D78" i="55" s="1"/>
  <c r="E78" i="55"/>
  <c r="F78" i="55"/>
  <c r="I78" i="55"/>
  <c r="J78" i="55"/>
  <c r="Q78" i="55"/>
  <c r="D79" i="55" a="1"/>
  <c r="D79" i="55" s="1"/>
  <c r="E79" i="55"/>
  <c r="F79" i="55"/>
  <c r="I79" i="55"/>
  <c r="J79" i="55"/>
  <c r="Q79" i="55"/>
  <c r="D80" i="55" a="1"/>
  <c r="D80" i="55" s="1"/>
  <c r="J80" i="55"/>
  <c r="E80" i="55"/>
  <c r="F80" i="55"/>
  <c r="I80" i="55"/>
  <c r="Q80" i="55"/>
  <c r="D81" i="55" a="1"/>
  <c r="D81" i="55" s="1"/>
  <c r="J81" i="55"/>
  <c r="E81" i="55"/>
  <c r="F81" i="55"/>
  <c r="I81" i="55"/>
  <c r="Q81" i="55"/>
  <c r="D82" i="55" a="1"/>
  <c r="D82" i="55" s="1"/>
  <c r="J82" i="55"/>
  <c r="E82" i="55"/>
  <c r="F82" i="55"/>
  <c r="I82" i="55"/>
  <c r="Q82" i="55"/>
  <c r="D83" i="55" a="1"/>
  <c r="D83" i="55" s="1"/>
  <c r="E83" i="55"/>
  <c r="F83" i="55"/>
  <c r="I83" i="55"/>
  <c r="J83" i="55"/>
  <c r="Q83" i="55"/>
  <c r="D84" i="55" a="1"/>
  <c r="D84" i="55" s="1"/>
  <c r="E84" i="55"/>
  <c r="F84" i="55"/>
  <c r="I84" i="55"/>
  <c r="J84" i="55"/>
  <c r="Q84" i="55"/>
  <c r="D85" i="55" a="1"/>
  <c r="D85" i="55" s="1"/>
  <c r="E85" i="55"/>
  <c r="F85" i="55"/>
  <c r="I85" i="55"/>
  <c r="J85" i="55"/>
  <c r="Q85" i="55"/>
  <c r="D86" i="55" a="1"/>
  <c r="D86" i="55" s="1"/>
  <c r="J86" i="55"/>
  <c r="E86" i="55"/>
  <c r="F86" i="55"/>
  <c r="I86" i="55"/>
  <c r="D87" i="55" a="1"/>
  <c r="D87" i="55" s="1"/>
  <c r="E87" i="55"/>
  <c r="F87" i="55"/>
  <c r="I87" i="55"/>
  <c r="J87" i="55"/>
  <c r="Q87" i="55"/>
  <c r="D88" i="55" a="1"/>
  <c r="D88" i="55" s="1"/>
  <c r="E88" i="55"/>
  <c r="F88" i="55"/>
  <c r="I88" i="55"/>
  <c r="Q88" i="55"/>
  <c r="D89" i="55" a="1"/>
  <c r="D89" i="55" s="1"/>
  <c r="E89" i="55"/>
  <c r="F89" i="55"/>
  <c r="I89" i="55"/>
  <c r="J89" i="55"/>
  <c r="Q89" i="55"/>
  <c r="D90" i="55" a="1"/>
  <c r="D90" i="55" s="1"/>
  <c r="H90" i="55" s="1"/>
  <c r="E90" i="55"/>
  <c r="F90" i="55"/>
  <c r="I90" i="55"/>
  <c r="J90" i="55"/>
  <c r="Q90" i="55"/>
  <c r="D91" i="55" a="1"/>
  <c r="D91" i="55" s="1"/>
  <c r="E91" i="55"/>
  <c r="F91" i="55"/>
  <c r="I91" i="55"/>
  <c r="Q91" i="55"/>
  <c r="D92" i="55" a="1"/>
  <c r="D92" i="55" s="1"/>
  <c r="G92" i="55" s="1"/>
  <c r="E92" i="55"/>
  <c r="F92" i="55"/>
  <c r="I92" i="55"/>
  <c r="J92" i="55"/>
  <c r="Q92" i="55"/>
  <c r="D93" i="55" a="1"/>
  <c r="D93" i="55"/>
  <c r="G93" i="55" s="1"/>
  <c r="E93" i="55"/>
  <c r="F93" i="55"/>
  <c r="I93" i="55"/>
  <c r="J93" i="55"/>
  <c r="Q93" i="55"/>
  <c r="D94" i="55" a="1"/>
  <c r="D94" i="55" s="1"/>
  <c r="E94" i="55"/>
  <c r="F94" i="55"/>
  <c r="I94" i="55"/>
  <c r="J94" i="55"/>
  <c r="R94" i="55" s="1"/>
  <c r="P94" i="55"/>
  <c r="S94" i="55" s="1"/>
  <c r="Q94" i="55"/>
  <c r="D95" i="55" a="1"/>
  <c r="D95" i="55" s="1"/>
  <c r="G95" i="55" s="1"/>
  <c r="E95" i="55"/>
  <c r="F95" i="55"/>
  <c r="I95" i="55"/>
  <c r="Q95" i="55"/>
  <c r="D96" i="55" a="1"/>
  <c r="D96" i="55" s="1"/>
  <c r="L96" i="55" s="1" a="1"/>
  <c r="L96" i="55" s="1"/>
  <c r="E96" i="55"/>
  <c r="F96" i="55"/>
  <c r="I96" i="55"/>
  <c r="J96" i="55"/>
  <c r="R96" i="55" s="1"/>
  <c r="Q96" i="55"/>
  <c r="D97" i="55" a="1"/>
  <c r="D97" i="55" s="1"/>
  <c r="G97" i="55" s="1"/>
  <c r="E97" i="55"/>
  <c r="F97" i="55"/>
  <c r="I97" i="55"/>
  <c r="J97" i="55"/>
  <c r="R97" i="55" s="1"/>
  <c r="Q97" i="55"/>
  <c r="S97" i="55"/>
  <c r="D98" i="55" a="1"/>
  <c r="D98" i="55" s="1"/>
  <c r="E98" i="55"/>
  <c r="F98" i="55"/>
  <c r="I98" i="55"/>
  <c r="J98" i="55"/>
  <c r="Q98" i="55"/>
  <c r="D99" i="55" a="1"/>
  <c r="D99" i="55" s="1"/>
  <c r="E99" i="55"/>
  <c r="F99" i="55"/>
  <c r="I99" i="55"/>
  <c r="J99" i="55"/>
  <c r="Q99" i="55"/>
  <c r="D100" i="55" a="1"/>
  <c r="D100" i="55" s="1"/>
  <c r="E100" i="55"/>
  <c r="F100" i="55"/>
  <c r="I100" i="55"/>
  <c r="J100" i="55"/>
  <c r="Q100" i="55"/>
  <c r="D101" i="55" a="1"/>
  <c r="D101" i="55" s="1"/>
  <c r="E101" i="55"/>
  <c r="F101" i="55"/>
  <c r="I101" i="55"/>
  <c r="J101" i="55"/>
  <c r="Q101" i="55"/>
  <c r="S101" i="55"/>
  <c r="D102" i="55" a="1"/>
  <c r="D102" i="55" s="1"/>
  <c r="E102" i="55"/>
  <c r="F102" i="55"/>
  <c r="I102" i="55"/>
  <c r="Q102" i="55"/>
  <c r="D103" i="55" a="1"/>
  <c r="D103" i="55"/>
  <c r="E103" i="55"/>
  <c r="F103" i="55"/>
  <c r="I103" i="55"/>
  <c r="J103" i="55"/>
  <c r="R103" i="55" s="1"/>
  <c r="T103" i="55" s="1"/>
  <c r="P103" i="55"/>
  <c r="S103" i="55" s="1"/>
  <c r="Q103" i="55"/>
  <c r="D104" i="55" a="1"/>
  <c r="D104" i="55" s="1"/>
  <c r="E104" i="55"/>
  <c r="F104" i="55"/>
  <c r="I104" i="55"/>
  <c r="J104" i="55"/>
  <c r="R104" i="55" s="1"/>
  <c r="P104" i="55"/>
  <c r="S104" i="55" s="1"/>
  <c r="Q104" i="55"/>
  <c r="D105" i="55" a="1"/>
  <c r="D105" i="55" s="1"/>
  <c r="E105" i="55"/>
  <c r="F105" i="55"/>
  <c r="I105" i="55"/>
  <c r="J105" i="55"/>
  <c r="Q105" i="55"/>
  <c r="D106" i="55" a="1"/>
  <c r="D106" i="55" s="1"/>
  <c r="E106" i="55"/>
  <c r="F106" i="55"/>
  <c r="I106" i="55"/>
  <c r="J106" i="55"/>
  <c r="R106" i="55" s="1"/>
  <c r="Q106" i="55"/>
  <c r="S106" i="55"/>
  <c r="O2" i="53"/>
  <c r="B4" i="59"/>
  <c r="P4" i="59"/>
  <c r="T2" i="53"/>
  <c r="M12" i="55" a="1"/>
  <c r="M12" i="55" s="1"/>
  <c r="O12" i="55" s="1"/>
  <c r="K2" i="53"/>
  <c r="K44" i="59"/>
  <c r="C18" i="59"/>
  <c r="C23" i="59"/>
  <c r="L23" i="59" s="1"/>
  <c r="I7" i="55"/>
  <c r="D56" i="59"/>
  <c r="D44" i="59"/>
  <c r="D45" i="59"/>
  <c r="D46" i="59"/>
  <c r="D47" i="59"/>
  <c r="D52" i="59"/>
  <c r="D53" i="59"/>
  <c r="D54" i="59"/>
  <c r="D43" i="59"/>
  <c r="D42" i="59"/>
  <c r="D23" i="59"/>
  <c r="D18" i="59"/>
  <c r="D4" i="59"/>
  <c r="D5" i="59"/>
  <c r="D6" i="59"/>
  <c r="D7" i="59"/>
  <c r="D8" i="59"/>
  <c r="D9" i="59"/>
  <c r="D13" i="59"/>
  <c r="D14" i="59"/>
  <c r="D15" i="59"/>
  <c r="E8" i="59"/>
  <c r="I8" i="55"/>
  <c r="AD2" i="53"/>
  <c r="AC2" i="53"/>
  <c r="AB2" i="53"/>
  <c r="AA2" i="53"/>
  <c r="W2" i="53"/>
  <c r="V2" i="53"/>
  <c r="U2" i="53"/>
  <c r="R2" i="53"/>
  <c r="S18" i="59"/>
  <c r="Q18" i="59"/>
  <c r="P18" i="59"/>
  <c r="B18" i="59"/>
  <c r="T18" i="59" s="1"/>
  <c r="E18" i="59"/>
  <c r="K18" i="59"/>
  <c r="J18" i="59"/>
  <c r="I18" i="59"/>
  <c r="H18" i="59"/>
  <c r="S15" i="59"/>
  <c r="Q15" i="59"/>
  <c r="P15" i="59"/>
  <c r="B15" i="59"/>
  <c r="K15" i="59"/>
  <c r="J15" i="59"/>
  <c r="I15" i="59"/>
  <c r="H15" i="59"/>
  <c r="C15" i="59"/>
  <c r="N15" i="59" s="1"/>
  <c r="E15" i="59"/>
  <c r="S14" i="59"/>
  <c r="Q14" i="59"/>
  <c r="B14" i="59"/>
  <c r="K14" i="59"/>
  <c r="J14" i="59"/>
  <c r="I14" i="59"/>
  <c r="H14" i="59"/>
  <c r="C14" i="59"/>
  <c r="E14" i="59"/>
  <c r="S13" i="59"/>
  <c r="Q13" i="59"/>
  <c r="P13" i="59"/>
  <c r="B13" i="59"/>
  <c r="K13" i="59"/>
  <c r="J13" i="59"/>
  <c r="I13" i="59"/>
  <c r="H13" i="59"/>
  <c r="E13" i="59"/>
  <c r="F13" i="59" s="1"/>
  <c r="C13" i="59"/>
  <c r="S9" i="59"/>
  <c r="Q9" i="59"/>
  <c r="U9" i="59"/>
  <c r="B9" i="59"/>
  <c r="P9" i="59"/>
  <c r="P5" i="59"/>
  <c r="P6" i="59"/>
  <c r="P8" i="59"/>
  <c r="K9" i="59"/>
  <c r="J9" i="59"/>
  <c r="I9" i="59"/>
  <c r="C9" i="59"/>
  <c r="H9" i="59"/>
  <c r="E9" i="59"/>
  <c r="S8" i="59"/>
  <c r="Q8" i="59"/>
  <c r="B8" i="59"/>
  <c r="K8" i="59"/>
  <c r="K4" i="59"/>
  <c r="K5" i="59"/>
  <c r="K6" i="59"/>
  <c r="K7" i="59"/>
  <c r="J8" i="59"/>
  <c r="I8" i="59"/>
  <c r="C8" i="59"/>
  <c r="H8" i="59"/>
  <c r="S7" i="59"/>
  <c r="S4" i="59"/>
  <c r="S5" i="59"/>
  <c r="S6" i="59"/>
  <c r="Q7" i="59"/>
  <c r="V7" i="59" s="1"/>
  <c r="J7" i="59"/>
  <c r="I7" i="59"/>
  <c r="H7" i="59"/>
  <c r="C7" i="59"/>
  <c r="Q6" i="59"/>
  <c r="B6" i="59"/>
  <c r="B19" i="59" s="1"/>
  <c r="T19" i="59" s="1"/>
  <c r="J6" i="59"/>
  <c r="I6" i="59"/>
  <c r="H6" i="59"/>
  <c r="C6" i="59"/>
  <c r="E6" i="59"/>
  <c r="Q5" i="59"/>
  <c r="B5" i="59"/>
  <c r="E5" i="59"/>
  <c r="J5" i="59"/>
  <c r="I5" i="59"/>
  <c r="H5" i="59"/>
  <c r="C5" i="59"/>
  <c r="Q4" i="59"/>
  <c r="J4" i="59"/>
  <c r="I4" i="59"/>
  <c r="C4" i="59"/>
  <c r="L4" i="59" s="1"/>
  <c r="H4" i="59"/>
  <c r="E4" i="59"/>
  <c r="I117" i="55"/>
  <c r="J16" i="55"/>
  <c r="R16" i="55" s="1"/>
  <c r="T16" i="55" s="1"/>
  <c r="J17" i="55"/>
  <c r="R17" i="55" s="1"/>
  <c r="D16" i="55" a="1"/>
  <c r="D16" i="55" s="1"/>
  <c r="D17" i="55" a="1"/>
  <c r="D17" i="55" s="1"/>
  <c r="D9" i="55" a="1"/>
  <c r="D9" i="55" s="1"/>
  <c r="D10" i="55" a="1"/>
  <c r="D10" i="55" s="1"/>
  <c r="H10" i="55" s="1"/>
  <c r="D11" i="55" a="1"/>
  <c r="D11" i="55" s="1"/>
  <c r="J11" i="55"/>
  <c r="D12" i="55" a="1"/>
  <c r="D12" i="55" s="1"/>
  <c r="J12" i="55"/>
  <c r="D13" i="55" a="1"/>
  <c r="D13" i="55" s="1"/>
  <c r="D14" i="55" a="1"/>
  <c r="D14" i="55" s="1"/>
  <c r="D18" i="55" a="1"/>
  <c r="D18" i="55" s="1"/>
  <c r="L18" i="55" s="1" a="1"/>
  <c r="L18" i="55" s="1"/>
  <c r="D19" i="55" a="1"/>
  <c r="D19" i="55" s="1"/>
  <c r="H19" i="55" s="1"/>
  <c r="D20" i="55" a="1"/>
  <c r="D20" i="55" s="1"/>
  <c r="D21" i="55" a="1"/>
  <c r="D21" i="55" s="1"/>
  <c r="D22" i="55" a="1"/>
  <c r="D22" i="55" s="1"/>
  <c r="D23" i="55" a="1"/>
  <c r="D23" i="55" s="1"/>
  <c r="K23" i="55" s="1" a="1"/>
  <c r="K23" i="55" s="1"/>
  <c r="D24" i="55" a="1"/>
  <c r="D24" i="55" s="1"/>
  <c r="H24" i="55" s="1"/>
  <c r="D25" i="55" a="1"/>
  <c r="D25" i="55" s="1"/>
  <c r="D26" i="55" a="1"/>
  <c r="D26" i="55" s="1"/>
  <c r="D27" i="55" a="1"/>
  <c r="D27" i="55" s="1"/>
  <c r="D28" i="55" a="1"/>
  <c r="D28" i="55" s="1"/>
  <c r="D29" i="55" a="1"/>
  <c r="D29" i="55"/>
  <c r="H29" i="55" s="1"/>
  <c r="D30" i="55" a="1"/>
  <c r="D30" i="55" s="1"/>
  <c r="G30" i="55" s="1"/>
  <c r="D31" i="55" a="1"/>
  <c r="D31" i="55" s="1"/>
  <c r="J31" i="55"/>
  <c r="D32" i="55" a="1"/>
  <c r="D32" i="55" s="1"/>
  <c r="D33" i="55" a="1"/>
  <c r="D33" i="55" s="1"/>
  <c r="G33" i="55" s="1"/>
  <c r="D34" i="55" a="1"/>
  <c r="D34" i="55" s="1"/>
  <c r="H34" i="55" s="1"/>
  <c r="D35" i="55" a="1"/>
  <c r="D35" i="55" s="1"/>
  <c r="G35" i="55" s="1"/>
  <c r="J35" i="55"/>
  <c r="D107" i="55" a="1"/>
  <c r="D107" i="55" s="1"/>
  <c r="D108" i="55" a="1"/>
  <c r="D108" i="55" s="1"/>
  <c r="H108" i="55" s="1"/>
  <c r="D109" i="55" a="1"/>
  <c r="D109" i="55" s="1"/>
  <c r="J109" i="55"/>
  <c r="D110" i="55" a="1"/>
  <c r="D110" i="55" s="1"/>
  <c r="D111" i="55" a="1"/>
  <c r="D111" i="55" s="1"/>
  <c r="D112" i="55" a="1"/>
  <c r="D112" i="55" s="1"/>
  <c r="D113" i="55" a="1"/>
  <c r="D113" i="55" s="1"/>
  <c r="D114" i="55" a="1"/>
  <c r="D114" i="55" s="1"/>
  <c r="H114" i="55" s="1"/>
  <c r="D115" i="55" a="1"/>
  <c r="D115" i="55" s="1"/>
  <c r="J115" i="55"/>
  <c r="D116" i="55" a="1"/>
  <c r="D116" i="55" s="1"/>
  <c r="D117" i="55" a="1"/>
  <c r="D117" i="55" s="1"/>
  <c r="G117" i="55" s="1"/>
  <c r="D118" i="55" a="1"/>
  <c r="D118" i="55" s="1"/>
  <c r="D119" i="55" a="1"/>
  <c r="D119" i="55" s="1"/>
  <c r="D120" i="55" a="1"/>
  <c r="D120" i="55" s="1"/>
  <c r="D121" i="55" a="1"/>
  <c r="D121" i="55" s="1"/>
  <c r="D122" i="55" a="1"/>
  <c r="D122" i="55" s="1"/>
  <c r="L122" i="55" s="1" a="1"/>
  <c r="L122" i="55" s="1"/>
  <c r="D123" i="55" a="1"/>
  <c r="D123" i="55" s="1"/>
  <c r="D124" i="55" a="1"/>
  <c r="D124" i="55"/>
  <c r="D125" i="55" a="1"/>
  <c r="D125" i="55" s="1"/>
  <c r="H125" i="55" s="1"/>
  <c r="D126" i="55" a="1"/>
  <c r="D126" i="55" s="1"/>
  <c r="D127" i="55" a="1"/>
  <c r="D127" i="55" s="1"/>
  <c r="D128" i="55" a="1"/>
  <c r="D128" i="55" s="1"/>
  <c r="D129" i="55" a="1"/>
  <c r="D129" i="55" s="1"/>
  <c r="H129" i="55" s="1"/>
  <c r="D130" i="55" a="1"/>
  <c r="D130" i="55" s="1"/>
  <c r="D131" i="55" a="1"/>
  <c r="D131" i="55" s="1"/>
  <c r="G131" i="55" s="1"/>
  <c r="D132" i="55" a="1"/>
  <c r="D132" i="55" s="1"/>
  <c r="D133" i="55" a="1"/>
  <c r="D133" i="55" s="1"/>
  <c r="D134" i="55" a="1"/>
  <c r="D134" i="55" s="1"/>
  <c r="G134" i="55" s="1"/>
  <c r="J134" i="55"/>
  <c r="D135" i="55" a="1"/>
  <c r="D135" i="55" s="1"/>
  <c r="D136" i="55" a="1"/>
  <c r="D136" i="55" s="1"/>
  <c r="K136" i="55" s="1" a="1"/>
  <c r="K136" i="55" s="1"/>
  <c r="D137" i="55" a="1"/>
  <c r="D137" i="55" s="1"/>
  <c r="K137" i="55" s="1" a="1"/>
  <c r="K137" i="55" s="1"/>
  <c r="D138" i="55" a="1"/>
  <c r="D138" i="55" s="1"/>
  <c r="D139" i="55" a="1"/>
  <c r="D139" i="55" s="1"/>
  <c r="D140" i="55" a="1"/>
  <c r="D140" i="55" s="1"/>
  <c r="D141" i="55" a="1"/>
  <c r="D141" i="55" s="1"/>
  <c r="D142" i="55" a="1"/>
  <c r="D142" i="55" s="1"/>
  <c r="K142" i="55" s="1" a="1"/>
  <c r="K142" i="55" s="1"/>
  <c r="D143" i="55" a="1"/>
  <c r="D143" i="55" s="1"/>
  <c r="D144" i="55" a="1"/>
  <c r="D144" i="55" s="1"/>
  <c r="D145" i="55" a="1"/>
  <c r="D145" i="55" s="1"/>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107" i="55"/>
  <c r="I108" i="55"/>
  <c r="I109" i="55"/>
  <c r="I110" i="55"/>
  <c r="I111" i="55"/>
  <c r="I112" i="55"/>
  <c r="I113" i="55"/>
  <c r="I114" i="55"/>
  <c r="I115" i="55"/>
  <c r="I116" i="55"/>
  <c r="I118" i="55"/>
  <c r="I119" i="55"/>
  <c r="I120" i="55"/>
  <c r="I121" i="55"/>
  <c r="I122" i="55"/>
  <c r="I123" i="55"/>
  <c r="I124" i="55"/>
  <c r="I125" i="55"/>
  <c r="I126" i="55"/>
  <c r="I127" i="55"/>
  <c r="I128" i="55"/>
  <c r="I129" i="55"/>
  <c r="I130" i="55"/>
  <c r="I131" i="55"/>
  <c r="I132" i="55"/>
  <c r="I133" i="55"/>
  <c r="I134" i="55"/>
  <c r="I135" i="55"/>
  <c r="I136" i="55"/>
  <c r="I137" i="55"/>
  <c r="I138" i="55"/>
  <c r="I139" i="55"/>
  <c r="I140" i="55"/>
  <c r="I141" i="55"/>
  <c r="I142" i="55"/>
  <c r="I143" i="55"/>
  <c r="I144" i="55"/>
  <c r="I145" i="55"/>
  <c r="I52" i="59"/>
  <c r="P52" i="59"/>
  <c r="Q9" i="55"/>
  <c r="Q10" i="55"/>
  <c r="Q11" i="55"/>
  <c r="Q12" i="55"/>
  <c r="P12" i="55"/>
  <c r="Q13" i="55"/>
  <c r="Q14" i="55"/>
  <c r="Q15" i="55"/>
  <c r="Q16" i="55"/>
  <c r="S16" i="55"/>
  <c r="Q17" i="55"/>
  <c r="Q18" i="55"/>
  <c r="Q19" i="55"/>
  <c r="Q20" i="55"/>
  <c r="Q21" i="55"/>
  <c r="Q22" i="55"/>
  <c r="J22" i="55"/>
  <c r="Q23" i="55"/>
  <c r="Q24" i="55"/>
  <c r="Q25" i="55"/>
  <c r="S25" i="55"/>
  <c r="Q26" i="55"/>
  <c r="S26" i="55"/>
  <c r="Q27" i="55"/>
  <c r="Q28" i="55"/>
  <c r="Q29" i="55"/>
  <c r="Q30" i="55"/>
  <c r="Q31" i="55"/>
  <c r="Q32" i="55"/>
  <c r="Q33" i="55"/>
  <c r="S33" i="55"/>
  <c r="Q34" i="55"/>
  <c r="Q35" i="55"/>
  <c r="Q107" i="55"/>
  <c r="Q108" i="55"/>
  <c r="Q109" i="55"/>
  <c r="S109" i="55"/>
  <c r="Q110" i="55"/>
  <c r="Q111" i="55"/>
  <c r="J111" i="55"/>
  <c r="Q112" i="55"/>
  <c r="Q113" i="55"/>
  <c r="Q114" i="55"/>
  <c r="J114" i="55"/>
  <c r="R114" i="55" s="1"/>
  <c r="Q115" i="55"/>
  <c r="S115" i="55"/>
  <c r="Q116" i="55"/>
  <c r="Q117" i="55"/>
  <c r="Q118" i="55"/>
  <c r="Q119" i="55"/>
  <c r="Q120" i="55"/>
  <c r="Q121" i="55"/>
  <c r="Q122" i="55"/>
  <c r="Q123" i="55"/>
  <c r="Q124" i="55"/>
  <c r="S124" i="55"/>
  <c r="Q125" i="55"/>
  <c r="Q126" i="55"/>
  <c r="S126" i="55"/>
  <c r="Q127" i="55"/>
  <c r="S127" i="55"/>
  <c r="Q128" i="55"/>
  <c r="Q129" i="55"/>
  <c r="Q130" i="55"/>
  <c r="Q131" i="55"/>
  <c r="Q132" i="55"/>
  <c r="Q133" i="55"/>
  <c r="Q134" i="55"/>
  <c r="P134" i="55"/>
  <c r="S134" i="55" s="1"/>
  <c r="Q135" i="55"/>
  <c r="Q136" i="55"/>
  <c r="Q137" i="55"/>
  <c r="Q138" i="55"/>
  <c r="Q139" i="55"/>
  <c r="Q140" i="55"/>
  <c r="Q141" i="55"/>
  <c r="Q142" i="55"/>
  <c r="Q143" i="55"/>
  <c r="Q144" i="55"/>
  <c r="Q145" i="55"/>
  <c r="Q8" i="55"/>
  <c r="P8" i="55"/>
  <c r="S8" i="55" s="1"/>
  <c r="Q7" i="55"/>
  <c r="P13" i="55"/>
  <c r="S13" i="55" s="1"/>
  <c r="P18" i="55"/>
  <c r="S18" i="55" s="1"/>
  <c r="J18" i="55"/>
  <c r="R18" i="55" s="1"/>
  <c r="T18" i="55" s="1"/>
  <c r="P19" i="55"/>
  <c r="S19" i="55" s="1"/>
  <c r="P122" i="55"/>
  <c r="S122" i="55" s="1"/>
  <c r="J9" i="55"/>
  <c r="R9" i="55" s="1"/>
  <c r="P9" i="55"/>
  <c r="S9" i="55" s="1"/>
  <c r="J10" i="55"/>
  <c r="R10" i="55" s="1"/>
  <c r="J13" i="55"/>
  <c r="R13" i="55" s="1"/>
  <c r="J14" i="55"/>
  <c r="R14" i="55" s="1"/>
  <c r="P14" i="55"/>
  <c r="S14" i="55" s="1"/>
  <c r="J15" i="55"/>
  <c r="J19" i="55"/>
  <c r="R19" i="55" s="1"/>
  <c r="J20" i="55"/>
  <c r="J21" i="55"/>
  <c r="R21" i="55"/>
  <c r="J23" i="55"/>
  <c r="R23" i="55" s="1"/>
  <c r="P23" i="55"/>
  <c r="S23" i="55"/>
  <c r="J24" i="55"/>
  <c r="R24" i="55" s="1"/>
  <c r="J25" i="55"/>
  <c r="J26" i="55"/>
  <c r="R26" i="55" s="1"/>
  <c r="T26" i="55" s="1"/>
  <c r="J27" i="55"/>
  <c r="J28" i="55"/>
  <c r="J29" i="55"/>
  <c r="J30" i="55"/>
  <c r="J32" i="55"/>
  <c r="J33" i="55"/>
  <c r="J34" i="55"/>
  <c r="R34" i="55" s="1"/>
  <c r="T34" i="55" s="1"/>
  <c r="J107" i="55"/>
  <c r="J108" i="55"/>
  <c r="R108" i="55" s="1"/>
  <c r="J110" i="55"/>
  <c r="J112" i="55"/>
  <c r="R112" i="55"/>
  <c r="J113" i="55"/>
  <c r="R113" i="55" s="1"/>
  <c r="J116" i="55"/>
  <c r="R116" i="55" s="1"/>
  <c r="P116" i="55"/>
  <c r="S116" i="55" s="1"/>
  <c r="J117" i="55"/>
  <c r="R117" i="55" s="1"/>
  <c r="J118" i="55"/>
  <c r="J119" i="55"/>
  <c r="R119" i="55" s="1"/>
  <c r="P119" i="55"/>
  <c r="S119" i="55" s="1"/>
  <c r="J120" i="55"/>
  <c r="J121" i="55"/>
  <c r="R121" i="55" s="1"/>
  <c r="J122" i="55"/>
  <c r="R122" i="55" s="1"/>
  <c r="J124" i="55"/>
  <c r="J125" i="55"/>
  <c r="R125" i="55" s="1"/>
  <c r="J126" i="55"/>
  <c r="J127" i="55"/>
  <c r="J128" i="55"/>
  <c r="R128" i="55" s="1"/>
  <c r="J129" i="55"/>
  <c r="R129" i="55" s="1"/>
  <c r="J130" i="55"/>
  <c r="J131" i="55"/>
  <c r="P131" i="55"/>
  <c r="S131" i="55" s="1"/>
  <c r="J132" i="55"/>
  <c r="J133" i="55"/>
  <c r="J135" i="55"/>
  <c r="R135" i="55" s="1"/>
  <c r="T135" i="55" s="1"/>
  <c r="J136" i="55"/>
  <c r="R136" i="55" s="1"/>
  <c r="J137" i="55"/>
  <c r="R137" i="55" s="1"/>
  <c r="P137" i="55"/>
  <c r="S137" i="55" s="1"/>
  <c r="J138" i="55"/>
  <c r="R138" i="55" s="1"/>
  <c r="P138" i="55"/>
  <c r="S138" i="55" s="1"/>
  <c r="J139" i="55"/>
  <c r="R139" i="55" s="1"/>
  <c r="J140" i="55"/>
  <c r="R140" i="55" s="1"/>
  <c r="P140" i="55"/>
  <c r="S140" i="55" s="1"/>
  <c r="J141" i="55"/>
  <c r="R141" i="55" s="1"/>
  <c r="P141" i="55"/>
  <c r="S141" i="55" s="1"/>
  <c r="J142" i="55"/>
  <c r="R142" i="55" s="1"/>
  <c r="J143" i="55"/>
  <c r="R143" i="55" s="1"/>
  <c r="J144" i="55"/>
  <c r="R144" i="55" s="1"/>
  <c r="J145" i="55"/>
  <c r="R145" i="55" s="1"/>
  <c r="J8" i="55"/>
  <c r="J7" i="55"/>
  <c r="R7" i="55" s="1"/>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1" i="55"/>
  <c r="E132" i="55"/>
  <c r="E133" i="55"/>
  <c r="E134" i="55"/>
  <c r="E135" i="55"/>
  <c r="E136" i="55"/>
  <c r="E137" i="55"/>
  <c r="E138" i="55"/>
  <c r="E139" i="55"/>
  <c r="E140" i="55"/>
  <c r="E141" i="55"/>
  <c r="E142" i="55"/>
  <c r="E143" i="55"/>
  <c r="E144" i="55"/>
  <c r="E145" i="55"/>
  <c r="E8" i="55"/>
  <c r="E7" i="55"/>
  <c r="D8" i="55" a="1"/>
  <c r="D8" i="55" s="1"/>
  <c r="G8" i="55" s="1"/>
  <c r="D7" i="55" a="1"/>
  <c r="D7" i="55" s="1"/>
  <c r="N28" i="55" a="1"/>
  <c r="N28" i="55" s="1"/>
  <c r="N7" i="55" a="1"/>
  <c r="N7" i="55" s="1"/>
  <c r="F14" i="55"/>
  <c r="F16" i="55"/>
  <c r="F22" i="55"/>
  <c r="F24" i="55"/>
  <c r="F30" i="55"/>
  <c r="F32" i="55"/>
  <c r="F109" i="55"/>
  <c r="F111" i="55"/>
  <c r="F117" i="55"/>
  <c r="F119" i="55"/>
  <c r="F125" i="55"/>
  <c r="F127" i="55"/>
  <c r="F133" i="55"/>
  <c r="F135" i="55"/>
  <c r="F141" i="55"/>
  <c r="F143" i="55"/>
  <c r="F8" i="55"/>
  <c r="I3" i="52"/>
  <c r="F9" i="55"/>
  <c r="F10" i="55"/>
  <c r="F11" i="55"/>
  <c r="F12" i="55"/>
  <c r="F13" i="55"/>
  <c r="F15" i="55"/>
  <c r="F17" i="55"/>
  <c r="F18" i="55"/>
  <c r="F19" i="55"/>
  <c r="F20" i="55"/>
  <c r="F21" i="55"/>
  <c r="F23" i="55"/>
  <c r="F25" i="55"/>
  <c r="F26" i="55"/>
  <c r="F27" i="55"/>
  <c r="F28" i="55"/>
  <c r="F29" i="55"/>
  <c r="F31" i="55"/>
  <c r="F33" i="55"/>
  <c r="F34" i="55"/>
  <c r="F35" i="55"/>
  <c r="F107" i="55"/>
  <c r="F108" i="55"/>
  <c r="F110" i="55"/>
  <c r="F112" i="55"/>
  <c r="F113" i="55"/>
  <c r="F114" i="55"/>
  <c r="F115" i="55"/>
  <c r="F116" i="55"/>
  <c r="F118" i="55"/>
  <c r="F120" i="55"/>
  <c r="F121" i="55"/>
  <c r="F122" i="55"/>
  <c r="F123" i="55"/>
  <c r="F124" i="55"/>
  <c r="F126" i="55"/>
  <c r="F128" i="55"/>
  <c r="F129" i="55"/>
  <c r="F130" i="55"/>
  <c r="F131" i="55"/>
  <c r="F132" i="55"/>
  <c r="F134" i="55"/>
  <c r="F136" i="55"/>
  <c r="F137" i="55"/>
  <c r="F138" i="55"/>
  <c r="F139" i="55"/>
  <c r="F140" i="55"/>
  <c r="F142" i="55"/>
  <c r="F144" i="55"/>
  <c r="F145" i="55"/>
  <c r="I13" i="52"/>
  <c r="I12" i="52"/>
  <c r="I11" i="52"/>
  <c r="I10" i="52"/>
  <c r="I9" i="52"/>
  <c r="I8" i="52"/>
  <c r="I7" i="52"/>
  <c r="I6" i="52"/>
  <c r="I5" i="52"/>
  <c r="I4" i="52"/>
  <c r="C56" i="59"/>
  <c r="B43" i="59"/>
  <c r="F43" i="59" s="1"/>
  <c r="B42" i="59"/>
  <c r="T42" i="59" s="1"/>
  <c r="B44" i="59"/>
  <c r="B45" i="59"/>
  <c r="F45" i="59" s="1"/>
  <c r="B46" i="59"/>
  <c r="B47" i="59"/>
  <c r="B52" i="59"/>
  <c r="V52" i="59" s="1"/>
  <c r="B53" i="59"/>
  <c r="B54" i="59"/>
  <c r="T54" i="59" s="1"/>
  <c r="B56" i="59"/>
  <c r="E44" i="59"/>
  <c r="E45" i="59"/>
  <c r="E42" i="59"/>
  <c r="E43" i="59"/>
  <c r="E46" i="59"/>
  <c r="E47" i="59"/>
  <c r="E52" i="59"/>
  <c r="E53" i="59"/>
  <c r="E54" i="59"/>
  <c r="E56" i="59"/>
  <c r="P46" i="59"/>
  <c r="Q46" i="59"/>
  <c r="K56" i="59"/>
  <c r="J56" i="59"/>
  <c r="K54" i="59"/>
  <c r="J54" i="59"/>
  <c r="K53" i="59"/>
  <c r="J53" i="59"/>
  <c r="K52" i="59"/>
  <c r="J52" i="59"/>
  <c r="K47" i="59"/>
  <c r="J47" i="59"/>
  <c r="K46" i="59"/>
  <c r="J46" i="59"/>
  <c r="K45" i="59"/>
  <c r="J45" i="59"/>
  <c r="J42" i="59"/>
  <c r="J43" i="59"/>
  <c r="J44" i="59"/>
  <c r="K43" i="59"/>
  <c r="K42" i="59"/>
  <c r="K23" i="59"/>
  <c r="J23" i="59"/>
  <c r="S23" i="59"/>
  <c r="S56" i="59"/>
  <c r="R56" i="59"/>
  <c r="S54" i="59"/>
  <c r="R54" i="59"/>
  <c r="S53" i="59"/>
  <c r="R53" i="59"/>
  <c r="S52" i="59"/>
  <c r="S42" i="59"/>
  <c r="S43" i="59"/>
  <c r="S44" i="59"/>
  <c r="S45" i="59"/>
  <c r="S46" i="59"/>
  <c r="S47" i="59"/>
  <c r="R52" i="59"/>
  <c r="R47" i="59"/>
  <c r="R46" i="59"/>
  <c r="R45" i="59"/>
  <c r="R44" i="59"/>
  <c r="R43" i="59"/>
  <c r="R42" i="59"/>
  <c r="H42" i="59"/>
  <c r="N42" i="59" s="1"/>
  <c r="C43" i="59"/>
  <c r="C44" i="59"/>
  <c r="C45" i="59"/>
  <c r="C46" i="59"/>
  <c r="H46" i="59"/>
  <c r="I46" i="59"/>
  <c r="C47" i="59"/>
  <c r="C52" i="59"/>
  <c r="C53" i="59"/>
  <c r="C54" i="59"/>
  <c r="H54" i="59"/>
  <c r="I54" i="59"/>
  <c r="C42" i="59"/>
  <c r="I42" i="59"/>
  <c r="U42" i="59"/>
  <c r="P42" i="59"/>
  <c r="Q42" i="59"/>
  <c r="V23" i="59"/>
  <c r="I23" i="59"/>
  <c r="H23" i="59"/>
  <c r="H38" i="59" s="1"/>
  <c r="G23" i="59"/>
  <c r="M23" i="59" s="1"/>
  <c r="E23" i="59"/>
  <c r="E38" i="59" s="1"/>
  <c r="Q43" i="59"/>
  <c r="Q44" i="59"/>
  <c r="Q45" i="59"/>
  <c r="P45" i="59"/>
  <c r="Q47" i="59"/>
  <c r="P47" i="59"/>
  <c r="Q52" i="59"/>
  <c r="Q53" i="59"/>
  <c r="P53" i="59"/>
  <c r="Q54" i="59"/>
  <c r="Q56" i="59"/>
  <c r="P43" i="59"/>
  <c r="P44" i="59"/>
  <c r="V44" i="59" s="1"/>
  <c r="P54" i="59"/>
  <c r="P56" i="59"/>
  <c r="I43" i="59"/>
  <c r="I44" i="59"/>
  <c r="I45" i="59"/>
  <c r="I47" i="59"/>
  <c r="I53" i="59"/>
  <c r="H53" i="59"/>
  <c r="I56" i="59"/>
  <c r="N56" i="59" s="1"/>
  <c r="H43" i="59"/>
  <c r="H44" i="59"/>
  <c r="H45" i="59"/>
  <c r="H47" i="59"/>
  <c r="H52" i="59"/>
  <c r="H56" i="59"/>
  <c r="P143" i="55"/>
  <c r="S143" i="55" s="1"/>
  <c r="T143" i="55" s="1"/>
  <c r="P11" i="55"/>
  <c r="S11" i="55" s="1"/>
  <c r="S99" i="55"/>
  <c r="P77" i="55"/>
  <c r="S77" i="55" s="1"/>
  <c r="P47" i="55"/>
  <c r="S47" i="55" s="1"/>
  <c r="P17" i="55"/>
  <c r="S17" i="55" s="1"/>
  <c r="T17" i="55" s="1"/>
  <c r="C7" i="26"/>
  <c r="D7" i="26" s="1"/>
  <c r="C9" i="26"/>
  <c r="D9" i="26" s="1"/>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D12" i="26" s="1"/>
  <c r="V12" i="26"/>
  <c r="F7" i="55"/>
  <c r="P142" i="55"/>
  <c r="S142" i="55" s="1"/>
  <c r="P136" i="55"/>
  <c r="S136" i="55" s="1"/>
  <c r="P145" i="55"/>
  <c r="S145" i="55" s="1"/>
  <c r="T145" i="55" s="1"/>
  <c r="O23" i="59"/>
  <c r="U23" i="59" s="1"/>
  <c r="U32" i="59"/>
  <c r="S100" i="55"/>
  <c r="S113" i="55"/>
  <c r="S85" i="55"/>
  <c r="R85" i="55"/>
  <c r="R74" i="55"/>
  <c r="U12" i="59"/>
  <c r="P35" i="55"/>
  <c r="S35" i="55" s="1"/>
  <c r="S69" i="55"/>
  <c r="S70" i="55"/>
  <c r="R70" i="55"/>
  <c r="P61" i="55"/>
  <c r="S61" i="55" s="1"/>
  <c r="U43" i="59"/>
  <c r="P43" i="55"/>
  <c r="R43" i="55" s="1"/>
  <c r="P10" i="55"/>
  <c r="S10" i="55" s="1"/>
  <c r="P121" i="55"/>
  <c r="S121" i="55" s="1"/>
  <c r="P144" i="55"/>
  <c r="S144" i="55" s="1"/>
  <c r="S108" i="55"/>
  <c r="P139" i="55"/>
  <c r="S139" i="55" s="1"/>
  <c r="N26" i="59"/>
  <c r="N55" i="59"/>
  <c r="L36" i="59"/>
  <c r="N24" i="59"/>
  <c r="L25" i="59"/>
  <c r="L31" i="59"/>
  <c r="V37" i="59"/>
  <c r="N2" i="53"/>
  <c r="B7" i="59"/>
  <c r="E7" i="59"/>
  <c r="F7" i="59" s="1"/>
  <c r="T26" i="59"/>
  <c r="P50" i="55"/>
  <c r="S50" i="55" s="1"/>
  <c r="L2" i="53"/>
  <c r="S76" i="55"/>
  <c r="P96" i="55"/>
  <c r="S96" i="55" s="1"/>
  <c r="S95" i="55"/>
  <c r="G11" i="59"/>
  <c r="M11" i="59" s="1"/>
  <c r="F33" i="59"/>
  <c r="V25" i="59"/>
  <c r="F25" i="59"/>
  <c r="V30" i="59"/>
  <c r="F30" i="59"/>
  <c r="F48" i="59"/>
  <c r="F26" i="59"/>
  <c r="P125" i="55"/>
  <c r="S125" i="55" s="1"/>
  <c r="T35" i="59"/>
  <c r="F35" i="59"/>
  <c r="V31" i="59"/>
  <c r="M116" i="55" a="1"/>
  <c r="M116" i="55" s="1"/>
  <c r="O116" i="55" s="1"/>
  <c r="V34" i="59"/>
  <c r="P52" i="55"/>
  <c r="S52" i="55" s="1"/>
  <c r="L37" i="59"/>
  <c r="V51" i="59"/>
  <c r="I151" i="55"/>
  <c r="I2" i="55"/>
  <c r="P45" i="55"/>
  <c r="S45" i="55" s="1"/>
  <c r="P51" i="55"/>
  <c r="R51" i="55" s="1"/>
  <c r="T28" i="59"/>
  <c r="F28" i="59"/>
  <c r="L28" i="59"/>
  <c r="S54" i="55"/>
  <c r="R54" i="55"/>
  <c r="R100" i="55"/>
  <c r="L17" i="59"/>
  <c r="F16" i="59"/>
  <c r="P82" i="55"/>
  <c r="S82" i="55" s="1"/>
  <c r="T24" i="59"/>
  <c r="P34" i="55"/>
  <c r="S34" i="55" s="1"/>
  <c r="P78" i="55"/>
  <c r="V33" i="59"/>
  <c r="V29" i="59"/>
  <c r="F29" i="59"/>
  <c r="V24" i="59"/>
  <c r="V50" i="59"/>
  <c r="M115" i="55" a="1"/>
  <c r="M115" i="55" s="1"/>
  <c r="P66" i="55"/>
  <c r="S66" i="55" s="1"/>
  <c r="P64" i="55"/>
  <c r="R64" i="55" s="1"/>
  <c r="M100" i="55" a="1"/>
  <c r="M100" i="55" s="1"/>
  <c r="O100" i="55" s="1"/>
  <c r="N33" i="59"/>
  <c r="M143" i="55" a="1"/>
  <c r="M143" i="55" s="1"/>
  <c r="O143" i="55" s="1"/>
  <c r="M141" i="55" a="1"/>
  <c r="M141" i="55" s="1"/>
  <c r="O141" i="55" s="1"/>
  <c r="T55" i="59"/>
  <c r="V55" i="59"/>
  <c r="N27" i="59"/>
  <c r="M66" i="55" a="1"/>
  <c r="M66" i="55" s="1"/>
  <c r="M76" i="55" a="1"/>
  <c r="M76" i="55" s="1"/>
  <c r="V27" i="59"/>
  <c r="M68" i="55" a="1"/>
  <c r="M68" i="55" s="1"/>
  <c r="M40" i="55" a="1"/>
  <c r="M40" i="55" s="1"/>
  <c r="M122" i="55" a="1"/>
  <c r="M122" i="55" s="1"/>
  <c r="O122" i="55" s="1"/>
  <c r="M113" i="55" a="1"/>
  <c r="M113" i="55" s="1"/>
  <c r="M32" i="55" a="1"/>
  <c r="M32" i="55"/>
  <c r="T34" i="59"/>
  <c r="F11" i="59"/>
  <c r="F50" i="59"/>
  <c r="F17" i="59"/>
  <c r="N51" i="59"/>
  <c r="L35" i="59"/>
  <c r="M145" i="55" a="1"/>
  <c r="M145" i="55" s="1"/>
  <c r="O145" i="55" s="1"/>
  <c r="M42" i="55" a="1"/>
  <c r="M42" i="55" s="1"/>
  <c r="M77" i="55" a="1"/>
  <c r="M77" i="55" s="1"/>
  <c r="M103" i="55" a="1"/>
  <c r="M103" i="55" s="1"/>
  <c r="O103" i="55" s="1"/>
  <c r="M97" i="55" a="1"/>
  <c r="M97" i="55" s="1"/>
  <c r="M54" i="55" a="1"/>
  <c r="M54" i="55" s="1"/>
  <c r="N30" i="59"/>
  <c r="F12" i="59"/>
  <c r="T51" i="59"/>
  <c r="F36" i="59"/>
  <c r="F27" i="59"/>
  <c r="M71" i="55" a="1"/>
  <c r="M71" i="55"/>
  <c r="M123" i="55" a="1"/>
  <c r="M123" i="55" s="1"/>
  <c r="F18" i="59"/>
  <c r="M104" i="55" a="1"/>
  <c r="M104" i="55" s="1"/>
  <c r="O104" i="55" s="1"/>
  <c r="M59" i="55" a="1"/>
  <c r="M59" i="55" s="1"/>
  <c r="M82" i="55" a="1"/>
  <c r="M82" i="55" s="1"/>
  <c r="N23" i="59"/>
  <c r="M10" i="55" a="1"/>
  <c r="M10" i="55" s="1"/>
  <c r="O10" i="55" s="1"/>
  <c r="M114" i="55" a="1"/>
  <c r="M114" i="55" s="1"/>
  <c r="R53" i="55"/>
  <c r="M26" i="55" a="1"/>
  <c r="M26" i="55" s="1"/>
  <c r="R123" i="55"/>
  <c r="T123" i="55"/>
  <c r="M16" i="55" a="1"/>
  <c r="M16" i="55" s="1"/>
  <c r="M106" i="55" a="1"/>
  <c r="M106" i="55" s="1"/>
  <c r="M34" i="55" a="1"/>
  <c r="M34" i="55" s="1"/>
  <c r="M75" i="55" a="1"/>
  <c r="M75" i="55" s="1"/>
  <c r="M121" i="55" a="1"/>
  <c r="M121" i="55" s="1"/>
  <c r="O121" i="55" s="1"/>
  <c r="M70" i="55" a="1"/>
  <c r="M70" i="55" s="1"/>
  <c r="M52" i="55" a="1"/>
  <c r="M52" i="55" s="1"/>
  <c r="M137" i="55" a="1"/>
  <c r="M137" i="55" s="1"/>
  <c r="O137" i="55" s="1"/>
  <c r="M18" i="55" a="1"/>
  <c r="M18" i="55" s="1"/>
  <c r="O18" i="55" s="1"/>
  <c r="M81" i="55" a="1"/>
  <c r="M81" i="55" s="1"/>
  <c r="M24" i="55" a="1"/>
  <c r="M24" i="55" s="1"/>
  <c r="M78" i="55" a="1"/>
  <c r="M78" i="55" s="1"/>
  <c r="M92" i="55" a="1"/>
  <c r="M92" i="55" s="1"/>
  <c r="M83" i="55" a="1"/>
  <c r="M83" i="55" s="1"/>
  <c r="M85" i="55" a="1"/>
  <c r="M85" i="55" s="1"/>
  <c r="M108" i="55" a="1"/>
  <c r="M108" i="55" s="1"/>
  <c r="O108" i="55" s="1"/>
  <c r="G36" i="55"/>
  <c r="N62" i="55" a="1"/>
  <c r="N62" i="55" s="1"/>
  <c r="K108" i="55" a="1"/>
  <c r="K108" i="55" s="1"/>
  <c r="N119" i="55" a="1"/>
  <c r="N119" i="55" s="1"/>
  <c r="AE14" i="26"/>
  <c r="AE12" i="26"/>
  <c r="U12" i="26"/>
  <c r="M20" i="55" a="1"/>
  <c r="M20" i="55" s="1"/>
  <c r="M43" i="55" a="1"/>
  <c r="M43" i="55" s="1"/>
  <c r="M51" i="55" a="1"/>
  <c r="M51" i="55" s="1"/>
  <c r="M63" i="55" a="1"/>
  <c r="M63" i="55" s="1"/>
  <c r="M140" i="55" a="1"/>
  <c r="M140" i="55" s="1"/>
  <c r="O140" i="55" s="1"/>
  <c r="M36" i="55" a="1"/>
  <c r="M36" i="55" s="1"/>
  <c r="M80" i="55" a="1"/>
  <c r="M80" i="55" s="1"/>
  <c r="M91" i="55" a="1"/>
  <c r="M91" i="55" s="1"/>
  <c r="M19" i="55" a="1"/>
  <c r="M19" i="55" s="1"/>
  <c r="O19" i="55" s="1"/>
  <c r="M49" i="55" a="1"/>
  <c r="M49" i="55" s="1"/>
  <c r="M15" i="55" a="1"/>
  <c r="M15" i="55" s="1"/>
  <c r="M8" i="55" a="1"/>
  <c r="M8" i="55" s="1"/>
  <c r="O8" i="55"/>
  <c r="M95" i="55" a="1"/>
  <c r="M95" i="55" s="1"/>
  <c r="M134" i="55" a="1"/>
  <c r="M134" i="55" s="1"/>
  <c r="M109" i="55" a="1"/>
  <c r="M109" i="55"/>
  <c r="M28" i="55" a="1"/>
  <c r="M28" i="55" s="1"/>
  <c r="M62" i="55" a="1"/>
  <c r="M62" i="55" s="1"/>
  <c r="M30" i="55" a="1"/>
  <c r="M30" i="55" s="1"/>
  <c r="M127" i="55" a="1"/>
  <c r="M127" i="55" s="1"/>
  <c r="M87" i="55" a="1"/>
  <c r="M87" i="55" s="1"/>
  <c r="M94" i="55" a="1"/>
  <c r="M94" i="55"/>
  <c r="O94" i="55" s="1"/>
  <c r="M44" i="55" a="1"/>
  <c r="M44" i="55" s="1"/>
  <c r="M111" i="55" a="1"/>
  <c r="M111" i="55" s="1"/>
  <c r="M136" i="55" a="1"/>
  <c r="M136" i="55" s="1"/>
  <c r="O136" i="55" s="1"/>
  <c r="M31" i="55" a="1"/>
  <c r="M31" i="55" s="1"/>
  <c r="M88" i="55" a="1"/>
  <c r="M88" i="55" s="1"/>
  <c r="M33" i="55" a="1"/>
  <c r="M33" i="55" s="1"/>
  <c r="M74" i="55" a="1"/>
  <c r="M74" i="55" s="1"/>
  <c r="M119" i="55" a="1"/>
  <c r="M119" i="55" s="1"/>
  <c r="O119" i="55" s="1"/>
  <c r="M96" i="55" a="1"/>
  <c r="M96" i="55" s="1"/>
  <c r="O96" i="55" s="1"/>
  <c r="M17" i="55" a="1"/>
  <c r="M17" i="55" s="1"/>
  <c r="O17" i="55" s="1"/>
  <c r="M72" i="55" a="1"/>
  <c r="M72" i="55" s="1"/>
  <c r="O72" i="55" s="1"/>
  <c r="M48" i="55" a="1"/>
  <c r="M48" i="55" s="1"/>
  <c r="M35" i="55" a="1"/>
  <c r="M35" i="55" s="1"/>
  <c r="M84" i="55" a="1"/>
  <c r="M84" i="55" s="1"/>
  <c r="M37" i="55" a="1"/>
  <c r="M37" i="55" s="1"/>
  <c r="M144" i="55" a="1"/>
  <c r="M144" i="55" s="1"/>
  <c r="O144" i="55" s="1"/>
  <c r="M101" i="55" a="1"/>
  <c r="M101" i="55" s="1"/>
  <c r="M65" i="55" a="1"/>
  <c r="M65" i="55" s="1"/>
  <c r="M2" i="55"/>
  <c r="M60" i="55" a="1"/>
  <c r="M60" i="55" s="1"/>
  <c r="M58" i="55" a="1"/>
  <c r="M58" i="55" s="1"/>
  <c r="M11" i="55" a="1"/>
  <c r="M11" i="55" s="1"/>
  <c r="O11" i="55" s="1"/>
  <c r="M25" i="55" a="1"/>
  <c r="M25" i="55" s="1"/>
  <c r="M27" i="55" a="1"/>
  <c r="M27" i="55" s="1"/>
  <c r="M39" i="55" a="1"/>
  <c r="M39" i="55" s="1"/>
  <c r="M79" i="55" a="1"/>
  <c r="M79" i="55" s="1"/>
  <c r="M23" i="55" a="1"/>
  <c r="M23" i="55" s="1"/>
  <c r="O23" i="55" s="1"/>
  <c r="M110" i="55" a="1"/>
  <c r="M110" i="55" s="1"/>
  <c r="M61" i="55" a="1"/>
  <c r="M61" i="55" s="1"/>
  <c r="M55" i="55" a="1"/>
  <c r="M55" i="55" s="1"/>
  <c r="M22" i="55" a="1"/>
  <c r="M22" i="55" s="1"/>
  <c r="M73" i="55" a="1"/>
  <c r="M73" i="55" s="1"/>
  <c r="M56" i="55" a="1"/>
  <c r="M56" i="55" s="1"/>
  <c r="M102" i="55" a="1"/>
  <c r="M102" i="55" s="1"/>
  <c r="M57" i="55" a="1"/>
  <c r="M57" i="55" s="1"/>
  <c r="M53" i="55" a="1"/>
  <c r="M53" i="55" s="1"/>
  <c r="M112" i="55" a="1"/>
  <c r="M112" i="55" s="1"/>
  <c r="N89" i="55" a="1"/>
  <c r="N89" i="55" s="1"/>
  <c r="M132" i="55" a="1"/>
  <c r="M132" i="55" s="1"/>
  <c r="M50" i="55" a="1"/>
  <c r="M50" i="55" s="1"/>
  <c r="M99" i="55" a="1"/>
  <c r="M99" i="55" s="1"/>
  <c r="M14" i="55" a="1"/>
  <c r="M14" i="55" s="1"/>
  <c r="O14" i="55" s="1"/>
  <c r="M128" i="55" a="1"/>
  <c r="M128" i="55" s="1"/>
  <c r="M41" i="55" a="1"/>
  <c r="M41" i="55" s="1"/>
  <c r="M130" i="55" a="1"/>
  <c r="M130" i="55" s="1"/>
  <c r="M90" i="55" a="1"/>
  <c r="M90" i="55" s="1"/>
  <c r="M89" i="55" a="1"/>
  <c r="M89" i="55" s="1"/>
  <c r="M64" i="55" a="1"/>
  <c r="M64" i="55" s="1"/>
  <c r="M86" i="55" a="1"/>
  <c r="M86" i="55" s="1"/>
  <c r="M131" i="55" a="1"/>
  <c r="M131" i="55" s="1"/>
  <c r="F4" i="59"/>
  <c r="N6" i="59"/>
  <c r="H77" i="55"/>
  <c r="G77" i="55"/>
  <c r="M29" i="55" a="1"/>
  <c r="M29" i="55" s="1"/>
  <c r="M98" i="55" a="1"/>
  <c r="M98" i="55" s="1"/>
  <c r="M67" i="55" a="1"/>
  <c r="M67" i="55" s="1"/>
  <c r="M13" i="55" a="1"/>
  <c r="M13" i="55" s="1"/>
  <c r="O13" i="55" s="1"/>
  <c r="M69" i="55" a="1"/>
  <c r="M69" i="55" s="1"/>
  <c r="M126" i="55" a="1"/>
  <c r="M126" i="55" s="1"/>
  <c r="M124" i="55" a="1"/>
  <c r="M124" i="55" s="1"/>
  <c r="M142" i="55" a="1"/>
  <c r="M142" i="55" s="1"/>
  <c r="O142" i="55" s="1"/>
  <c r="N138" i="55" a="1"/>
  <c r="N138" i="55" s="1"/>
  <c r="M120" i="55" a="1"/>
  <c r="M120" i="55" s="1"/>
  <c r="F8" i="59"/>
  <c r="M117" i="55" a="1"/>
  <c r="M117" i="55" s="1"/>
  <c r="M93" i="55" a="1"/>
  <c r="M93" i="55" s="1"/>
  <c r="M107" i="55" a="1"/>
  <c r="M107" i="55" s="1"/>
  <c r="M151" i="55"/>
  <c r="M129" i="55" a="1"/>
  <c r="M129" i="55" s="1"/>
  <c r="M46" i="55" a="1"/>
  <c r="M46" i="55" s="1"/>
  <c r="O46" i="55" s="1"/>
  <c r="M7" i="55" a="1"/>
  <c r="M7" i="55" s="1"/>
  <c r="O7" i="55" s="1"/>
  <c r="M47" i="55" a="1"/>
  <c r="M47" i="55" s="1"/>
  <c r="M9" i="55" a="1"/>
  <c r="M9" i="55"/>
  <c r="O9" i="55" s="1"/>
  <c r="M105" i="55" a="1"/>
  <c r="M105" i="55" s="1"/>
  <c r="M138" i="55" a="1"/>
  <c r="M138" i="55" s="1"/>
  <c r="O138" i="55" s="1"/>
  <c r="M21" i="55" a="1"/>
  <c r="M21" i="55" s="1"/>
  <c r="F23" i="59"/>
  <c r="M118" i="55" a="1"/>
  <c r="M118" i="55" s="1"/>
  <c r="M139" i="55" a="1"/>
  <c r="M139" i="55" s="1"/>
  <c r="O139" i="55" s="1"/>
  <c r="M38" i="55" a="1"/>
  <c r="M38" i="55" s="1"/>
  <c r="T23" i="59"/>
  <c r="H30" i="55"/>
  <c r="H49" i="55"/>
  <c r="G49" i="55"/>
  <c r="G26" i="55"/>
  <c r="H26" i="55"/>
  <c r="H91" i="55"/>
  <c r="G91" i="55"/>
  <c r="F32" i="59"/>
  <c r="H93" i="55"/>
  <c r="L19" i="55" a="1"/>
  <c r="L19" i="55" s="1"/>
  <c r="F53" i="59"/>
  <c r="N18" i="59"/>
  <c r="G71" i="55"/>
  <c r="H71" i="55"/>
  <c r="D6" i="26"/>
  <c r="E7" i="26"/>
  <c r="E6" i="26"/>
  <c r="F7" i="26"/>
  <c r="G7" i="26"/>
  <c r="G90" i="55"/>
  <c r="AA12" i="26"/>
  <c r="Z14" i="26"/>
  <c r="R92" i="55"/>
  <c r="AD14" i="26"/>
  <c r="F12" i="26"/>
  <c r="K103" i="55" a="1"/>
  <c r="K103" i="55" s="1"/>
  <c r="L103" i="55" a="1"/>
  <c r="L103" i="55" s="1"/>
  <c r="O12" i="26"/>
  <c r="AF12" i="26"/>
  <c r="M12" i="26"/>
  <c r="N117" i="55" a="1"/>
  <c r="N117" i="55" s="1"/>
  <c r="N12" i="26"/>
  <c r="B6" i="26"/>
  <c r="J12" i="26"/>
  <c r="W12" i="26"/>
  <c r="I12" i="26"/>
  <c r="N14" i="26"/>
  <c r="O14" i="26"/>
  <c r="Q12" i="26"/>
  <c r="AJ14" i="26"/>
  <c r="AB12" i="26"/>
  <c r="AJ12" i="26"/>
  <c r="AA14" i="26"/>
  <c r="J14" i="26"/>
  <c r="V14" i="26"/>
  <c r="M14" i="26"/>
  <c r="AI12" i="26"/>
  <c r="L12" i="26"/>
  <c r="AG12" i="26"/>
  <c r="AG14" i="26"/>
  <c r="AL12" i="26"/>
  <c r="S12" i="26"/>
  <c r="T12" i="26"/>
  <c r="AB14" i="26"/>
  <c r="K14" i="26"/>
  <c r="R14" i="26"/>
  <c r="K12" i="26"/>
  <c r="AK12" i="26"/>
  <c r="G19" i="55"/>
  <c r="K19" i="55" a="1"/>
  <c r="K19" i="55" s="1"/>
  <c r="AC14" i="26"/>
  <c r="T14" i="26"/>
  <c r="AL14" i="26"/>
  <c r="K18" i="55" a="1"/>
  <c r="K18" i="55" s="1"/>
  <c r="H18" i="55"/>
  <c r="Y14" i="26"/>
  <c r="G2" i="26"/>
  <c r="Q14" i="26"/>
  <c r="P12" i="26"/>
  <c r="I14" i="26"/>
  <c r="X14" i="26"/>
  <c r="L108" i="55" a="1"/>
  <c r="L108" i="55" s="1"/>
  <c r="G108" i="55"/>
  <c r="U14" i="26"/>
  <c r="G12" i="26"/>
  <c r="AK14" i="26"/>
  <c r="M135" i="55" a="1"/>
  <c r="M135" i="55" s="1"/>
  <c r="S7" i="55"/>
  <c r="V53" i="59"/>
  <c r="AH14" i="26"/>
  <c r="H15" i="55"/>
  <c r="G15" i="55"/>
  <c r="F14" i="26"/>
  <c r="Z12" i="26"/>
  <c r="L29" i="59"/>
  <c r="N29" i="59"/>
  <c r="H14" i="26"/>
  <c r="C6" i="26"/>
  <c r="W14" i="26"/>
  <c r="N34" i="59"/>
  <c r="L34" i="59"/>
  <c r="R12" i="26"/>
  <c r="C12" i="26"/>
  <c r="F47" i="59"/>
  <c r="G48" i="55"/>
  <c r="S14" i="26"/>
  <c r="AH12" i="26"/>
  <c r="B12" i="26"/>
  <c r="L14" i="26"/>
  <c r="AI14" i="26"/>
  <c r="E12" i="26"/>
  <c r="F31" i="59"/>
  <c r="T31" i="59"/>
  <c r="H40" i="55"/>
  <c r="G40" i="55"/>
  <c r="F37" i="59"/>
  <c r="T37" i="59"/>
  <c r="AF14" i="26"/>
  <c r="P14" i="26"/>
  <c r="P48" i="55"/>
  <c r="R48" i="55"/>
  <c r="AC12" i="26"/>
  <c r="S114" i="55"/>
  <c r="S112" i="55"/>
  <c r="T112" i="55" s="1"/>
  <c r="S24" i="55"/>
  <c r="S129" i="55"/>
  <c r="U5" i="59"/>
  <c r="U13" i="59"/>
  <c r="R71" i="55"/>
  <c r="S102" i="55"/>
  <c r="H63" i="55"/>
  <c r="G63" i="55"/>
  <c r="G51" i="55"/>
  <c r="H51" i="55"/>
  <c r="G12" i="55"/>
  <c r="H12" i="55"/>
  <c r="H81" i="55"/>
  <c r="G81" i="55"/>
  <c r="G50" i="55"/>
  <c r="H83" i="55"/>
  <c r="G83" i="55"/>
  <c r="H88" i="55"/>
  <c r="G88" i="55"/>
  <c r="G58" i="55"/>
  <c r="H58" i="55"/>
  <c r="G128" i="55"/>
  <c r="G116" i="55"/>
  <c r="H116" i="55"/>
  <c r="L116" i="55" a="1"/>
  <c r="L116" i="55" s="1"/>
  <c r="K116" i="55" a="1"/>
  <c r="K116" i="55" s="1"/>
  <c r="H82" i="55"/>
  <c r="G82" i="55"/>
  <c r="H44" i="55"/>
  <c r="G44" i="55"/>
  <c r="G69" i="55"/>
  <c r="H69" i="55"/>
  <c r="G41" i="55"/>
  <c r="H41" i="55"/>
  <c r="H33" i="55"/>
  <c r="F14" i="59"/>
  <c r="H89" i="55"/>
  <c r="R109" i="55"/>
  <c r="N52" i="55" a="1"/>
  <c r="N52" i="55" s="1"/>
  <c r="F15" i="59"/>
  <c r="S71" i="55"/>
  <c r="R62" i="55"/>
  <c r="S62" i="55"/>
  <c r="G64" i="55"/>
  <c r="R99" i="55"/>
  <c r="R69" i="55"/>
  <c r="R120" i="55"/>
  <c r="G37" i="55"/>
  <c r="X12" i="26"/>
  <c r="AD12" i="26"/>
  <c r="N140" i="55" a="1"/>
  <c r="N140" i="55" s="1"/>
  <c r="N129" i="55" a="1"/>
  <c r="N129" i="55" s="1"/>
  <c r="N30" i="55" a="1"/>
  <c r="N30" i="55" s="1"/>
  <c r="N66" i="55" a="1"/>
  <c r="N66" i="55" s="1"/>
  <c r="N56" i="55" a="1"/>
  <c r="N56" i="55" s="1"/>
  <c r="G14" i="26"/>
  <c r="T50" i="59"/>
  <c r="H56" i="55"/>
  <c r="G56" i="55"/>
  <c r="H79" i="55"/>
  <c r="V18" i="59"/>
  <c r="T17" i="59"/>
  <c r="V56" i="59"/>
  <c r="J38" i="59"/>
  <c r="T15" i="59"/>
  <c r="T14" i="59"/>
  <c r="T13" i="59"/>
  <c r="T12" i="59"/>
  <c r="J19" i="59"/>
  <c r="M133" i="55" a="1"/>
  <c r="M133" i="55" s="1"/>
  <c r="P49" i="55"/>
  <c r="S49" i="55" s="1"/>
  <c r="T11" i="59"/>
  <c r="Q19" i="59"/>
  <c r="T10" i="59"/>
  <c r="T9" i="59"/>
  <c r="N96" i="55" a="1"/>
  <c r="N96" i="55" s="1"/>
  <c r="N53" i="59"/>
  <c r="P27" i="55"/>
  <c r="S27" i="55" s="1"/>
  <c r="T8" i="59"/>
  <c r="P83" i="55"/>
  <c r="S83" i="55" s="1"/>
  <c r="Q38" i="59"/>
  <c r="T7" i="59"/>
  <c r="F56" i="59"/>
  <c r="T6" i="59"/>
  <c r="T5" i="59"/>
  <c r="T4" i="59"/>
  <c r="N11" i="59"/>
  <c r="L49" i="59"/>
  <c r="B38" i="59"/>
  <c r="V36" i="59"/>
  <c r="P28" i="55"/>
  <c r="S28" i="55" s="1"/>
  <c r="G11" i="55"/>
  <c r="H11" i="55"/>
  <c r="L14" i="55" a="1"/>
  <c r="L14" i="55" s="1"/>
  <c r="K14" i="55" a="1"/>
  <c r="K14" i="55" s="1"/>
  <c r="G14" i="55"/>
  <c r="H14" i="55"/>
  <c r="G143" i="55"/>
  <c r="L143" i="55" a="1"/>
  <c r="L143" i="55" s="1"/>
  <c r="H143" i="55"/>
  <c r="K143" i="55" a="1"/>
  <c r="K143" i="55" s="1"/>
  <c r="H124" i="55"/>
  <c r="G124" i="55"/>
  <c r="G122" i="55"/>
  <c r="H95" i="55"/>
  <c r="H136" i="55"/>
  <c r="G29" i="55"/>
  <c r="G18" i="55"/>
  <c r="G129" i="55"/>
  <c r="G113" i="55"/>
  <c r="H113" i="55"/>
  <c r="H84" i="55"/>
  <c r="G84" i="55"/>
  <c r="H28" i="55"/>
  <c r="G28" i="55"/>
  <c r="H135" i="55"/>
  <c r="G135" i="55"/>
  <c r="G110" i="55"/>
  <c r="H110" i="55"/>
  <c r="G45" i="55"/>
  <c r="H45" i="55"/>
  <c r="H134" i="55"/>
  <c r="K10" i="55" a="1"/>
  <c r="K10" i="55" s="1"/>
  <c r="H55" i="55"/>
  <c r="G55" i="55"/>
  <c r="H25" i="55"/>
  <c r="G25" i="55"/>
  <c r="H43" i="55"/>
  <c r="G43" i="55"/>
  <c r="H39" i="55"/>
  <c r="G39" i="55"/>
  <c r="G23" i="55"/>
  <c r="G74" i="55"/>
  <c r="H74" i="55"/>
  <c r="G130" i="55"/>
  <c r="H130" i="55"/>
  <c r="H87" i="55"/>
  <c r="G87" i="55"/>
  <c r="H7" i="55"/>
  <c r="G7" i="55"/>
  <c r="G20" i="55"/>
  <c r="H20" i="55"/>
  <c r="H80" i="55"/>
  <c r="G80" i="55"/>
  <c r="G126" i="55"/>
  <c r="H126" i="55"/>
  <c r="H75" i="55"/>
  <c r="G75" i="55"/>
  <c r="H96" i="55"/>
  <c r="H142" i="55"/>
  <c r="G79" i="55"/>
  <c r="R130" i="55"/>
  <c r="O28" i="55"/>
  <c r="R59" i="55"/>
  <c r="R67" i="55"/>
  <c r="R49" i="55"/>
  <c r="H132" i="55"/>
  <c r="G111" i="55"/>
  <c r="R57" i="55"/>
  <c r="G132" i="55"/>
  <c r="H111" i="55"/>
  <c r="R40" i="55"/>
  <c r="G96" i="55"/>
  <c r="K96" i="55" a="1"/>
  <c r="K96" i="55" s="1"/>
  <c r="R22" i="55"/>
  <c r="H68" i="55"/>
  <c r="T99" i="55"/>
  <c r="T74" i="55"/>
  <c r="T53" i="55"/>
  <c r="R101" i="55"/>
  <c r="T101" i="55" s="1"/>
  <c r="T122" i="55"/>
  <c r="R58" i="55"/>
  <c r="G12" i="59"/>
  <c r="M12" i="59" s="1"/>
  <c r="U36" i="59"/>
  <c r="T36" i="59"/>
  <c r="P89" i="55"/>
  <c r="P86" i="55"/>
  <c r="S86" i="55" s="1"/>
  <c r="P63" i="55"/>
  <c r="S63" i="55" s="1"/>
  <c r="P90" i="55"/>
  <c r="S90" i="55" s="1"/>
  <c r="P132" i="55"/>
  <c r="P133" i="55"/>
  <c r="R133" i="55" s="1"/>
  <c r="P84" i="55"/>
  <c r="S84" i="55" s="1"/>
  <c r="S59" i="55"/>
  <c r="T19" i="55"/>
  <c r="R77" i="55"/>
  <c r="R8" i="55"/>
  <c r="T8" i="55" s="1"/>
  <c r="T139" i="55"/>
  <c r="R11" i="55"/>
  <c r="R134" i="55"/>
  <c r="T134" i="55" s="1"/>
  <c r="S12" i="55"/>
  <c r="R61" i="55"/>
  <c r="R66" i="55"/>
  <c r="T66" i="55" s="1"/>
  <c r="S57" i="55"/>
  <c r="S67" i="55"/>
  <c r="S40" i="55"/>
  <c r="T109" i="55"/>
  <c r="T100" i="55"/>
  <c r="V48" i="59"/>
  <c r="S128" i="55"/>
  <c r="P68" i="55"/>
  <c r="U8" i="59"/>
  <c r="R42" i="55"/>
  <c r="T42" i="55" s="1"/>
  <c r="S107" i="55"/>
  <c r="T107" i="55" s="1"/>
  <c r="R107" i="55"/>
  <c r="S81" i="55"/>
  <c r="R81" i="55"/>
  <c r="R19" i="59"/>
  <c r="P39" i="55"/>
  <c r="S39" i="55" s="1"/>
  <c r="S38" i="59"/>
  <c r="S93" i="55"/>
  <c r="R93" i="55"/>
  <c r="S43" i="55"/>
  <c r="S44" i="55"/>
  <c r="R44" i="55"/>
  <c r="U17" i="59"/>
  <c r="S98" i="55"/>
  <c r="R98" i="55"/>
  <c r="R83" i="55"/>
  <c r="R38" i="59"/>
  <c r="R60" i="55"/>
  <c r="S60" i="55"/>
  <c r="Q2" i="55"/>
  <c r="Q151" i="55"/>
  <c r="P80" i="55"/>
  <c r="R25" i="55"/>
  <c r="T25" i="55" s="1"/>
  <c r="R115" i="55"/>
  <c r="T115" i="55" s="1"/>
  <c r="U4" i="59"/>
  <c r="S22" i="55"/>
  <c r="P38" i="55"/>
  <c r="R38" i="55" s="1"/>
  <c r="P15" i="55"/>
  <c r="S15" i="55" s="1"/>
  <c r="P30" i="55"/>
  <c r="S92" i="55"/>
  <c r="T92" i="55" s="1"/>
  <c r="P41" i="55"/>
  <c r="U18" i="59"/>
  <c r="S105" i="55"/>
  <c r="P20" i="55"/>
  <c r="S20" i="55" s="1"/>
  <c r="P38" i="59"/>
  <c r="P37" i="55"/>
  <c r="P32" i="55"/>
  <c r="R126" i="55"/>
  <c r="T126" i="55" s="1"/>
  <c r="R76" i="55"/>
  <c r="T76" i="55" s="1"/>
  <c r="R33" i="55"/>
  <c r="T33" i="55" s="1"/>
  <c r="P73" i="55"/>
  <c r="R73" i="55" s="1"/>
  <c r="U54" i="59"/>
  <c r="P110" i="55"/>
  <c r="S130" i="55"/>
  <c r="S120" i="55"/>
  <c r="T120" i="55"/>
  <c r="P111" i="55"/>
  <c r="S111" i="55" s="1"/>
  <c r="P65" i="55"/>
  <c r="T119" i="55"/>
  <c r="U47" i="59"/>
  <c r="P29" i="55"/>
  <c r="R95" i="55"/>
  <c r="P19" i="59"/>
  <c r="U11" i="59"/>
  <c r="T32" i="59"/>
  <c r="R46" i="55"/>
  <c r="T46" i="55" s="1"/>
  <c r="R50" i="55"/>
  <c r="S21" i="55"/>
  <c r="T43" i="59"/>
  <c r="P36" i="55"/>
  <c r="S36" i="55" s="1"/>
  <c r="R131" i="55"/>
  <c r="S58" i="55"/>
  <c r="R124" i="55"/>
  <c r="T124" i="55" s="1"/>
  <c r="N12" i="59"/>
  <c r="L7" i="59"/>
  <c r="I38" i="59"/>
  <c r="N50" i="59"/>
  <c r="N52" i="59"/>
  <c r="G8" i="59"/>
  <c r="L8" i="59"/>
  <c r="N43" i="59"/>
  <c r="G54" i="59"/>
  <c r="G13" i="59"/>
  <c r="M13" i="59" s="1"/>
  <c r="G42" i="59"/>
  <c r="M42" i="59" s="1"/>
  <c r="L42" i="59"/>
  <c r="N16" i="59"/>
  <c r="N44" i="59"/>
  <c r="G10" i="59"/>
  <c r="M10" i="59" s="1"/>
  <c r="G56" i="59"/>
  <c r="L56" i="59"/>
  <c r="G50" i="59"/>
  <c r="L50" i="59"/>
  <c r="N32" i="59"/>
  <c r="G18" i="59"/>
  <c r="L18" i="59" s="1"/>
  <c r="N13" i="59"/>
  <c r="N48" i="59"/>
  <c r="G4" i="59"/>
  <c r="M49" i="59"/>
  <c r="N68" i="55" a="1"/>
  <c r="N68" i="55" s="1"/>
  <c r="N23" i="55" a="1"/>
  <c r="N23" i="55" s="1"/>
  <c r="N14" i="55" a="1"/>
  <c r="N14" i="55" s="1"/>
  <c r="G9" i="59"/>
  <c r="N10" i="59"/>
  <c r="G44" i="59"/>
  <c r="G46" i="59"/>
  <c r="M46" i="59" s="1"/>
  <c r="L46" i="59"/>
  <c r="G48" i="59"/>
  <c r="L48" i="59" s="1"/>
  <c r="N102" i="55" a="1"/>
  <c r="N102" i="55" s="1"/>
  <c r="G32" i="59"/>
  <c r="L32" i="59" s="1"/>
  <c r="G5" i="59"/>
  <c r="M5" i="59" s="1"/>
  <c r="N114" i="55" a="1"/>
  <c r="N114" i="55" s="1"/>
  <c r="O114" i="55" s="1"/>
  <c r="G16" i="59"/>
  <c r="L16" i="59" s="1"/>
  <c r="N8" i="55" a="1"/>
  <c r="N8" i="55" s="1"/>
  <c r="G52" i="59"/>
  <c r="L52" i="59" s="1"/>
  <c r="N41" i="55" a="1"/>
  <c r="N41" i="55" s="1"/>
  <c r="N116" i="55" a="1"/>
  <c r="N116" i="55" s="1"/>
  <c r="N107" i="55" a="1"/>
  <c r="N107" i="55" s="1"/>
  <c r="N11" i="55" a="1"/>
  <c r="N11" i="55" s="1"/>
  <c r="N87" i="55" a="1"/>
  <c r="N87" i="55" s="1"/>
  <c r="N124" i="55" a="1"/>
  <c r="N124" i="55" s="1"/>
  <c r="O124" i="55" s="1"/>
  <c r="N39" i="55" a="1"/>
  <c r="N39" i="55" s="1"/>
  <c r="N115" i="55" a="1"/>
  <c r="N115" i="55" s="1"/>
  <c r="N94" i="55" a="1"/>
  <c r="N94" i="55" s="1"/>
  <c r="N5" i="59"/>
  <c r="N104" i="55" a="1"/>
  <c r="N104" i="55" s="1"/>
  <c r="N18" i="55" a="1"/>
  <c r="N18" i="55" s="1"/>
  <c r="M7" i="59"/>
  <c r="N49" i="59"/>
  <c r="N12" i="55" a="1"/>
  <c r="N12" i="55" s="1"/>
  <c r="N136" i="55" a="1"/>
  <c r="N136" i="55" s="1"/>
  <c r="N10" i="55" a="1"/>
  <c r="N10" i="55" s="1"/>
  <c r="N120" i="55" a="1"/>
  <c r="N120" i="55" s="1"/>
  <c r="N106" i="55" a="1"/>
  <c r="N106" i="55" s="1"/>
  <c r="N29" i="55" a="1"/>
  <c r="N29" i="55" s="1"/>
  <c r="N40" i="55" a="1"/>
  <c r="N40" i="55" s="1"/>
  <c r="O40" i="55" s="1"/>
  <c r="N144" i="55" a="1"/>
  <c r="N144" i="55" s="1"/>
  <c r="N71" i="55" a="1"/>
  <c r="N71" i="55" s="1"/>
  <c r="N84" i="55" a="1"/>
  <c r="N84" i="55" s="1"/>
  <c r="N86" i="55" a="1"/>
  <c r="N86" i="55" s="1"/>
  <c r="N19" i="55" a="1"/>
  <c r="N19" i="55" s="1"/>
  <c r="N110" i="55" a="1"/>
  <c r="N110" i="55" s="1"/>
  <c r="N127" i="55" a="1"/>
  <c r="N127" i="55" s="1"/>
  <c r="N46" i="55" a="1"/>
  <c r="N46" i="55" s="1"/>
  <c r="N64" i="55" a="1"/>
  <c r="N64" i="55" s="1"/>
  <c r="N111" i="55" a="1"/>
  <c r="N111" i="55" s="1"/>
  <c r="N80" i="55" a="1"/>
  <c r="N80" i="55" s="1"/>
  <c r="N43" i="55" a="1"/>
  <c r="N43" i="55" s="1"/>
  <c r="N24" i="55" a="1"/>
  <c r="N24" i="55" s="1"/>
  <c r="L11" i="59"/>
  <c r="N69" i="55" a="1"/>
  <c r="N69" i="55" s="1"/>
  <c r="O69" i="55" s="1"/>
  <c r="N34" i="55" a="1"/>
  <c r="N34" i="55" s="1"/>
  <c r="O34" i="55" s="1"/>
  <c r="N70" i="55" a="1"/>
  <c r="N70" i="55" s="1"/>
  <c r="O70" i="55" s="1"/>
  <c r="N44" i="55" a="1"/>
  <c r="N44" i="55" s="1"/>
  <c r="N75" i="55" a="1"/>
  <c r="N75" i="55" s="1"/>
  <c r="N118" i="55" a="1"/>
  <c r="N118" i="55"/>
  <c r="N58" i="55" a="1"/>
  <c r="N58" i="55" s="1"/>
  <c r="N61" i="55" a="1"/>
  <c r="N61" i="55" s="1"/>
  <c r="N73" i="55" a="1"/>
  <c r="N73" i="55" s="1"/>
  <c r="N7" i="59"/>
  <c r="N32" i="55" a="1"/>
  <c r="N32" i="55" s="1"/>
  <c r="O32" i="55" s="1"/>
  <c r="N33" i="55" a="1"/>
  <c r="N33" i="55" s="1"/>
  <c r="O33" i="55" s="1"/>
  <c r="N49" i="55" a="1"/>
  <c r="N49" i="55" s="1"/>
  <c r="O49" i="55" s="1"/>
  <c r="N93" i="55" a="1"/>
  <c r="N93" i="55" s="1"/>
  <c r="N135" i="55" a="1"/>
  <c r="N135" i="55" s="1"/>
  <c r="N51" i="55" a="1"/>
  <c r="N51" i="55" s="1"/>
  <c r="O51" i="55" s="1"/>
  <c r="N42" i="55" a="1"/>
  <c r="N42" i="55" s="1"/>
  <c r="O42" i="55" s="1"/>
  <c r="N113" i="55" a="1"/>
  <c r="N113" i="55" s="1"/>
  <c r="N48" i="55" a="1"/>
  <c r="N48" i="55" s="1"/>
  <c r="O48" i="55" s="1"/>
  <c r="N72" i="55" a="1"/>
  <c r="N72" i="55"/>
  <c r="N22" i="55" a="1"/>
  <c r="N22" i="55" s="1"/>
  <c r="N90" i="55" a="1"/>
  <c r="N90" i="55" s="1"/>
  <c r="N142" i="55" a="1"/>
  <c r="N142" i="55" s="1"/>
  <c r="N27" i="55" a="1"/>
  <c r="N27" i="55" s="1"/>
  <c r="N133" i="55" a="1"/>
  <c r="N133" i="55" s="1"/>
  <c r="N97" i="55" a="1"/>
  <c r="N97" i="55" s="1"/>
  <c r="N31" i="55" a="1"/>
  <c r="N31" i="55" s="1"/>
  <c r="N26" i="55" a="1"/>
  <c r="N26" i="55" s="1"/>
  <c r="O26" i="55" s="1"/>
  <c r="N16" i="55" a="1"/>
  <c r="N16" i="55" s="1"/>
  <c r="N37" i="55" a="1"/>
  <c r="N37" i="55" s="1"/>
  <c r="N95" i="55" a="1"/>
  <c r="N95" i="55" s="1"/>
  <c r="O95" i="55" s="1"/>
  <c r="N2" i="55"/>
  <c r="N60" i="55" a="1"/>
  <c r="N60" i="55" s="1"/>
  <c r="N74" i="55" a="1"/>
  <c r="N74" i="55" s="1"/>
  <c r="G6" i="59"/>
  <c r="L6" i="59" s="1"/>
  <c r="N101" i="55" a="1"/>
  <c r="N101" i="55" s="1"/>
  <c r="N78" i="55" a="1"/>
  <c r="N78" i="55"/>
  <c r="N54" i="55" a="1"/>
  <c r="N54" i="55" s="1"/>
  <c r="O54" i="55" s="1"/>
  <c r="N108" i="55" a="1"/>
  <c r="N108" i="55" s="1"/>
  <c r="N13" i="55" a="1"/>
  <c r="N13" i="55" s="1"/>
  <c r="N92" i="55" a="1"/>
  <c r="N92" i="55" s="1"/>
  <c r="O92" i="55" s="1"/>
  <c r="N100" i="55" a="1"/>
  <c r="N100" i="55" s="1"/>
  <c r="N109" i="55" a="1"/>
  <c r="N109" i="55" s="1"/>
  <c r="O109" i="55" s="1"/>
  <c r="N79" i="55" a="1"/>
  <c r="N79" i="55" s="1"/>
  <c r="O79" i="55" s="1"/>
  <c r="N67" i="55" a="1"/>
  <c r="N67" i="55" s="1"/>
  <c r="N45" i="55" a="1"/>
  <c r="N45" i="55" s="1"/>
  <c r="N8" i="59"/>
  <c r="N145" i="55" a="1"/>
  <c r="N145" i="55"/>
  <c r="N122" i="55" a="1"/>
  <c r="N122" i="55" s="1"/>
  <c r="N21" i="55" a="1"/>
  <c r="N21" i="55" s="1"/>
  <c r="N76" i="55" a="1"/>
  <c r="N76" i="55"/>
  <c r="O76" i="55" s="1"/>
  <c r="N134" i="55" a="1"/>
  <c r="N134" i="55"/>
  <c r="N63" i="55" a="1"/>
  <c r="N63" i="55" s="1"/>
  <c r="N9" i="55" a="1"/>
  <c r="N9" i="55" s="1"/>
  <c r="N38" i="55" a="1"/>
  <c r="N38" i="55" s="1"/>
  <c r="N131" i="55" a="1"/>
  <c r="N131" i="55" s="1"/>
  <c r="N128" i="55" a="1"/>
  <c r="N128" i="55" s="1"/>
  <c r="N125" i="55" a="1"/>
  <c r="N125" i="55" s="1"/>
  <c r="N103" i="55" a="1"/>
  <c r="N103" i="55" s="1"/>
  <c r="N123" i="55" a="1"/>
  <c r="N123" i="55"/>
  <c r="N47" i="55" a="1"/>
  <c r="N47" i="55" s="1"/>
  <c r="N57" i="55" a="1"/>
  <c r="N57" i="55" s="1"/>
  <c r="N99" i="55" a="1"/>
  <c r="N99" i="55" s="1"/>
  <c r="S2" i="53"/>
  <c r="N4" i="59"/>
  <c r="N59" i="55" a="1"/>
  <c r="N59" i="55" s="1"/>
  <c r="O59" i="55" s="1"/>
  <c r="N17" i="55" a="1"/>
  <c r="N17" i="55" s="1"/>
  <c r="N132" i="55" a="1"/>
  <c r="N132" i="55" s="1"/>
  <c r="N121" i="55" a="1"/>
  <c r="N121" i="55" s="1"/>
  <c r="N81" i="55" a="1"/>
  <c r="N81" i="55" s="1"/>
  <c r="O81" i="55" s="1"/>
  <c r="N15" i="55" a="1"/>
  <c r="N15" i="55" s="1"/>
  <c r="O15" i="55" s="1"/>
  <c r="N77" i="55" a="1"/>
  <c r="N77" i="55" s="1"/>
  <c r="N65" i="55" a="1"/>
  <c r="N65" i="55" s="1"/>
  <c r="N85" i="55" a="1"/>
  <c r="N85" i="55" s="1"/>
  <c r="N139" i="55" a="1"/>
  <c r="N139" i="55" s="1"/>
  <c r="N55" i="55" a="1"/>
  <c r="N55" i="55" s="1"/>
  <c r="H7" i="26"/>
  <c r="H6" i="26" s="1"/>
  <c r="G6" i="26"/>
  <c r="R105" i="55"/>
  <c r="T105" i="55" s="1"/>
  <c r="S48" i="55"/>
  <c r="T48" i="55" s="1"/>
  <c r="N36" i="55" a="1"/>
  <c r="N36" i="55" s="1"/>
  <c r="F6" i="26"/>
  <c r="N82" i="55" a="1"/>
  <c r="N82" i="55" s="1"/>
  <c r="O82" i="55" s="1"/>
  <c r="N25" i="55" a="1"/>
  <c r="N25" i="55" s="1"/>
  <c r="O25" i="55" s="1"/>
  <c r="N54" i="59"/>
  <c r="G89" i="55"/>
  <c r="R78" i="55"/>
  <c r="S78" i="55"/>
  <c r="N9" i="59"/>
  <c r="N53" i="55" a="1"/>
  <c r="N53" i="55" s="1"/>
  <c r="N35" i="55" a="1"/>
  <c r="N35" i="55" s="1"/>
  <c r="R127" i="55"/>
  <c r="T127" i="55" s="1"/>
  <c r="S117" i="55"/>
  <c r="T117" i="55" s="1"/>
  <c r="N20" i="55" a="1"/>
  <c r="N20" i="55" s="1"/>
  <c r="N112" i="55" a="1"/>
  <c r="N112" i="55" s="1"/>
  <c r="R82" i="55"/>
  <c r="Y12" i="26"/>
  <c r="H12" i="26"/>
  <c r="N126" i="55" a="1"/>
  <c r="N126" i="55" s="1"/>
  <c r="N98" i="55" a="1"/>
  <c r="N98" i="55" s="1"/>
  <c r="O98" i="55" s="1"/>
  <c r="N130" i="55" a="1"/>
  <c r="N130" i="55" s="1"/>
  <c r="N91" i="55" a="1"/>
  <c r="N91" i="55" s="1"/>
  <c r="N137" i="55" a="1"/>
  <c r="N137" i="55" s="1"/>
  <c r="N50" i="55" a="1"/>
  <c r="N50" i="55" s="1"/>
  <c r="N88" i="55" a="1"/>
  <c r="N88" i="55" s="1"/>
  <c r="N105" i="55" a="1"/>
  <c r="N105" i="55" s="1"/>
  <c r="N141" i="55" a="1"/>
  <c r="N141" i="55" s="1"/>
  <c r="N151" i="55"/>
  <c r="O151" i="55" s="1"/>
  <c r="N83" i="55" a="1"/>
  <c r="N83" i="55" s="1"/>
  <c r="N143" i="55" a="1"/>
  <c r="N143" i="55" s="1"/>
  <c r="H103" i="55"/>
  <c r="G103" i="55"/>
  <c r="H92" i="55"/>
  <c r="F6" i="59"/>
  <c r="C38" i="59"/>
  <c r="T58" i="55"/>
  <c r="T22" i="55"/>
  <c r="T130" i="55"/>
  <c r="T98" i="55"/>
  <c r="T40" i="55"/>
  <c r="T59" i="55"/>
  <c r="R86" i="55"/>
  <c r="M32" i="59"/>
  <c r="M4" i="59"/>
  <c r="M52" i="59"/>
  <c r="M8" i="59"/>
  <c r="M50" i="59"/>
  <c r="S89" i="55"/>
  <c r="R89" i="55"/>
  <c r="R84" i="55"/>
  <c r="S132" i="55"/>
  <c r="T44" i="55"/>
  <c r="T81" i="55"/>
  <c r="T46" i="59"/>
  <c r="U46" i="59"/>
  <c r="O19" i="59"/>
  <c r="T56" i="59"/>
  <c r="U56" i="59"/>
  <c r="U6" i="59"/>
  <c r="U7" i="59"/>
  <c r="R29" i="55"/>
  <c r="S29" i="55"/>
  <c r="R55" i="55"/>
  <c r="S55" i="55"/>
  <c r="R37" i="55"/>
  <c r="T37" i="55" s="1"/>
  <c r="S37" i="55"/>
  <c r="R91" i="55"/>
  <c r="S91" i="55"/>
  <c r="S110" i="55"/>
  <c r="R110" i="55"/>
  <c r="T93" i="55"/>
  <c r="U52" i="59"/>
  <c r="T52" i="59"/>
  <c r="S56" i="55"/>
  <c r="R56" i="55"/>
  <c r="T56" i="55" s="1"/>
  <c r="R32" i="55"/>
  <c r="S32" i="55"/>
  <c r="O57" i="59"/>
  <c r="U57" i="59" s="1"/>
  <c r="U45" i="59"/>
  <c r="T45" i="59"/>
  <c r="U16" i="59"/>
  <c r="U14" i="59"/>
  <c r="R75" i="55"/>
  <c r="S75" i="55"/>
  <c r="S30" i="55"/>
  <c r="R30" i="55"/>
  <c r="R87" i="55"/>
  <c r="S87" i="55"/>
  <c r="R111" i="55"/>
  <c r="T48" i="59"/>
  <c r="U48" i="59"/>
  <c r="S41" i="55"/>
  <c r="R41" i="55"/>
  <c r="S68" i="55"/>
  <c r="R68" i="55"/>
  <c r="S65" i="55"/>
  <c r="R65" i="55"/>
  <c r="T65" i="55" s="1"/>
  <c r="T53" i="59"/>
  <c r="U53" i="59"/>
  <c r="S38" i="55"/>
  <c r="R79" i="55"/>
  <c r="S79" i="55"/>
  <c r="U15" i="59"/>
  <c r="S80" i="55"/>
  <c r="R80" i="55"/>
  <c r="T44" i="59"/>
  <c r="U44" i="59"/>
  <c r="M44" i="59"/>
  <c r="L44" i="59"/>
  <c r="L10" i="59"/>
  <c r="M56" i="59"/>
  <c r="M54" i="59"/>
  <c r="L9" i="59"/>
  <c r="M9" i="59"/>
  <c r="M45" i="59"/>
  <c r="M48" i="59"/>
  <c r="I7" i="26"/>
  <c r="I6" i="26" s="1"/>
  <c r="U19" i="59"/>
  <c r="S151" i="55"/>
  <c r="S2" i="55"/>
  <c r="J7" i="26"/>
  <c r="J6" i="26" s="1"/>
  <c r="K7" i="26"/>
  <c r="K6" i="26" s="1"/>
  <c r="L7" i="26"/>
  <c r="M7" i="26" s="1"/>
  <c r="D8" i="57"/>
  <c r="D5" i="57"/>
  <c r="D7" i="57"/>
  <c r="D10" i="57"/>
  <c r="D6" i="57"/>
  <c r="D11" i="57"/>
  <c r="D9" i="57"/>
  <c r="D12" i="57"/>
  <c r="G66" i="55" l="1"/>
  <c r="H66" i="55"/>
  <c r="L121" i="55" a="1"/>
  <c r="L121" i="55" s="1"/>
  <c r="H121" i="55"/>
  <c r="G121" i="55"/>
  <c r="K121" i="55" a="1"/>
  <c r="K121" i="55" s="1"/>
  <c r="H107" i="55"/>
  <c r="G107" i="55"/>
  <c r="G76" i="55"/>
  <c r="H76" i="55"/>
  <c r="G65" i="55"/>
  <c r="H65" i="55"/>
  <c r="V15" i="59"/>
  <c r="R132" i="55"/>
  <c r="T132" i="55" s="1"/>
  <c r="L136" i="55" a="1"/>
  <c r="L136" i="55" s="1"/>
  <c r="T9" i="55"/>
  <c r="N14" i="59"/>
  <c r="O87" i="55"/>
  <c r="T60" i="55"/>
  <c r="G136" i="55"/>
  <c r="N46" i="59"/>
  <c r="V43" i="59"/>
  <c r="N45" i="59"/>
  <c r="T113" i="55"/>
  <c r="T55" i="55"/>
  <c r="T89" i="55"/>
  <c r="O97" i="55"/>
  <c r="R27" i="55"/>
  <c r="R45" i="55"/>
  <c r="T45" i="55" s="1"/>
  <c r="F52" i="59"/>
  <c r="G114" i="55"/>
  <c r="O129" i="55"/>
  <c r="O38" i="55"/>
  <c r="T68" i="55"/>
  <c r="O133" i="55"/>
  <c r="K122" i="55" a="1"/>
  <c r="K122" i="55" s="1"/>
  <c r="T70" i="55"/>
  <c r="T23" i="55"/>
  <c r="V14" i="59"/>
  <c r="V17" i="59"/>
  <c r="L12" i="59"/>
  <c r="T57" i="55"/>
  <c r="H122" i="55"/>
  <c r="H97" i="55"/>
  <c r="O62" i="55"/>
  <c r="T108" i="55"/>
  <c r="T71" i="55"/>
  <c r="E19" i="59"/>
  <c r="I19" i="59"/>
  <c r="D57" i="59"/>
  <c r="F57" i="59" s="1" a="1"/>
  <c r="F57" i="59" s="1"/>
  <c r="T106" i="55"/>
  <c r="T96" i="55"/>
  <c r="V16" i="59"/>
  <c r="T21" i="55"/>
  <c r="T69" i="55"/>
  <c r="V11" i="59"/>
  <c r="R15" i="55"/>
  <c r="T95" i="55"/>
  <c r="O112" i="55"/>
  <c r="T80" i="55"/>
  <c r="O127" i="55"/>
  <c r="L5" i="59"/>
  <c r="L54" i="59"/>
  <c r="S64" i="55"/>
  <c r="T64" i="55" s="1"/>
  <c r="T67" i="55"/>
  <c r="V13" i="59"/>
  <c r="O74" i="55"/>
  <c r="O89" i="55"/>
  <c r="L14" i="59"/>
  <c r="O56" i="55"/>
  <c r="T136" i="55"/>
  <c r="K130" i="55" a="1"/>
  <c r="K130" i="55" s="1"/>
  <c r="O47" i="55"/>
  <c r="T87" i="55"/>
  <c r="T110" i="55"/>
  <c r="L10" i="55" a="1"/>
  <c r="L10" i="55" s="1"/>
  <c r="O101" i="55"/>
  <c r="T7" i="55"/>
  <c r="K46" i="55" a="1"/>
  <c r="K46" i="55" s="1"/>
  <c r="G46" i="55"/>
  <c r="H46" i="55"/>
  <c r="L46" i="55" a="1"/>
  <c r="L46" i="55" s="1"/>
  <c r="G57" i="55"/>
  <c r="H57" i="55"/>
  <c r="L57" i="55" a="1"/>
  <c r="L57" i="55" s="1"/>
  <c r="L22" i="55" a="1"/>
  <c r="L22" i="55" s="1"/>
  <c r="K22" i="55" a="1"/>
  <c r="K22" i="55" s="1"/>
  <c r="G22" i="55"/>
  <c r="H22" i="55"/>
  <c r="M36" i="59"/>
  <c r="G38" i="59"/>
  <c r="H101" i="55"/>
  <c r="L101" i="55" a="1"/>
  <c r="L101" i="55" s="1"/>
  <c r="G101" i="55"/>
  <c r="K101" i="55" a="1"/>
  <c r="K101" i="55" s="1"/>
  <c r="M15" i="59"/>
  <c r="L15" i="59"/>
  <c r="X2" i="53"/>
  <c r="H53" i="55"/>
  <c r="L53" i="55" a="1"/>
  <c r="L53" i="55" s="1"/>
  <c r="G53" i="55"/>
  <c r="G31" i="55"/>
  <c r="K31" i="55" a="1"/>
  <c r="K31" i="55" s="1"/>
  <c r="L31" i="55" a="1"/>
  <c r="L31" i="55" s="1"/>
  <c r="H31" i="55"/>
  <c r="S118" i="55"/>
  <c r="R118" i="55"/>
  <c r="K63" i="55" a="1"/>
  <c r="K63" i="55" s="1"/>
  <c r="K84" i="55" a="1"/>
  <c r="K84" i="55" s="1"/>
  <c r="K2" i="55"/>
  <c r="K92" i="55" a="1"/>
  <c r="K92" i="55" s="1"/>
  <c r="K64" i="55" a="1"/>
  <c r="K64" i="55" s="1"/>
  <c r="K28" i="55" a="1"/>
  <c r="K28" i="55" s="1"/>
  <c r="K51" i="55" a="1"/>
  <c r="K51" i="55" s="1"/>
  <c r="K60" i="55" a="1"/>
  <c r="K60" i="55" s="1"/>
  <c r="K80" i="55" a="1"/>
  <c r="K80" i="55" s="1"/>
  <c r="K89" i="55" a="1"/>
  <c r="K89" i="55" s="1"/>
  <c r="K7" i="55" a="1"/>
  <c r="K7" i="55" s="1"/>
  <c r="K82" i="55" a="1"/>
  <c r="K82" i="55" s="1"/>
  <c r="K135" i="55" a="1"/>
  <c r="K135" i="55" s="1"/>
  <c r="K55" i="55" a="1"/>
  <c r="K55" i="55" s="1"/>
  <c r="K71" i="55" a="1"/>
  <c r="K71" i="55" s="1"/>
  <c r="K65" i="55" a="1"/>
  <c r="K65" i="55" s="1"/>
  <c r="K12" i="55" a="1"/>
  <c r="K12" i="55" s="1"/>
  <c r="K20" i="55" a="1"/>
  <c r="K20" i="55" s="1"/>
  <c r="K128" i="55" a="1"/>
  <c r="K128" i="55" s="1"/>
  <c r="K151" i="55"/>
  <c r="K77" i="55" a="1"/>
  <c r="K77" i="55" s="1"/>
  <c r="K56" i="55" a="1"/>
  <c r="K56" i="55" s="1"/>
  <c r="K110" i="55" a="1"/>
  <c r="K110" i="55" s="1"/>
  <c r="K35" i="55" a="1"/>
  <c r="K35" i="55" s="1"/>
  <c r="K58" i="55" a="1"/>
  <c r="K58" i="55" s="1"/>
  <c r="K95" i="55" a="1"/>
  <c r="K95" i="55" s="1"/>
  <c r="K113" i="55" a="1"/>
  <c r="K113" i="55" s="1"/>
  <c r="K126" i="55" a="1"/>
  <c r="K126" i="55" s="1"/>
  <c r="K93" i="55" a="1"/>
  <c r="K93" i="55" s="1"/>
  <c r="K81" i="55" a="1"/>
  <c r="K81" i="55" s="1"/>
  <c r="K44" i="55" a="1"/>
  <c r="K44" i="55" s="1"/>
  <c r="K124" i="55" a="1"/>
  <c r="K124" i="55" s="1"/>
  <c r="K68" i="55" a="1"/>
  <c r="K68" i="55" s="1"/>
  <c r="K69" i="55" a="1"/>
  <c r="K69" i="55" s="1"/>
  <c r="K25" i="55" a="1"/>
  <c r="K25" i="55" s="1"/>
  <c r="K87" i="55" a="1"/>
  <c r="K87" i="55" s="1"/>
  <c r="K75" i="55" a="1"/>
  <c r="K75" i="55" s="1"/>
  <c r="K26" i="55" a="1"/>
  <c r="K26" i="55" s="1"/>
  <c r="K114" i="55" a="1"/>
  <c r="K114" i="55" s="1"/>
  <c r="K29" i="55" a="1"/>
  <c r="K29" i="55" s="1"/>
  <c r="K45" i="55" a="1"/>
  <c r="K45" i="55" s="1"/>
  <c r="K11" i="55" a="1"/>
  <c r="K11" i="55" s="1"/>
  <c r="K134" i="55" a="1"/>
  <c r="K134" i="55" s="1"/>
  <c r="K43" i="55" a="1"/>
  <c r="K43" i="55" s="1"/>
  <c r="K74" i="55" a="1"/>
  <c r="K74" i="55" s="1"/>
  <c r="K132" i="55" a="1"/>
  <c r="K132" i="55" s="1"/>
  <c r="K112" i="55" a="1"/>
  <c r="K112" i="55" s="1"/>
  <c r="L112" i="55" a="1"/>
  <c r="L112" i="55" s="1"/>
  <c r="G112" i="55"/>
  <c r="H112" i="55"/>
  <c r="L2" i="55"/>
  <c r="L33" i="55" a="1"/>
  <c r="L33" i="55" s="1"/>
  <c r="L76" i="55" a="1"/>
  <c r="L76" i="55" s="1"/>
  <c r="L151" i="55"/>
  <c r="L134" i="55" a="1"/>
  <c r="L134" i="55" s="1"/>
  <c r="L39" i="55" a="1"/>
  <c r="L39" i="55" s="1"/>
  <c r="L7" i="55" a="1"/>
  <c r="L7" i="55" s="1"/>
  <c r="L30" i="55" a="1"/>
  <c r="L30" i="55" s="1"/>
  <c r="L130" i="55" a="1"/>
  <c r="L130" i="55" s="1"/>
  <c r="L90" i="55" a="1"/>
  <c r="L90" i="55" s="1"/>
  <c r="L48" i="55" a="1"/>
  <c r="L48" i="55" s="1"/>
  <c r="L69" i="55" a="1"/>
  <c r="L69" i="55" s="1"/>
  <c r="L80" i="55" a="1"/>
  <c r="L80" i="55" s="1"/>
  <c r="L79" i="55" a="1"/>
  <c r="L79" i="55" s="1"/>
  <c r="L91" i="55" a="1"/>
  <c r="L91" i="55" s="1"/>
  <c r="L51" i="55" a="1"/>
  <c r="L51" i="55" s="1"/>
  <c r="L123" i="55" a="1"/>
  <c r="L123" i="55" s="1"/>
  <c r="L89" i="55" a="1"/>
  <c r="L89" i="55" s="1"/>
  <c r="L107" i="55" a="1"/>
  <c r="L107" i="55" s="1"/>
  <c r="L43" i="55" a="1"/>
  <c r="L43" i="55" s="1"/>
  <c r="L41" i="55" a="1"/>
  <c r="L41" i="55" s="1"/>
  <c r="L88" i="55" a="1"/>
  <c r="L88" i="55" s="1"/>
  <c r="L129" i="55" a="1"/>
  <c r="L129" i="55" s="1"/>
  <c r="L95" i="55" a="1"/>
  <c r="L95" i="55" s="1"/>
  <c r="L110" i="55" a="1"/>
  <c r="L110" i="55" s="1"/>
  <c r="L35" i="55" a="1"/>
  <c r="L35" i="55" s="1"/>
  <c r="L83" i="55" a="1"/>
  <c r="L83" i="55" s="1"/>
  <c r="L65" i="55" a="1"/>
  <c r="L65" i="55" s="1"/>
  <c r="L42" i="55" a="1"/>
  <c r="L42" i="55" s="1"/>
  <c r="L113" i="55" a="1"/>
  <c r="L113" i="55" s="1"/>
  <c r="L20" i="55" a="1"/>
  <c r="L20" i="55" s="1"/>
  <c r="L68" i="55" a="1"/>
  <c r="L68" i="55" s="1"/>
  <c r="L56" i="55" a="1"/>
  <c r="L56" i="55" s="1"/>
  <c r="L81" i="55" a="1"/>
  <c r="L81" i="55" s="1"/>
  <c r="L66" i="55" a="1"/>
  <c r="L66" i="55" s="1"/>
  <c r="L12" i="55" a="1"/>
  <c r="L12" i="55" s="1"/>
  <c r="L58" i="55" a="1"/>
  <c r="L58" i="55" s="1"/>
  <c r="L49" i="55" a="1"/>
  <c r="L49" i="55" s="1"/>
  <c r="L71" i="55" a="1"/>
  <c r="L71" i="55" s="1"/>
  <c r="L44" i="55" a="1"/>
  <c r="L44" i="55" s="1"/>
  <c r="L25" i="55" a="1"/>
  <c r="L25" i="55" s="1"/>
  <c r="L87" i="55" a="1"/>
  <c r="L87" i="55" s="1"/>
  <c r="L75" i="55" a="1"/>
  <c r="L75" i="55" s="1"/>
  <c r="L78" i="55" a="1"/>
  <c r="L78" i="55" s="1"/>
  <c r="L132" i="55" a="1"/>
  <c r="L132" i="55" s="1"/>
  <c r="L102" i="55" a="1"/>
  <c r="L102" i="55" s="1"/>
  <c r="L15" i="55" a="1"/>
  <c r="L15" i="55" s="1"/>
  <c r="L11" i="55" a="1"/>
  <c r="L11" i="55" s="1"/>
  <c r="L124" i="55" a="1"/>
  <c r="L124" i="55" s="1"/>
  <c r="L45" i="55" a="1"/>
  <c r="L45" i="55" s="1"/>
  <c r="L29" i="55" a="1"/>
  <c r="L29" i="55" s="1"/>
  <c r="L37" i="55" a="1"/>
  <c r="L37" i="55" s="1"/>
  <c r="L73" i="55" a="1"/>
  <c r="L73" i="55" s="1"/>
  <c r="L111" i="55" a="1"/>
  <c r="L111" i="55" s="1"/>
  <c r="L74" i="55" a="1"/>
  <c r="L74" i="55" s="1"/>
  <c r="L36" i="55" a="1"/>
  <c r="L36" i="55" s="1"/>
  <c r="L77" i="55" a="1"/>
  <c r="L77" i="55" s="1"/>
  <c r="L26" i="55" a="1"/>
  <c r="L26" i="55" s="1"/>
  <c r="L28" i="55" a="1"/>
  <c r="L28" i="55" s="1"/>
  <c r="H27" i="55"/>
  <c r="K27" i="55" a="1"/>
  <c r="K27" i="55" s="1"/>
  <c r="L27" i="55" a="1"/>
  <c r="L27" i="55" s="1"/>
  <c r="G27" i="55"/>
  <c r="T49" i="55"/>
  <c r="L92" i="55" a="1"/>
  <c r="L92" i="55" s="1"/>
  <c r="L114" i="55" a="1"/>
  <c r="L114" i="55" s="1"/>
  <c r="K41" i="55" a="1"/>
  <c r="K41" i="55" s="1"/>
  <c r="P2" i="53"/>
  <c r="H42" i="55"/>
  <c r="T49" i="59"/>
  <c r="T10" i="55"/>
  <c r="F9" i="59"/>
  <c r="K102" i="55" a="1"/>
  <c r="K102" i="55" s="1"/>
  <c r="G43" i="59"/>
  <c r="V46" i="59"/>
  <c r="K131" i="55" a="1"/>
  <c r="K131" i="55" s="1"/>
  <c r="O67" i="55"/>
  <c r="T131" i="55"/>
  <c r="F5" i="59"/>
  <c r="R39" i="55"/>
  <c r="L84" i="55" a="1"/>
  <c r="L84" i="55" s="1"/>
  <c r="K37" i="55" a="1"/>
  <c r="K37" i="55" s="1"/>
  <c r="L64" i="55" a="1"/>
  <c r="L64" i="55" s="1"/>
  <c r="K79" i="55" a="1"/>
  <c r="K79" i="55" s="1"/>
  <c r="L63" i="55" a="1"/>
  <c r="L63" i="55" s="1"/>
  <c r="K66" i="55" a="1"/>
  <c r="K66" i="55" s="1"/>
  <c r="K49" i="55" a="1"/>
  <c r="K49" i="55" s="1"/>
  <c r="O43" i="55"/>
  <c r="T116" i="55"/>
  <c r="T24" i="55"/>
  <c r="T102" i="55"/>
  <c r="O102" i="55"/>
  <c r="O128" i="55"/>
  <c r="T144" i="55"/>
  <c r="J57" i="59"/>
  <c r="L97" i="55" a="1"/>
  <c r="L97" i="55" s="1"/>
  <c r="O73" i="55"/>
  <c r="O65" i="55"/>
  <c r="K97" i="55" a="1"/>
  <c r="K97" i="55" s="1"/>
  <c r="O78" i="55"/>
  <c r="V49" i="59"/>
  <c r="T85" i="55"/>
  <c r="H57" i="59"/>
  <c r="T141" i="55"/>
  <c r="T129" i="55"/>
  <c r="S19" i="59"/>
  <c r="D19" i="59"/>
  <c r="F19" i="59" s="1" a="1"/>
  <c r="F19" i="59" s="1"/>
  <c r="T32" i="55"/>
  <c r="O107" i="55"/>
  <c r="O99" i="55"/>
  <c r="K123" i="55" a="1"/>
  <c r="K123" i="55" s="1"/>
  <c r="T54" i="55"/>
  <c r="Q57" i="59"/>
  <c r="T140" i="55"/>
  <c r="T128" i="55"/>
  <c r="F46" i="59"/>
  <c r="O93" i="55"/>
  <c r="O50" i="55"/>
  <c r="O61" i="55"/>
  <c r="O118" i="55"/>
  <c r="L45" i="59"/>
  <c r="V19" i="59"/>
  <c r="L126" i="55" a="1"/>
  <c r="L126" i="55" s="1"/>
  <c r="H35" i="55"/>
  <c r="L55" i="55" a="1"/>
  <c r="L55" i="55" s="1"/>
  <c r="L135" i="55" a="1"/>
  <c r="L135" i="55" s="1"/>
  <c r="G24" i="55"/>
  <c r="V38" i="59"/>
  <c r="L50" i="55" a="1"/>
  <c r="L50" i="55" s="1"/>
  <c r="K88" i="55" a="1"/>
  <c r="K88" i="55" s="1"/>
  <c r="K90" i="55" a="1"/>
  <c r="K90" i="55" s="1"/>
  <c r="O21" i="55"/>
  <c r="O44" i="55"/>
  <c r="R57" i="59"/>
  <c r="T138" i="55"/>
  <c r="T125" i="55"/>
  <c r="R12" i="55"/>
  <c r="T12" i="55" s="1"/>
  <c r="V6" i="59"/>
  <c r="R28" i="55"/>
  <c r="T28" i="55" s="1"/>
  <c r="R35" i="55"/>
  <c r="H117" i="55"/>
  <c r="K24" i="55" a="1"/>
  <c r="K24" i="55" s="1"/>
  <c r="O52" i="55"/>
  <c r="P57" i="59"/>
  <c r="D38" i="59"/>
  <c r="F38" i="59" s="1" a="1"/>
  <c r="F38" i="59" s="1"/>
  <c r="O57" i="55"/>
  <c r="O113" i="55"/>
  <c r="R52" i="55"/>
  <c r="T52" i="55" s="1"/>
  <c r="L117" i="55" a="1"/>
  <c r="L117" i="55" s="1"/>
  <c r="L24" i="55" a="1"/>
  <c r="L24" i="55" s="1"/>
  <c r="O120" i="55"/>
  <c r="R47" i="55"/>
  <c r="C19" i="59"/>
  <c r="K19" i="59"/>
  <c r="R63" i="55"/>
  <c r="T63" i="55" s="1"/>
  <c r="K117" i="55" a="1"/>
  <c r="K117" i="55" s="1"/>
  <c r="O135" i="55"/>
  <c r="O117" i="55"/>
  <c r="K76" i="55" a="1"/>
  <c r="K76" i="55" s="1"/>
  <c r="T61" i="55"/>
  <c r="T47" i="55"/>
  <c r="K38" i="59"/>
  <c r="T121" i="55"/>
  <c r="V9" i="59"/>
  <c r="V12" i="59"/>
  <c r="T29" i="55"/>
  <c r="T15" i="55"/>
  <c r="R90" i="55"/>
  <c r="O38" i="59"/>
  <c r="T38" i="59" s="1"/>
  <c r="L93" i="55" a="1"/>
  <c r="L93" i="55" s="1"/>
  <c r="T83" i="55"/>
  <c r="K33" i="55" a="1"/>
  <c r="K33" i="55" s="1"/>
  <c r="K50" i="55" a="1"/>
  <c r="K50" i="55" s="1"/>
  <c r="K30" i="55" a="1"/>
  <c r="K30" i="55" s="1"/>
  <c r="O123" i="55"/>
  <c r="T14" i="55"/>
  <c r="V8" i="59"/>
  <c r="V4" i="59"/>
  <c r="T104" i="55"/>
  <c r="T97" i="55"/>
  <c r="O53" i="55"/>
  <c r="T43" i="55"/>
  <c r="O71" i="55"/>
  <c r="N47" i="59"/>
  <c r="S57" i="59"/>
  <c r="T79" i="55"/>
  <c r="R36" i="55"/>
  <c r="T36" i="55" s="1"/>
  <c r="R20" i="55"/>
  <c r="K111" i="55" a="1"/>
  <c r="K111" i="55" s="1"/>
  <c r="L60" i="55" a="1"/>
  <c r="L60" i="55" s="1"/>
  <c r="L131" i="55" a="1"/>
  <c r="L131" i="55" s="1"/>
  <c r="T27" i="55"/>
  <c r="T62" i="55"/>
  <c r="T13" i="55"/>
  <c r="I57" i="59"/>
  <c r="H144" i="55"/>
  <c r="K144" i="55" a="1"/>
  <c r="K144" i="55" s="1"/>
  <c r="L144" i="55" a="1"/>
  <c r="L144" i="55" s="1"/>
  <c r="G144" i="55"/>
  <c r="G104" i="55"/>
  <c r="L104" i="55" a="1"/>
  <c r="L104" i="55" s="1"/>
  <c r="H104" i="55"/>
  <c r="K104" i="55" a="1"/>
  <c r="K104" i="55" s="1"/>
  <c r="L86" i="55" a="1"/>
  <c r="L86" i="55" s="1"/>
  <c r="K86" i="55" a="1"/>
  <c r="K86" i="55" s="1"/>
  <c r="H86" i="55"/>
  <c r="G86" i="55"/>
  <c r="K145" i="55" a="1"/>
  <c r="K145" i="55" s="1"/>
  <c r="G145" i="55"/>
  <c r="L145" i="55" a="1"/>
  <c r="L145" i="55" s="1"/>
  <c r="H145" i="55"/>
  <c r="L17" i="55" a="1"/>
  <c r="L17" i="55" s="1"/>
  <c r="H17" i="55"/>
  <c r="G17" i="55"/>
  <c r="K17" i="55" a="1"/>
  <c r="K17" i="55" s="1"/>
  <c r="K47" i="55" a="1"/>
  <c r="K47" i="55" s="1"/>
  <c r="H47" i="55"/>
  <c r="L47" i="55" a="1"/>
  <c r="L47" i="55" s="1"/>
  <c r="G47" i="55"/>
  <c r="T142" i="55"/>
  <c r="G115" i="55"/>
  <c r="H115" i="55"/>
  <c r="L115" i="55" a="1"/>
  <c r="L115" i="55" s="1"/>
  <c r="K115" i="55" a="1"/>
  <c r="K115" i="55" s="1"/>
  <c r="H94" i="55"/>
  <c r="L94" i="55" a="1"/>
  <c r="L94" i="55" s="1"/>
  <c r="G94" i="55"/>
  <c r="K94" i="55" a="1"/>
  <c r="K94" i="55" s="1"/>
  <c r="G52" i="55"/>
  <c r="H52" i="55"/>
  <c r="K52" i="55" a="1"/>
  <c r="K52" i="55" s="1"/>
  <c r="L52" i="55" a="1"/>
  <c r="L52" i="55" s="1"/>
  <c r="H106" i="55"/>
  <c r="G106" i="55"/>
  <c r="K106" i="55" a="1"/>
  <c r="K106" i="55" s="1"/>
  <c r="L106" i="55" a="1"/>
  <c r="L106" i="55" s="1"/>
  <c r="L140" i="55" a="1"/>
  <c r="L140" i="55" s="1"/>
  <c r="K140" i="55" a="1"/>
  <c r="K140" i="55" s="1"/>
  <c r="H140" i="55"/>
  <c r="G140" i="55"/>
  <c r="H70" i="55"/>
  <c r="G70" i="55"/>
  <c r="L70" i="55" a="1"/>
  <c r="L70" i="55" s="1"/>
  <c r="G127" i="55"/>
  <c r="H127" i="55"/>
  <c r="L127" i="55" a="1"/>
  <c r="L127" i="55" s="1"/>
  <c r="K127" i="55" a="1"/>
  <c r="K127" i="55" s="1"/>
  <c r="K139" i="55" a="1"/>
  <c r="K139" i="55" s="1"/>
  <c r="L139" i="55" a="1"/>
  <c r="L139" i="55" s="1"/>
  <c r="H139" i="55"/>
  <c r="G139" i="55"/>
  <c r="L54" i="55" a="1"/>
  <c r="L54" i="55" s="1"/>
  <c r="G54" i="55"/>
  <c r="H54" i="55"/>
  <c r="G141" i="55"/>
  <c r="H141" i="55"/>
  <c r="G138" i="55"/>
  <c r="H138" i="55"/>
  <c r="K138" i="55" a="1"/>
  <c r="K138" i="55" s="1"/>
  <c r="L138" i="55" a="1"/>
  <c r="L138" i="55" s="1"/>
  <c r="L85" i="55" a="1"/>
  <c r="L85" i="55" s="1"/>
  <c r="H85" i="55"/>
  <c r="K85" i="55" a="1"/>
  <c r="K85" i="55" s="1"/>
  <c r="G85" i="55"/>
  <c r="L67" i="55" a="1"/>
  <c r="L67" i="55" s="1"/>
  <c r="G67" i="55"/>
  <c r="K67" i="55" a="1"/>
  <c r="K67" i="55" s="1"/>
  <c r="H67" i="55"/>
  <c r="G62" i="55"/>
  <c r="L62" i="55" a="1"/>
  <c r="L62" i="55" s="1"/>
  <c r="H62" i="55"/>
  <c r="G13" i="55"/>
  <c r="L13" i="55" a="1"/>
  <c r="L13" i="55" s="1"/>
  <c r="G98" i="55"/>
  <c r="K98" i="55" a="1"/>
  <c r="K98" i="55" s="1"/>
  <c r="H98" i="55"/>
  <c r="L98" i="55" a="1"/>
  <c r="L98" i="55" s="1"/>
  <c r="H72" i="55"/>
  <c r="L72" i="55" a="1"/>
  <c r="L72" i="55" s="1"/>
  <c r="K72" i="55" a="1"/>
  <c r="K72" i="55" s="1"/>
  <c r="G72" i="55"/>
  <c r="L59" i="55" a="1"/>
  <c r="L59" i="55" s="1"/>
  <c r="G59" i="55"/>
  <c r="K59" i="55" a="1"/>
  <c r="K59" i="55" s="1"/>
  <c r="H59" i="55"/>
  <c r="H38" i="55"/>
  <c r="K38" i="55" a="1"/>
  <c r="K38" i="55" s="1"/>
  <c r="G38" i="55"/>
  <c r="L38" i="55" a="1"/>
  <c r="L38" i="55" s="1"/>
  <c r="G105" i="55"/>
  <c r="K105" i="55" a="1"/>
  <c r="K105" i="55" s="1"/>
  <c r="H105" i="55"/>
  <c r="H109" i="55"/>
  <c r="G109" i="55"/>
  <c r="K109" i="55" a="1"/>
  <c r="K109" i="55" s="1"/>
  <c r="L109" i="55" a="1"/>
  <c r="L109" i="55" s="1"/>
  <c r="G32" i="55"/>
  <c r="K32" i="55" a="1"/>
  <c r="K32" i="55" s="1"/>
  <c r="L32" i="55" a="1"/>
  <c r="L32" i="55" s="1"/>
  <c r="H32" i="55"/>
  <c r="K100" i="55" a="1"/>
  <c r="K100" i="55" s="1"/>
  <c r="G100" i="55"/>
  <c r="H100" i="55"/>
  <c r="L100" i="55" a="1"/>
  <c r="L100" i="55" s="1"/>
  <c r="K61" i="55" a="1"/>
  <c r="K61" i="55" s="1"/>
  <c r="G61" i="55"/>
  <c r="H61" i="55"/>
  <c r="L61" i="55" a="1"/>
  <c r="L61" i="55" s="1"/>
  <c r="G133" i="55"/>
  <c r="L133" i="55" a="1"/>
  <c r="L133" i="55" s="1"/>
  <c r="H133" i="55"/>
  <c r="K133" i="55" a="1"/>
  <c r="K133" i="55" s="1"/>
  <c r="H119" i="55"/>
  <c r="L119" i="55" a="1"/>
  <c r="L119" i="55" s="1"/>
  <c r="K119" i="55" a="1"/>
  <c r="K119" i="55" s="1"/>
  <c r="G119" i="55"/>
  <c r="G21" i="55"/>
  <c r="K21" i="55" a="1"/>
  <c r="K21" i="55" s="1"/>
  <c r="L21" i="55" a="1"/>
  <c r="L21" i="55" s="1"/>
  <c r="H21" i="55"/>
  <c r="H118" i="55"/>
  <c r="G118" i="55"/>
  <c r="K118" i="55" a="1"/>
  <c r="K118" i="55" s="1"/>
  <c r="L118" i="55" a="1"/>
  <c r="L118" i="55" s="1"/>
  <c r="G9" i="55"/>
  <c r="L9" i="55" a="1"/>
  <c r="L9" i="55" s="1"/>
  <c r="K9" i="55" a="1"/>
  <c r="K9" i="55" s="1"/>
  <c r="H9" i="55"/>
  <c r="T94" i="55"/>
  <c r="T118" i="55"/>
  <c r="O83" i="55"/>
  <c r="T82" i="55"/>
  <c r="O63" i="55"/>
  <c r="O39" i="55"/>
  <c r="G125" i="55"/>
  <c r="H23" i="55"/>
  <c r="L137" i="55" a="1"/>
  <c r="L137" i="55" s="1"/>
  <c r="K57" i="55" a="1"/>
  <c r="K57" i="55" s="1"/>
  <c r="T137" i="55"/>
  <c r="O37" i="55"/>
  <c r="T30" i="55"/>
  <c r="T78" i="55"/>
  <c r="O55" i="55"/>
  <c r="O16" i="55"/>
  <c r="K125" i="55" a="1"/>
  <c r="K125" i="55" s="1"/>
  <c r="K34" i="55" a="1"/>
  <c r="K34" i="55" s="1"/>
  <c r="L23" i="55" a="1"/>
  <c r="L23" i="55" s="1"/>
  <c r="L47" i="59"/>
  <c r="F54" i="59"/>
  <c r="V5" i="59"/>
  <c r="G19" i="59"/>
  <c r="M19" i="59" s="1"/>
  <c r="G34" i="55"/>
  <c r="K8" i="55" a="1"/>
  <c r="K8" i="55" s="1"/>
  <c r="O131" i="55"/>
  <c r="T38" i="55"/>
  <c r="T75" i="55"/>
  <c r="O88" i="55"/>
  <c r="N38" i="59"/>
  <c r="T111" i="55"/>
  <c r="G142" i="55"/>
  <c r="L125" i="55" a="1"/>
  <c r="L125" i="55" s="1"/>
  <c r="K107" i="55" a="1"/>
  <c r="K107" i="55" s="1"/>
  <c r="O31" i="55"/>
  <c r="L34" i="55" a="1"/>
  <c r="L34" i="55" s="1"/>
  <c r="O105" i="55"/>
  <c r="O85" i="55"/>
  <c r="O58" i="55"/>
  <c r="O24" i="55"/>
  <c r="T50" i="55"/>
  <c r="S51" i="55"/>
  <c r="T51" i="55" s="1"/>
  <c r="S133" i="55"/>
  <c r="T133" i="55" s="1"/>
  <c r="K129" i="55" a="1"/>
  <c r="K129" i="55" s="1"/>
  <c r="C57" i="59"/>
  <c r="N57" i="59" s="1"/>
  <c r="V10" i="59"/>
  <c r="T41" i="55"/>
  <c r="O90" i="55"/>
  <c r="T91" i="55"/>
  <c r="M14" i="59"/>
  <c r="O86" i="55"/>
  <c r="O84" i="55"/>
  <c r="T11" i="55"/>
  <c r="T90" i="55"/>
  <c r="L142" i="55" a="1"/>
  <c r="L142" i="55" s="1"/>
  <c r="L8" i="55" a="1"/>
  <c r="L8" i="55" s="1"/>
  <c r="H137" i="55"/>
  <c r="V45" i="59"/>
  <c r="O80" i="55"/>
  <c r="O134" i="55"/>
  <c r="M16" i="59"/>
  <c r="O2" i="55"/>
  <c r="T39" i="55"/>
  <c r="O130" i="55"/>
  <c r="O75" i="55"/>
  <c r="T77" i="55"/>
  <c r="O36" i="55"/>
  <c r="O41" i="55"/>
  <c r="O77" i="55"/>
  <c r="M6" i="59"/>
  <c r="H19" i="59"/>
  <c r="O35" i="55"/>
  <c r="O22" i="55"/>
  <c r="O111" i="55"/>
  <c r="T86" i="55"/>
  <c r="H8" i="55"/>
  <c r="O132" i="55"/>
  <c r="O60" i="55"/>
  <c r="O68" i="55"/>
  <c r="G10" i="55"/>
  <c r="O106" i="55"/>
  <c r="O115" i="55"/>
  <c r="T35" i="55"/>
  <c r="G137" i="55"/>
  <c r="O30" i="55"/>
  <c r="T114" i="55"/>
  <c r="D13" i="57"/>
  <c r="E5" i="57"/>
  <c r="E6" i="57" s="1"/>
  <c r="E7" i="57" s="1"/>
  <c r="E8" i="57" s="1"/>
  <c r="E9" i="57" s="1"/>
  <c r="E10" i="57" s="1"/>
  <c r="E11" i="57" s="1"/>
  <c r="E12" i="57" s="1"/>
  <c r="T20" i="55"/>
  <c r="O29" i="55"/>
  <c r="L99" i="55" a="1"/>
  <c r="L99" i="55" s="1"/>
  <c r="G99" i="55"/>
  <c r="K99" i="55" a="1"/>
  <c r="K99" i="55" s="1"/>
  <c r="H99" i="55"/>
  <c r="O64" i="55"/>
  <c r="O20" i="55"/>
  <c r="G16" i="55"/>
  <c r="L16" i="55" a="1"/>
  <c r="L16" i="55" s="1"/>
  <c r="K16" i="55" a="1"/>
  <c r="K16" i="55" s="1"/>
  <c r="H16" i="55"/>
  <c r="O110" i="55"/>
  <c r="G120" i="55"/>
  <c r="H120" i="55"/>
  <c r="K120" i="55" a="1"/>
  <c r="K120" i="55" s="1"/>
  <c r="L120" i="55" a="1"/>
  <c r="L120" i="55" s="1"/>
  <c r="M6" i="26"/>
  <c r="N7" i="26"/>
  <c r="O91" i="55"/>
  <c r="T84" i="55"/>
  <c r="O27" i="55"/>
  <c r="O126" i="55"/>
  <c r="K57" i="59"/>
  <c r="K91" i="55" a="1"/>
  <c r="K91" i="55" s="1"/>
  <c r="K70" i="55" a="1"/>
  <c r="K70" i="55" s="1"/>
  <c r="H48" i="55"/>
  <c r="K48" i="55" a="1"/>
  <c r="K48" i="55" s="1"/>
  <c r="L6" i="26"/>
  <c r="L13" i="59"/>
  <c r="S73" i="55"/>
  <c r="T73" i="55" s="1"/>
  <c r="M18" i="59"/>
  <c r="V54" i="59"/>
  <c r="K15" i="55" a="1"/>
  <c r="K15" i="55" s="1"/>
  <c r="T47" i="59"/>
  <c r="V47" i="59"/>
  <c r="K141" i="55" a="1"/>
  <c r="K141" i="55" s="1"/>
  <c r="L141" i="55" a="1"/>
  <c r="L141" i="55" s="1"/>
  <c r="K83" i="55" a="1"/>
  <c r="K83" i="55" s="1"/>
  <c r="H60" i="55"/>
  <c r="G60" i="55"/>
  <c r="O66" i="55"/>
  <c r="K54" i="55" a="1"/>
  <c r="K54" i="55" s="1"/>
  <c r="K62" i="55" a="1"/>
  <c r="K62" i="55" s="1"/>
  <c r="K53" i="55" a="1"/>
  <c r="K53" i="55" s="1"/>
  <c r="K42" i="55" a="1"/>
  <c r="K42" i="55" s="1"/>
  <c r="L105" i="55" a="1"/>
  <c r="L105" i="55" s="1"/>
  <c r="J151" i="55"/>
  <c r="J2" i="55"/>
  <c r="B57" i="59"/>
  <c r="H78" i="55"/>
  <c r="G78" i="55"/>
  <c r="K78" i="55" a="1"/>
  <c r="K78" i="55" s="1"/>
  <c r="L40" i="55" a="1"/>
  <c r="L40" i="55" s="1"/>
  <c r="K40" i="55" a="1"/>
  <c r="K40" i="55" s="1"/>
  <c r="V42" i="59"/>
  <c r="L128" i="55" a="1"/>
  <c r="L128" i="55" s="1"/>
  <c r="H128" i="55"/>
  <c r="H13" i="55"/>
  <c r="K13" i="55" a="1"/>
  <c r="K13" i="55" s="1"/>
  <c r="U38" i="59"/>
  <c r="G73" i="55"/>
  <c r="H73" i="55"/>
  <c r="K73" i="55" a="1"/>
  <c r="K73" i="55" s="1"/>
  <c r="L82" i="55" a="1"/>
  <c r="L82" i="55" s="1"/>
  <c r="K36" i="55" a="1"/>
  <c r="K36" i="55" s="1"/>
  <c r="E57" i="59"/>
  <c r="H131" i="55"/>
  <c r="F44" i="59"/>
  <c r="H102" i="55"/>
  <c r="G102" i="55"/>
  <c r="G123" i="55"/>
  <c r="H123" i="55"/>
  <c r="G53" i="59"/>
  <c r="F42" i="59"/>
  <c r="P31" i="55"/>
  <c r="M45" i="55" a="1"/>
  <c r="M45" i="55" s="1"/>
  <c r="O45" i="55" s="1"/>
  <c r="M125" i="55" a="1"/>
  <c r="M125" i="55" s="1"/>
  <c r="O125" i="55" s="1"/>
  <c r="N19" i="59" l="1"/>
  <c r="M38" i="59"/>
  <c r="L38" i="59"/>
  <c r="AE2" i="53"/>
  <c r="M43" i="59"/>
  <c r="L43" i="59"/>
  <c r="L19" i="59"/>
  <c r="G152" i="55"/>
  <c r="G2" i="55"/>
  <c r="R2" i="55"/>
  <c r="R151" i="55"/>
  <c r="T57" i="59"/>
  <c r="V57" i="59"/>
  <c r="S31" i="55"/>
  <c r="R31" i="55"/>
  <c r="T31" i="55" s="1"/>
  <c r="G151" i="55"/>
  <c r="N6" i="26"/>
  <c r="O7" i="26"/>
  <c r="G57" i="59"/>
  <c r="L53" i="59"/>
  <c r="M53" i="59"/>
  <c r="H151" i="55"/>
  <c r="H2" i="55"/>
  <c r="G3" i="55"/>
  <c r="M57" i="59" l="1"/>
  <c r="L57" i="59"/>
  <c r="O6" i="26"/>
  <c r="P7" i="26"/>
  <c r="H152" i="55"/>
  <c r="H3" i="55"/>
  <c r="T151" i="55"/>
  <c r="T2" i="55"/>
  <c r="P6" i="26" l="1"/>
  <c r="Q7" i="26"/>
  <c r="Q6" i="26" l="1"/>
  <c r="R7" i="26"/>
  <c r="R6" i="26" l="1"/>
  <c r="S7" i="26"/>
  <c r="S6" i="26" l="1"/>
  <c r="T7" i="26"/>
  <c r="U7" i="26" l="1"/>
  <c r="T6" i="26"/>
  <c r="U6" i="26" l="1"/>
  <c r="V7" i="26"/>
  <c r="V6" i="26" l="1"/>
  <c r="W7" i="26"/>
  <c r="X7" i="26" l="1"/>
  <c r="W6" i="26"/>
  <c r="X6" i="26" l="1"/>
  <c r="Y7" i="26"/>
  <c r="Z7" i="26" l="1"/>
  <c r="Y6" i="26"/>
  <c r="Z6" i="26" l="1"/>
  <c r="AA7" i="26"/>
  <c r="AA6" i="26" l="1"/>
  <c r="AB7" i="26"/>
  <c r="AC7" i="26" l="1"/>
  <c r="AB6" i="26"/>
  <c r="AD7" i="26" l="1"/>
  <c r="AC6" i="26"/>
  <c r="AD6" i="26" l="1"/>
  <c r="AE7" i="26"/>
  <c r="AF7" i="26" l="1"/>
  <c r="AE6" i="26"/>
  <c r="AG7" i="26" l="1"/>
  <c r="AF6" i="26"/>
  <c r="AH7" i="26" l="1"/>
  <c r="AG6" i="26"/>
  <c r="AI7" i="26" l="1"/>
  <c r="AH6" i="26"/>
  <c r="AJ7" i="26" l="1"/>
  <c r="AI6" i="26"/>
  <c r="AK7" i="26" l="1"/>
  <c r="AJ6"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2"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4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<sst xmlns="http://schemas.openxmlformats.org/spreadsheetml/2006/main" count="8885" uniqueCount="1154">
  <si>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</si>
  <si>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</si>
  <si>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</si>
  <si>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</si>
  <si>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</si>
  <si>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</si>
  <si>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</si>
  <si>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</si>
  <si>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</si>
  <si>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</si>
  <si>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</si>
  <si>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</si>
  <si>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</si>
  <si>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</si>
  <si>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</si>
  <si>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</si>
  <si>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</si>
  <si>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</si>
  <si>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</si>
  <si>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</si>
  <si>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</si>
  <si>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</si>
  <si>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</si>
  <si>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</si>
  <si>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</si>
  <si>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</si>
  <si>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</si>
  <si>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</si>
  <si>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</si>
  <si>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</si>
  <si>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</si>
  <si>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</si>
  <si>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</si>
  <si>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</si>
  <si>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</si>
  <si>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</si>
  <si>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</si>
  <si>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</si>
  <si>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</si>
  <si>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</si>
  <si>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</si>
  <si>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</si>
  <si>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</si>
  <si>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</si>
  <si>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</si>
  <si>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</si>
  <si>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</si>
  <si>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</si>
  <si>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</si>
  <si>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</si>
  <si>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</si>
  <si>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</si>
  <si>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</si>
  <si>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</si>
  <si>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</si>
  <si>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</si>
  <si>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</si>
  <si>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</si>
  <si>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</si>
  <si>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</si>
  <si>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</si>
  <si>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</si>
  <si>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</si>
  <si>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</si>
  <si>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</si>
  <si>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</si>
  <si>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</si>
  <si>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</si>
  <si>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</si>
  <si>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</si>
  <si>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</si>
  <si>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</si>
  <si>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</si>
  <si>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</si>
  <si>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</si>
  <si>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</si>
  <si>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</si>
  <si>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</si>
  <si>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</si>
  <si>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</si>
  <si>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</si>
  <si>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</si>
  <si>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</si>
  <si>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</si>
  <si>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</si>
  <si>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</si>
  <si>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</si>
  <si>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</si>
  <si>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</si>
  <si>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</si>
  <si>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</si>
  <si>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</si>
  <si>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</si>
  <si>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</si>
  <si>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</si>
  <si>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</si>
  <si>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</si>
  <si>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</si>
  <si>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</si>
  <si>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</si>
  <si>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</si>
  <si>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</si>
  <si>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</si>
  <si>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</si>
  <si>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</si>
  <si>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</si>
  <si>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</si>
  <si>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</si>
  <si>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</si>
  <si>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</si>
  <si>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</si>
  <si>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</si>
  <si>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</si>
  <si>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</si>
  <si>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</si>
  <si>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</si>
  <si>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</si>
  <si>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</si>
  <si>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</si>
  <si>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</si>
  <si>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</si>
  <si>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</si>
  <si>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</si>
  <si>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</si>
  <si>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</si>
  <si>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</si>
  <si>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</si>
  <si>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</si>
  <si>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</si>
  <si>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</si>
  <si>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</si>
  <si>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</si>
  <si>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</si>
  <si>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</si>
  <si>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</si>
  <si>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</si>
  <si>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</si>
  <si>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</si>
  <si>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</si>
  <si>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</si>
  <si>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</si>
  <si>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</si>
  <si>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</si>
  <si>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</si>
  <si>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</si>
  <si>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</si>
  <si>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</si>
  <si>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</si>
  <si>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</si>
  <si>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</si>
  <si>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</si>
  <si>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</si>
  <si>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</si>
  <si>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</si>
  <si>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</si>
  <si>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</si>
  <si>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</si>
  <si>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</si>
  <si>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</si>
  <si>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</si>
  <si>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</si>
  <si>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</si>
  <si>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</si>
  <si>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</si>
  <si>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</si>
  <si>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</si>
  <si>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</si>
  <si>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</si>
  <si>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</si>
  <si>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</si>
  <si>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</si>
  <si>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</si>
  <si>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</si>
  <si>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</si>
  <si>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</si>
  <si>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</si>
  <si>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</si>
  <si>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</si>
  <si>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</si>
  <si>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</si>
  <si>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</si>
  <si>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</si>
  <si>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</si>
  <si>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</si>
  <si>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</si>
  <si>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</si>
  <si>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</si>
  <si>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</si>
  <si>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</si>
  <si>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</si>
  <si>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</si>
  <si>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</si>
  <si>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</si>
  <si>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</si>
  <si>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</si>
  <si>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</si>
  <si>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</si>
  <si>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</si>
  <si>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</si>
  <si>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</si>
  <si>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</si>
  <si>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</si>
  <si>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</si>
  <si>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</si>
  <si>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</si>
  <si>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</si>
  <si>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</si>
  <si>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</si>
  <si>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</si>
  <si>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</si>
  <si>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</si>
  <si>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</si>
  <si>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</si>
  <si>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</si>
  <si>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</si>
  <si>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</si>
  <si>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</si>
  <si>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</si>
  <si>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</si>
  <si>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</si>
  <si>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</si>
  <si>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</si>
  <si>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</si>
  <si>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</si>
  <si>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</si>
  <si>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</si>
  <si>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</si>
  <si>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</si>
  <si>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</si>
  <si>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</si>
  <si>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</si>
  <si>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</si>
  <si>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</si>
  <si>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</si>
  <si>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</si>
  <si>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</si>
  <si>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</si>
  <si>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</si>
  <si>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</si>
  <si>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</si>
  <si>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</si>
  <si>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</si>
  <si>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</si>
  <si>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</si>
  <si>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</si>
  <si>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</si>
  <si>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</si>
  <si>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</si>
  <si>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</si>
  <si>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</si>
  <si>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</si>
  <si>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</si>
  <si>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</si>
  <si>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</si>
  <si>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</si>
  <si>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</si>
  <si>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</si>
  <si>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</si>
  <si>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</si>
  <si>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</si>
  <si>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</si>
  <si>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</si>
  <si>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</si>
  <si>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</si>
  <si>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</si>
  <si>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</si>
  <si>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</si>
  <si>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</si>
  <si>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</si>
  <si>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</si>
  <si>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</si>
  <si>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</si>
  <si>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</si>
  <si>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</si>
  <si>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</si>
  <si>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</si>
  <si>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</si>
  <si>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</si>
  <si>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</si>
  <si>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</si>
  <si>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</si>
  <si>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</si>
  <si>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</si>
  <si>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</si>
  <si>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</si>
  <si>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</si>
  <si>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</si>
  <si>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</si>
  <si>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</si>
  <si>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</si>
  <si>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</si>
  <si>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</si>
  <si>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</si>
  <si>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</si>
  <si>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</si>
  <si>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</si>
  <si>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</si>
  <si>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</si>
  <si>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</si>
  <si>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</si>
  <si>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</si>
  <si>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</si>
  <si>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</si>
  <si>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</si>
  <si>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</si>
  <si>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</si>
  <si>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</si>
  <si>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</si>
  <si>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DCC Decompression Test</t>
  </si>
  <si>
    <t>Rotation &amp; Mirroring Test</t>
  </si>
  <si>
    <t>Basic Flip Test</t>
  </si>
  <si>
    <t>Stereoscopic Flip Test</t>
  </si>
  <si>
    <t>Viewport Panning Test</t>
  </si>
  <si>
    <t>[DCHUB]V-flip and I-flip type surface flip,
[DCHUB]I-Flip latency
[DCHUB]I-Flip testing with YUV420 and VM</t>
  </si>
  <si>
    <t>Immediate Flip Stress Test</t>
  </si>
  <si>
    <t>DCN-024</t>
  </si>
  <si>
    <t>Global Flip Control Test</t>
  </si>
  <si>
    <t>DCN-029</t>
  </si>
  <si>
    <t>Reader Line Position Test</t>
  </si>
  <si>
    <t>DCN-009</t>
  </si>
  <si>
    <t>DCC Zero-Sized Request Test</t>
  </si>
  <si>
    <t>DCC Dynamic Decompression Test</t>
  </si>
  <si>
    <t>GFX10 Tiling/Swizzle Modes Test</t>
  </si>
  <si>
    <t>Advanced Flip Test</t>
  </si>
  <si>
    <t>DCN-027</t>
  </si>
  <si>
    <t>Display Surface TMZ Test</t>
  </si>
  <si>
    <t>Colour Component Crossbar Test</t>
  </si>
  <si>
    <t>DCN-019</t>
  </si>
  <si>
    <t>Basic Virtual Memory(GPUVM) Testing</t>
  </si>
  <si>
    <t>DCN-020</t>
  </si>
  <si>
    <t>DCHUB HOST VM &amp; Invalidation Test</t>
  </si>
  <si>
    <t>DCHUBBUB TMR Support Test</t>
  </si>
  <si>
    <t>DCHUB RIOMMU Event Logging Test</t>
  </si>
  <si>
    <t>DCHUB RIOMMU Z-state (Z10) Invalidation Test</t>
  </si>
  <si>
    <t>DCN-030</t>
  </si>
  <si>
    <t>DPP</t>
  </si>
  <si>
    <t>CNVC Dynamic Pixel Expansion Test</t>
  </si>
  <si>
    <t>DCN-031</t>
  </si>
  <si>
    <t>Stereoscopic Cursor Test</t>
  </si>
  <si>
    <t>DCN-043</t>
  </si>
  <si>
    <t>Scaler Bypass Mode Test</t>
  </si>
  <si>
    <t>Scaler Hardcoded 2-Tap Scaling Test</t>
  </si>
  <si>
    <t>DCN-042</t>
  </si>
  <si>
    <t>Scaler Hardcoded 2-Tap Sharpening Test</t>
  </si>
  <si>
    <t>Scaler N-Tap Scaling Test</t>
  </si>
  <si>
    <t>DCN-047</t>
  </si>
  <si>
    <t>Line Buffer Memory Size Test</t>
  </si>
  <si>
    <t>DCN-036</t>
  </si>
  <si>
    <t>Gamut Remap Test</t>
  </si>
  <si>
    <t>DCN-035</t>
  </si>
  <si>
    <t>HDR Multiplier Test</t>
  </si>
  <si>
    <t>DCN-033</t>
  </si>
  <si>
    <t>Color Keyer Alpha Generation Test</t>
  </si>
  <si>
    <t>Basic Pixel Unpacking Test</t>
  </si>
  <si>
    <t>Format Converter Bias &amp; Scale Test</t>
  </si>
  <si>
    <t>Alpha Expansion LUT Test</t>
  </si>
  <si>
    <t>Scaler Scenario Test</t>
  </si>
  <si>
    <t>DCN-045</t>
  </si>
  <si>
    <t>Stereoscopic Scaling Test</t>
  </si>
  <si>
    <t>DCN-032</t>
  </si>
  <si>
    <t>De-alpha and Bias Test</t>
  </si>
  <si>
    <t>Gamut Reamp S3.12 Coefficient Format Test</t>
  </si>
  <si>
    <t>FCNV Clamp to Positive Test</t>
  </si>
  <si>
    <t>Basic Cursor Test</t>
  </si>
  <si>
    <t>Cursor Combo Test</t>
  </si>
  <si>
    <t>Cursor Blending Stereoscopic Test</t>
  </si>
  <si>
    <t>DCN-127</t>
  </si>
  <si>
    <t>CNVC Pre-DeAlpha Test</t>
  </si>
  <si>
    <t>CNVC PreCSC S2.13 Coefcient Format Test</t>
  </si>
  <si>
    <t>CNVC PreCSC S3.12 Coefficient Format Test</t>
  </si>
  <si>
    <t>DCN-128</t>
  </si>
  <si>
    <t>CM PostCSC S2.13 Coefcient Format Test</t>
  </si>
  <si>
    <t>CM PostCSC S3.12 Coefficient Format Test</t>
  </si>
  <si>
    <t>DCN-034</t>
  </si>
  <si>
    <t>CNVC Pre-DeGamma Test</t>
  </si>
  <si>
    <t>Pre-ReAlpha and De-Alpha Test</t>
  </si>
  <si>
    <t>DCN-130</t>
  </si>
  <si>
    <t>CM Gamma Correction Test</t>
  </si>
  <si>
    <t>MPC</t>
  </si>
  <si>
    <t>MPCC Mode Test</t>
  </si>
  <si>
    <t>DCN-052</t>
  </si>
  <si>
    <t>MPCC Stereo Mixing Test</t>
  </si>
  <si>
    <t>Alpha Blending Per-Layer Gain Test</t>
  </si>
  <si>
    <t>DCN-054</t>
  </si>
  <si>
    <t>MPC Output CSC Test</t>
  </si>
  <si>
    <t>DCN-055</t>
  </si>
  <si>
    <t>MPC Denormalization and Clamping Test</t>
  </si>
  <si>
    <t>DCN-125</t>
  </si>
  <si>
    <t>MPC 3D LUT Test</t>
  </si>
  <si>
    <t>DCN-126</t>
  </si>
  <si>
    <t>MPC Gamut Remap Test</t>
  </si>
  <si>
    <t>MPC Gamut Remap S3.12 Coefficient Format Test</t>
  </si>
  <si>
    <t>MPCC Extend Output Gamma Test</t>
  </si>
  <si>
    <t>DCN-010</t>
  </si>
  <si>
    <t>ABM</t>
  </si>
  <si>
    <t>ABM Histogram</t>
  </si>
  <si>
    <t>ABM Luma Statistics</t>
  </si>
  <si>
    <t>DCN-058</t>
  </si>
  <si>
    <t>FMT</t>
  </si>
  <si>
    <t xml:space="preserve"> FMT Truncation Test</t>
  </si>
  <si>
    <t>FMT Basic Spatial Dither Test</t>
  </si>
  <si>
    <t>FMT Spatial Dither Mode Test</t>
  </si>
  <si>
    <t>FMT Frame Random Spatial Dither Test</t>
  </si>
  <si>
    <t>FMT Spatial Dither Frame Counter Test</t>
  </si>
  <si>
    <t>FMT Temporal Dither Test</t>
  </si>
  <si>
    <t>DCN-059</t>
  </si>
  <si>
    <t>FMT Clamping Test</t>
  </si>
  <si>
    <t>FMT Random Dither with Stereo Test</t>
  </si>
  <si>
    <t>DCN-060</t>
  </si>
  <si>
    <t>FMT 4:2:2 Subsampling Test</t>
  </si>
  <si>
    <t>FMT 4:2:0 Basic Subsampling Test</t>
  </si>
  <si>
    <t xml:space="preserve"> FMT 4:2:0 Stereoscopic (Side-by-Side Half) Subsampling Test</t>
  </si>
  <si>
    <t>DCN-061</t>
  </si>
  <si>
    <t>FMT Dynamic Expansion Test</t>
  </si>
  <si>
    <t>FMT 4:2:2 Subsampling with ODM Combine Test</t>
  </si>
  <si>
    <t>Basic Subsampling with ODM Combine Test</t>
  </si>
  <si>
    <t>[DSC] DSC for DP,
[DSC] DSC for HDMI2.1,
[DIO]DP FEC support,
[OPP]DSC Resource Manager Support</t>
  </si>
  <si>
    <t>DSC</t>
  </si>
  <si>
    <t>Multi-Stream DSC Test</t>
  </si>
  <si>
    <t>DCN-068</t>
  </si>
  <si>
    <t>ODM</t>
  </si>
  <si>
    <t>ODM Combine Mode Basic Test</t>
  </si>
  <si>
    <t>ODM Combine Mode DSC Test</t>
  </si>
  <si>
    <t>ODM Combine Mode (4:1) with DSC Test (For HPO FRL or DP2.0)</t>
  </si>
  <si>
    <t xml:space="preserve">ODM Combine Mode with HBR3 Test </t>
  </si>
  <si>
    <t>DCN-141</t>
  </si>
  <si>
    <t>[ODM] Dynamic switch of ODM</t>
  </si>
  <si>
    <t>Dynamic Switch Of ODM Test</t>
  </si>
  <si>
    <t>OTG</t>
  </si>
  <si>
    <t>OTG Pixel Repetition Test</t>
  </si>
  <si>
    <t>DCN-075</t>
  </si>
  <si>
    <t>OTG Force VSYNC Next Line Test</t>
  </si>
  <si>
    <t>DCN-076</t>
  </si>
  <si>
    <t>OTG Snapshot Test</t>
  </si>
  <si>
    <t>DCN-070</t>
  </si>
  <si>
    <t>OTG Frame-Sequential Stereoscopic Test</t>
  </si>
  <si>
    <t>DCN-074</t>
  </si>
  <si>
    <t>OTG Trigger Detection Test</t>
  </si>
  <si>
    <t>DCN-077</t>
  </si>
  <si>
    <t>OTG Force Count Test</t>
  </si>
  <si>
    <t>DCN-081</t>
  </si>
  <si>
    <t>OTG Dynamic Refresh Rate Test</t>
  </si>
  <si>
    <t>DCN-072</t>
  </si>
  <si>
    <t>Underflow Recovery Test</t>
  </si>
  <si>
    <t>DCN-079</t>
  </si>
  <si>
    <t>OTG Static Screen Event Test</t>
  </si>
  <si>
    <t>Display Pattern Generator Test</t>
  </si>
  <si>
    <t>DCN-057</t>
  </si>
  <si>
    <t>OTG Dynamic V-active Support Test</t>
  </si>
  <si>
    <t>OTG Stream Synchronization Support</t>
  </si>
  <si>
    <t>OTG VUPDATE Interrupt Test</t>
  </si>
  <si>
    <t>OTG Snapshot Interrupt Test</t>
  </si>
  <si>
    <t>OTG TRIGA Interrupt Test</t>
  </si>
  <si>
    <t>OTG TRIGB Interrupt Test</t>
  </si>
  <si>
    <t>DCN-078</t>
  </si>
  <si>
    <t>OTG VSTARTUP Interrupt Test</t>
  </si>
  <si>
    <t>OTG VREADY Interrupt Test</t>
  </si>
  <si>
    <t>DCN-090</t>
  </si>
  <si>
    <t>[DIO]AUX/I2C</t>
  </si>
  <si>
    <t>EDID Read Tests</t>
  </si>
  <si>
    <t>Aux Channel DPCD Read/Write Tests</t>
  </si>
  <si>
    <t>EDID Variable Length Read</t>
  </si>
  <si>
    <t>HDMI 1.4 Frame Packing 3D Test</t>
  </si>
  <si>
    <t>DCN-082</t>
  </si>
  <si>
    <t>HDMI 2.0 Scrambler Test</t>
  </si>
  <si>
    <t>HDMI 2.0 Dynamic Metadata Test</t>
  </si>
  <si>
    <t>DCN-085</t>
  </si>
  <si>
    <t xml:space="preserve"> HDMI SPDIF Control Bits Test </t>
  </si>
  <si>
    <t>HDMI Basic Output Test on PHYA</t>
  </si>
  <si>
    <t>HDMI Random Audio Test</t>
  </si>
  <si>
    <t>HDMI Ramp Audio Test</t>
  </si>
  <si>
    <t>HDMI Azalia Basic Audio Sine Wave Test</t>
  </si>
  <si>
    <t xml:space="preserve"> HDMI Azalia Basic Audio Test</t>
  </si>
  <si>
    <t>HDMI Azalia 2.0 Channel HD Audio Test</t>
  </si>
  <si>
    <t>HDMI Azalia 4.0 Channel HD Audio Test</t>
  </si>
  <si>
    <t>HDMI Azalia 5.1 Channel HD Audio Test</t>
  </si>
  <si>
    <t>HDMI Azalia 6.1 Channel HD Audio Test</t>
  </si>
  <si>
    <t>HDMI Azalia 7.1 Channel HD Audio Test</t>
  </si>
  <si>
    <t>HDMI Azalia HBR Audio Test</t>
  </si>
  <si>
    <t>HDMI Multi-Channel Single Stream DMA Out</t>
  </si>
  <si>
    <t>HDMI Keep-alive Enable Azalia Audio Test</t>
  </si>
  <si>
    <t>DIO235</t>
  </si>
  <si>
    <t>HDMI Deep Color Azalia 2.0 Channel HD Audio Test</t>
  </si>
  <si>
    <t>HDMI Deep Color Azalia 7.1 Channel HD Audio Test</t>
  </si>
  <si>
    <t>HDMI Deep Color Azalia HBR Audio Test</t>
  </si>
  <si>
    <t>HDMI 1.4 Frame Packing 3D Test with Azalia Audio</t>
  </si>
  <si>
    <t>DCN-99</t>
  </si>
  <si>
    <t>[AZ]Audio Content Protection/Management Support</t>
  </si>
  <si>
    <t>HDMI Audio Content Management Packet Test</t>
  </si>
  <si>
    <t>HDMI2.0 Packet Generation test</t>
  </si>
  <si>
    <t>DIO242</t>
  </si>
  <si>
    <t>HDMI 2.0</t>
  </si>
  <si>
    <t>HDMI Azalia Audio Test</t>
  </si>
  <si>
    <t>DCN-086</t>
  </si>
  <si>
    <t>Multi-Stream HD Audio Test</t>
  </si>
  <si>
    <t>DCN-018</t>
  </si>
  <si>
    <t>DisplayPort Dynamic Metadata Test</t>
  </si>
  <si>
    <t>DIO359</t>
  </si>
  <si>
    <t>DP Frame Packing 3D Test</t>
  </si>
  <si>
    <t>DP Frame Packing 3D Test with Scaling</t>
  </si>
  <si>
    <t>DCN-071</t>
  </si>
  <si>
    <t>DisplayPort Ranged Timing H/V TOTAL Change Test</t>
  </si>
  <si>
    <t>DisplayPort Ranged Timing Pixel Rate Change Test</t>
  </si>
  <si>
    <t>DP 1.62GHz 1 Lane Test</t>
  </si>
  <si>
    <t>DP 1.62GHz 2 Lane Test</t>
  </si>
  <si>
    <t>DP 1.62GHz 4 Lane Test</t>
  </si>
  <si>
    <t>DP 2.70GHz 1 Lane Test</t>
  </si>
  <si>
    <t>DP 2.70GHz 2 Lane Test</t>
  </si>
  <si>
    <t>DP 2.70GHz 4 Lane Test</t>
  </si>
  <si>
    <t>DP 5.40GHz 1 Lane Test</t>
  </si>
  <si>
    <t>DP 5.40GHz 2 Lane Test</t>
  </si>
  <si>
    <t>DP 5.40GHz 4 Lane Test</t>
  </si>
  <si>
    <t>DP 8.10GHz 1 Lane Test</t>
  </si>
  <si>
    <t>DP 8.10GHz 2 Lane Test</t>
  </si>
  <si>
    <t>DP 8.10GHz 4 Lane Test</t>
  </si>
  <si>
    <t>DCN-087</t>
  </si>
  <si>
    <t>DP MST Source Test</t>
  </si>
  <si>
    <t>DP MST Combo Test: UNIPHYB</t>
  </si>
  <si>
    <t>DP MST Combo Test: UNIPHYC</t>
  </si>
  <si>
    <t>DisplayPort 4:2:0 Subsampling Test</t>
  </si>
  <si>
    <t>DCN-056</t>
  </si>
  <si>
    <t>DisplayPort Link Layer Compliance Pattern Test</t>
  </si>
  <si>
    <t>DisplayPort Audio Content Management Packet Test</t>
  </si>
  <si>
    <t>DIO382</t>
  </si>
  <si>
    <t>DisplayPort 1.4 basic output Test on PHYA</t>
  </si>
  <si>
    <t>DisplayPort Basic Output Test on PHYA/B</t>
  </si>
  <si>
    <t>DP Random Audio Test</t>
  </si>
  <si>
    <t>DP Ramp Audio Test</t>
  </si>
  <si>
    <t>DP Azalia Audio Test</t>
  </si>
  <si>
    <t>DCN-097</t>
  </si>
  <si>
    <t>DisplayPort Keep-alive Enable Azalia Audio Test</t>
  </si>
  <si>
    <t>DisplayPort Tx-Rx CRC Test</t>
  </si>
  <si>
    <t>HPO Video Ouput test on PHYx</t>
  </si>
  <si>
    <t>DCN-121</t>
  </si>
  <si>
    <t>HDMI2.1 Azalia 2.0 Channel HD Audio test</t>
  </si>
  <si>
    <t>HDMI2.1 Azalia 7.1 Channel HD Audio test</t>
  </si>
  <si>
    <t>HDMI2.1 Azalia HBR Audio test</t>
  </si>
  <si>
    <t>DCN-122</t>
  </si>
  <si>
    <t>HPO Stereo test on PHYA</t>
  </si>
  <si>
    <t>DCN-123</t>
  </si>
  <si>
    <t>HDMI2.1 Frame Accurate Metadata test</t>
  </si>
  <si>
    <t>HDMI2.1 EM Data Non-interleave Transmission test</t>
  </si>
  <si>
    <t>DIO607</t>
  </si>
  <si>
    <t>DCN-124</t>
  </si>
  <si>
    <t>HDMI2.1 Packet Generation test</t>
  </si>
  <si>
    <t>DIO608</t>
  </si>
  <si>
    <t>DCN-113</t>
  </si>
  <si>
    <t>DP2.0 10GHz 1 Lane Test</t>
  </si>
  <si>
    <t>DP2.0 10GHz 2 Lane Test</t>
  </si>
  <si>
    <t>DP2.0 10GHz 4 Lane Test</t>
  </si>
  <si>
    <t>DP2.0
[DIO] C20 combo PHY</t>
  </si>
  <si>
    <t>DP2.0 13.5GHz 1 Lane Test</t>
  </si>
  <si>
    <t>DP2.0 20GHz 1 Lane Test</t>
  </si>
  <si>
    <t>DP2.0 Audio Content Management Packet Test</t>
  </si>
  <si>
    <t>DP2.0 Random Audio Test</t>
  </si>
  <si>
    <t>DP2.0 Ramp Audio Test</t>
  </si>
  <si>
    <t>DP2.0 Azalia Audio Test</t>
  </si>
  <si>
    <t>DCN-102</t>
  </si>
  <si>
    <t>DWB</t>
  </si>
  <si>
    <t>Stereo</t>
  </si>
  <si>
    <t>DWB Bypass Mode Test</t>
  </si>
  <si>
    <t>DCN-093</t>
  </si>
  <si>
    <t>EB</t>
  </si>
  <si>
    <t>HDCP Check Keys</t>
  </si>
  <si>
    <t>HDCP 1.x HDMI with Azalia Audio Test: PHYA</t>
  </si>
  <si>
    <t>HDCP 1.x HDMI 1.4 Frame Packing 3D with 7.1 LPCM Audio
Test: PHYA</t>
  </si>
  <si>
    <t>HDCP 1.x DisplayPort Test</t>
  </si>
  <si>
    <t>[AZ]Audio HDCP Support</t>
  </si>
  <si>
    <t>DisplayPort with Audio HDCP Test</t>
  </si>
  <si>
    <t>DCN-094</t>
  </si>
  <si>
    <t>HDCP 2.2 DisplayPort Cipher Test</t>
  </si>
  <si>
    <t>DCN-096</t>
  </si>
  <si>
    <t>CE</t>
  </si>
  <si>
    <t>Auto payload in unsolicited response</t>
  </si>
  <si>
    <t>DCN-100</t>
  </si>
  <si>
    <t>Azalia Controller Clock Gating Test</t>
  </si>
  <si>
    <t>DCN-101</t>
  </si>
  <si>
    <t>Azalia Unsolicited Response Holding Test</t>
  </si>
  <si>
    <t>DMU</t>
  </si>
  <si>
    <t>Unallocated Register Access Test</t>
  </si>
  <si>
    <t>DCN-107</t>
  </si>
  <si>
    <t>Fine-Grained Security Gasket Test</t>
  </si>
  <si>
    <t>Register Access Timeout Test</t>
  </si>
  <si>
    <t>DISP</t>
  </si>
  <si>
    <t>Direct Digital Bypass Mode Test</t>
  </si>
  <si>
    <t>DCN-108</t>
  </si>
  <si>
    <t>Display Register Double-Buffering Test</t>
  </si>
  <si>
    <t>DCN-109</t>
  </si>
  <si>
    <t>Triple Buffered Register Update Test</t>
  </si>
  <si>
    <t>DCN-98</t>
  </si>
  <si>
    <t>[AZ]Audio Latency Hiding Support</t>
  </si>
  <si>
    <t>Display High Bandwidth Usage Test</t>
  </si>
  <si>
    <t>Memory P-State Switching at High Refresh Rate</t>
  </si>
  <si>
    <t>DLPC</t>
  </si>
  <si>
    <t>IPS Transition Test</t>
  </si>
  <si>
    <t>DCN-xxx</t>
  </si>
  <si>
    <t>SLT test suite</t>
  </si>
  <si>
    <t>Display Non-Stream Test</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</si>
  <si>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</si>
  <si>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</si>
  <si>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</si>
  <si>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DCN-001</t>
  </si>
  <si>
    <t>Optimize power gating for long vblank video</t>
  </si>
  <si>
    <t>wk-7</t>
  </si>
  <si>
    <t>DCN-002</t>
  </si>
  <si>
    <t>Hierarchical power gating(IPx DLDO)</t>
  </si>
  <si>
    <t>DCN-003</t>
  </si>
  <si>
    <t>Clock gating on DCN cloks</t>
  </si>
  <si>
    <t>wk-1</t>
  </si>
  <si>
    <t>DCN-004</t>
  </si>
  <si>
    <t>DCFCLK deep sleep</t>
  </si>
  <si>
    <t>DCN-005</t>
  </si>
  <si>
    <t xml:space="preserve">SRAM retention in DPP &amp; MPC to reduce restore time </t>
  </si>
  <si>
    <t>wk-8</t>
  </si>
  <si>
    <t>DCN-006</t>
  </si>
  <si>
    <t xml:space="preserve">0pin retention/Security group 2 retention </t>
  </si>
  <si>
    <t>DCN-007</t>
  </si>
  <si>
    <t>DCFCLK DPM</t>
  </si>
  <si>
    <t>wk-2</t>
  </si>
  <si>
    <t>DCN-008</t>
  </si>
  <si>
    <t>DCN SRAM memory low power mode</t>
  </si>
  <si>
    <t>wk-3</t>
  </si>
  <si>
    <t>DCC</t>
  </si>
  <si>
    <t>DCN-011</t>
  </si>
  <si>
    <t>PSR</t>
  </si>
  <si>
    <t>DCN-012</t>
  </si>
  <si>
    <t>PSR SU</t>
  </si>
  <si>
    <t>DCN-013</t>
  </si>
  <si>
    <t xml:space="preserve">eDP1.4 ALPM </t>
  </si>
  <si>
    <t>DCN-014</t>
  </si>
  <si>
    <t>P-State/DRAM Clock Switching</t>
  </si>
  <si>
    <t>DCN-015</t>
  </si>
  <si>
    <t>DCHUBBUB watermark change (SR enter/exit, DRAM CLK change, Urgency)</t>
  </si>
  <si>
    <t>DCN-016</t>
  </si>
  <si>
    <t>DRAM Self-Refresh ,C-State and stutter efficency</t>
  </si>
  <si>
    <t>DCN-017</t>
  </si>
  <si>
    <t>MPO</t>
  </si>
  <si>
    <t>HDR support</t>
  </si>
  <si>
    <t>wk-6</t>
  </si>
  <si>
    <t>1 level GPUVM</t>
  </si>
  <si>
    <t>4 level Host VM</t>
  </si>
  <si>
    <t>DCN-021</t>
  </si>
  <si>
    <t>HW rotation and mirroring</t>
  </si>
  <si>
    <t>wk-4</t>
  </si>
  <si>
    <t>DCN-022</t>
  </si>
  <si>
    <t>V-flip and I-flip type surface flip</t>
  </si>
  <si>
    <t>DCN-023</t>
  </si>
  <si>
    <t>I-Flip testing with YUV420 and VM</t>
  </si>
  <si>
    <t>Global Flip Control Support</t>
  </si>
  <si>
    <t>wk-5</t>
  </si>
  <si>
    <t>DCN-025</t>
  </si>
  <si>
    <t>Surface Address support linear and 2D tiled</t>
  </si>
  <si>
    <t>DCN-026</t>
  </si>
  <si>
    <t>Surface Format: GFX11 tiling library</t>
  </si>
  <si>
    <t>TMZ</t>
  </si>
  <si>
    <t>DCN-028</t>
  </si>
  <si>
    <t>3D Stereo Display</t>
  </si>
  <si>
    <t>Reader Line Position Support</t>
  </si>
  <si>
    <t>Format Conversion</t>
  </si>
  <si>
    <t>Cursor Composition</t>
  </si>
  <si>
    <t>Color Processing: De-alpha &amp; Bias</t>
  </si>
  <si>
    <t>Color Processing: Input Color Space Conversion</t>
  </si>
  <si>
    <t>Color Processing: Degamma</t>
  </si>
  <si>
    <t>Color Processing: HDR Multiplier coefficients</t>
  </si>
  <si>
    <t>Color Processing: Gamut Remap after blend</t>
  </si>
  <si>
    <t>DCN-038</t>
  </si>
  <si>
    <t>Scaling: Pre-Scaling Linearization</t>
  </si>
  <si>
    <t>DCN-039</t>
  </si>
  <si>
    <t>Scaling: Downscaling</t>
  </si>
  <si>
    <t>DCN-040</t>
  </si>
  <si>
    <t>Scaling: Upscaling</t>
  </si>
  <si>
    <t>DCN-041</t>
  </si>
  <si>
    <t>Scaling: Alpha Scaling</t>
  </si>
  <si>
    <t>Scaling: Sharpening Support</t>
  </si>
  <si>
    <t>Scaling: Auto Calculation Mode</t>
  </si>
  <si>
    <t>DCN-044</t>
  </si>
  <si>
    <t>Scaling: Underscan/Overscan</t>
  </si>
  <si>
    <t>Scaling: Stereo scaling</t>
  </si>
  <si>
    <t>DCN-046</t>
  </si>
  <si>
    <t>Scaling: Scaler Boundary Condition Support</t>
  </si>
  <si>
    <t>Line buffer dynamic memory allocation and partitioning</t>
  </si>
  <si>
    <t>DCN-048</t>
  </si>
  <si>
    <t>Blender Bypass Mode Support</t>
  </si>
  <si>
    <t>DCN-049</t>
  </si>
  <si>
    <t>Top-layer Pass-through Mode Support</t>
  </si>
  <si>
    <t>DCN-050</t>
  </si>
  <si>
    <t>Pre-Pixel Alpha Blending with Gain Support</t>
  </si>
  <si>
    <t>DCN-051</t>
  </si>
  <si>
    <t>Global Alpha Blending with Gain Support</t>
  </si>
  <si>
    <t>Stereo Format Blending Support</t>
  </si>
  <si>
    <t>DCN-053</t>
  </si>
  <si>
    <t>Output Gamma</t>
  </si>
  <si>
    <t>Output Color Space Conversion</t>
  </si>
  <si>
    <t>De-normalization, Rounding and Clamping Support</t>
  </si>
  <si>
    <t>DP Link Layer Compliance Pattern Support</t>
  </si>
  <si>
    <t>Video Blanking Generation Support</t>
  </si>
  <si>
    <t>Formatter: Truncation or rounding</t>
  </si>
  <si>
    <t>Formatter: Legal Color Space Clamping Support</t>
  </si>
  <si>
    <t>Formatter: 4:2:2 and 4:2:0 Sub-sampling Support</t>
  </si>
  <si>
    <t>Formatter: Dynamic &amp; Zero expansion</t>
  </si>
  <si>
    <t>DCN-062</t>
  </si>
  <si>
    <t>Formatter: Pixel Repetition Support</t>
  </si>
  <si>
    <t>DCN-063</t>
  </si>
  <si>
    <t>Stereo Dummy Data Insertion Support</t>
  </si>
  <si>
    <t>DCN-064</t>
  </si>
  <si>
    <t>DPG</t>
  </si>
  <si>
    <t>DCN-065</t>
  </si>
  <si>
    <t>DSC for DP</t>
  </si>
  <si>
    <t>DCN-066</t>
  </si>
  <si>
    <t>DSC for HDMI FRL</t>
  </si>
  <si>
    <t>DCN-067</t>
  </si>
  <si>
    <t>DP FEC support</t>
  </si>
  <si>
    <t>ODM: Combine mode for 2: 1 and 4:1 for w/o DSC and with DSC</t>
  </si>
  <si>
    <t>DCN-069</t>
  </si>
  <si>
    <t>SLS Mode Timing Sync Support</t>
  </si>
  <si>
    <t>Stereo 3D Timing Support</t>
  </si>
  <si>
    <t>Ranged timing</t>
  </si>
  <si>
    <t>Underflow Detection and Recovery</t>
  </si>
  <si>
    <t>DCN-073</t>
  </si>
  <si>
    <t>Horizontal pixel repetition</t>
  </si>
  <si>
    <t>OTG Trigger Support</t>
  </si>
  <si>
    <t>Forced Vsync Support</t>
  </si>
  <si>
    <t>H, V and Frame Count Snapshot Support</t>
  </si>
  <si>
    <t>Forced H and V Counter Support</t>
  </si>
  <si>
    <t>Vstartup, Vupdate and Vready Interrupt Support</t>
  </si>
  <si>
    <t>Static Screen Support</t>
  </si>
  <si>
    <t>DCN-080</t>
  </si>
  <si>
    <t>GSL</t>
  </si>
  <si>
    <t>DRR</t>
  </si>
  <si>
    <t>DCN-083</t>
  </si>
  <si>
    <t xml:space="preserve">HDMI 2.1 support VRR, FVA, QMS for TMDS operation </t>
  </si>
  <si>
    <t>DCN-084</t>
  </si>
  <si>
    <t>HDMI Dolby Vision Support</t>
  </si>
  <si>
    <t>HDMI and DP SPDIF Control Bits Support</t>
  </si>
  <si>
    <t>DP 1.4 support</t>
  </si>
  <si>
    <t>DP 1.4 MST support</t>
  </si>
  <si>
    <t>DCN-088</t>
  </si>
  <si>
    <t>DP Dynamic Metadata</t>
  </si>
  <si>
    <t>DCN-089</t>
  </si>
  <si>
    <t>HDMI Dynamic Metadata</t>
  </si>
  <si>
    <t>Aux/I2C</t>
  </si>
  <si>
    <t>DCN-091</t>
  </si>
  <si>
    <t>HPD</t>
  </si>
  <si>
    <t>DCN-092</t>
  </si>
  <si>
    <t>USB-C Alt Mode</t>
  </si>
  <si>
    <t>HDCP1.4</t>
  </si>
  <si>
    <t>HDCP2.3</t>
  </si>
  <si>
    <t>DCN-095</t>
  </si>
  <si>
    <t>Global Time Code Support</t>
  </si>
  <si>
    <t>Jack Presence Support</t>
  </si>
  <si>
    <t>Hardware Silent Stream Support</t>
  </si>
  <si>
    <t>DCN-098</t>
  </si>
  <si>
    <t>Latency Hiding Support</t>
  </si>
  <si>
    <t>DCN-099</t>
  </si>
  <si>
    <t>Audio HDCP and Content Protection for DP and HDMI</t>
  </si>
  <si>
    <t>Audio Controller Clock Gating and Deep Sleep Support</t>
  </si>
  <si>
    <t>External Event and Unsolicited Response Support</t>
  </si>
  <si>
    <t>DWB support 444 in 32bpp, 1080P60</t>
  </si>
  <si>
    <t>DCN-103</t>
  </si>
  <si>
    <t>RSMU-RBBM-DC Interface Support</t>
  </si>
  <si>
    <t>DCN-104</t>
  </si>
  <si>
    <t>DMCU: Secure Firmware Load Support</t>
  </si>
  <si>
    <t>DCN-105</t>
  </si>
  <si>
    <t>Interrupts</t>
  </si>
  <si>
    <t>DCN-106</t>
  </si>
  <si>
    <t>Fine Grain Security Gasket Support</t>
  </si>
  <si>
    <t>Double Buffered Register Update Support</t>
  </si>
  <si>
    <t>Triple Buffered Register Update Support</t>
  </si>
  <si>
    <t>Register Update Pending and Update Taken Support</t>
  </si>
  <si>
    <t>DCN-110</t>
  </si>
  <si>
    <t>Digital Bypass</t>
  </si>
  <si>
    <t>DCN-111</t>
  </si>
  <si>
    <t>DCC updates to support Z9 compression calculation</t>
  </si>
  <si>
    <t>DCN-112</t>
  </si>
  <si>
    <t>Zstate Z9 and Z10)</t>
  </si>
  <si>
    <t>DP2.0: UHBR10 for native DP and USBC-DP ALT mode</t>
  </si>
  <si>
    <t>W10</t>
  </si>
  <si>
    <t>DCN-114</t>
  </si>
  <si>
    <t>test_power_down for dedicated PHY and P3.PG</t>
  </si>
  <si>
    <t>DCN-115</t>
  </si>
  <si>
    <t>HDMI2.1 FRL up to 12G</t>
  </si>
  <si>
    <t>DCN-116</t>
  </si>
  <si>
    <t>HBR3 with Vmin</t>
  </si>
  <si>
    <t>DCN-117</t>
  </si>
  <si>
    <t>Maximum use case display configuration support</t>
  </si>
  <si>
    <t>DCN-118</t>
  </si>
  <si>
    <t>Register access and timeout Support</t>
  </si>
  <si>
    <t>W8</t>
  </si>
  <si>
    <t>DCN-119</t>
  </si>
  <si>
    <t>Unallocated space access</t>
  </si>
  <si>
    <t>DCN-120</t>
  </si>
  <si>
    <t>HDMI2.1 Data Flow Metering</t>
  </si>
  <si>
    <t>HDMI 2.1 Audio Support</t>
  </si>
  <si>
    <t>HDMI2.1 Stereo 3D Timing Support</t>
  </si>
  <si>
    <t>HDMI 2.1 Frame Accurate metadata Support</t>
  </si>
  <si>
    <t>HDMI 2.1 Packet Generation Support</t>
  </si>
  <si>
    <t>MPCC 3D LUT Support</t>
  </si>
  <si>
    <t>MPCC Gamut Remap Support</t>
  </si>
  <si>
    <t>Color Processing: Pre-DeAlpha</t>
  </si>
  <si>
    <t>Color Processing: Post-scaler CSC</t>
  </si>
  <si>
    <t>DCN-129</t>
  </si>
  <si>
    <t>Color Processing: Pre-ReAlpha Support</t>
  </si>
  <si>
    <t>Color Processing: Gamma Correction</t>
  </si>
  <si>
    <t>DCN-131</t>
  </si>
  <si>
    <t xml:space="preserve">USB4 DP tunneling---AUX function                                                                                           </t>
  </si>
  <si>
    <t>DCN-132</t>
  </si>
  <si>
    <t xml:space="preserve">USB4 DP tunneling---DPIA register access though RSMU and DMCUB                                                                                                   </t>
  </si>
  <si>
    <t>DCN-133</t>
  </si>
  <si>
    <t xml:space="preserve">USB4 DP tunneling---Support 1, 2 and 4 lanes.                                                                                                   </t>
  </si>
  <si>
    <t>DCN-134</t>
  </si>
  <si>
    <t xml:space="preserve">USB4 DP tunneling---Support RBR, HBR, HBR2 and HBR3 link rate.                                                                                                        </t>
  </si>
  <si>
    <t>DCN-135</t>
  </si>
  <si>
    <t xml:space="preserve">USB4 DP tunneling---Support both SST and MST mode                                                                                                   </t>
  </si>
  <si>
    <t>DCN-136</t>
  </si>
  <si>
    <t xml:space="preserve">USB4 DP tunneling---FEC on and off                                                                                                                                                                                                       </t>
  </si>
  <si>
    <t>DCN-137</t>
  </si>
  <si>
    <t xml:space="preserve">USB4 DP tunneling---Support both LTTPR and non-LTTPR mode                                                                                                     </t>
  </si>
  <si>
    <t>DCN-138</t>
  </si>
  <si>
    <t xml:space="preserve">USB4 DP tunneling---HDCP                                                                                                </t>
  </si>
  <si>
    <t>DCN-139</t>
  </si>
  <si>
    <t xml:space="preserve">USB4 DP tunneling---USB4 mode Audio function                                                                                </t>
  </si>
  <si>
    <t>DCN-140</t>
  </si>
  <si>
    <t xml:space="preserve">USB4 DP tunneling---4 DPIA Ports                                                                        </t>
  </si>
  <si>
    <t>PLEASE DO NOT CROSS THIS LINE.   Insert New Rows OR Copied Cells "Above" The Last Known Good Row Only So Each Copied Cells &amp; Rows Still Contains The Right Formulas (Similar Concept for Removing or Deleting Rows)</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</si>
  <si>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</si>
  <si>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</si>
  <si>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</si>
  <si>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</si>
  <si>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</si>
  <si>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</si>
  <si>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</si>
  <si>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Total # of Features</t>
  </si>
  <si>
    <t>Total # of P1</t>
  </si>
  <si>
    <t>Total # of P2</t>
  </si>
  <si>
    <t>Total # of P3</t>
  </si>
  <si>
    <t>Total # of Diagnostics</t>
  </si>
  <si>
    <t>Total # of Driver</t>
  </si>
  <si>
    <t>Total # of IPSE</t>
  </si>
  <si>
    <t>Total # of N/A</t>
  </si>
  <si>
    <t>Total # of Legacy</t>
  </si>
  <si>
    <t>Total # of Delta</t>
  </si>
  <si>
    <t>Total # of New</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</si>
  <si>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</si>
  <si>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</si>
  <si>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</si>
  <si>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</si>
  <si>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</si>
  <si>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</si>
  <si>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</si>
  <si>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</si>
  <si>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</si>
  <si>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</si>
  <si>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</si>
  <si>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</si>
  <si>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</si>
  <si>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</si>
  <si>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</si>
  <si>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</si>
  <si>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</si>
  <si>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</si>
  <si>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</si>
  <si>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</si>
  <si>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</si>
  <si>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</si>
  <si>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</si>
  <si>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</si>
  <si>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</si>
  <si>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</si>
  <si>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</si>
  <si>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</si>
  <si>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</si>
  <si>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</si>
  <si>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</si>
  <si>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</si>
  <si>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</si>
  <si>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</si>
  <si>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</si>
  <si>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</si>
  <si>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</si>
  <si>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</si>
  <si>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</si>
  <si>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</si>
  <si>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</si>
  <si>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</si>
  <si>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</si>
  <si>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</si>
  <si>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</si>
  <si>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</si>
  <si>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</si>
  <si>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</si>
  <si>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</si>
  <si>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</si>
  <si>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</si>
  <si>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</si>
  <si>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</si>
  <si>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Row Labels</t>
  </si>
  <si>
    <t>Sum of #Tests</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</si>
  <si>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</si>
  <si>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</si>
  <si>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</si>
  <si>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</si>
  <si>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</si>
  <si>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</si>
  <si>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</si>
  <si>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</si>
  <si>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</si>
  <si>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</si>
  <si>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</si>
  <si>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</si>
  <si>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</si>
  <si>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</si>
  <si>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</si>
  <si>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</si>
  <si>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</si>
  <si>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</si>
  <si>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</si>
  <si>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</si>
  <si>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</si>
  <si>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</si>
  <si>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</si>
  <si>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</si>
  <si>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</si>
  <si>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</si>
  <si>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</si>
  <si>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</si>
  <si>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</si>
  <si>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</si>
  <si>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</si>
  <si>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</si>
  <si>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</si>
  <si>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</si>
  <si>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</si>
  <si>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</si>
  <si>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</si>
  <si>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</si>
  <si>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</si>
  <si>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</si>
  <si>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</si>
  <si>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</si>
  <si>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</si>
  <si>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</si>
  <si>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</si>
  <si>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</si>
  <si>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</si>
  <si>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</si>
  <si>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</si>
  <si>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</si>
  <si>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</si>
  <si>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</si>
  <si>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</si>
  <si>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</si>
  <si>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Meera</t>
  </si>
  <si>
    <t/>
  </si>
  <si>
    <t>DCHB002.101-160,170-173</t>
  </si>
  <si>
    <t>DCHB004.1,2,4,7,9,10,12,13,15,16,18-19,22,25,28</t>
  </si>
  <si>
    <t>DCHB005.1-6</t>
  </si>
  <si>
    <t>DCHB006.1-10</t>
  </si>
  <si>
    <t>DCHB007.101-111</t>
  </si>
  <si>
    <t>DCHB008.1-2</t>
  </si>
  <si>
    <t>DCN-i024</t>
  </si>
  <si>
    <t>DCHB008.011,013</t>
  </si>
  <si>
    <t>DCHB010.1</t>
  </si>
  <si>
    <t>DCHB011.1-4</t>
  </si>
  <si>
    <t>DCHB012.101-109</t>
  </si>
  <si>
    <t>DCHB013.101-103</t>
  </si>
  <si>
    <t>DCHB014.001-054,220,232,238,244,250,256,262,268,274,280,286,292,298,304,310,316,322,328,334,340,346,352,358,364,370,376,379-432,501-509,537-563,601-663</t>
  </si>
  <si>
    <t>DCHB021.1-3</t>
  </si>
  <si>
    <t>DCHB030.1-5</t>
  </si>
  <si>
    <t>DCHB033.1</t>
  </si>
  <si>
    <t>DCHB022.1-8,101-108,201-208</t>
  </si>
  <si>
    <t>DCHB040.1</t>
  </si>
  <si>
    <t>DCHB050.1</t>
  </si>
  <si>
    <t>DCHB060.1</t>
  </si>
  <si>
    <t>DCHB061.1</t>
  </si>
  <si>
    <t>DPP002.1-7</t>
  </si>
  <si>
    <t>DPP005.1-2</t>
  </si>
  <si>
    <t>DPP006.6-13,16-21</t>
  </si>
  <si>
    <t>DPP007.11-26,31-42</t>
  </si>
  <si>
    <t>DPP008.1-2</t>
  </si>
  <si>
    <t>DPP009.7-9,16-39,46-69,999</t>
  </si>
  <si>
    <t>DPP010.50-84</t>
  </si>
  <si>
    <t>DPP016.1-4</t>
  </si>
  <si>
    <t>DPP020.1-4</t>
  </si>
  <si>
    <t>DPP024.1</t>
  </si>
  <si>
    <t>DPP029.1-62</t>
  </si>
  <si>
    <t>DPP030.1-5</t>
  </si>
  <si>
    <t>DPP031.1</t>
  </si>
  <si>
    <t>DPP034.1-13</t>
  </si>
  <si>
    <t>DPP036.1-2</t>
  </si>
  <si>
    <t>DPP037.1</t>
  </si>
  <si>
    <t>DPP039.1-4</t>
  </si>
  <si>
    <t>DPP042.1-4</t>
  </si>
  <si>
    <t>DPP043.5-8</t>
  </si>
  <si>
    <t>DPP044.1-8</t>
  </si>
  <si>
    <t>DPP045.1-4</t>
  </si>
  <si>
    <t>DPP046.1</t>
  </si>
  <si>
    <t>DPP047.1-5</t>
  </si>
  <si>
    <t>DPP048.1-5</t>
  </si>
  <si>
    <t>DPP049.1-5</t>
  </si>
  <si>
    <t>DPP050.1-5</t>
  </si>
  <si>
    <t>DPP051.1-7</t>
  </si>
  <si>
    <t>DPP052.1-2</t>
  </si>
  <si>
    <t>DPP053.1-16</t>
  </si>
  <si>
    <t>MPC003.1-3,11-12</t>
  </si>
  <si>
    <t>MPC005.1</t>
  </si>
  <si>
    <t>MPC007.1-4</t>
  </si>
  <si>
    <t>MPC009.1-4</t>
  </si>
  <si>
    <t>MPC010.1-2</t>
  </si>
  <si>
    <t>MPC017.1-3</t>
  </si>
  <si>
    <t>MPC012.1</t>
  </si>
  <si>
    <t>MPC013.1</t>
  </si>
  <si>
    <t>MPC015.1-16</t>
  </si>
  <si>
    <t>ABM066.1-12</t>
  </si>
  <si>
    <t>ABM067.1</t>
  </si>
  <si>
    <t>FMT001.1-8</t>
  </si>
  <si>
    <t>FMT002.1-16</t>
  </si>
  <si>
    <t>FMT003.1</t>
  </si>
  <si>
    <t>FMT004.1</t>
  </si>
  <si>
    <t>FMT005.1-10</t>
  </si>
  <si>
    <t>FMT006.1-13,101-113,201-213,301-313</t>
  </si>
  <si>
    <t>FMT007.1-5</t>
  </si>
  <si>
    <t>FMT008.1-2</t>
  </si>
  <si>
    <t>FMT009.1-4</t>
  </si>
  <si>
    <t>FMT010.1-8</t>
  </si>
  <si>
    <t>FMT011.1</t>
  </si>
  <si>
    <t>FMT012.1-4</t>
  </si>
  <si>
    <t>FMT014.1-4</t>
  </si>
  <si>
    <t>FMT015.1-8</t>
  </si>
  <si>
    <t>DSC004.201,205,209</t>
  </si>
  <si>
    <t>ODM001.1-10,11-20</t>
  </si>
  <si>
    <t>ODM003.001-008,011-018,021-024,101-104,111-114</t>
  </si>
  <si>
    <t>ODM004.001-006,101-106</t>
  </si>
  <si>
    <t>ODM005.1</t>
  </si>
  <si>
    <t>ODM007.1-12</t>
  </si>
  <si>
    <t>OTG005.1-10</t>
  </si>
  <si>
    <t>OTG007.16-26,28-54,56-65,67-70,72-78,80-81,85,87-94,96-230,232-241</t>
  </si>
  <si>
    <t>OTG008.16-26,28-54,56-65,67-70,72-78,80-81,85,87-94,96-230,232-241</t>
  </si>
  <si>
    <t>OTG009.16-26,28-54,56-65,67-70,72-78,80-81,85,87-94,96-230,232-241</t>
  </si>
  <si>
    <t>OTG011.101</t>
  </si>
  <si>
    <t>OTG013.1</t>
  </si>
  <si>
    <t>OTG014.1-199</t>
  </si>
  <si>
    <t>OTG017.1-3</t>
  </si>
  <si>
    <t>OTG025.1-2</t>
  </si>
  <si>
    <t>OTG026.1-2</t>
  </si>
  <si>
    <t>OTG027.1-16</t>
  </si>
  <si>
    <t>OTG032.1-4</t>
  </si>
  <si>
    <t>OTG033.1</t>
  </si>
  <si>
    <t>OTG800.1-2</t>
  </si>
  <si>
    <t>OTG801.1</t>
  </si>
  <si>
    <t>OTG804.1</t>
  </si>
  <si>
    <t>OTG805.1</t>
  </si>
  <si>
    <t>OTG809.1-2</t>
  </si>
  <si>
    <t>OTG810.1</t>
  </si>
  <si>
    <t>DIO002.1-4</t>
  </si>
  <si>
    <t>DIO003.2</t>
  </si>
  <si>
    <t>2</t>
  </si>
  <si>
    <t>DIO011.14,20</t>
  </si>
  <si>
    <t>DIO220.1-4,6-7,9</t>
  </si>
  <si>
    <t>DIO221.1-6</t>
  </si>
  <si>
    <t>DIO222.1-2</t>
  </si>
  <si>
    <t>DIO223.1-9</t>
  </si>
  <si>
    <t>DIO217.001-003,007,011-025,029-043,047-070,074-92,99-116</t>
  </si>
  <si>
    <t>DIO224.1-12</t>
  </si>
  <si>
    <t>DIO225.1-12</t>
  </si>
  <si>
    <t>DIO226.1-6</t>
  </si>
  <si>
    <t>DIO227.1-12</t>
  </si>
  <si>
    <t>DIO228.1-16</t>
  </si>
  <si>
    <t>DIO229.1-16</t>
  </si>
  <si>
    <t>DIO230.1-16</t>
  </si>
  <si>
    <t>DIO231.1-16</t>
  </si>
  <si>
    <t>DIO232.1-16</t>
  </si>
  <si>
    <t>DIO233.1-2</t>
  </si>
  <si>
    <t>DIO234.1-8</t>
  </si>
  <si>
    <t>DIO236.003,004,007,008,011,012,015,016,019,020,023,024,027,028,031,032,035,036,039,040,043,044,047,048,051,052,055,056</t>
  </si>
  <si>
    <t>DIO237.003,004,007,008,011,012,015,016,019,020,023,024,027,028,031,032,035,036,039,040,043,044,047,048,051,052,055,056</t>
  </si>
  <si>
    <t>DIO238.1-4</t>
  </si>
  <si>
    <t>DIO240.1-4</t>
  </si>
  <si>
    <t>DIO241.1-2</t>
  </si>
  <si>
    <t>DIO253.1-24</t>
  </si>
  <si>
    <t>DIO270.4</t>
  </si>
  <si>
    <t>DIO359.1</t>
  </si>
  <si>
    <t>DIO365.001-004,006-008</t>
  </si>
  <si>
    <t>DIO366.1-2</t>
  </si>
  <si>
    <t>DIO367.1</t>
  </si>
  <si>
    <t>DIO368.1</t>
  </si>
  <si>
    <t>DIO369.1-4</t>
  </si>
  <si>
    <t>DIO370.1-5</t>
  </si>
  <si>
    <t>DIO371.1-4</t>
  </si>
  <si>
    <t>DIO372.1-4</t>
  </si>
  <si>
    <t>DIO373.1-4</t>
  </si>
  <si>
    <t>DIO374.1-4</t>
  </si>
  <si>
    <t>DIO375.1-4</t>
  </si>
  <si>
    <t>DIO376.1-4</t>
  </si>
  <si>
    <t>DIO377.1-4</t>
  </si>
  <si>
    <t>DIO378.1-4</t>
  </si>
  <si>
    <t>DIO379.1-4</t>
  </si>
  <si>
    <t>DIO380.1-4</t>
  </si>
  <si>
    <t>DIO322.001,002,004,011,012</t>
  </si>
  <si>
    <t>DIO324.001-002,004-005,008-009,014,015-016,020-023</t>
  </si>
  <si>
    <t>DIO325.1-15</t>
  </si>
  <si>
    <t>DIO381.101-112,120-122</t>
  </si>
  <si>
    <t>DIO328.1-63</t>
  </si>
  <si>
    <t>DIO335.1-12</t>
  </si>
  <si>
    <t>DIO337.001-005,009-082,086-136</t>
  </si>
  <si>
    <t>DIO383.1-12</t>
  </si>
  <si>
    <t>DIO384.1-12</t>
  </si>
  <si>
    <t>DIO385.1-34</t>
  </si>
  <si>
    <t>DIO386.1-3</t>
  </si>
  <si>
    <t>DIO389.001-006,103-105,211-213</t>
  </si>
  <si>
    <t>DIO620.1-12,101-109,201-210,301-310,401-410,507-510,512,607-610,612-613,707-710,712-713</t>
  </si>
  <si>
    <t>DIO602.301-307</t>
  </si>
  <si>
    <t>DIO603.301-307</t>
  </si>
  <si>
    <t>DIO604.301</t>
  </si>
  <si>
    <t>DIO605.301</t>
  </si>
  <si>
    <t>DIO606.1-2</t>
  </si>
  <si>
    <t>DIO650.001-016,101-115</t>
  </si>
  <si>
    <t>DIO651.001-017,101-114</t>
  </si>
  <si>
    <t>DIO652.001-034,101-108,110-120,201-232,301-308,900-906</t>
  </si>
  <si>
    <t>DIO653.001-016,101-115</t>
  </si>
  <si>
    <t>DCN-142</t>
  </si>
  <si>
    <t>DIO654.001-017,101-114</t>
  </si>
  <si>
    <t>DIO655.001-034,101-108,110-120,201-232,301-308,900-906</t>
  </si>
  <si>
    <t>DIO656.001-016,101-115</t>
  </si>
  <si>
    <t>DIO657.001-017,101-114</t>
  </si>
  <si>
    <t>DIO658.001-034,101-108,110-120,201-232,301-308,900-906</t>
  </si>
  <si>
    <t>DIO659.1</t>
  </si>
  <si>
    <t>DIO660.1-7</t>
  </si>
  <si>
    <t>DIO661.1-7</t>
  </si>
  <si>
    <t>DIO662.1</t>
  </si>
  <si>
    <t>DWB002.201-202</t>
  </si>
  <si>
    <t>DWB018.201-202</t>
  </si>
  <si>
    <t>EB001.1-19</t>
  </si>
  <si>
    <t>EB200.1-5</t>
  </si>
  <si>
    <t>EB213.1-4</t>
  </si>
  <si>
    <t>EB300.1-6</t>
  </si>
  <si>
    <t>EB302.1-42</t>
  </si>
  <si>
    <t>EB303.1-31</t>
  </si>
  <si>
    <t>CE005.1-2</t>
  </si>
  <si>
    <t>CE012.1</t>
  </si>
  <si>
    <t>CE013.1-3</t>
  </si>
  <si>
    <t>DMU001.101-103</t>
  </si>
  <si>
    <t>DMU002.1</t>
  </si>
  <si>
    <t>DMU003.1</t>
  </si>
  <si>
    <t>DISP001.1-4</t>
  </si>
  <si>
    <t>DISP002.1-4</t>
  </si>
  <si>
    <t>DISP007.1-2</t>
  </si>
  <si>
    <t>DISP005.1</t>
  </si>
  <si>
    <t>DISP014.1</t>
  </si>
  <si>
    <t>DLPC001.1-2</t>
  </si>
  <si>
    <t>IPS SRAM</t>
  </si>
  <si>
    <t>DLPC002.1-2</t>
  </si>
  <si>
    <t>0 pin flop retention test</t>
  </si>
  <si>
    <t>DLPC003.1-2</t>
  </si>
  <si>
    <t>DISP016.1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</si>
</sst>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
    <numFmt numFmtId="165" formatCode="m/d;@"/>
    <numFmt numFmtId="166" formatCode="0.0%"/>
  </numFmts>
  <fonts count="5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s>
  <fills count="5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
      <patternFill patternType="solid">
        <fgColor theme="0"/>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cellStyleXfs>
  <cellXfs count="676">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7" xfId="0" applyFill="1" applyBorder="1" applyProtection="1">
      <protection locked="0"/>
    </xf>
    <xf numFmtId="0" fontId="0" fillId="52" borderId="13" xfId="0" applyFill="1" applyBorder="1" applyProtection="1">
      <protection locked="0"/>
    </xf>
    <xf numFmtId="0" fontId="0" fillId="52" borderId="10" xfId="0" applyFill="1" applyBorder="1" applyProtection="1">
      <protection locked="0"/>
    </xf>
    <xf numFmtId="0" fontId="0" fillId="52" borderId="23" xfId="0" applyFill="1" applyBorder="1" applyProtection="1">
      <protection locked="0"/>
    </xf>
    <xf numFmtId="0" fontId="0" fillId="52" borderId="24"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24"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166" fontId="18" fillId="0" borderId="19" xfId="42" applyNumberFormat="1" applyFont="1" applyBorder="1" applyAlignment="1">
      <alignment horizontal="center" vertical="center"/>
    </xf>
    <xf numFmtId="166" fontId="18" fillId="0" borderId="10" xfId="42" applyNumberFormat="1" applyFont="1" applyBorder="1" applyAlignment="1">
      <alignment horizontal="center" vertical="center"/>
    </xf>
    <xf numFmtId="166" fontId="18" fillId="0" borderId="24" xfId="42" applyNumberFormat="1" applyFont="1" applyBorder="1" applyAlignment="1">
      <alignment horizontal="center" vertical="center"/>
    </xf>
    <xf numFmtId="166" fontId="18" fillId="57" borderId="19" xfId="42" applyNumberFormat="1" applyFont="1" applyFill="1" applyBorder="1" applyAlignment="1">
      <alignment horizontal="center" vertical="center"/>
    </xf>
    <xf numFmtId="166" fontId="18" fillId="57" borderId="10" xfId="42" applyNumberFormat="1" applyFont="1" applyFill="1" applyBorder="1" applyAlignment="1">
      <alignment horizontal="center" vertical="center"/>
    </xf>
    <xf numFmtId="166" fontId="18" fillId="57" borderId="24" xfId="42" applyNumberFormat="1" applyFont="1" applyFill="1" applyBorder="1" applyAlignment="1">
      <alignment horizontal="center" vertical="center"/>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9" fillId="51" borderId="63" xfId="0" applyFont="1" applyFill="1" applyBorder="1" applyAlignment="1" applyProtection="1">
      <alignment horizontal="center" vertical="center" wrapText="1"/>
      <protection locked="0"/>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90"/>
  <sheetViews>
    <sheetView workbookViewId="0">
      <pane xSplit="3" ySplit="8" topLeftCell="D50" activePane="bottomRight" state="frozen"/>
      <selection pane="topRight" activeCell="D1" sqref="D1"/>
      <selection pane="bottomLeft" activeCell="A9" sqref="A9"/>
      <selection pane="bottomRight" activeCell="F10" sqref="F10"/>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53</v>
      </c>
      <c r="B1" s="539" t="s">
        <v>54</v>
      </c>
      <c r="C1" s="540"/>
      <c r="D1" s="540"/>
      <c r="E1" s="167" t="s">
        <v>55</v>
      </c>
      <c r="F1" s="167" t="s">
        <v>56</v>
      </c>
      <c r="G1" s="110" t="s">
        <v>57</v>
      </c>
    </row>
    <row r="2" spans="1:7" x14ac:dyDescent="0.25">
      <c r="A2" s="116" t="s">
        <v>58</v>
      </c>
      <c r="B2" s="541" t="s">
        <v>59</v>
      </c>
      <c r="C2" s="542"/>
      <c r="D2" s="542"/>
      <c r="E2" s="296" t="s">
        <v>60</v>
      </c>
      <c r="F2" s="296" t="s">
        <v>61</v>
      </c>
      <c r="G2" s="324" t="s">
        <v>62</v>
      </c>
    </row>
    <row r="3" spans="1:7" s="81" customFormat="1" x14ac:dyDescent="0.25">
      <c r="A3" s="204" t="s">
        <v>63</v>
      </c>
      <c r="B3" s="548" t="s">
        <v>64</v>
      </c>
      <c r="C3" s="549"/>
      <c r="D3" s="550"/>
      <c r="E3" s="80" t="s">
        <v>60</v>
      </c>
      <c r="F3" s="80" t="s">
        <v>61</v>
      </c>
      <c r="G3" s="325" t="s">
        <v>62</v>
      </c>
    </row>
    <row r="4" spans="1:7" x14ac:dyDescent="0.25">
      <c r="A4" s="204" t="s">
        <v>65</v>
      </c>
      <c r="B4" s="545" t="s">
        <v>66</v>
      </c>
      <c r="C4" s="546"/>
      <c r="D4" s="547"/>
      <c r="E4" s="80" t="s">
        <v>67</v>
      </c>
      <c r="F4" s="80" t="s">
        <v>61</v>
      </c>
      <c r="G4" s="325" t="s">
        <v>62</v>
      </c>
    </row>
    <row r="5" spans="1:7" x14ac:dyDescent="0.25">
      <c r="A5" s="117" t="s">
        <v>68</v>
      </c>
      <c r="B5" s="545" t="s">
        <v>69</v>
      </c>
      <c r="C5" s="546"/>
      <c r="D5" s="547"/>
      <c r="E5" s="80" t="s">
        <v>67</v>
      </c>
      <c r="F5" s="80" t="s">
        <v>61</v>
      </c>
      <c r="G5" s="325" t="s">
        <v>62</v>
      </c>
    </row>
    <row r="6" spans="1:7" x14ac:dyDescent="0.25">
      <c r="A6" s="117" t="s">
        <v>70</v>
      </c>
      <c r="B6" s="545" t="s">
        <v>71</v>
      </c>
      <c r="C6" s="546"/>
      <c r="D6" s="547"/>
      <c r="E6" s="80" t="s">
        <v>72</v>
      </c>
      <c r="F6" s="80" t="s">
        <v>61</v>
      </c>
      <c r="G6" s="85"/>
    </row>
    <row r="7" spans="1:7" ht="15.75" thickBot="1" x14ac:dyDescent="0.3">
      <c r="A7" s="118" t="s">
        <v>73</v>
      </c>
      <c r="B7" s="543" t="s">
        <v>74</v>
      </c>
      <c r="C7" s="544"/>
      <c r="D7" s="544"/>
      <c r="E7" s="86" t="s">
        <v>72</v>
      </c>
      <c r="F7" s="86"/>
      <c r="G7" s="87"/>
    </row>
    <row r="8" spans="1:7" s="84" customFormat="1" ht="15.75" thickBot="1" x14ac:dyDescent="0.3">
      <c r="A8" s="115" t="s">
        <v>53</v>
      </c>
      <c r="B8" s="401" t="s">
        <v>1</v>
      </c>
      <c r="C8" s="167" t="s">
        <v>75</v>
      </c>
      <c r="D8" s="167" t="s">
        <v>54</v>
      </c>
      <c r="E8" s="167" t="s">
        <v>55</v>
      </c>
      <c r="F8" s="167" t="s">
        <v>56</v>
      </c>
      <c r="G8" s="110" t="s">
        <v>57</v>
      </c>
    </row>
    <row r="9" spans="1:7" ht="105" x14ac:dyDescent="0.25">
      <c r="A9" s="516" t="s">
        <v>58</v>
      </c>
      <c r="B9" s="513" t="s">
        <v>76</v>
      </c>
      <c r="C9" s="331" t="s">
        <v>77</v>
      </c>
      <c r="D9" s="94" t="s">
        <v>78</v>
      </c>
      <c r="E9" s="94" t="s">
        <v>60</v>
      </c>
      <c r="F9" s="94" t="s">
        <v>79</v>
      </c>
      <c r="G9" s="402" t="s">
        <v>80</v>
      </c>
    </row>
    <row r="10" spans="1:7" ht="75" x14ac:dyDescent="0.25">
      <c r="A10" s="517"/>
      <c r="B10" s="514"/>
      <c r="C10" s="327" t="s">
        <v>81</v>
      </c>
      <c r="D10" s="82" t="s">
        <v>82</v>
      </c>
      <c r="E10" s="82" t="s">
        <v>60</v>
      </c>
      <c r="F10" s="82" t="s">
        <v>79</v>
      </c>
      <c r="G10" s="323" t="s">
        <v>83</v>
      </c>
    </row>
    <row r="11" spans="1:7" ht="45" x14ac:dyDescent="0.25">
      <c r="A11" s="517"/>
      <c r="B11" s="514"/>
      <c r="C11" s="327" t="s">
        <v>84</v>
      </c>
      <c r="D11" s="82" t="s">
        <v>85</v>
      </c>
      <c r="E11" s="82" t="s">
        <v>86</v>
      </c>
      <c r="F11" s="82" t="s">
        <v>79</v>
      </c>
      <c r="G11" s="95" t="s">
        <v>87</v>
      </c>
    </row>
    <row r="12" spans="1:7" ht="120" x14ac:dyDescent="0.25">
      <c r="A12" s="517"/>
      <c r="B12" s="514"/>
      <c r="C12" s="327" t="s">
        <v>88</v>
      </c>
      <c r="D12" s="350" t="s">
        <v>89</v>
      </c>
      <c r="E12" s="82" t="s">
        <v>86</v>
      </c>
      <c r="F12" s="82" t="s">
        <v>79</v>
      </c>
      <c r="G12" s="323" t="s">
        <v>90</v>
      </c>
    </row>
    <row r="13" spans="1:7" ht="30" x14ac:dyDescent="0.25">
      <c r="A13" s="517"/>
      <c r="B13" s="514"/>
      <c r="C13" s="327" t="s">
        <v>91</v>
      </c>
      <c r="D13" s="82" t="s">
        <v>92</v>
      </c>
      <c r="E13" s="82" t="s">
        <v>86</v>
      </c>
      <c r="F13" s="82" t="s">
        <v>79</v>
      </c>
      <c r="G13" s="95" t="s">
        <v>93</v>
      </c>
    </row>
    <row r="14" spans="1:7" ht="30" x14ac:dyDescent="0.25">
      <c r="A14" s="517"/>
      <c r="B14" s="514"/>
      <c r="C14" s="327" t="s">
        <v>94</v>
      </c>
      <c r="D14" s="82" t="s">
        <v>95</v>
      </c>
      <c r="E14" s="82" t="s">
        <v>86</v>
      </c>
      <c r="F14" s="82" t="s">
        <v>79</v>
      </c>
      <c r="G14" s="95" t="s">
        <v>93</v>
      </c>
    </row>
    <row r="15" spans="1:7" ht="30" x14ac:dyDescent="0.25">
      <c r="A15" s="517"/>
      <c r="B15" s="514"/>
      <c r="C15" s="121" t="s">
        <v>96</v>
      </c>
      <c r="D15" s="82" t="s">
        <v>97</v>
      </c>
      <c r="E15" s="82" t="s">
        <v>60</v>
      </c>
      <c r="F15" s="82" t="s">
        <v>79</v>
      </c>
      <c r="G15" s="95" t="s">
        <v>98</v>
      </c>
    </row>
    <row r="16" spans="1:7" ht="60" x14ac:dyDescent="0.25">
      <c r="A16" s="517"/>
      <c r="B16" s="514"/>
      <c r="C16" s="327" t="s">
        <v>99</v>
      </c>
      <c r="D16" s="350" t="s">
        <v>100</v>
      </c>
      <c r="E16" s="82" t="s">
        <v>86</v>
      </c>
      <c r="F16" s="82" t="s">
        <v>79</v>
      </c>
      <c r="G16" s="323" t="s">
        <v>101</v>
      </c>
    </row>
    <row r="17" spans="1:7" ht="30" x14ac:dyDescent="0.25">
      <c r="A17" s="517"/>
      <c r="B17" s="514"/>
      <c r="C17" s="327" t="s">
        <v>102</v>
      </c>
      <c r="D17" s="82" t="s">
        <v>103</v>
      </c>
      <c r="E17" s="82" t="s">
        <v>86</v>
      </c>
      <c r="F17" s="82" t="s">
        <v>79</v>
      </c>
      <c r="G17" s="95" t="s">
        <v>104</v>
      </c>
    </row>
    <row r="18" spans="1:7" ht="45" x14ac:dyDescent="0.25">
      <c r="A18" s="517"/>
      <c r="B18" s="514"/>
      <c r="C18" s="327" t="s">
        <v>105</v>
      </c>
      <c r="D18" s="82" t="s">
        <v>106</v>
      </c>
      <c r="E18" s="82" t="s">
        <v>86</v>
      </c>
      <c r="F18" s="82" t="s">
        <v>79</v>
      </c>
      <c r="G18" s="95" t="s">
        <v>107</v>
      </c>
    </row>
    <row r="19" spans="1:7" x14ac:dyDescent="0.25">
      <c r="A19" s="517"/>
      <c r="B19" s="514"/>
      <c r="C19" s="327" t="s">
        <v>108</v>
      </c>
      <c r="D19" s="82" t="s">
        <v>109</v>
      </c>
      <c r="E19" s="82" t="s">
        <v>86</v>
      </c>
      <c r="F19" s="82" t="s">
        <v>79</v>
      </c>
      <c r="G19" s="95" t="s">
        <v>110</v>
      </c>
    </row>
    <row r="20" spans="1:7" ht="105.75" thickBot="1" x14ac:dyDescent="0.3">
      <c r="A20" s="517"/>
      <c r="B20" s="515"/>
      <c r="C20" s="403" t="s">
        <v>1</v>
      </c>
      <c r="D20" s="482" t="s">
        <v>111</v>
      </c>
      <c r="E20" s="375" t="s">
        <v>86</v>
      </c>
      <c r="F20" s="375" t="s">
        <v>79</v>
      </c>
      <c r="G20" s="404" t="s">
        <v>112</v>
      </c>
    </row>
    <row r="21" spans="1:7" ht="45" x14ac:dyDescent="0.25">
      <c r="A21" s="517"/>
      <c r="B21" s="530" t="s">
        <v>113</v>
      </c>
      <c r="C21" s="328" t="s">
        <v>114</v>
      </c>
      <c r="D21" s="105" t="s">
        <v>115</v>
      </c>
      <c r="E21" s="105" t="s">
        <v>86</v>
      </c>
      <c r="F21" s="105" t="s">
        <v>116</v>
      </c>
      <c r="G21" s="168" t="s">
        <v>117</v>
      </c>
    </row>
    <row r="22" spans="1:7" ht="30" x14ac:dyDescent="0.25">
      <c r="A22" s="517"/>
      <c r="B22" s="531"/>
      <c r="C22" s="329" t="s">
        <v>118</v>
      </c>
      <c r="D22" s="408" t="s">
        <v>119</v>
      </c>
      <c r="E22" s="408" t="s">
        <v>86</v>
      </c>
      <c r="F22" s="408" t="s">
        <v>116</v>
      </c>
      <c r="G22" s="409" t="s">
        <v>120</v>
      </c>
    </row>
    <row r="23" spans="1:7" ht="15.75" thickBot="1" x14ac:dyDescent="0.3">
      <c r="A23" s="517"/>
      <c r="B23" s="532"/>
      <c r="C23" s="410" t="s">
        <v>121</v>
      </c>
      <c r="D23" s="107" t="s">
        <v>122</v>
      </c>
      <c r="E23" s="107" t="s">
        <v>86</v>
      </c>
      <c r="F23" s="107" t="s">
        <v>116</v>
      </c>
      <c r="G23" s="108" t="s">
        <v>123</v>
      </c>
    </row>
    <row r="24" spans="1:7" ht="30" customHeight="1" x14ac:dyDescent="0.25">
      <c r="A24" s="517"/>
      <c r="B24" s="533" t="s">
        <v>124</v>
      </c>
      <c r="C24" s="405" t="s">
        <v>125</v>
      </c>
      <c r="D24" s="406" t="s">
        <v>126</v>
      </c>
      <c r="E24" s="406" t="s">
        <v>86</v>
      </c>
      <c r="F24" s="406" t="s">
        <v>79</v>
      </c>
      <c r="G24" s="407" t="s">
        <v>127</v>
      </c>
    </row>
    <row r="25" spans="1:7" ht="30" customHeight="1" x14ac:dyDescent="0.25">
      <c r="A25" s="517"/>
      <c r="B25" s="534"/>
      <c r="C25" s="329" t="s">
        <v>128</v>
      </c>
      <c r="D25" s="109" t="s">
        <v>129</v>
      </c>
      <c r="E25" s="109" t="s">
        <v>86</v>
      </c>
      <c r="F25" s="109" t="s">
        <v>130</v>
      </c>
      <c r="G25" s="551" t="s">
        <v>131</v>
      </c>
    </row>
    <row r="26" spans="1:7" ht="30" x14ac:dyDescent="0.25">
      <c r="A26" s="517"/>
      <c r="B26" s="534"/>
      <c r="C26" s="277" t="s">
        <v>132</v>
      </c>
      <c r="D26" s="109" t="s">
        <v>133</v>
      </c>
      <c r="E26" s="109" t="s">
        <v>86</v>
      </c>
      <c r="F26" s="109" t="s">
        <v>130</v>
      </c>
      <c r="G26" s="552"/>
    </row>
    <row r="27" spans="1:7" x14ac:dyDescent="0.25">
      <c r="A27" s="517"/>
      <c r="B27" s="534"/>
      <c r="C27" s="329" t="s">
        <v>30</v>
      </c>
      <c r="D27" s="109" t="s">
        <v>134</v>
      </c>
      <c r="E27" s="109" t="s">
        <v>86</v>
      </c>
      <c r="F27" s="109" t="s">
        <v>130</v>
      </c>
      <c r="G27" s="552"/>
    </row>
    <row r="28" spans="1:7" x14ac:dyDescent="0.25">
      <c r="A28" s="517"/>
      <c r="B28" s="534"/>
      <c r="C28" s="329" t="s">
        <v>135</v>
      </c>
      <c r="D28" s="109" t="s">
        <v>136</v>
      </c>
      <c r="E28" s="109" t="s">
        <v>86</v>
      </c>
      <c r="F28" s="109" t="s">
        <v>130</v>
      </c>
      <c r="G28" s="552"/>
    </row>
    <row r="29" spans="1:7" x14ac:dyDescent="0.25">
      <c r="A29" s="517"/>
      <c r="B29" s="534"/>
      <c r="C29" s="329" t="s">
        <v>36</v>
      </c>
      <c r="D29" s="109" t="s">
        <v>137</v>
      </c>
      <c r="E29" s="109" t="s">
        <v>86</v>
      </c>
      <c r="F29" s="109" t="s">
        <v>130</v>
      </c>
      <c r="G29" s="552"/>
    </row>
    <row r="30" spans="1:7" x14ac:dyDescent="0.25">
      <c r="A30" s="517"/>
      <c r="B30" s="534"/>
      <c r="C30" s="329" t="s">
        <v>138</v>
      </c>
      <c r="D30" s="109" t="s">
        <v>139</v>
      </c>
      <c r="E30" s="109" t="s">
        <v>86</v>
      </c>
      <c r="F30" s="109" t="s">
        <v>130</v>
      </c>
      <c r="G30" s="552"/>
    </row>
    <row r="31" spans="1:7" x14ac:dyDescent="0.25">
      <c r="A31" s="517"/>
      <c r="B31" s="534"/>
      <c r="C31" s="277" t="s">
        <v>140</v>
      </c>
      <c r="D31" s="109" t="s">
        <v>141</v>
      </c>
      <c r="E31" s="109" t="s">
        <v>86</v>
      </c>
      <c r="F31" s="109" t="s">
        <v>130</v>
      </c>
      <c r="G31" s="552"/>
    </row>
    <row r="32" spans="1:7" ht="30.75" thickBot="1" x14ac:dyDescent="0.3">
      <c r="A32" s="517"/>
      <c r="B32" s="535"/>
      <c r="C32" s="330" t="s">
        <v>142</v>
      </c>
      <c r="D32" s="104" t="s">
        <v>143</v>
      </c>
      <c r="E32" s="104" t="s">
        <v>86</v>
      </c>
      <c r="F32" s="104" t="s">
        <v>130</v>
      </c>
      <c r="G32" s="553"/>
    </row>
    <row r="33" spans="1:7" ht="30" x14ac:dyDescent="0.25">
      <c r="A33" s="517"/>
      <c r="B33" s="536" t="s">
        <v>144</v>
      </c>
      <c r="C33" s="312" t="s">
        <v>132</v>
      </c>
      <c r="D33" s="275" t="s">
        <v>145</v>
      </c>
      <c r="E33" s="275" t="s">
        <v>86</v>
      </c>
      <c r="F33" s="275" t="s">
        <v>146</v>
      </c>
      <c r="G33" s="276" t="s">
        <v>147</v>
      </c>
    </row>
    <row r="34" spans="1:7" x14ac:dyDescent="0.25">
      <c r="A34" s="517"/>
      <c r="B34" s="537"/>
      <c r="C34" s="327" t="s">
        <v>30</v>
      </c>
      <c r="D34" s="83" t="s">
        <v>148</v>
      </c>
      <c r="E34" s="83" t="s">
        <v>86</v>
      </c>
      <c r="F34" s="83" t="s">
        <v>146</v>
      </c>
      <c r="G34" s="99"/>
    </row>
    <row r="35" spans="1:7" x14ac:dyDescent="0.25">
      <c r="A35" s="517"/>
      <c r="B35" s="537"/>
      <c r="C35" s="327" t="s">
        <v>135</v>
      </c>
      <c r="D35" s="83" t="s">
        <v>149</v>
      </c>
      <c r="E35" s="83" t="s">
        <v>86</v>
      </c>
      <c r="F35" s="83" t="s">
        <v>146</v>
      </c>
      <c r="G35" s="99" t="s">
        <v>150</v>
      </c>
    </row>
    <row r="36" spans="1:7" x14ac:dyDescent="0.25">
      <c r="A36" s="517"/>
      <c r="B36" s="537"/>
      <c r="C36" s="327" t="s">
        <v>36</v>
      </c>
      <c r="D36" s="83" t="s">
        <v>151</v>
      </c>
      <c r="E36" s="83" t="s">
        <v>86</v>
      </c>
      <c r="F36" s="83" t="s">
        <v>146</v>
      </c>
      <c r="G36" s="113"/>
    </row>
    <row r="37" spans="1:7" x14ac:dyDescent="0.25">
      <c r="A37" s="517"/>
      <c r="B37" s="537"/>
      <c r="C37" s="327" t="s">
        <v>138</v>
      </c>
      <c r="D37" s="83" t="s">
        <v>152</v>
      </c>
      <c r="E37" s="83" t="s">
        <v>86</v>
      </c>
      <c r="F37" s="83" t="s">
        <v>146</v>
      </c>
      <c r="G37" s="99" t="s">
        <v>153</v>
      </c>
    </row>
    <row r="38" spans="1:7" x14ac:dyDescent="0.25">
      <c r="A38" s="517"/>
      <c r="B38" s="537"/>
      <c r="C38" s="278" t="s">
        <v>140</v>
      </c>
      <c r="D38" s="83" t="s">
        <v>154</v>
      </c>
      <c r="E38" s="83" t="s">
        <v>86</v>
      </c>
      <c r="F38" s="83" t="s">
        <v>146</v>
      </c>
      <c r="G38" s="99"/>
    </row>
    <row r="39" spans="1:7" ht="30" x14ac:dyDescent="0.25">
      <c r="A39" s="517"/>
      <c r="B39" s="537"/>
      <c r="C39" s="329" t="s">
        <v>155</v>
      </c>
      <c r="D39" s="83" t="s">
        <v>156</v>
      </c>
      <c r="E39" s="83" t="s">
        <v>86</v>
      </c>
      <c r="F39" s="83" t="s">
        <v>146</v>
      </c>
      <c r="G39" s="99"/>
    </row>
    <row r="40" spans="1:7" ht="30" x14ac:dyDescent="0.25">
      <c r="A40" s="517"/>
      <c r="B40" s="537"/>
      <c r="C40" s="278" t="s">
        <v>157</v>
      </c>
      <c r="D40" s="83" t="s">
        <v>158</v>
      </c>
      <c r="E40" s="83" t="s">
        <v>60</v>
      </c>
      <c r="F40" s="83" t="s">
        <v>146</v>
      </c>
      <c r="G40" s="99" t="s">
        <v>159</v>
      </c>
    </row>
    <row r="41" spans="1:7" ht="45.75" thickBot="1" x14ac:dyDescent="0.3">
      <c r="A41" s="517"/>
      <c r="B41" s="538"/>
      <c r="C41" s="326" t="s">
        <v>160</v>
      </c>
      <c r="D41" s="100" t="s">
        <v>161</v>
      </c>
      <c r="E41" s="100" t="s">
        <v>86</v>
      </c>
      <c r="F41" s="100" t="s">
        <v>146</v>
      </c>
      <c r="G41" s="101" t="s">
        <v>162</v>
      </c>
    </row>
    <row r="42" spans="1:7" ht="135.75" thickBot="1" x14ac:dyDescent="0.3">
      <c r="A42" s="516" t="s">
        <v>63</v>
      </c>
      <c r="B42" s="411" t="s">
        <v>163</v>
      </c>
      <c r="C42" s="331" t="s">
        <v>88</v>
      </c>
      <c r="D42" s="412" t="s">
        <v>164</v>
      </c>
      <c r="E42" s="412" t="s">
        <v>86</v>
      </c>
      <c r="F42" s="412" t="s">
        <v>79</v>
      </c>
      <c r="G42" s="413" t="s">
        <v>165</v>
      </c>
    </row>
    <row r="43" spans="1:7" ht="15" customHeight="1" x14ac:dyDescent="0.25">
      <c r="A43" s="517"/>
      <c r="B43" s="521" t="s">
        <v>166</v>
      </c>
      <c r="C43" s="309" t="s">
        <v>167</v>
      </c>
      <c r="D43" s="297" t="s">
        <v>168</v>
      </c>
      <c r="E43" s="297" t="s">
        <v>67</v>
      </c>
      <c r="F43" s="297" t="s">
        <v>79</v>
      </c>
      <c r="G43" s="280" t="s">
        <v>169</v>
      </c>
    </row>
    <row r="44" spans="1:7" ht="30" x14ac:dyDescent="0.25">
      <c r="A44" s="517"/>
      <c r="B44" s="522"/>
      <c r="C44" s="310" t="s">
        <v>128</v>
      </c>
      <c r="D44" s="298" t="s">
        <v>170</v>
      </c>
      <c r="E44" s="298" t="s">
        <v>67</v>
      </c>
      <c r="F44" s="298" t="s">
        <v>79</v>
      </c>
      <c r="G44" s="281" t="s">
        <v>169</v>
      </c>
    </row>
    <row r="45" spans="1:7" ht="30" x14ac:dyDescent="0.25">
      <c r="A45" s="517"/>
      <c r="B45" s="522"/>
      <c r="C45" s="310" t="s">
        <v>105</v>
      </c>
      <c r="D45" s="298" t="s">
        <v>171</v>
      </c>
      <c r="E45" s="298" t="s">
        <v>67</v>
      </c>
      <c r="F45" s="298" t="s">
        <v>79</v>
      </c>
      <c r="G45" s="281" t="s">
        <v>172</v>
      </c>
    </row>
    <row r="46" spans="1:7" x14ac:dyDescent="0.25">
      <c r="A46" s="517"/>
      <c r="B46" s="522"/>
      <c r="C46" s="310" t="s">
        <v>173</v>
      </c>
      <c r="D46" s="298" t="s">
        <v>174</v>
      </c>
      <c r="E46" s="298" t="s">
        <v>67</v>
      </c>
      <c r="F46" s="298" t="s">
        <v>79</v>
      </c>
      <c r="G46" s="281" t="s">
        <v>169</v>
      </c>
    </row>
    <row r="47" spans="1:7" ht="15.75" thickBot="1" x14ac:dyDescent="0.3">
      <c r="A47" s="517"/>
      <c r="B47" s="523"/>
      <c r="C47" s="311" t="s">
        <v>175</v>
      </c>
      <c r="D47" s="299" t="s">
        <v>176</v>
      </c>
      <c r="E47" s="298" t="s">
        <v>67</v>
      </c>
      <c r="F47" s="299" t="s">
        <v>79</v>
      </c>
      <c r="G47" s="282" t="s">
        <v>169</v>
      </c>
    </row>
    <row r="48" spans="1:7" ht="30" x14ac:dyDescent="0.25">
      <c r="A48" s="517"/>
      <c r="B48" s="524" t="s">
        <v>177</v>
      </c>
      <c r="C48" s="306" t="s">
        <v>132</v>
      </c>
      <c r="D48" s="300" t="s">
        <v>178</v>
      </c>
      <c r="E48" s="300" t="s">
        <v>67</v>
      </c>
      <c r="F48" s="300" t="s">
        <v>130</v>
      </c>
      <c r="G48" s="554" t="s">
        <v>179</v>
      </c>
    </row>
    <row r="49" spans="1:7" ht="30" x14ac:dyDescent="0.25">
      <c r="A49" s="517"/>
      <c r="B49" s="524"/>
      <c r="C49" s="307" t="s">
        <v>30</v>
      </c>
      <c r="D49" s="283" t="s">
        <v>180</v>
      </c>
      <c r="E49" s="283" t="s">
        <v>67</v>
      </c>
      <c r="F49" s="283" t="s">
        <v>130</v>
      </c>
      <c r="G49" s="555"/>
    </row>
    <row r="50" spans="1:7" ht="30" x14ac:dyDescent="0.25">
      <c r="A50" s="517"/>
      <c r="B50" s="524"/>
      <c r="C50" s="307" t="s">
        <v>135</v>
      </c>
      <c r="D50" s="283" t="s">
        <v>181</v>
      </c>
      <c r="E50" s="283" t="s">
        <v>67</v>
      </c>
      <c r="F50" s="283" t="s">
        <v>130</v>
      </c>
      <c r="G50" s="555"/>
    </row>
    <row r="51" spans="1:7" ht="30" x14ac:dyDescent="0.25">
      <c r="A51" s="517"/>
      <c r="B51" s="524"/>
      <c r="C51" s="307" t="s">
        <v>36</v>
      </c>
      <c r="D51" s="283" t="s">
        <v>182</v>
      </c>
      <c r="E51" s="283" t="s">
        <v>67</v>
      </c>
      <c r="F51" s="283" t="s">
        <v>130</v>
      </c>
      <c r="G51" s="555"/>
    </row>
    <row r="52" spans="1:7" ht="30" x14ac:dyDescent="0.25">
      <c r="A52" s="517"/>
      <c r="B52" s="524"/>
      <c r="C52" s="307" t="s">
        <v>138</v>
      </c>
      <c r="D52" s="283" t="s">
        <v>183</v>
      </c>
      <c r="E52" s="283" t="s">
        <v>67</v>
      </c>
      <c r="F52" s="283" t="s">
        <v>130</v>
      </c>
      <c r="G52" s="555"/>
    </row>
    <row r="53" spans="1:7" ht="30" x14ac:dyDescent="0.25">
      <c r="A53" s="517"/>
      <c r="B53" s="524"/>
      <c r="C53" s="307" t="s">
        <v>184</v>
      </c>
      <c r="D53" s="283" t="s">
        <v>185</v>
      </c>
      <c r="E53" s="283" t="s">
        <v>67</v>
      </c>
      <c r="F53" s="283" t="s">
        <v>130</v>
      </c>
      <c r="G53" s="555"/>
    </row>
    <row r="54" spans="1:7" x14ac:dyDescent="0.25">
      <c r="A54" s="517"/>
      <c r="B54" s="524"/>
      <c r="C54" s="307" t="s">
        <v>140</v>
      </c>
      <c r="D54" s="283" t="s">
        <v>186</v>
      </c>
      <c r="E54" s="283" t="s">
        <v>67</v>
      </c>
      <c r="F54" s="283" t="s">
        <v>130</v>
      </c>
      <c r="G54" s="555"/>
    </row>
    <row r="55" spans="1:7" ht="30.75" thickBot="1" x14ac:dyDescent="0.3">
      <c r="A55" s="517"/>
      <c r="B55" s="525"/>
      <c r="C55" s="308" t="s">
        <v>187</v>
      </c>
      <c r="D55" s="301" t="s">
        <v>188</v>
      </c>
      <c r="E55" s="301" t="s">
        <v>67</v>
      </c>
      <c r="F55" s="301" t="s">
        <v>130</v>
      </c>
      <c r="G55" s="556"/>
    </row>
    <row r="56" spans="1:7" ht="30" x14ac:dyDescent="0.25">
      <c r="A56" s="517"/>
      <c r="B56" s="526" t="s">
        <v>144</v>
      </c>
      <c r="C56" s="398" t="s">
        <v>132</v>
      </c>
      <c r="D56" s="399" t="s">
        <v>189</v>
      </c>
      <c r="E56" s="399" t="s">
        <v>67</v>
      </c>
      <c r="F56" s="399" t="s">
        <v>146</v>
      </c>
      <c r="G56" s="400" t="s">
        <v>169</v>
      </c>
    </row>
    <row r="57" spans="1:7" ht="30" x14ac:dyDescent="0.25">
      <c r="A57" s="517"/>
      <c r="B57" s="527"/>
      <c r="C57" s="304" t="s">
        <v>30</v>
      </c>
      <c r="D57" s="302" t="s">
        <v>190</v>
      </c>
      <c r="E57" s="302" t="s">
        <v>67</v>
      </c>
      <c r="F57" s="302" t="s">
        <v>146</v>
      </c>
      <c r="G57" s="279" t="s">
        <v>169</v>
      </c>
    </row>
    <row r="58" spans="1:7" ht="30" x14ac:dyDescent="0.25">
      <c r="A58" s="517"/>
      <c r="B58" s="527"/>
      <c r="C58" s="304" t="s">
        <v>135</v>
      </c>
      <c r="D58" s="302" t="s">
        <v>191</v>
      </c>
      <c r="E58" s="302" t="s">
        <v>67</v>
      </c>
      <c r="F58" s="302" t="s">
        <v>146</v>
      </c>
      <c r="G58" s="279" t="s">
        <v>169</v>
      </c>
    </row>
    <row r="59" spans="1:7" x14ac:dyDescent="0.25">
      <c r="A59" s="517"/>
      <c r="B59" s="527"/>
      <c r="C59" s="304" t="s">
        <v>36</v>
      </c>
      <c r="D59" s="302" t="s">
        <v>192</v>
      </c>
      <c r="E59" s="302" t="s">
        <v>67</v>
      </c>
      <c r="F59" s="302" t="s">
        <v>146</v>
      </c>
      <c r="G59" s="279" t="s">
        <v>169</v>
      </c>
    </row>
    <row r="60" spans="1:7" ht="30" x14ac:dyDescent="0.25">
      <c r="A60" s="517"/>
      <c r="B60" s="527"/>
      <c r="C60" s="304" t="s">
        <v>138</v>
      </c>
      <c r="D60" s="302" t="s">
        <v>193</v>
      </c>
      <c r="E60" s="302" t="s">
        <v>67</v>
      </c>
      <c r="F60" s="302" t="s">
        <v>146</v>
      </c>
      <c r="G60" s="279" t="s">
        <v>169</v>
      </c>
    </row>
    <row r="61" spans="1:7" x14ac:dyDescent="0.25">
      <c r="A61" s="517"/>
      <c r="B61" s="527"/>
      <c r="C61" s="304" t="s">
        <v>184</v>
      </c>
      <c r="D61" s="302" t="s">
        <v>194</v>
      </c>
      <c r="E61" s="302" t="s">
        <v>67</v>
      </c>
      <c r="F61" s="302" t="s">
        <v>146</v>
      </c>
      <c r="G61" s="279" t="s">
        <v>169</v>
      </c>
    </row>
    <row r="62" spans="1:7" x14ac:dyDescent="0.25">
      <c r="A62" s="517"/>
      <c r="B62" s="527"/>
      <c r="C62" s="304" t="s">
        <v>140</v>
      </c>
      <c r="D62" s="302" t="s">
        <v>195</v>
      </c>
      <c r="E62" s="302" t="s">
        <v>67</v>
      </c>
      <c r="F62" s="302" t="s">
        <v>146</v>
      </c>
      <c r="G62" s="279" t="s">
        <v>169</v>
      </c>
    </row>
    <row r="63" spans="1:7" ht="15.75" thickBot="1" x14ac:dyDescent="0.3">
      <c r="A63" s="529"/>
      <c r="B63" s="528"/>
      <c r="C63" s="305" t="s">
        <v>187</v>
      </c>
      <c r="D63" s="303" t="s">
        <v>196</v>
      </c>
      <c r="E63" s="303" t="s">
        <v>67</v>
      </c>
      <c r="F63" s="303" t="s">
        <v>146</v>
      </c>
      <c r="G63" s="284" t="s">
        <v>169</v>
      </c>
    </row>
    <row r="64" spans="1:7" ht="120" x14ac:dyDescent="0.25">
      <c r="A64" s="517" t="s">
        <v>65</v>
      </c>
      <c r="B64" s="518" t="s">
        <v>197</v>
      </c>
      <c r="C64" s="328" t="s">
        <v>77</v>
      </c>
      <c r="D64" s="286" t="s">
        <v>198</v>
      </c>
      <c r="E64" s="286" t="s">
        <v>60</v>
      </c>
      <c r="F64" s="286" t="s">
        <v>79</v>
      </c>
      <c r="G64" s="414" t="s">
        <v>199</v>
      </c>
    </row>
    <row r="65" spans="1:7" ht="60" x14ac:dyDescent="0.25">
      <c r="A65" s="517"/>
      <c r="B65" s="519"/>
      <c r="C65" s="329" t="s">
        <v>81</v>
      </c>
      <c r="D65" s="287" t="s">
        <v>82</v>
      </c>
      <c r="E65" s="287" t="s">
        <v>60</v>
      </c>
      <c r="F65" s="287" t="s">
        <v>79</v>
      </c>
      <c r="G65" s="416" t="s">
        <v>200</v>
      </c>
    </row>
    <row r="66" spans="1:7" ht="30" x14ac:dyDescent="0.25">
      <c r="A66" s="517"/>
      <c r="B66" s="519"/>
      <c r="C66" s="329" t="s">
        <v>96</v>
      </c>
      <c r="D66" s="287" t="s">
        <v>97</v>
      </c>
      <c r="E66" s="287" t="s">
        <v>60</v>
      </c>
      <c r="F66" s="287" t="s">
        <v>79</v>
      </c>
      <c r="G66" s="288" t="s">
        <v>201</v>
      </c>
    </row>
    <row r="67" spans="1:7" ht="30" x14ac:dyDescent="0.25">
      <c r="A67" s="517"/>
      <c r="B67" s="519"/>
      <c r="C67" s="329" t="s">
        <v>202</v>
      </c>
      <c r="D67" s="287" t="s">
        <v>203</v>
      </c>
      <c r="E67" s="287" t="s">
        <v>60</v>
      </c>
      <c r="F67" s="287" t="s">
        <v>79</v>
      </c>
      <c r="G67" s="288" t="s">
        <v>204</v>
      </c>
    </row>
    <row r="68" spans="1:7" x14ac:dyDescent="0.25">
      <c r="A68" s="517"/>
      <c r="B68" s="519"/>
      <c r="C68" s="329" t="s">
        <v>1</v>
      </c>
      <c r="D68" s="287" t="s">
        <v>205</v>
      </c>
      <c r="E68" s="287" t="s">
        <v>60</v>
      </c>
      <c r="F68" s="287" t="s">
        <v>79</v>
      </c>
      <c r="G68" s="288" t="s">
        <v>206</v>
      </c>
    </row>
    <row r="69" spans="1:7" ht="15.75" thickBot="1" x14ac:dyDescent="0.3">
      <c r="A69" s="517"/>
      <c r="B69" s="520"/>
      <c r="C69" s="330" t="s">
        <v>207</v>
      </c>
      <c r="D69" s="289" t="s">
        <v>208</v>
      </c>
      <c r="E69" s="289" t="s">
        <v>60</v>
      </c>
      <c r="F69" s="289" t="s">
        <v>79</v>
      </c>
      <c r="G69" s="290"/>
    </row>
    <row r="70" spans="1:7" ht="150" x14ac:dyDescent="0.25">
      <c r="A70" s="516" t="s">
        <v>68</v>
      </c>
      <c r="B70" s="513" t="s">
        <v>76</v>
      </c>
      <c r="C70" s="342" t="s">
        <v>77</v>
      </c>
      <c r="D70" s="285" t="s">
        <v>209</v>
      </c>
      <c r="E70" s="285" t="s">
        <v>60</v>
      </c>
      <c r="F70" s="285" t="s">
        <v>79</v>
      </c>
      <c r="G70" s="415" t="s">
        <v>210</v>
      </c>
    </row>
    <row r="71" spans="1:7" x14ac:dyDescent="0.25">
      <c r="A71" s="517"/>
      <c r="B71" s="514"/>
      <c r="C71" s="121" t="s">
        <v>81</v>
      </c>
      <c r="D71" s="82" t="s">
        <v>82</v>
      </c>
      <c r="E71" s="82" t="s">
        <v>60</v>
      </c>
      <c r="F71" s="82" t="s">
        <v>79</v>
      </c>
      <c r="G71" s="95" t="s">
        <v>169</v>
      </c>
    </row>
    <row r="72" spans="1:7" ht="30" x14ac:dyDescent="0.25">
      <c r="A72" s="517"/>
      <c r="B72" s="514"/>
      <c r="C72" s="121" t="s">
        <v>96</v>
      </c>
      <c r="D72" s="82" t="s">
        <v>97</v>
      </c>
      <c r="E72" s="82" t="s">
        <v>60</v>
      </c>
      <c r="F72" s="82" t="s">
        <v>79</v>
      </c>
      <c r="G72" s="95" t="s">
        <v>211</v>
      </c>
    </row>
    <row r="73" spans="1:7" x14ac:dyDescent="0.25">
      <c r="A73" s="517"/>
      <c r="B73" s="514"/>
      <c r="C73" s="121" t="s">
        <v>212</v>
      </c>
      <c r="D73" s="82" t="s">
        <v>213</v>
      </c>
      <c r="E73" s="82" t="s">
        <v>86</v>
      </c>
      <c r="F73" s="82" t="s">
        <v>79</v>
      </c>
      <c r="G73" s="95" t="s">
        <v>169</v>
      </c>
    </row>
    <row r="74" spans="1:7" ht="60" customHeight="1" x14ac:dyDescent="0.25">
      <c r="A74" s="517"/>
      <c r="B74" s="514"/>
      <c r="C74" s="121" t="s">
        <v>88</v>
      </c>
      <c r="D74" s="82" t="s">
        <v>214</v>
      </c>
      <c r="E74" s="82" t="s">
        <v>86</v>
      </c>
      <c r="F74" s="82" t="s">
        <v>79</v>
      </c>
      <c r="G74" s="95" t="s">
        <v>169</v>
      </c>
    </row>
    <row r="75" spans="1:7" x14ac:dyDescent="0.25">
      <c r="A75" s="517"/>
      <c r="B75" s="514"/>
      <c r="C75" s="121" t="s">
        <v>1</v>
      </c>
      <c r="D75" s="82" t="s">
        <v>205</v>
      </c>
      <c r="E75" s="82" t="s">
        <v>86</v>
      </c>
      <c r="F75" s="82" t="s">
        <v>79</v>
      </c>
      <c r="G75" s="95" t="s">
        <v>169</v>
      </c>
    </row>
    <row r="76" spans="1:7" ht="90" x14ac:dyDescent="0.25">
      <c r="A76" s="517"/>
      <c r="B76" s="514"/>
      <c r="C76" s="121" t="s">
        <v>215</v>
      </c>
      <c r="D76" s="82" t="s">
        <v>216</v>
      </c>
      <c r="E76" s="82" t="s">
        <v>60</v>
      </c>
      <c r="F76" s="82" t="s">
        <v>79</v>
      </c>
      <c r="G76" s="323" t="s">
        <v>217</v>
      </c>
    </row>
    <row r="77" spans="1:7" ht="90" x14ac:dyDescent="0.25">
      <c r="A77" s="517"/>
      <c r="B77" s="514"/>
      <c r="C77" s="121" t="s">
        <v>218</v>
      </c>
      <c r="D77" s="82" t="s">
        <v>219</v>
      </c>
      <c r="E77" s="82" t="s">
        <v>60</v>
      </c>
      <c r="F77" s="82" t="s">
        <v>79</v>
      </c>
      <c r="G77" s="323" t="s">
        <v>220</v>
      </c>
    </row>
    <row r="78" spans="1:7" ht="30" x14ac:dyDescent="0.25">
      <c r="A78" s="517"/>
      <c r="B78" s="514"/>
      <c r="C78" s="121" t="s">
        <v>105</v>
      </c>
      <c r="D78" s="82" t="s">
        <v>171</v>
      </c>
      <c r="E78" s="82" t="s">
        <v>86</v>
      </c>
      <c r="F78" s="82" t="s">
        <v>79</v>
      </c>
      <c r="G78" s="95" t="s">
        <v>172</v>
      </c>
    </row>
    <row r="79" spans="1:7" ht="30.75" thickBot="1" x14ac:dyDescent="0.3">
      <c r="A79" s="517"/>
      <c r="B79" s="515"/>
      <c r="C79" s="122" t="s">
        <v>221</v>
      </c>
      <c r="D79" s="96" t="s">
        <v>222</v>
      </c>
      <c r="E79" s="96" t="s">
        <v>60</v>
      </c>
      <c r="F79" s="96" t="s">
        <v>79</v>
      </c>
      <c r="G79" s="97" t="s">
        <v>223</v>
      </c>
    </row>
    <row r="80" spans="1:7" ht="30" x14ac:dyDescent="0.25">
      <c r="A80" s="517"/>
      <c r="B80" s="557" t="s">
        <v>113</v>
      </c>
      <c r="C80" s="123" t="s">
        <v>114</v>
      </c>
      <c r="D80" s="105" t="s">
        <v>224</v>
      </c>
      <c r="E80" s="105" t="s">
        <v>60</v>
      </c>
      <c r="F80" s="105" t="s">
        <v>225</v>
      </c>
      <c r="G80" s="106" t="s">
        <v>223</v>
      </c>
    </row>
    <row r="81" spans="1:7" ht="30.75" thickBot="1" x14ac:dyDescent="0.3">
      <c r="A81" s="517"/>
      <c r="B81" s="558"/>
      <c r="C81" s="124" t="s">
        <v>121</v>
      </c>
      <c r="D81" s="107" t="s">
        <v>226</v>
      </c>
      <c r="E81" s="107" t="s">
        <v>60</v>
      </c>
      <c r="F81" s="107" t="s">
        <v>225</v>
      </c>
      <c r="G81" s="108" t="s">
        <v>223</v>
      </c>
    </row>
    <row r="82" spans="1:7" ht="30" x14ac:dyDescent="0.25">
      <c r="A82" s="517"/>
      <c r="B82" s="559" t="s">
        <v>124</v>
      </c>
      <c r="C82" s="125" t="s">
        <v>227</v>
      </c>
      <c r="D82" s="102" t="s">
        <v>228</v>
      </c>
      <c r="E82" s="102" t="s">
        <v>60</v>
      </c>
      <c r="F82" s="102" t="s">
        <v>79</v>
      </c>
      <c r="G82" s="103" t="s">
        <v>223</v>
      </c>
    </row>
    <row r="83" spans="1:7" ht="30" x14ac:dyDescent="0.25">
      <c r="A83" s="517"/>
      <c r="B83" s="560"/>
      <c r="C83" s="127" t="s">
        <v>229</v>
      </c>
      <c r="D83" s="109" t="s">
        <v>230</v>
      </c>
      <c r="E83" s="109" t="s">
        <v>60</v>
      </c>
      <c r="F83" s="109" t="s">
        <v>225</v>
      </c>
      <c r="G83" s="114" t="s">
        <v>223</v>
      </c>
    </row>
    <row r="84" spans="1:7" ht="30.75" thickBot="1" x14ac:dyDescent="0.3">
      <c r="A84" s="517"/>
      <c r="B84" s="561"/>
      <c r="C84" s="128" t="s">
        <v>187</v>
      </c>
      <c r="D84" s="119" t="s">
        <v>231</v>
      </c>
      <c r="E84" s="119" t="s">
        <v>60</v>
      </c>
      <c r="F84" s="119" t="s">
        <v>225</v>
      </c>
      <c r="G84" s="120" t="s">
        <v>223</v>
      </c>
    </row>
    <row r="85" spans="1:7" ht="30" x14ac:dyDescent="0.25">
      <c r="A85" s="517"/>
      <c r="B85" s="562" t="s">
        <v>144</v>
      </c>
      <c r="C85" s="126" t="s">
        <v>232</v>
      </c>
      <c r="D85" s="111" t="s">
        <v>233</v>
      </c>
      <c r="E85" s="111" t="s">
        <v>60</v>
      </c>
      <c r="F85" s="111" t="s">
        <v>225</v>
      </c>
      <c r="G85" s="112" t="s">
        <v>223</v>
      </c>
    </row>
    <row r="86" spans="1:7" ht="30" x14ac:dyDescent="0.25">
      <c r="A86" s="517"/>
      <c r="B86" s="563"/>
      <c r="C86" s="98" t="s">
        <v>229</v>
      </c>
      <c r="D86" s="83" t="s">
        <v>234</v>
      </c>
      <c r="E86" s="83" t="s">
        <v>60</v>
      </c>
      <c r="F86" s="83" t="s">
        <v>225</v>
      </c>
      <c r="G86" s="99" t="s">
        <v>223</v>
      </c>
    </row>
    <row r="87" spans="1:7" ht="30" x14ac:dyDescent="0.25">
      <c r="A87" s="517"/>
      <c r="B87" s="563"/>
      <c r="C87" s="98" t="s">
        <v>184</v>
      </c>
      <c r="D87" s="83" t="s">
        <v>235</v>
      </c>
      <c r="E87" s="83" t="s">
        <v>60</v>
      </c>
      <c r="F87" s="83" t="s">
        <v>225</v>
      </c>
      <c r="G87" s="99" t="s">
        <v>223</v>
      </c>
    </row>
    <row r="88" spans="1:7" ht="30" x14ac:dyDescent="0.25">
      <c r="A88" s="517"/>
      <c r="B88" s="563"/>
      <c r="C88" s="98" t="s">
        <v>140</v>
      </c>
      <c r="D88" s="83" t="s">
        <v>236</v>
      </c>
      <c r="E88" s="83" t="s">
        <v>60</v>
      </c>
      <c r="F88" s="83" t="s">
        <v>225</v>
      </c>
      <c r="G88" s="99" t="s">
        <v>223</v>
      </c>
    </row>
    <row r="89" spans="1:7" ht="45" customHeight="1" x14ac:dyDescent="0.25">
      <c r="A89" s="517"/>
      <c r="B89" s="563"/>
      <c r="C89" s="98" t="s">
        <v>187</v>
      </c>
      <c r="D89" s="83" t="s">
        <v>237</v>
      </c>
      <c r="E89" s="83" t="s">
        <v>60</v>
      </c>
      <c r="F89" s="83" t="s">
        <v>225</v>
      </c>
      <c r="G89" s="99" t="s">
        <v>223</v>
      </c>
    </row>
    <row r="90" spans="1:7" ht="30.75" thickBot="1" x14ac:dyDescent="0.3">
      <c r="A90" s="529"/>
      <c r="B90" s="564"/>
      <c r="C90" s="326"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sheetPr codeName="Sheet4"/>
  <dimension ref="A2:S18"/>
  <sheetViews>
    <sheetView topLeftCell="A5" workbookViewId="0">
      <selection activeCell="F20" sqref="F20"/>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565" t="s">
        <v>240</v>
      </c>
      <c r="B2" s="565"/>
      <c r="C2" s="565"/>
      <c r="D2" s="565"/>
      <c r="E2" s="565"/>
      <c r="F2" s="89"/>
      <c r="G2" s="89"/>
      <c r="H2" s="89"/>
      <c r="I2" s="89"/>
      <c r="J2" s="89"/>
      <c r="K2" s="89"/>
      <c r="L2" s="89"/>
      <c r="M2" s="89"/>
      <c r="N2" s="89"/>
      <c r="O2" s="89"/>
      <c r="P2" s="89"/>
      <c r="Q2" s="89"/>
      <c r="R2" s="89"/>
    </row>
    <row r="3" spans="1:19" ht="45" x14ac:dyDescent="0.25">
      <c r="A3" s="483" t="s">
        <v>241</v>
      </c>
      <c r="B3" s="483" t="s">
        <v>242</v>
      </c>
      <c r="C3" s="483" t="s">
        <v>243</v>
      </c>
      <c r="D3" s="483" t="s">
        <v>244</v>
      </c>
      <c r="E3" s="483" t="s">
        <v>245</v>
      </c>
    </row>
    <row r="4" spans="1:19" x14ac:dyDescent="0.25">
      <c r="A4" s="484" t="s">
        <v>246</v>
      </c>
      <c r="B4" s="484" t="s">
        <v>247</v>
      </c>
      <c r="C4" s="484" t="s">
        <v>248</v>
      </c>
      <c r="D4" s="484" t="s">
        <v>249</v>
      </c>
      <c r="E4" s="484" t="s">
        <v>248</v>
      </c>
    </row>
    <row r="5" spans="1:19" x14ac:dyDescent="0.25">
      <c r="A5" s="484" t="s">
        <v>250</v>
      </c>
      <c r="B5" s="484" t="s">
        <v>251</v>
      </c>
      <c r="C5" s="484" t="s">
        <v>252</v>
      </c>
      <c r="D5" s="484" t="s">
        <v>249</v>
      </c>
      <c r="E5" s="484" t="s">
        <v>248</v>
      </c>
    </row>
    <row r="6" spans="1:19" x14ac:dyDescent="0.25">
      <c r="A6" s="81"/>
    </row>
    <row r="7" spans="1:19" ht="59.25" customHeight="1" x14ac:dyDescent="0.25">
      <c r="A7" s="565" t="s">
        <v>253</v>
      </c>
      <c r="B7" s="566"/>
      <c r="C7" s="566"/>
      <c r="D7" s="566"/>
      <c r="E7" s="566"/>
      <c r="F7" s="566"/>
      <c r="G7" s="566"/>
      <c r="H7" s="566"/>
      <c r="I7" s="566"/>
      <c r="J7" s="566"/>
      <c r="K7" s="566"/>
      <c r="L7" s="566"/>
      <c r="M7" s="89"/>
      <c r="N7" s="89"/>
      <c r="O7" s="89"/>
      <c r="P7" s="89"/>
      <c r="Q7" s="89"/>
      <c r="R7" s="89"/>
      <c r="S7" s="89"/>
    </row>
    <row r="8" spans="1:19" x14ac:dyDescent="0.25">
      <c r="A8" s="485" t="s">
        <v>254</v>
      </c>
      <c r="B8" s="486"/>
      <c r="C8" s="486"/>
      <c r="D8" s="486"/>
      <c r="E8" s="486"/>
      <c r="F8" s="486"/>
      <c r="G8" s="486"/>
      <c r="H8" s="486"/>
      <c r="I8" s="486"/>
      <c r="J8" s="486"/>
      <c r="K8" s="486"/>
      <c r="L8" s="486"/>
      <c r="M8" s="89"/>
      <c r="N8" s="89"/>
      <c r="O8" s="89"/>
      <c r="P8" s="89"/>
      <c r="Q8" s="89"/>
      <c r="R8" s="89"/>
      <c r="S8" s="89"/>
    </row>
    <row r="9" spans="1:19" x14ac:dyDescent="0.25">
      <c r="A9" s="487" t="s">
        <v>77</v>
      </c>
      <c r="B9" s="488" t="s">
        <v>81</v>
      </c>
      <c r="C9" s="488" t="s">
        <v>84</v>
      </c>
      <c r="D9" s="489" t="s">
        <v>88</v>
      </c>
      <c r="E9" s="488" t="s">
        <v>91</v>
      </c>
      <c r="F9" s="488" t="s">
        <v>94</v>
      </c>
      <c r="G9" s="488" t="s">
        <v>96</v>
      </c>
      <c r="H9" s="488" t="s">
        <v>99</v>
      </c>
      <c r="I9" s="488" t="s">
        <v>102</v>
      </c>
      <c r="J9" s="490" t="s">
        <v>105</v>
      </c>
      <c r="K9" s="490" t="s">
        <v>108</v>
      </c>
      <c r="L9" s="491" t="s">
        <v>1</v>
      </c>
    </row>
    <row r="10" spans="1:19" x14ac:dyDescent="0.25">
      <c r="A10" s="492" t="s">
        <v>255</v>
      </c>
      <c r="B10" s="493" t="s">
        <v>256</v>
      </c>
      <c r="C10" s="493"/>
      <c r="D10" s="494" t="s">
        <v>257</v>
      </c>
      <c r="E10" s="495"/>
      <c r="F10" s="493" t="s">
        <v>258</v>
      </c>
      <c r="G10" s="494" t="s">
        <v>259</v>
      </c>
      <c r="H10" s="493" t="s">
        <v>260</v>
      </c>
      <c r="I10" s="493"/>
      <c r="J10" s="494">
        <v>1</v>
      </c>
      <c r="K10" s="494">
        <v>1</v>
      </c>
      <c r="L10" s="494" t="s">
        <v>261</v>
      </c>
    </row>
    <row r="11" spans="1:19" x14ac:dyDescent="0.25">
      <c r="A11" s="492" t="s">
        <v>262</v>
      </c>
      <c r="B11" s="493" t="s">
        <v>263</v>
      </c>
      <c r="C11" s="493"/>
      <c r="D11" s="494" t="s">
        <v>264</v>
      </c>
      <c r="E11" s="495"/>
      <c r="F11" s="493" t="s">
        <v>265</v>
      </c>
      <c r="G11" s="494" t="s">
        <v>259</v>
      </c>
      <c r="H11" s="493" t="s">
        <v>266</v>
      </c>
      <c r="I11" s="493"/>
      <c r="J11" s="494">
        <v>1</v>
      </c>
      <c r="K11" s="494">
        <v>1</v>
      </c>
      <c r="L11" s="494" t="s">
        <v>267</v>
      </c>
    </row>
    <row r="12" spans="1:19" ht="30" x14ac:dyDescent="0.25">
      <c r="A12" s="492" t="s">
        <v>268</v>
      </c>
      <c r="B12" s="492" t="s">
        <v>269</v>
      </c>
      <c r="C12" s="493"/>
      <c r="D12" s="494" t="s">
        <v>247</v>
      </c>
      <c r="E12" s="495"/>
      <c r="F12" s="493" t="s">
        <v>270</v>
      </c>
      <c r="G12" s="494" t="e">
        <v>#N/A</v>
      </c>
      <c r="H12" s="493" t="s">
        <v>249</v>
      </c>
      <c r="I12" s="493"/>
      <c r="J12" s="494">
        <v>1</v>
      </c>
      <c r="K12" s="494">
        <v>1</v>
      </c>
      <c r="L12" s="494" t="s">
        <v>261</v>
      </c>
    </row>
    <row r="13" spans="1:19" x14ac:dyDescent="0.25">
      <c r="A13" s="496" t="s">
        <v>271</v>
      </c>
    </row>
    <row r="14" spans="1:19" x14ac:dyDescent="0.25">
      <c r="A14" s="487" t="s">
        <v>77</v>
      </c>
      <c r="B14" s="488" t="s">
        <v>81</v>
      </c>
      <c r="C14" s="488" t="s">
        <v>84</v>
      </c>
      <c r="D14" s="489" t="s">
        <v>88</v>
      </c>
      <c r="E14" s="488" t="s">
        <v>91</v>
      </c>
      <c r="F14" s="488" t="s">
        <v>94</v>
      </c>
      <c r="G14" s="488" t="s">
        <v>96</v>
      </c>
      <c r="H14" s="488" t="s">
        <v>99</v>
      </c>
      <c r="I14" s="488" t="s">
        <v>102</v>
      </c>
      <c r="J14" s="490" t="s">
        <v>105</v>
      </c>
      <c r="K14" s="490" t="s">
        <v>108</v>
      </c>
      <c r="L14" s="497" t="s">
        <v>1</v>
      </c>
      <c r="M14" s="490" t="s">
        <v>114</v>
      </c>
      <c r="N14" s="490" t="s">
        <v>118</v>
      </c>
      <c r="O14" s="490" t="s">
        <v>121</v>
      </c>
      <c r="P14" s="490" t="s">
        <v>125</v>
      </c>
      <c r="Q14" s="490" t="s">
        <v>128</v>
      </c>
      <c r="R14" s="490" t="s">
        <v>132</v>
      </c>
      <c r="S14" s="490" t="s">
        <v>157</v>
      </c>
    </row>
    <row r="15" spans="1:19" x14ac:dyDescent="0.25">
      <c r="A15" s="492" t="s">
        <v>272</v>
      </c>
      <c r="B15" s="493" t="s">
        <v>273</v>
      </c>
      <c r="C15" s="493"/>
      <c r="D15" s="494" t="s">
        <v>252</v>
      </c>
      <c r="E15" s="493"/>
      <c r="F15" s="493" t="s">
        <v>274</v>
      </c>
      <c r="G15" s="494" t="s">
        <v>259</v>
      </c>
      <c r="H15" s="493" t="s">
        <v>275</v>
      </c>
      <c r="I15" s="493"/>
      <c r="J15" s="494">
        <v>1</v>
      </c>
      <c r="K15" s="494">
        <v>1</v>
      </c>
      <c r="L15" s="494" t="s">
        <v>276</v>
      </c>
      <c r="M15" s="498">
        <v>0</v>
      </c>
      <c r="N15" s="494"/>
      <c r="O15" s="498">
        <v>0</v>
      </c>
      <c r="P15" s="493" t="s">
        <v>48</v>
      </c>
      <c r="Q15" s="494">
        <v>1</v>
      </c>
      <c r="R15" s="494">
        <v>0</v>
      </c>
      <c r="S15" s="493" t="s">
        <v>277</v>
      </c>
    </row>
    <row r="16" spans="1:19" x14ac:dyDescent="0.25">
      <c r="A16" s="492" t="s">
        <v>250</v>
      </c>
      <c r="B16" s="493" t="s">
        <v>278</v>
      </c>
      <c r="C16" s="493"/>
      <c r="D16" s="499" t="s">
        <v>247</v>
      </c>
      <c r="E16" s="493"/>
      <c r="F16" s="493" t="s">
        <v>279</v>
      </c>
      <c r="G16" s="494" t="s">
        <v>280</v>
      </c>
      <c r="H16" s="500" t="s">
        <v>249</v>
      </c>
      <c r="I16" s="493"/>
      <c r="J16" s="494">
        <v>1</v>
      </c>
      <c r="K16" s="494">
        <v>1</v>
      </c>
      <c r="L16" s="494" t="s">
        <v>261</v>
      </c>
      <c r="M16" s="498">
        <v>0</v>
      </c>
      <c r="N16" s="494"/>
      <c r="O16" s="498">
        <v>0</v>
      </c>
      <c r="P16" s="493" t="s">
        <v>48</v>
      </c>
      <c r="Q16" s="494">
        <v>1</v>
      </c>
      <c r="R16" s="494">
        <v>0</v>
      </c>
      <c r="S16" s="493" t="s">
        <v>277</v>
      </c>
    </row>
    <row r="17" spans="1:19" x14ac:dyDescent="0.25">
      <c r="A17" s="492" t="s">
        <v>281</v>
      </c>
      <c r="B17" s="493" t="s">
        <v>282</v>
      </c>
      <c r="C17" s="493"/>
      <c r="D17" s="494" t="s">
        <v>252</v>
      </c>
      <c r="E17" s="493"/>
      <c r="F17" s="493" t="s">
        <v>283</v>
      </c>
      <c r="G17" s="494" t="s">
        <v>284</v>
      </c>
      <c r="H17" s="493" t="s">
        <v>285</v>
      </c>
      <c r="I17" s="493"/>
      <c r="J17" s="494">
        <v>1</v>
      </c>
      <c r="K17" s="494">
        <v>1</v>
      </c>
      <c r="L17" s="494" t="s">
        <v>276</v>
      </c>
      <c r="M17" s="498">
        <v>0</v>
      </c>
      <c r="N17" s="494"/>
      <c r="O17" s="498">
        <v>0</v>
      </c>
      <c r="P17" s="493" t="s">
        <v>48</v>
      </c>
      <c r="Q17" s="494">
        <v>1</v>
      </c>
      <c r="R17" s="494">
        <v>0</v>
      </c>
      <c r="S17" s="493"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sheetPr codeName="Sheet5"/>
  <dimension ref="A1:C11"/>
  <sheetViews>
    <sheetView workbookViewId="0">
      <pane xSplit="1" ySplit="1" topLeftCell="B9" activePane="bottomRight" state="frozen"/>
      <selection pane="topRight" activeCell="B1" sqref="B1"/>
      <selection pane="bottomLeft" activeCell="A2" sqref="A2"/>
      <selection pane="bottomRight" activeCell="B14" sqref="B14"/>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501" t="s">
        <v>0</v>
      </c>
      <c r="B1" s="502" t="s">
        <v>287</v>
      </c>
      <c r="C1" s="502" t="s">
        <v>288</v>
      </c>
    </row>
    <row r="2" spans="1:3" x14ac:dyDescent="0.25">
      <c r="A2" s="503">
        <v>43807</v>
      </c>
      <c r="B2" s="504" t="s">
        <v>289</v>
      </c>
      <c r="C2" s="504" t="s">
        <v>11</v>
      </c>
    </row>
    <row r="3" spans="1:3" ht="30" x14ac:dyDescent="0.25">
      <c r="A3" s="503">
        <v>43937</v>
      </c>
      <c r="B3" s="80" t="s">
        <v>290</v>
      </c>
      <c r="C3" s="504" t="s">
        <v>11</v>
      </c>
    </row>
    <row r="4" spans="1:3" x14ac:dyDescent="0.25">
      <c r="A4" s="503">
        <v>43941</v>
      </c>
      <c r="B4" s="504" t="s">
        <v>291</v>
      </c>
      <c r="C4" s="504" t="s">
        <v>11</v>
      </c>
    </row>
    <row r="5" spans="1:3" x14ac:dyDescent="0.25">
      <c r="A5" s="503">
        <v>43942</v>
      </c>
      <c r="B5" s="504" t="s">
        <v>292</v>
      </c>
      <c r="C5" s="504" t="s">
        <v>11</v>
      </c>
    </row>
    <row r="6" spans="1:3" x14ac:dyDescent="0.25">
      <c r="A6" s="503">
        <v>43963</v>
      </c>
      <c r="B6" s="504" t="s">
        <v>293</v>
      </c>
      <c r="C6" s="504" t="s">
        <v>11</v>
      </c>
    </row>
    <row r="7" spans="1:3" x14ac:dyDescent="0.25">
      <c r="A7" s="503">
        <v>43990</v>
      </c>
      <c r="B7" s="504" t="s">
        <v>294</v>
      </c>
      <c r="C7" s="504" t="s">
        <v>11</v>
      </c>
    </row>
    <row r="8" spans="1:3" ht="30" x14ac:dyDescent="0.25">
      <c r="A8" s="503">
        <v>44104</v>
      </c>
      <c r="B8" s="80" t="s">
        <v>295</v>
      </c>
      <c r="C8" s="504" t="s">
        <v>296</v>
      </c>
    </row>
    <row r="9" spans="1:3" ht="150" x14ac:dyDescent="0.25">
      <c r="A9" s="503">
        <v>44128</v>
      </c>
      <c r="B9" s="80" t="s">
        <v>297</v>
      </c>
      <c r="C9" s="504" t="s">
        <v>296</v>
      </c>
    </row>
    <row r="10" spans="1:3" x14ac:dyDescent="0.25">
      <c r="A10" s="503">
        <v>44361</v>
      </c>
      <c r="B10" s="504" t="s">
        <v>298</v>
      </c>
      <c r="C10" s="504" t="s">
        <v>299</v>
      </c>
    </row>
    <row r="11" spans="1:3" x14ac:dyDescent="0.25">
      <c r="A11" s="503">
        <v>44813</v>
      </c>
      <c r="B11" s="504" t="s">
        <v>300</v>
      </c>
      <c r="C11" s="504"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J280"/>
  <sheetViews>
    <sheetView tabSelected="1" zoomScale="70" zoomScaleNormal="70" workbookViewId="0">
      <pane xSplit="2" ySplit="5" topLeftCell="C6" activePane="bottomRight" state="frozen"/>
      <selection pane="topRight" activeCell="C1" sqref="C1"/>
      <selection pane="bottomLeft" activeCell="A4" sqref="A4"/>
      <selection pane="bottomRight" activeCell="D249" sqref="D249"/>
    </sheetView>
  </sheetViews>
  <sheetFormatPr defaultColWidth="9.140625" defaultRowHeight="15" x14ac:dyDescent="0.25"/>
  <cols>
    <col min="1" max="1" width="15.5703125" style="173" customWidth="1"/>
    <col min="2" max="2" width="33.7109375" style="170" customWidth="1"/>
    <col min="3" max="3" width="5.5703125" style="170" customWidth="1"/>
    <col min="4" max="4" width="14.140625" style="174" bestFit="1" customWidth="1"/>
    <col min="5" max="5" width="4.5703125" style="170" customWidth="1"/>
    <col min="6" max="6" width="33.85546875" style="170" customWidth="1"/>
    <col min="7" max="7" width="7.85546875" style="170" customWidth="1"/>
    <col min="8" max="8" width="16.140625" style="174" customWidth="1"/>
    <col min="9" max="9" width="9.85546875" style="174" customWidth="1"/>
    <col min="10" max="10" width="5.42578125" style="170" customWidth="1"/>
    <col min="11" max="11" width="8.28515625" style="170" bestFit="1" customWidth="1"/>
    <col min="12" max="12" width="12" style="170" customWidth="1"/>
    <col min="13" max="13" width="11.140625" style="170" bestFit="1" customWidth="1"/>
    <col min="14" max="14" width="12.5703125" style="170" bestFit="1" customWidth="1"/>
    <col min="15" max="15" width="11.7109375" style="170" bestFit="1" customWidth="1"/>
    <col min="16" max="16" width="15" style="170" bestFit="1" customWidth="1"/>
    <col min="17" max="17" width="10.42578125" style="170" customWidth="1"/>
    <col min="18" max="18" width="30.140625" style="176" customWidth="1"/>
    <col min="19" max="19" width="11.5703125" style="176" customWidth="1"/>
    <col min="20" max="20" width="7.140625" style="175" customWidth="1"/>
    <col min="21" max="21" width="10.140625" style="175" customWidth="1"/>
    <col min="22" max="22" width="6.42578125" style="175" customWidth="1"/>
    <col min="23" max="23" width="7" style="175" customWidth="1"/>
    <col min="24" max="24" width="13.5703125" style="175" customWidth="1"/>
    <col min="25" max="25" width="45.7109375" style="176" customWidth="1"/>
    <col min="26" max="26" width="11.5703125" style="176" bestFit="1" customWidth="1"/>
    <col min="27" max="27" width="7.140625" style="175" bestFit="1" customWidth="1"/>
    <col min="28" max="28" width="10.140625" style="175" bestFit="1" customWidth="1"/>
    <col min="29" max="29" width="6.42578125" style="175" bestFit="1" customWidth="1"/>
    <col min="30" max="30" width="7" style="175" bestFit="1" customWidth="1"/>
    <col min="31" max="31" width="13.5703125" style="175" bestFit="1" customWidth="1"/>
    <col min="32" max="32" width="45.7109375" style="170" customWidth="1"/>
    <col min="33" max="33" width="7.140625" style="170" customWidth="1"/>
    <col min="34" max="34" width="60.7109375" style="170" customWidth="1"/>
    <col min="35" max="16384" width="9.140625" style="170"/>
  </cols>
  <sheetData>
    <row r="1" spans="1:36" ht="19.5" thickBot="1" x14ac:dyDescent="0.3">
      <c r="A1" s="572" t="s">
        <v>301</v>
      </c>
      <c r="B1" s="573"/>
      <c r="C1" s="573"/>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4"/>
    </row>
    <row r="2" spans="1:36" ht="19.5" thickBot="1" x14ac:dyDescent="0.3">
      <c r="A2" s="575" t="s">
        <v>302</v>
      </c>
      <c r="B2" s="576"/>
      <c r="C2" s="576"/>
      <c r="D2" s="576"/>
      <c r="E2" s="576"/>
      <c r="F2" s="576"/>
      <c r="G2" s="576"/>
      <c r="H2" s="576"/>
      <c r="I2" s="576"/>
      <c r="J2" s="577"/>
      <c r="K2" s="380">
        <f>SUM(K6:K208)</f>
        <v>232</v>
      </c>
      <c r="L2" s="380">
        <f>SUM(L6:L208)</f>
        <v>3185</v>
      </c>
      <c r="M2" s="381"/>
      <c r="N2" s="428">
        <f>SUMPRODUCT(K6:K208,N6:N208)/K211</f>
        <v>232</v>
      </c>
      <c r="O2" s="429">
        <f>SUM(O6:O208)</f>
        <v>3185</v>
      </c>
      <c r="P2" s="430">
        <f>SUMPRODUCT(K6:K208,P6:P208)/K211</f>
        <v>232</v>
      </c>
      <c r="Q2" s="382"/>
      <c r="R2" s="383">
        <f t="shared" ref="R2:W2" si="0">SUM(R6:R208)</f>
        <v>3314</v>
      </c>
      <c r="S2" s="431">
        <f t="shared" si="0"/>
        <v>0</v>
      </c>
      <c r="T2" s="431">
        <f t="shared" si="0"/>
        <v>0</v>
      </c>
      <c r="U2" s="431">
        <f t="shared" si="0"/>
        <v>0</v>
      </c>
      <c r="V2" s="431">
        <f t="shared" si="0"/>
        <v>0</v>
      </c>
      <c r="W2" s="431">
        <f t="shared" si="0"/>
        <v>0</v>
      </c>
      <c r="X2" s="432">
        <f>IF((S211=0),0,((T211+U211)/S211*100%))</f>
        <v>0</v>
      </c>
      <c r="Y2" s="384"/>
      <c r="Z2" s="434">
        <f>SUM(Z6:Z208)</f>
        <v>0</v>
      </c>
      <c r="AA2" s="435">
        <f>SUM(AA6:AA208)</f>
        <v>0</v>
      </c>
      <c r="AB2" s="435">
        <f>SUM(AB6:AB208)</f>
        <v>0</v>
      </c>
      <c r="AC2" s="435">
        <f>SUM(AC6:AC208)</f>
        <v>0</v>
      </c>
      <c r="AD2" s="435">
        <f>SUM(AD6:AD208)</f>
        <v>0</v>
      </c>
      <c r="AE2" s="433">
        <f>IF((Z211=0),0,((AA211+AB211)/Z211*100%))</f>
        <v>0</v>
      </c>
      <c r="AF2" s="385"/>
      <c r="AG2" s="385"/>
      <c r="AH2" s="386"/>
    </row>
    <row r="3" spans="1:36" ht="19.5" customHeight="1" thickBot="1" x14ac:dyDescent="0.3">
      <c r="A3" s="572" t="s">
        <v>303</v>
      </c>
      <c r="B3" s="573"/>
      <c r="C3" s="573"/>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4"/>
    </row>
    <row r="4" spans="1:36" ht="31.5" customHeight="1" thickBot="1" x14ac:dyDescent="0.3">
      <c r="A4" s="578" t="s">
        <v>76</v>
      </c>
      <c r="B4" s="579"/>
      <c r="C4" s="579"/>
      <c r="D4" s="579"/>
      <c r="E4" s="579"/>
      <c r="F4" s="579"/>
      <c r="G4" s="579"/>
      <c r="H4" s="579"/>
      <c r="I4" s="579"/>
      <c r="J4" s="579"/>
      <c r="K4" s="579"/>
      <c r="L4" s="579"/>
      <c r="M4" s="580"/>
      <c r="N4" s="581" t="s">
        <v>304</v>
      </c>
      <c r="O4" s="582"/>
      <c r="P4" s="583"/>
      <c r="Q4" s="588" t="s">
        <v>305</v>
      </c>
      <c r="R4" s="589"/>
      <c r="S4" s="589"/>
      <c r="T4" s="589"/>
      <c r="U4" s="589"/>
      <c r="V4" s="589"/>
      <c r="W4" s="589"/>
      <c r="X4" s="589"/>
      <c r="Y4" s="590"/>
      <c r="Z4" s="584" t="s">
        <v>306</v>
      </c>
      <c r="AA4" s="585"/>
      <c r="AB4" s="585"/>
      <c r="AC4" s="585"/>
      <c r="AD4" s="585"/>
      <c r="AE4" s="586"/>
      <c r="AF4" s="586"/>
      <c r="AG4" s="586"/>
      <c r="AH4" s="587"/>
    </row>
    <row r="5" spans="1:36" s="171" customFormat="1" x14ac:dyDescent="0.25">
      <c r="A5" s="351" t="s">
        <v>77</v>
      </c>
      <c r="B5" s="352" t="s">
        <v>81</v>
      </c>
      <c r="C5" s="352" t="s">
        <v>84</v>
      </c>
      <c r="D5" s="353" t="s">
        <v>88</v>
      </c>
      <c r="E5" s="352" t="s">
        <v>91</v>
      </c>
      <c r="F5" s="352" t="s">
        <v>94</v>
      </c>
      <c r="G5" s="352" t="s">
        <v>96</v>
      </c>
      <c r="H5" s="352" t="s">
        <v>99</v>
      </c>
      <c r="I5" s="352" t="s">
        <v>307</v>
      </c>
      <c r="J5" s="352" t="s">
        <v>102</v>
      </c>
      <c r="K5" s="354" t="s">
        <v>105</v>
      </c>
      <c r="L5" s="354" t="s">
        <v>108</v>
      </c>
      <c r="M5" s="481" t="s">
        <v>1</v>
      </c>
      <c r="N5" s="362" t="s">
        <v>114</v>
      </c>
      <c r="O5" s="356" t="s">
        <v>118</v>
      </c>
      <c r="P5" s="363" t="s">
        <v>121</v>
      </c>
      <c r="Q5" s="361" t="s">
        <v>125</v>
      </c>
      <c r="R5" s="357" t="s">
        <v>128</v>
      </c>
      <c r="S5" s="357" t="s">
        <v>132</v>
      </c>
      <c r="T5" s="358" t="s">
        <v>30</v>
      </c>
      <c r="U5" s="358" t="s">
        <v>135</v>
      </c>
      <c r="V5" s="358" t="s">
        <v>36</v>
      </c>
      <c r="W5" s="358" t="s">
        <v>138</v>
      </c>
      <c r="X5" s="358" t="s">
        <v>140</v>
      </c>
      <c r="Y5" s="359" t="s">
        <v>142</v>
      </c>
      <c r="Z5" s="360" t="s">
        <v>132</v>
      </c>
      <c r="AA5" s="358" t="s">
        <v>30</v>
      </c>
      <c r="AB5" s="358" t="s">
        <v>135</v>
      </c>
      <c r="AC5" s="358" t="s">
        <v>36</v>
      </c>
      <c r="AD5" s="358" t="s">
        <v>138</v>
      </c>
      <c r="AE5" s="358" t="s">
        <v>140</v>
      </c>
      <c r="AF5" s="352" t="s">
        <v>155</v>
      </c>
      <c r="AG5" s="352" t="s">
        <v>157</v>
      </c>
      <c r="AH5" s="355" t="s">
        <v>160</v>
      </c>
    </row>
    <row r="6" spans="1:36" x14ac:dyDescent="0.25">
      <c r="A6" t="s">
        <v>329</v>
      </c>
      <c r="B6" t="s">
        <v>640</v>
      </c>
      <c r="C6" t="s">
        <v>951</v>
      </c>
      <c r="D6" t="s">
        <v>264</v>
      </c>
      <c r="E6" t="s">
        <v>952</v>
      </c>
      <c r="F6" t="s">
        <v>308</v>
      </c>
      <c r="G6" t="s">
        <v>280</v>
      </c>
      <c r="H6" t="s">
        <v>953</v>
      </c>
      <c r="I6" t="s">
        <v>35</v>
      </c>
      <c r="J6" t="s">
        <v>952</v>
      </c>
      <c r="K6">
        <v>1</v>
      </c>
      <c r="L6">
        <v>63</v>
      </c>
      <c r="M6" t="s">
        <v>33</v>
      </c>
      <c r="N6">
        <v>1</v>
      </c>
      <c r="O6">
        <v>63</v>
      </c>
      <c r="P6">
        <v>1</v>
      </c>
      <c r="Q6" t="s">
        <v>48</v>
      </c>
      <c r="R6">
        <v>63</v>
      </c>
      <c r="S6">
        <v>0</v>
      </c>
      <c r="T6" t="s">
        <v>952</v>
      </c>
      <c r="U6" t="s">
        <v>952</v>
      </c>
      <c r="V6" t="s">
        <v>952</v>
      </c>
      <c r="W6" t="s">
        <v>952</v>
      </c>
      <c r="X6">
        <v>0</v>
      </c>
      <c r="Y6" t="s">
        <v>952</v>
      </c>
      <c r="Z6">
        <v>0</v>
      </c>
      <c r="AA6" t="s">
        <v>952</v>
      </c>
      <c r="AB6" t="s">
        <v>952</v>
      </c>
      <c r="AC6" t="s">
        <v>952</v>
      </c>
      <c r="AD6" t="s">
        <v>952</v>
      </c>
      <c r="AE6">
        <v>0</v>
      </c>
      <c r="AF6" t="s">
        <v>952</v>
      </c>
      <c r="AG6" t="s">
        <v>952</v>
      </c>
      <c r="AH6" t="s">
        <v>952</v>
      </c>
      <c r="AI6"/>
      <c r="AJ6"/>
    </row>
    <row r="7" spans="1:36" x14ac:dyDescent="0.25">
      <c r="A7" t="s">
        <v>327</v>
      </c>
      <c r="B7" t="s">
        <v>639</v>
      </c>
      <c r="C7" t="s">
        <v>951</v>
      </c>
      <c r="D7" t="s">
        <v>264</v>
      </c>
      <c r="E7" t="s">
        <v>952</v>
      </c>
      <c r="F7" t="s">
        <v>308</v>
      </c>
      <c r="G7" t="s">
        <v>280</v>
      </c>
      <c r="H7" t="s">
        <v>953</v>
      </c>
      <c r="I7" t="s">
        <v>35</v>
      </c>
      <c r="J7" t="s">
        <v>952</v>
      </c>
      <c r="K7">
        <v>1</v>
      </c>
      <c r="L7">
        <v>63</v>
      </c>
      <c r="M7" t="s">
        <v>33</v>
      </c>
      <c r="N7">
        <v>1</v>
      </c>
      <c r="O7">
        <v>63</v>
      </c>
      <c r="P7">
        <v>1</v>
      </c>
      <c r="Q7" t="s">
        <v>48</v>
      </c>
      <c r="R7">
        <v>63</v>
      </c>
      <c r="S7">
        <v>0</v>
      </c>
      <c r="T7" t="s">
        <v>952</v>
      </c>
      <c r="U7" t="s">
        <v>952</v>
      </c>
      <c r="V7" t="s">
        <v>952</v>
      </c>
      <c r="W7" t="s">
        <v>952</v>
      </c>
      <c r="X7">
        <v>0</v>
      </c>
      <c r="Y7" t="s">
        <v>952</v>
      </c>
      <c r="Z7">
        <v>0</v>
      </c>
      <c r="AA7" t="s">
        <v>952</v>
      </c>
      <c r="AB7" t="s">
        <v>952</v>
      </c>
      <c r="AC7" t="s">
        <v>952</v>
      </c>
      <c r="AD7" t="s">
        <v>952</v>
      </c>
      <c r="AE7">
        <v>0</v>
      </c>
      <c r="AF7" t="s">
        <v>952</v>
      </c>
      <c r="AG7" t="s">
        <v>952</v>
      </c>
      <c r="AH7" t="s">
        <v>952</v>
      </c>
      <c r="AI7"/>
      <c r="AJ7"/>
    </row>
    <row r="8" spans="1:36" x14ac:dyDescent="0.25">
      <c r="A8" t="s">
        <v>319</v>
      </c>
      <c r="B8" t="s">
        <v>622</v>
      </c>
      <c r="C8" t="s">
        <v>951</v>
      </c>
      <c r="D8" t="s">
        <v>264</v>
      </c>
      <c r="E8" t="s">
        <v>952</v>
      </c>
      <c r="F8" t="s">
        <v>308</v>
      </c>
      <c r="G8" t="s">
        <v>280</v>
      </c>
      <c r="H8" t="s">
        <v>953</v>
      </c>
      <c r="I8" t="s">
        <v>35</v>
      </c>
      <c r="J8" t="s">
        <v>952</v>
      </c>
      <c r="K8">
        <v>1</v>
      </c>
      <c r="L8">
        <v>63</v>
      </c>
      <c r="M8" t="s">
        <v>33</v>
      </c>
      <c r="N8">
        <v>1</v>
      </c>
      <c r="O8">
        <v>63</v>
      </c>
      <c r="P8">
        <v>1</v>
      </c>
      <c r="Q8" t="s">
        <v>48</v>
      </c>
      <c r="R8">
        <v>63</v>
      </c>
      <c r="S8">
        <v>0</v>
      </c>
      <c r="T8" t="s">
        <v>952</v>
      </c>
      <c r="U8" t="s">
        <v>952</v>
      </c>
      <c r="V8" t="s">
        <v>952</v>
      </c>
      <c r="W8" t="s">
        <v>952</v>
      </c>
      <c r="X8">
        <v>0</v>
      </c>
      <c r="Y8" t="s">
        <v>952</v>
      </c>
      <c r="Z8">
        <v>0</v>
      </c>
      <c r="AA8" t="s">
        <v>952</v>
      </c>
      <c r="AB8" t="s">
        <v>952</v>
      </c>
      <c r="AC8" t="s">
        <v>952</v>
      </c>
      <c r="AD8" t="s">
        <v>952</v>
      </c>
      <c r="AE8">
        <v>0</v>
      </c>
      <c r="AF8" t="s">
        <v>952</v>
      </c>
      <c r="AG8" t="s">
        <v>952</v>
      </c>
      <c r="AH8" t="s">
        <v>952</v>
      </c>
      <c r="AI8"/>
      <c r="AJ8"/>
    </row>
    <row r="9" spans="1:36" x14ac:dyDescent="0.25">
      <c r="A9" t="s">
        <v>631</v>
      </c>
      <c r="B9" t="s">
        <v>632</v>
      </c>
      <c r="C9" t="s">
        <v>951</v>
      </c>
      <c r="D9" t="s">
        <v>264</v>
      </c>
      <c r="E9" t="s">
        <v>952</v>
      </c>
      <c r="F9" t="s">
        <v>309</v>
      </c>
      <c r="G9" t="s">
        <v>280</v>
      </c>
      <c r="H9" t="s">
        <v>954</v>
      </c>
      <c r="I9" t="s">
        <v>35</v>
      </c>
      <c r="J9" t="s">
        <v>952</v>
      </c>
      <c r="K9">
        <v>1</v>
      </c>
      <c r="L9">
        <v>15</v>
      </c>
      <c r="M9" t="s">
        <v>33</v>
      </c>
      <c r="N9">
        <v>1</v>
      </c>
      <c r="O9">
        <v>15</v>
      </c>
      <c r="P9">
        <v>1</v>
      </c>
      <c r="Q9" t="s">
        <v>48</v>
      </c>
      <c r="R9">
        <v>24</v>
      </c>
      <c r="S9">
        <v>0</v>
      </c>
      <c r="T9" t="s">
        <v>952</v>
      </c>
      <c r="U9" t="s">
        <v>952</v>
      </c>
      <c r="V9" t="s">
        <v>952</v>
      </c>
      <c r="W9" t="s">
        <v>952</v>
      </c>
      <c r="X9">
        <v>0</v>
      </c>
      <c r="Y9" t="s">
        <v>952</v>
      </c>
      <c r="Z9">
        <v>0</v>
      </c>
      <c r="AA9" t="s">
        <v>952</v>
      </c>
      <c r="AB9" t="s">
        <v>952</v>
      </c>
      <c r="AC9" t="s">
        <v>952</v>
      </c>
      <c r="AD9" t="s">
        <v>952</v>
      </c>
      <c r="AE9">
        <v>0</v>
      </c>
      <c r="AF9" t="s">
        <v>952</v>
      </c>
      <c r="AG9" t="s">
        <v>952</v>
      </c>
      <c r="AH9" t="s">
        <v>952</v>
      </c>
      <c r="AI9"/>
      <c r="AJ9"/>
    </row>
    <row r="10" spans="1:36" x14ac:dyDescent="0.25">
      <c r="A10" t="s">
        <v>641</v>
      </c>
      <c r="B10" t="s">
        <v>642</v>
      </c>
      <c r="C10" t="s">
        <v>951</v>
      </c>
      <c r="D10" t="s">
        <v>264</v>
      </c>
      <c r="E10" t="s">
        <v>952</v>
      </c>
      <c r="F10" t="s">
        <v>309</v>
      </c>
      <c r="G10" t="s">
        <v>280</v>
      </c>
      <c r="H10" t="s">
        <v>954</v>
      </c>
      <c r="I10" t="s">
        <v>35</v>
      </c>
      <c r="J10" t="s">
        <v>952</v>
      </c>
      <c r="K10">
        <v>1</v>
      </c>
      <c r="L10">
        <v>15</v>
      </c>
      <c r="M10" t="s">
        <v>33</v>
      </c>
      <c r="N10">
        <v>1</v>
      </c>
      <c r="O10">
        <v>15</v>
      </c>
      <c r="P10">
        <v>1</v>
      </c>
      <c r="Q10" t="s">
        <v>48</v>
      </c>
      <c r="R10">
        <v>24</v>
      </c>
      <c r="S10">
        <v>0</v>
      </c>
      <c r="T10" t="s">
        <v>952</v>
      </c>
      <c r="U10" t="s">
        <v>952</v>
      </c>
      <c r="V10" t="s">
        <v>952</v>
      </c>
      <c r="W10" t="s">
        <v>952</v>
      </c>
      <c r="X10">
        <v>0</v>
      </c>
      <c r="Y10" t="s">
        <v>952</v>
      </c>
      <c r="Z10">
        <v>0</v>
      </c>
      <c r="AA10" t="s">
        <v>952</v>
      </c>
      <c r="AB10" t="s">
        <v>952</v>
      </c>
      <c r="AC10" t="s">
        <v>952</v>
      </c>
      <c r="AD10" t="s">
        <v>952</v>
      </c>
      <c r="AE10">
        <v>0</v>
      </c>
      <c r="AF10" t="s">
        <v>952</v>
      </c>
      <c r="AG10" t="s">
        <v>952</v>
      </c>
      <c r="AH10" t="s">
        <v>952</v>
      </c>
      <c r="AI10"/>
      <c r="AJ10"/>
    </row>
    <row r="11" spans="1:36" x14ac:dyDescent="0.25">
      <c r="A11" t="s">
        <v>762</v>
      </c>
      <c r="B11" t="s">
        <v>763</v>
      </c>
      <c r="C11" t="s">
        <v>951</v>
      </c>
      <c r="D11" t="s">
        <v>264</v>
      </c>
      <c r="E11" t="s">
        <v>952</v>
      </c>
      <c r="F11" t="s">
        <v>309</v>
      </c>
      <c r="G11" t="s">
        <v>280</v>
      </c>
      <c r="H11" t="s">
        <v>954</v>
      </c>
      <c r="I11" t="s">
        <v>35</v>
      </c>
      <c r="J11" t="s">
        <v>952</v>
      </c>
      <c r="K11">
        <v>1</v>
      </c>
      <c r="L11">
        <v>15</v>
      </c>
      <c r="M11" t="s">
        <v>33</v>
      </c>
      <c r="N11">
        <v>1</v>
      </c>
      <c r="O11">
        <v>15</v>
      </c>
      <c r="P11">
        <v>1</v>
      </c>
      <c r="Q11" t="s">
        <v>48</v>
      </c>
      <c r="R11">
        <v>24</v>
      </c>
      <c r="S11">
        <v>0</v>
      </c>
      <c r="T11" t="s">
        <v>952</v>
      </c>
      <c r="U11" t="s">
        <v>952</v>
      </c>
      <c r="V11" t="s">
        <v>952</v>
      </c>
      <c r="W11" t="s">
        <v>952</v>
      </c>
      <c r="X11">
        <v>0</v>
      </c>
      <c r="Y11" t="s">
        <v>952</v>
      </c>
      <c r="Z11">
        <v>0</v>
      </c>
      <c r="AA11" t="s">
        <v>952</v>
      </c>
      <c r="AB11" t="s">
        <v>952</v>
      </c>
      <c r="AC11" t="s">
        <v>952</v>
      </c>
      <c r="AD11" t="s">
        <v>952</v>
      </c>
      <c r="AE11">
        <v>0</v>
      </c>
      <c r="AF11" t="s">
        <v>952</v>
      </c>
      <c r="AG11" t="s">
        <v>952</v>
      </c>
      <c r="AH11" t="s">
        <v>952</v>
      </c>
      <c r="AI11"/>
      <c r="AJ11"/>
    </row>
    <row r="12" spans="1:36" x14ac:dyDescent="0.25">
      <c r="A12" t="s">
        <v>329</v>
      </c>
      <c r="B12" t="s">
        <v>640</v>
      </c>
      <c r="C12" t="s">
        <v>951</v>
      </c>
      <c r="D12" t="s">
        <v>264</v>
      </c>
      <c r="E12" t="s">
        <v>952</v>
      </c>
      <c r="F12" t="s">
        <v>310</v>
      </c>
      <c r="G12" t="s">
        <v>280</v>
      </c>
      <c r="H12" t="s">
        <v>955</v>
      </c>
      <c r="I12" t="s">
        <v>35</v>
      </c>
      <c r="J12" t="s">
        <v>952</v>
      </c>
      <c r="K12">
        <v>1</v>
      </c>
      <c r="L12">
        <v>6</v>
      </c>
      <c r="M12" t="s">
        <v>33</v>
      </c>
      <c r="N12">
        <v>1</v>
      </c>
      <c r="O12">
        <v>6</v>
      </c>
      <c r="P12">
        <v>1</v>
      </c>
      <c r="Q12" t="s">
        <v>48</v>
      </c>
      <c r="R12">
        <v>6</v>
      </c>
      <c r="S12">
        <v>0</v>
      </c>
      <c r="T12" t="s">
        <v>952</v>
      </c>
      <c r="U12" t="s">
        <v>952</v>
      </c>
      <c r="V12" t="s">
        <v>952</v>
      </c>
      <c r="W12" t="s">
        <v>952</v>
      </c>
      <c r="X12">
        <v>0</v>
      </c>
      <c r="Y12" t="s">
        <v>952</v>
      </c>
      <c r="Z12">
        <v>0</v>
      </c>
      <c r="AA12" t="s">
        <v>952</v>
      </c>
      <c r="AB12" t="s">
        <v>952</v>
      </c>
      <c r="AC12" t="s">
        <v>952</v>
      </c>
      <c r="AD12" t="s">
        <v>952</v>
      </c>
      <c r="AE12">
        <v>0</v>
      </c>
      <c r="AF12" t="s">
        <v>952</v>
      </c>
      <c r="AG12" t="s">
        <v>952</v>
      </c>
      <c r="AH12" t="s">
        <v>952</v>
      </c>
      <c r="AI12"/>
      <c r="AJ12"/>
    </row>
    <row r="13" spans="1:36" x14ac:dyDescent="0.25">
      <c r="A13" t="s">
        <v>327</v>
      </c>
      <c r="B13" t="s">
        <v>639</v>
      </c>
      <c r="C13" t="s">
        <v>951</v>
      </c>
      <c r="D13" t="s">
        <v>264</v>
      </c>
      <c r="E13" t="s">
        <v>952</v>
      </c>
      <c r="F13" t="s">
        <v>310</v>
      </c>
      <c r="G13" t="s">
        <v>280</v>
      </c>
      <c r="H13" t="s">
        <v>955</v>
      </c>
      <c r="I13" t="s">
        <v>35</v>
      </c>
      <c r="J13" t="s">
        <v>952</v>
      </c>
      <c r="K13">
        <v>1</v>
      </c>
      <c r="L13">
        <v>6</v>
      </c>
      <c r="M13" t="s">
        <v>33</v>
      </c>
      <c r="N13">
        <v>1</v>
      </c>
      <c r="O13">
        <v>6</v>
      </c>
      <c r="P13">
        <v>1</v>
      </c>
      <c r="Q13" t="s">
        <v>48</v>
      </c>
      <c r="R13">
        <v>6</v>
      </c>
      <c r="S13">
        <v>0</v>
      </c>
      <c r="T13" t="s">
        <v>952</v>
      </c>
      <c r="U13" t="s">
        <v>952</v>
      </c>
      <c r="V13" t="s">
        <v>952</v>
      </c>
      <c r="W13" t="s">
        <v>952</v>
      </c>
      <c r="X13">
        <v>0</v>
      </c>
      <c r="Y13" t="s">
        <v>952</v>
      </c>
      <c r="Z13">
        <v>0</v>
      </c>
      <c r="AA13" t="s">
        <v>952</v>
      </c>
      <c r="AB13" t="s">
        <v>952</v>
      </c>
      <c r="AC13" t="s">
        <v>952</v>
      </c>
      <c r="AD13" t="s">
        <v>952</v>
      </c>
      <c r="AE13">
        <v>0</v>
      </c>
      <c r="AF13" t="s">
        <v>952</v>
      </c>
      <c r="AG13" t="s">
        <v>952</v>
      </c>
      <c r="AH13" t="s">
        <v>952</v>
      </c>
      <c r="AI13"/>
      <c r="AJ13"/>
    </row>
    <row r="14" spans="1:36" x14ac:dyDescent="0.25">
      <c r="A14" t="s">
        <v>655</v>
      </c>
      <c r="B14" t="s">
        <v>656</v>
      </c>
      <c r="C14" t="s">
        <v>951</v>
      </c>
      <c r="D14" t="s">
        <v>264</v>
      </c>
      <c r="E14" t="s">
        <v>952</v>
      </c>
      <c r="F14" t="s">
        <v>310</v>
      </c>
      <c r="G14" t="s">
        <v>280</v>
      </c>
      <c r="H14" t="s">
        <v>955</v>
      </c>
      <c r="I14" t="s">
        <v>35</v>
      </c>
      <c r="J14" t="s">
        <v>952</v>
      </c>
      <c r="K14">
        <v>1</v>
      </c>
      <c r="L14">
        <v>6</v>
      </c>
      <c r="M14" t="s">
        <v>33</v>
      </c>
      <c r="N14">
        <v>1</v>
      </c>
      <c r="O14">
        <v>6</v>
      </c>
      <c r="P14">
        <v>1</v>
      </c>
      <c r="Q14" t="s">
        <v>48</v>
      </c>
      <c r="R14">
        <v>6</v>
      </c>
      <c r="S14">
        <v>0</v>
      </c>
      <c r="T14" t="s">
        <v>952</v>
      </c>
      <c r="U14" t="s">
        <v>952</v>
      </c>
      <c r="V14" t="s">
        <v>952</v>
      </c>
      <c r="W14" t="s">
        <v>952</v>
      </c>
      <c r="X14">
        <v>0</v>
      </c>
      <c r="Y14" t="s">
        <v>952</v>
      </c>
      <c r="Z14">
        <v>0</v>
      </c>
      <c r="AA14" t="s">
        <v>952</v>
      </c>
      <c r="AB14" t="s">
        <v>952</v>
      </c>
      <c r="AC14" t="s">
        <v>952</v>
      </c>
      <c r="AD14" t="s">
        <v>952</v>
      </c>
      <c r="AE14">
        <v>0</v>
      </c>
      <c r="AF14" t="s">
        <v>952</v>
      </c>
      <c r="AG14" t="s">
        <v>952</v>
      </c>
      <c r="AH14" t="s">
        <v>952</v>
      </c>
      <c r="AI14"/>
      <c r="AJ14"/>
    </row>
    <row r="15" spans="1:36" x14ac:dyDescent="0.25">
      <c r="A15" t="s">
        <v>644</v>
      </c>
      <c r="B15" t="s">
        <v>645</v>
      </c>
      <c r="C15" t="s">
        <v>951</v>
      </c>
      <c r="D15" t="s">
        <v>264</v>
      </c>
      <c r="E15" t="s">
        <v>952</v>
      </c>
      <c r="F15" t="s">
        <v>310</v>
      </c>
      <c r="G15" t="s">
        <v>280</v>
      </c>
      <c r="H15" t="s">
        <v>955</v>
      </c>
      <c r="I15" t="s">
        <v>35</v>
      </c>
      <c r="J15" t="s">
        <v>952</v>
      </c>
      <c r="K15">
        <v>1</v>
      </c>
      <c r="L15">
        <v>6</v>
      </c>
      <c r="M15" t="s">
        <v>33</v>
      </c>
      <c r="N15">
        <v>1</v>
      </c>
      <c r="O15">
        <v>6</v>
      </c>
      <c r="P15">
        <v>1</v>
      </c>
      <c r="Q15" t="s">
        <v>48</v>
      </c>
      <c r="R15">
        <v>6</v>
      </c>
      <c r="S15">
        <v>0</v>
      </c>
      <c r="T15" t="s">
        <v>952</v>
      </c>
      <c r="U15" t="s">
        <v>952</v>
      </c>
      <c r="V15" t="s">
        <v>952</v>
      </c>
      <c r="W15" t="s">
        <v>952</v>
      </c>
      <c r="X15">
        <v>0</v>
      </c>
      <c r="Y15" t="s">
        <v>952</v>
      </c>
      <c r="Z15">
        <v>0</v>
      </c>
      <c r="AA15" t="s">
        <v>952</v>
      </c>
      <c r="AB15" t="s">
        <v>952</v>
      </c>
      <c r="AC15" t="s">
        <v>952</v>
      </c>
      <c r="AD15" t="s">
        <v>952</v>
      </c>
      <c r="AE15">
        <v>0</v>
      </c>
      <c r="AF15" t="s">
        <v>952</v>
      </c>
      <c r="AG15" t="s">
        <v>952</v>
      </c>
      <c r="AH15" t="s">
        <v>952</v>
      </c>
      <c r="AI15"/>
      <c r="AJ15"/>
    </row>
    <row r="16" spans="1:36" x14ac:dyDescent="0.25">
      <c r="A16" t="s">
        <v>655</v>
      </c>
      <c r="B16" t="s">
        <v>656</v>
      </c>
      <c r="C16" t="s">
        <v>951</v>
      </c>
      <c r="D16" t="s">
        <v>264</v>
      </c>
      <c r="E16" t="s">
        <v>952</v>
      </c>
      <c r="F16" t="s">
        <v>311</v>
      </c>
      <c r="G16" t="s">
        <v>280</v>
      </c>
      <c r="H16" t="s">
        <v>956</v>
      </c>
      <c r="I16" t="s">
        <v>41</v>
      </c>
      <c r="J16" t="s">
        <v>952</v>
      </c>
      <c r="K16">
        <v>1</v>
      </c>
      <c r="L16">
        <v>10</v>
      </c>
      <c r="M16" t="s">
        <v>33</v>
      </c>
      <c r="N16">
        <v>1</v>
      </c>
      <c r="O16">
        <v>10</v>
      </c>
      <c r="P16">
        <v>1</v>
      </c>
      <c r="Q16" t="s">
        <v>48</v>
      </c>
      <c r="R16">
        <v>10</v>
      </c>
      <c r="S16">
        <v>0</v>
      </c>
      <c r="T16" t="s">
        <v>952</v>
      </c>
      <c r="U16" t="s">
        <v>952</v>
      </c>
      <c r="V16" t="s">
        <v>952</v>
      </c>
      <c r="W16" t="s">
        <v>952</v>
      </c>
      <c r="X16">
        <v>0</v>
      </c>
      <c r="Y16" t="s">
        <v>952</v>
      </c>
      <c r="Z16">
        <v>0</v>
      </c>
      <c r="AA16" t="s">
        <v>952</v>
      </c>
      <c r="AB16" t="s">
        <v>952</v>
      </c>
      <c r="AC16" t="s">
        <v>952</v>
      </c>
      <c r="AD16" t="s">
        <v>952</v>
      </c>
      <c r="AE16">
        <v>0</v>
      </c>
      <c r="AF16" t="s">
        <v>952</v>
      </c>
      <c r="AG16" t="s">
        <v>952</v>
      </c>
      <c r="AH16" t="s">
        <v>952</v>
      </c>
      <c r="AI16"/>
      <c r="AJ16"/>
    </row>
    <row r="17" spans="1:36" ht="20.25" customHeight="1" x14ac:dyDescent="0.25">
      <c r="A17" t="s">
        <v>644</v>
      </c>
      <c r="B17" t="s">
        <v>645</v>
      </c>
      <c r="C17" t="s">
        <v>951</v>
      </c>
      <c r="D17" t="s">
        <v>264</v>
      </c>
      <c r="E17" t="s">
        <v>952</v>
      </c>
      <c r="F17" t="s">
        <v>311</v>
      </c>
      <c r="G17" t="s">
        <v>280</v>
      </c>
      <c r="H17" t="s">
        <v>956</v>
      </c>
      <c r="I17" t="s">
        <v>41</v>
      </c>
      <c r="J17" t="s">
        <v>952</v>
      </c>
      <c r="K17">
        <v>1</v>
      </c>
      <c r="L17">
        <v>10</v>
      </c>
      <c r="M17" t="s">
        <v>33</v>
      </c>
      <c r="N17">
        <v>1</v>
      </c>
      <c r="O17">
        <v>10</v>
      </c>
      <c r="P17">
        <v>1</v>
      </c>
      <c r="Q17" t="s">
        <v>48</v>
      </c>
      <c r="R17">
        <v>10</v>
      </c>
      <c r="S17">
        <v>0</v>
      </c>
      <c r="T17" t="s">
        <v>952</v>
      </c>
      <c r="U17" t="s">
        <v>952</v>
      </c>
      <c r="V17" t="s">
        <v>952</v>
      </c>
      <c r="W17" t="s">
        <v>952</v>
      </c>
      <c r="X17">
        <v>0</v>
      </c>
      <c r="Y17" t="s">
        <v>952</v>
      </c>
      <c r="Z17">
        <v>0</v>
      </c>
      <c r="AA17" t="s">
        <v>952</v>
      </c>
      <c r="AB17" t="s">
        <v>952</v>
      </c>
      <c r="AC17" t="s">
        <v>952</v>
      </c>
      <c r="AD17" t="s">
        <v>952</v>
      </c>
      <c r="AE17">
        <v>0</v>
      </c>
      <c r="AF17" t="s">
        <v>952</v>
      </c>
      <c r="AG17" t="s">
        <v>952</v>
      </c>
      <c r="AH17" t="s">
        <v>952</v>
      </c>
      <c r="AI17"/>
      <c r="AJ17"/>
    </row>
    <row r="18" spans="1:36" x14ac:dyDescent="0.25">
      <c r="A18" t="s">
        <v>315</v>
      </c>
      <c r="B18" t="s">
        <v>648</v>
      </c>
      <c r="C18" t="s">
        <v>951</v>
      </c>
      <c r="D18" t="s">
        <v>264</v>
      </c>
      <c r="E18" t="s">
        <v>952</v>
      </c>
      <c r="F18" t="s">
        <v>312</v>
      </c>
      <c r="G18" t="s">
        <v>280</v>
      </c>
      <c r="H18" t="s">
        <v>957</v>
      </c>
      <c r="I18" t="s">
        <v>41</v>
      </c>
      <c r="J18" t="s">
        <v>952</v>
      </c>
      <c r="K18">
        <v>1</v>
      </c>
      <c r="L18">
        <v>11</v>
      </c>
      <c r="M18" t="s">
        <v>33</v>
      </c>
      <c r="N18">
        <v>1</v>
      </c>
      <c r="O18">
        <v>11</v>
      </c>
      <c r="P18">
        <v>1</v>
      </c>
      <c r="Q18" t="s">
        <v>48</v>
      </c>
      <c r="R18">
        <v>11</v>
      </c>
      <c r="S18">
        <v>0</v>
      </c>
      <c r="T18" t="s">
        <v>952</v>
      </c>
      <c r="U18" t="s">
        <v>952</v>
      </c>
      <c r="V18" t="s">
        <v>952</v>
      </c>
      <c r="W18" t="s">
        <v>952</v>
      </c>
      <c r="X18">
        <v>0</v>
      </c>
      <c r="Y18" t="s">
        <v>952</v>
      </c>
      <c r="Z18">
        <v>0</v>
      </c>
      <c r="AA18" t="s">
        <v>952</v>
      </c>
      <c r="AB18" t="s">
        <v>952</v>
      </c>
      <c r="AC18" t="s">
        <v>952</v>
      </c>
      <c r="AD18" t="s">
        <v>952</v>
      </c>
      <c r="AE18">
        <v>0</v>
      </c>
      <c r="AF18" t="s">
        <v>952</v>
      </c>
      <c r="AG18" t="s">
        <v>952</v>
      </c>
      <c r="AH18" t="s">
        <v>952</v>
      </c>
      <c r="AI18"/>
      <c r="AJ18"/>
    </row>
    <row r="19" spans="1:36" x14ac:dyDescent="0.25">
      <c r="A19" t="s">
        <v>641</v>
      </c>
      <c r="B19" t="s">
        <v>642</v>
      </c>
      <c r="C19" t="s">
        <v>951</v>
      </c>
      <c r="D19" t="s">
        <v>264</v>
      </c>
      <c r="E19" t="s">
        <v>952</v>
      </c>
      <c r="F19" t="s">
        <v>312</v>
      </c>
      <c r="G19" t="s">
        <v>280</v>
      </c>
      <c r="H19" t="s">
        <v>957</v>
      </c>
      <c r="I19" t="s">
        <v>41</v>
      </c>
      <c r="J19" t="s">
        <v>952</v>
      </c>
      <c r="K19">
        <v>1</v>
      </c>
      <c r="L19">
        <v>11</v>
      </c>
      <c r="M19" t="s">
        <v>33</v>
      </c>
      <c r="N19">
        <v>1</v>
      </c>
      <c r="O19">
        <v>11</v>
      </c>
      <c r="P19">
        <v>1</v>
      </c>
      <c r="Q19" t="s">
        <v>48</v>
      </c>
      <c r="R19">
        <v>11</v>
      </c>
      <c r="S19">
        <v>0</v>
      </c>
      <c r="T19" t="s">
        <v>952</v>
      </c>
      <c r="U19" t="s">
        <v>952</v>
      </c>
      <c r="V19" t="s">
        <v>952</v>
      </c>
      <c r="W19" t="s">
        <v>952</v>
      </c>
      <c r="X19">
        <v>0</v>
      </c>
      <c r="Y19" t="s">
        <v>952</v>
      </c>
      <c r="Z19">
        <v>0</v>
      </c>
      <c r="AA19" t="s">
        <v>952</v>
      </c>
      <c r="AB19" t="s">
        <v>952</v>
      </c>
      <c r="AC19" t="s">
        <v>952</v>
      </c>
      <c r="AD19" t="s">
        <v>952</v>
      </c>
      <c r="AE19">
        <v>0</v>
      </c>
      <c r="AF19" t="s">
        <v>952</v>
      </c>
      <c r="AG19" t="s">
        <v>952</v>
      </c>
      <c r="AH19" t="s">
        <v>952</v>
      </c>
      <c r="AI19"/>
      <c r="AJ19"/>
    </row>
    <row r="20" spans="1:36" x14ac:dyDescent="0.25">
      <c r="A20" t="s">
        <v>644</v>
      </c>
      <c r="B20" t="s">
        <v>645</v>
      </c>
      <c r="C20" t="s">
        <v>951</v>
      </c>
      <c r="D20" t="s">
        <v>264</v>
      </c>
      <c r="E20" t="s">
        <v>952</v>
      </c>
      <c r="F20" t="s">
        <v>314</v>
      </c>
      <c r="G20" t="s">
        <v>280</v>
      </c>
      <c r="H20" t="s">
        <v>958</v>
      </c>
      <c r="I20" t="s">
        <v>41</v>
      </c>
      <c r="J20" t="s">
        <v>952</v>
      </c>
      <c r="K20">
        <v>1</v>
      </c>
      <c r="L20">
        <v>2</v>
      </c>
      <c r="M20" t="s">
        <v>33</v>
      </c>
      <c r="N20">
        <v>1</v>
      </c>
      <c r="O20">
        <v>2</v>
      </c>
      <c r="P20">
        <v>1</v>
      </c>
      <c r="Q20" t="s">
        <v>48</v>
      </c>
      <c r="R20">
        <v>2</v>
      </c>
      <c r="S20">
        <v>0</v>
      </c>
      <c r="T20" t="s">
        <v>952</v>
      </c>
      <c r="U20" t="s">
        <v>952</v>
      </c>
      <c r="V20" t="s">
        <v>952</v>
      </c>
      <c r="W20" t="s">
        <v>952</v>
      </c>
      <c r="X20">
        <v>0</v>
      </c>
      <c r="Y20" t="s">
        <v>952</v>
      </c>
      <c r="Z20">
        <v>0</v>
      </c>
      <c r="AA20" t="s">
        <v>952</v>
      </c>
      <c r="AB20" t="s">
        <v>952</v>
      </c>
      <c r="AC20" t="s">
        <v>952</v>
      </c>
      <c r="AD20" t="s">
        <v>952</v>
      </c>
      <c r="AE20">
        <v>0</v>
      </c>
      <c r="AF20" t="s">
        <v>952</v>
      </c>
      <c r="AG20" t="s">
        <v>952</v>
      </c>
      <c r="AH20" t="s">
        <v>952</v>
      </c>
      <c r="AI20"/>
      <c r="AJ20"/>
    </row>
    <row r="21" spans="1:36" x14ac:dyDescent="0.25">
      <c r="A21" t="s">
        <v>959</v>
      </c>
      <c r="B21" t="s">
        <v>313</v>
      </c>
      <c r="C21" t="s">
        <v>951</v>
      </c>
      <c r="D21" t="s">
        <v>264</v>
      </c>
      <c r="E21" t="s">
        <v>952</v>
      </c>
      <c r="F21" t="s">
        <v>314</v>
      </c>
      <c r="G21" t="s">
        <v>952</v>
      </c>
      <c r="H21" t="s">
        <v>960</v>
      </c>
      <c r="I21" t="s">
        <v>41</v>
      </c>
      <c r="J21" t="s">
        <v>952</v>
      </c>
      <c r="K21">
        <v>1</v>
      </c>
      <c r="L21">
        <v>2</v>
      </c>
      <c r="M21" t="s">
        <v>33</v>
      </c>
      <c r="N21">
        <v>1</v>
      </c>
      <c r="O21">
        <v>2</v>
      </c>
      <c r="P21">
        <v>1</v>
      </c>
      <c r="Q21" t="s">
        <v>48</v>
      </c>
      <c r="R21">
        <v>2</v>
      </c>
      <c r="S21">
        <v>0</v>
      </c>
      <c r="T21" t="s">
        <v>952</v>
      </c>
      <c r="U21" t="s">
        <v>952</v>
      </c>
      <c r="V21" t="s">
        <v>952</v>
      </c>
      <c r="W21" t="s">
        <v>952</v>
      </c>
      <c r="X21">
        <v>0</v>
      </c>
      <c r="Y21" t="s">
        <v>952</v>
      </c>
      <c r="Z21">
        <v>0</v>
      </c>
      <c r="AA21" t="s">
        <v>952</v>
      </c>
      <c r="AB21" t="s">
        <v>952</v>
      </c>
      <c r="AC21" t="s">
        <v>952</v>
      </c>
      <c r="AD21" t="s">
        <v>952</v>
      </c>
      <c r="AE21">
        <v>0</v>
      </c>
      <c r="AF21" t="s">
        <v>952</v>
      </c>
      <c r="AG21" t="s">
        <v>952</v>
      </c>
      <c r="AH21" t="s">
        <v>952</v>
      </c>
      <c r="AI21"/>
      <c r="AJ21"/>
    </row>
    <row r="22" spans="1:36" x14ac:dyDescent="0.25">
      <c r="A22" t="s">
        <v>646</v>
      </c>
      <c r="B22" t="s">
        <v>647</v>
      </c>
      <c r="C22" t="s">
        <v>951</v>
      </c>
      <c r="D22" t="s">
        <v>264</v>
      </c>
      <c r="E22" t="s">
        <v>952</v>
      </c>
      <c r="F22" t="s">
        <v>314</v>
      </c>
      <c r="G22" t="s">
        <v>280</v>
      </c>
      <c r="H22" t="s">
        <v>958</v>
      </c>
      <c r="I22" t="s">
        <v>41</v>
      </c>
      <c r="J22" t="s">
        <v>952</v>
      </c>
      <c r="K22">
        <v>1</v>
      </c>
      <c r="L22">
        <v>2</v>
      </c>
      <c r="M22" t="s">
        <v>33</v>
      </c>
      <c r="N22">
        <v>1</v>
      </c>
      <c r="O22">
        <v>2</v>
      </c>
      <c r="P22">
        <v>1</v>
      </c>
      <c r="Q22" t="s">
        <v>48</v>
      </c>
      <c r="R22">
        <v>2</v>
      </c>
      <c r="S22">
        <v>0</v>
      </c>
      <c r="T22" t="s">
        <v>952</v>
      </c>
      <c r="U22" t="s">
        <v>952</v>
      </c>
      <c r="V22" t="s">
        <v>952</v>
      </c>
      <c r="W22" t="s">
        <v>952</v>
      </c>
      <c r="X22">
        <v>0</v>
      </c>
      <c r="Y22" t="s">
        <v>952</v>
      </c>
      <c r="Z22">
        <v>0</v>
      </c>
      <c r="AA22" t="s">
        <v>952</v>
      </c>
      <c r="AB22" t="s">
        <v>952</v>
      </c>
      <c r="AC22" t="s">
        <v>952</v>
      </c>
      <c r="AD22" t="s">
        <v>952</v>
      </c>
      <c r="AE22">
        <v>0</v>
      </c>
      <c r="AF22" t="s">
        <v>952</v>
      </c>
      <c r="AG22" t="s">
        <v>952</v>
      </c>
      <c r="AH22" t="s">
        <v>952</v>
      </c>
      <c r="AI22"/>
      <c r="AJ22"/>
    </row>
    <row r="23" spans="1:36" x14ac:dyDescent="0.25">
      <c r="A23" t="s">
        <v>315</v>
      </c>
      <c r="B23" t="s">
        <v>648</v>
      </c>
      <c r="C23" t="s">
        <v>951</v>
      </c>
      <c r="D23" t="s">
        <v>264</v>
      </c>
      <c r="E23" t="s">
        <v>952</v>
      </c>
      <c r="F23" t="s">
        <v>316</v>
      </c>
      <c r="G23" t="s">
        <v>280</v>
      </c>
      <c r="H23" t="s">
        <v>961</v>
      </c>
      <c r="I23" t="s">
        <v>41</v>
      </c>
      <c r="J23" t="s">
        <v>952</v>
      </c>
      <c r="K23">
        <v>1</v>
      </c>
      <c r="L23">
        <v>1</v>
      </c>
      <c r="M23" t="s">
        <v>33</v>
      </c>
      <c r="N23">
        <v>1</v>
      </c>
      <c r="O23">
        <v>1</v>
      </c>
      <c r="P23">
        <v>1</v>
      </c>
      <c r="Q23" t="s">
        <v>48</v>
      </c>
      <c r="R23">
        <v>1</v>
      </c>
      <c r="S23">
        <v>0</v>
      </c>
      <c r="T23" t="s">
        <v>952</v>
      </c>
      <c r="U23" t="s">
        <v>952</v>
      </c>
      <c r="V23" t="s">
        <v>952</v>
      </c>
      <c r="W23" t="s">
        <v>952</v>
      </c>
      <c r="X23">
        <v>0</v>
      </c>
      <c r="Y23" t="s">
        <v>952</v>
      </c>
      <c r="Z23">
        <v>0</v>
      </c>
      <c r="AA23" t="s">
        <v>952</v>
      </c>
      <c r="AB23" t="s">
        <v>952</v>
      </c>
      <c r="AC23" t="s">
        <v>952</v>
      </c>
      <c r="AD23" t="s">
        <v>952</v>
      </c>
      <c r="AE23">
        <v>0</v>
      </c>
      <c r="AF23" t="s">
        <v>952</v>
      </c>
      <c r="AG23" t="s">
        <v>649</v>
      </c>
      <c r="AH23" t="s">
        <v>952</v>
      </c>
      <c r="AI23"/>
      <c r="AJ23"/>
    </row>
    <row r="24" spans="1:36" x14ac:dyDescent="0.25">
      <c r="A24" t="s">
        <v>317</v>
      </c>
      <c r="B24" t="s">
        <v>657</v>
      </c>
      <c r="C24" t="s">
        <v>951</v>
      </c>
      <c r="D24" t="s">
        <v>264</v>
      </c>
      <c r="E24" t="s">
        <v>952</v>
      </c>
      <c r="F24" t="s">
        <v>318</v>
      </c>
      <c r="G24" t="s">
        <v>280</v>
      </c>
      <c r="H24" t="s">
        <v>962</v>
      </c>
      <c r="I24" t="s">
        <v>41</v>
      </c>
      <c r="J24" t="s">
        <v>952</v>
      </c>
      <c r="K24">
        <v>1</v>
      </c>
      <c r="L24">
        <v>4</v>
      </c>
      <c r="M24" t="s">
        <v>33</v>
      </c>
      <c r="N24">
        <v>1</v>
      </c>
      <c r="O24">
        <v>4</v>
      </c>
      <c r="P24">
        <v>1</v>
      </c>
      <c r="Q24" t="s">
        <v>48</v>
      </c>
      <c r="R24">
        <v>4</v>
      </c>
      <c r="S24">
        <v>0</v>
      </c>
      <c r="T24" t="s">
        <v>952</v>
      </c>
      <c r="U24" t="s">
        <v>952</v>
      </c>
      <c r="V24" t="s">
        <v>952</v>
      </c>
      <c r="W24" t="s">
        <v>952</v>
      </c>
      <c r="X24">
        <v>0</v>
      </c>
      <c r="Y24" t="s">
        <v>952</v>
      </c>
      <c r="Z24">
        <v>0</v>
      </c>
      <c r="AA24" t="s">
        <v>952</v>
      </c>
      <c r="AB24" t="s">
        <v>952</v>
      </c>
      <c r="AC24" t="s">
        <v>952</v>
      </c>
      <c r="AD24" t="s">
        <v>952</v>
      </c>
      <c r="AE24">
        <v>0</v>
      </c>
      <c r="AF24" t="s">
        <v>952</v>
      </c>
      <c r="AG24" t="s">
        <v>952</v>
      </c>
      <c r="AH24" t="s">
        <v>952</v>
      </c>
      <c r="AI24"/>
      <c r="AJ24"/>
    </row>
    <row r="25" spans="1:36" x14ac:dyDescent="0.25">
      <c r="A25" t="s">
        <v>319</v>
      </c>
      <c r="B25" t="s">
        <v>622</v>
      </c>
      <c r="C25" t="s">
        <v>951</v>
      </c>
      <c r="D25" t="s">
        <v>264</v>
      </c>
      <c r="E25" t="s">
        <v>952</v>
      </c>
      <c r="F25" t="s">
        <v>320</v>
      </c>
      <c r="G25" t="s">
        <v>280</v>
      </c>
      <c r="H25" t="s">
        <v>963</v>
      </c>
      <c r="I25" t="s">
        <v>41</v>
      </c>
      <c r="J25" t="s">
        <v>952</v>
      </c>
      <c r="K25">
        <v>1</v>
      </c>
      <c r="L25">
        <v>9</v>
      </c>
      <c r="M25" t="s">
        <v>33</v>
      </c>
      <c r="N25">
        <v>1</v>
      </c>
      <c r="O25">
        <v>9</v>
      </c>
      <c r="P25">
        <v>1</v>
      </c>
      <c r="Q25" t="s">
        <v>48</v>
      </c>
      <c r="R25">
        <v>9</v>
      </c>
      <c r="S25">
        <v>0</v>
      </c>
      <c r="T25" t="s">
        <v>952</v>
      </c>
      <c r="U25" t="s">
        <v>952</v>
      </c>
      <c r="V25" t="s">
        <v>952</v>
      </c>
      <c r="W25" t="s">
        <v>952</v>
      </c>
      <c r="X25">
        <v>0</v>
      </c>
      <c r="Y25" t="s">
        <v>952</v>
      </c>
      <c r="Z25">
        <v>0</v>
      </c>
      <c r="AA25" t="s">
        <v>952</v>
      </c>
      <c r="AB25" t="s">
        <v>952</v>
      </c>
      <c r="AC25" t="s">
        <v>952</v>
      </c>
      <c r="AD25" t="s">
        <v>952</v>
      </c>
      <c r="AE25">
        <v>0</v>
      </c>
      <c r="AF25" t="s">
        <v>952</v>
      </c>
      <c r="AG25" t="s">
        <v>608</v>
      </c>
      <c r="AH25" t="s">
        <v>952</v>
      </c>
      <c r="AI25"/>
      <c r="AJ25"/>
    </row>
    <row r="26" spans="1:36" x14ac:dyDescent="0.25">
      <c r="A26" t="s">
        <v>319</v>
      </c>
      <c r="B26" t="s">
        <v>622</v>
      </c>
      <c r="C26" t="s">
        <v>951</v>
      </c>
      <c r="D26" t="s">
        <v>264</v>
      </c>
      <c r="E26" t="s">
        <v>952</v>
      </c>
      <c r="F26" t="s">
        <v>321</v>
      </c>
      <c r="G26" t="s">
        <v>280</v>
      </c>
      <c r="H26" t="s">
        <v>964</v>
      </c>
      <c r="I26" t="s">
        <v>41</v>
      </c>
      <c r="J26" t="s">
        <v>952</v>
      </c>
      <c r="K26">
        <v>1</v>
      </c>
      <c r="L26">
        <v>3</v>
      </c>
      <c r="M26" t="s">
        <v>33</v>
      </c>
      <c r="N26">
        <v>1</v>
      </c>
      <c r="O26">
        <v>3</v>
      </c>
      <c r="P26">
        <v>1</v>
      </c>
      <c r="Q26" t="s">
        <v>48</v>
      </c>
      <c r="R26">
        <v>3</v>
      </c>
      <c r="S26">
        <v>0</v>
      </c>
      <c r="T26" t="s">
        <v>952</v>
      </c>
      <c r="U26" t="s">
        <v>952</v>
      </c>
      <c r="V26" t="s">
        <v>952</v>
      </c>
      <c r="W26" t="s">
        <v>952</v>
      </c>
      <c r="X26">
        <v>0</v>
      </c>
      <c r="Y26" t="s">
        <v>952</v>
      </c>
      <c r="Z26">
        <v>0</v>
      </c>
      <c r="AA26" t="s">
        <v>952</v>
      </c>
      <c r="AB26" t="s">
        <v>952</v>
      </c>
      <c r="AC26" t="s">
        <v>952</v>
      </c>
      <c r="AD26" t="s">
        <v>952</v>
      </c>
      <c r="AE26">
        <v>0</v>
      </c>
      <c r="AF26" t="s">
        <v>952</v>
      </c>
      <c r="AG26" t="s">
        <v>608</v>
      </c>
      <c r="AH26" t="s">
        <v>952</v>
      </c>
      <c r="AI26"/>
      <c r="AJ26"/>
    </row>
    <row r="27" spans="1:36" x14ac:dyDescent="0.25">
      <c r="A27" t="s">
        <v>652</v>
      </c>
      <c r="B27" t="s">
        <v>653</v>
      </c>
      <c r="C27" t="s">
        <v>951</v>
      </c>
      <c r="D27" t="s">
        <v>264</v>
      </c>
      <c r="E27" t="s">
        <v>952</v>
      </c>
      <c r="F27" t="s">
        <v>322</v>
      </c>
      <c r="G27" t="s">
        <v>280</v>
      </c>
      <c r="H27" t="s">
        <v>965</v>
      </c>
      <c r="I27" t="s">
        <v>41</v>
      </c>
      <c r="J27" t="s">
        <v>952</v>
      </c>
      <c r="K27">
        <v>1</v>
      </c>
      <c r="L27">
        <v>231</v>
      </c>
      <c r="M27" t="s">
        <v>33</v>
      </c>
      <c r="N27">
        <v>1</v>
      </c>
      <c r="O27">
        <v>231</v>
      </c>
      <c r="P27">
        <v>1</v>
      </c>
      <c r="Q27" t="s">
        <v>48</v>
      </c>
      <c r="R27">
        <v>231</v>
      </c>
      <c r="S27">
        <v>0</v>
      </c>
      <c r="T27" t="s">
        <v>952</v>
      </c>
      <c r="U27" t="s">
        <v>952</v>
      </c>
      <c r="V27" t="s">
        <v>952</v>
      </c>
      <c r="W27" t="s">
        <v>952</v>
      </c>
      <c r="X27">
        <v>0</v>
      </c>
      <c r="Y27" t="s">
        <v>952</v>
      </c>
      <c r="Z27">
        <v>0</v>
      </c>
      <c r="AA27" t="s">
        <v>952</v>
      </c>
      <c r="AB27" t="s">
        <v>952</v>
      </c>
      <c r="AC27" t="s">
        <v>952</v>
      </c>
      <c r="AD27" t="s">
        <v>952</v>
      </c>
      <c r="AE27">
        <v>0</v>
      </c>
      <c r="AF27" t="s">
        <v>952</v>
      </c>
      <c r="AG27" t="s">
        <v>952</v>
      </c>
      <c r="AH27" t="s">
        <v>952</v>
      </c>
      <c r="AI27"/>
      <c r="AJ27"/>
    </row>
    <row r="28" spans="1:36" x14ac:dyDescent="0.25">
      <c r="A28" t="s">
        <v>650</v>
      </c>
      <c r="B28" t="s">
        <v>651</v>
      </c>
      <c r="C28" t="s">
        <v>951</v>
      </c>
      <c r="D28" t="s">
        <v>264</v>
      </c>
      <c r="E28" t="s">
        <v>952</v>
      </c>
      <c r="F28" t="s">
        <v>322</v>
      </c>
      <c r="G28" t="s">
        <v>280</v>
      </c>
      <c r="H28" t="s">
        <v>965</v>
      </c>
      <c r="I28" t="s">
        <v>41</v>
      </c>
      <c r="J28" t="s">
        <v>952</v>
      </c>
      <c r="K28">
        <v>1</v>
      </c>
      <c r="L28">
        <v>231</v>
      </c>
      <c r="M28" t="s">
        <v>33</v>
      </c>
      <c r="N28">
        <v>1</v>
      </c>
      <c r="O28">
        <v>231</v>
      </c>
      <c r="P28">
        <v>1</v>
      </c>
      <c r="Q28" t="s">
        <v>48</v>
      </c>
      <c r="R28">
        <v>231</v>
      </c>
      <c r="S28">
        <v>0</v>
      </c>
      <c r="T28" t="s">
        <v>952</v>
      </c>
      <c r="U28" t="s">
        <v>952</v>
      </c>
      <c r="V28" t="s">
        <v>952</v>
      </c>
      <c r="W28" t="s">
        <v>952</v>
      </c>
      <c r="X28">
        <v>0</v>
      </c>
      <c r="Y28" t="s">
        <v>952</v>
      </c>
      <c r="Z28">
        <v>0</v>
      </c>
      <c r="AA28" t="s">
        <v>952</v>
      </c>
      <c r="AB28" t="s">
        <v>952</v>
      </c>
      <c r="AC28" t="s">
        <v>952</v>
      </c>
      <c r="AD28" t="s">
        <v>952</v>
      </c>
      <c r="AE28">
        <v>0</v>
      </c>
      <c r="AF28" t="s">
        <v>952</v>
      </c>
      <c r="AG28" t="s">
        <v>952</v>
      </c>
      <c r="AH28" t="s">
        <v>952</v>
      </c>
      <c r="AI28"/>
      <c r="AJ28"/>
    </row>
    <row r="29" spans="1:36" x14ac:dyDescent="0.25">
      <c r="A29" t="s">
        <v>329</v>
      </c>
      <c r="B29" t="s">
        <v>640</v>
      </c>
      <c r="C29" t="s">
        <v>951</v>
      </c>
      <c r="D29" t="s">
        <v>264</v>
      </c>
      <c r="E29" t="s">
        <v>952</v>
      </c>
      <c r="F29" t="s">
        <v>323</v>
      </c>
      <c r="G29" t="s">
        <v>280</v>
      </c>
      <c r="H29" t="s">
        <v>966</v>
      </c>
      <c r="I29" t="s">
        <v>41</v>
      </c>
      <c r="J29" t="s">
        <v>952</v>
      </c>
      <c r="K29">
        <v>1</v>
      </c>
      <c r="L29">
        <v>3</v>
      </c>
      <c r="M29" t="s">
        <v>33</v>
      </c>
      <c r="N29">
        <v>1</v>
      </c>
      <c r="O29">
        <v>3</v>
      </c>
      <c r="P29">
        <v>1</v>
      </c>
      <c r="Q29" t="s">
        <v>48</v>
      </c>
      <c r="R29">
        <v>3</v>
      </c>
      <c r="S29">
        <v>0</v>
      </c>
      <c r="T29" t="s">
        <v>952</v>
      </c>
      <c r="U29" t="s">
        <v>952</v>
      </c>
      <c r="V29" t="s">
        <v>952</v>
      </c>
      <c r="W29" t="s">
        <v>952</v>
      </c>
      <c r="X29">
        <v>0</v>
      </c>
      <c r="Y29" t="s">
        <v>952</v>
      </c>
      <c r="Z29">
        <v>0</v>
      </c>
      <c r="AA29" t="s">
        <v>952</v>
      </c>
      <c r="AB29" t="s">
        <v>952</v>
      </c>
      <c r="AC29" t="s">
        <v>952</v>
      </c>
      <c r="AD29" t="s">
        <v>952</v>
      </c>
      <c r="AE29">
        <v>0</v>
      </c>
      <c r="AF29" t="s">
        <v>952</v>
      </c>
      <c r="AG29" t="s">
        <v>952</v>
      </c>
      <c r="AH29" t="s">
        <v>952</v>
      </c>
      <c r="AI29"/>
      <c r="AJ29"/>
    </row>
    <row r="30" spans="1:36" x14ac:dyDescent="0.25">
      <c r="A30" t="s">
        <v>327</v>
      </c>
      <c r="B30" t="s">
        <v>639</v>
      </c>
      <c r="C30" t="s">
        <v>951</v>
      </c>
      <c r="D30" t="s">
        <v>264</v>
      </c>
      <c r="E30" t="s">
        <v>952</v>
      </c>
      <c r="F30" t="s">
        <v>323</v>
      </c>
      <c r="G30" t="s">
        <v>280</v>
      </c>
      <c r="H30" t="s">
        <v>966</v>
      </c>
      <c r="I30" t="s">
        <v>41</v>
      </c>
      <c r="J30" t="s">
        <v>952</v>
      </c>
      <c r="K30">
        <v>1</v>
      </c>
      <c r="L30">
        <v>3</v>
      </c>
      <c r="M30" t="s">
        <v>33</v>
      </c>
      <c r="N30">
        <v>1</v>
      </c>
      <c r="O30">
        <v>3</v>
      </c>
      <c r="P30">
        <v>1</v>
      </c>
      <c r="Q30" t="s">
        <v>48</v>
      </c>
      <c r="R30">
        <v>3</v>
      </c>
      <c r="S30">
        <v>0</v>
      </c>
      <c r="T30" t="s">
        <v>952</v>
      </c>
      <c r="U30" t="s">
        <v>952</v>
      </c>
      <c r="V30" t="s">
        <v>952</v>
      </c>
      <c r="W30" t="s">
        <v>952</v>
      </c>
      <c r="X30">
        <v>0</v>
      </c>
      <c r="Y30" t="s">
        <v>952</v>
      </c>
      <c r="Z30">
        <v>0</v>
      </c>
      <c r="AA30" t="s">
        <v>952</v>
      </c>
      <c r="AB30" t="s">
        <v>952</v>
      </c>
      <c r="AC30" t="s">
        <v>952</v>
      </c>
      <c r="AD30" t="s">
        <v>952</v>
      </c>
      <c r="AE30">
        <v>0</v>
      </c>
      <c r="AF30" t="s">
        <v>952</v>
      </c>
      <c r="AG30" t="s">
        <v>952</v>
      </c>
      <c r="AH30" t="s">
        <v>952</v>
      </c>
      <c r="AI30"/>
      <c r="AJ30"/>
    </row>
    <row r="31" spans="1:36" x14ac:dyDescent="0.25">
      <c r="A31" t="s">
        <v>655</v>
      </c>
      <c r="B31" t="s">
        <v>656</v>
      </c>
      <c r="C31" t="s">
        <v>951</v>
      </c>
      <c r="D31" t="s">
        <v>264</v>
      </c>
      <c r="E31" t="s">
        <v>952</v>
      </c>
      <c r="F31" t="s">
        <v>323</v>
      </c>
      <c r="G31" t="s">
        <v>280</v>
      </c>
      <c r="H31" t="s">
        <v>966</v>
      </c>
      <c r="I31" t="s">
        <v>41</v>
      </c>
      <c r="J31" t="s">
        <v>952</v>
      </c>
      <c r="K31">
        <v>1</v>
      </c>
      <c r="L31">
        <v>3</v>
      </c>
      <c r="M31" t="s">
        <v>33</v>
      </c>
      <c r="N31">
        <v>1</v>
      </c>
      <c r="O31">
        <v>3</v>
      </c>
      <c r="P31">
        <v>1</v>
      </c>
      <c r="Q31" t="s">
        <v>48</v>
      </c>
      <c r="R31">
        <v>3</v>
      </c>
      <c r="S31">
        <v>0</v>
      </c>
      <c r="T31" t="s">
        <v>952</v>
      </c>
      <c r="U31" t="s">
        <v>952</v>
      </c>
      <c r="V31" t="s">
        <v>952</v>
      </c>
      <c r="W31" t="s">
        <v>952</v>
      </c>
      <c r="X31">
        <v>0</v>
      </c>
      <c r="Y31" t="s">
        <v>952</v>
      </c>
      <c r="Z31">
        <v>0</v>
      </c>
      <c r="AA31" t="s">
        <v>952</v>
      </c>
      <c r="AB31" t="s">
        <v>952</v>
      </c>
      <c r="AC31" t="s">
        <v>952</v>
      </c>
      <c r="AD31" t="s">
        <v>952</v>
      </c>
      <c r="AE31">
        <v>0</v>
      </c>
      <c r="AF31" t="s">
        <v>952</v>
      </c>
      <c r="AG31" t="s">
        <v>952</v>
      </c>
      <c r="AH31" t="s">
        <v>952</v>
      </c>
      <c r="AI31"/>
      <c r="AJ31"/>
    </row>
    <row r="32" spans="1:36" x14ac:dyDescent="0.25">
      <c r="A32" t="s">
        <v>644</v>
      </c>
      <c r="B32" t="s">
        <v>645</v>
      </c>
      <c r="C32" t="s">
        <v>951</v>
      </c>
      <c r="D32" t="s">
        <v>264</v>
      </c>
      <c r="E32" t="s">
        <v>952</v>
      </c>
      <c r="F32" t="s">
        <v>323</v>
      </c>
      <c r="G32" t="s">
        <v>280</v>
      </c>
      <c r="H32" t="s">
        <v>966</v>
      </c>
      <c r="I32" t="s">
        <v>41</v>
      </c>
      <c r="J32" t="s">
        <v>952</v>
      </c>
      <c r="K32">
        <v>1</v>
      </c>
      <c r="L32">
        <v>3</v>
      </c>
      <c r="M32" t="s">
        <v>33</v>
      </c>
      <c r="N32">
        <v>1</v>
      </c>
      <c r="O32">
        <v>3</v>
      </c>
      <c r="P32">
        <v>1</v>
      </c>
      <c r="Q32" t="s">
        <v>48</v>
      </c>
      <c r="R32">
        <v>3</v>
      </c>
      <c r="S32">
        <v>0</v>
      </c>
      <c r="T32" t="s">
        <v>952</v>
      </c>
      <c r="U32" t="s">
        <v>952</v>
      </c>
      <c r="V32" t="s">
        <v>952</v>
      </c>
      <c r="W32" t="s">
        <v>952</v>
      </c>
      <c r="X32">
        <v>0</v>
      </c>
      <c r="Y32" t="s">
        <v>952</v>
      </c>
      <c r="Z32">
        <v>0</v>
      </c>
      <c r="AA32" t="s">
        <v>952</v>
      </c>
      <c r="AB32" t="s">
        <v>952</v>
      </c>
      <c r="AC32" t="s">
        <v>952</v>
      </c>
      <c r="AD32" t="s">
        <v>952</v>
      </c>
      <c r="AE32">
        <v>0</v>
      </c>
      <c r="AF32" t="s">
        <v>952</v>
      </c>
      <c r="AG32" t="s">
        <v>952</v>
      </c>
      <c r="AH32" t="s">
        <v>952</v>
      </c>
      <c r="AI32"/>
      <c r="AJ32"/>
    </row>
    <row r="33" spans="1:36" x14ac:dyDescent="0.25">
      <c r="A33" t="s">
        <v>324</v>
      </c>
      <c r="B33" t="s">
        <v>654</v>
      </c>
      <c r="C33" t="s">
        <v>951</v>
      </c>
      <c r="D33" t="s">
        <v>264</v>
      </c>
      <c r="E33" t="s">
        <v>952</v>
      </c>
      <c r="F33" t="s">
        <v>325</v>
      </c>
      <c r="G33" t="s">
        <v>280</v>
      </c>
      <c r="H33" t="s">
        <v>967</v>
      </c>
      <c r="I33" t="s">
        <v>41</v>
      </c>
      <c r="J33" t="s">
        <v>952</v>
      </c>
      <c r="K33">
        <v>1</v>
      </c>
      <c r="L33">
        <v>5</v>
      </c>
      <c r="M33" t="s">
        <v>33</v>
      </c>
      <c r="N33">
        <v>1</v>
      </c>
      <c r="O33">
        <v>5</v>
      </c>
      <c r="P33">
        <v>1</v>
      </c>
      <c r="Q33" t="s">
        <v>48</v>
      </c>
      <c r="R33">
        <v>5</v>
      </c>
      <c r="S33">
        <v>0</v>
      </c>
      <c r="T33" t="s">
        <v>952</v>
      </c>
      <c r="U33" t="s">
        <v>952</v>
      </c>
      <c r="V33" t="s">
        <v>952</v>
      </c>
      <c r="W33" t="s">
        <v>952</v>
      </c>
      <c r="X33">
        <v>0</v>
      </c>
      <c r="Y33" t="s">
        <v>952</v>
      </c>
      <c r="Z33">
        <v>0</v>
      </c>
      <c r="AA33" t="s">
        <v>952</v>
      </c>
      <c r="AB33" t="s">
        <v>952</v>
      </c>
      <c r="AC33" t="s">
        <v>952</v>
      </c>
      <c r="AD33" t="s">
        <v>952</v>
      </c>
      <c r="AE33">
        <v>0</v>
      </c>
      <c r="AF33" t="s">
        <v>952</v>
      </c>
      <c r="AG33" t="s">
        <v>643</v>
      </c>
      <c r="AH33" t="s">
        <v>952</v>
      </c>
      <c r="AI33"/>
      <c r="AJ33"/>
    </row>
    <row r="34" spans="1:36" x14ac:dyDescent="0.25">
      <c r="A34" t="s">
        <v>315</v>
      </c>
      <c r="B34" t="s">
        <v>648</v>
      </c>
      <c r="C34" t="s">
        <v>951</v>
      </c>
      <c r="D34" t="s">
        <v>264</v>
      </c>
      <c r="E34" t="s">
        <v>952</v>
      </c>
      <c r="F34" t="s">
        <v>326</v>
      </c>
      <c r="G34" t="s">
        <v>280</v>
      </c>
      <c r="H34" t="s">
        <v>968</v>
      </c>
      <c r="I34" t="s">
        <v>41</v>
      </c>
      <c r="J34" t="s">
        <v>952</v>
      </c>
      <c r="K34">
        <v>1</v>
      </c>
      <c r="L34">
        <v>1</v>
      </c>
      <c r="M34" t="s">
        <v>33</v>
      </c>
      <c r="N34">
        <v>1</v>
      </c>
      <c r="O34">
        <v>1</v>
      </c>
      <c r="P34">
        <v>1</v>
      </c>
      <c r="Q34" t="s">
        <v>48</v>
      </c>
      <c r="R34">
        <v>1</v>
      </c>
      <c r="S34">
        <v>0</v>
      </c>
      <c r="T34" t="s">
        <v>952</v>
      </c>
      <c r="U34" t="s">
        <v>952</v>
      </c>
      <c r="V34" t="s">
        <v>952</v>
      </c>
      <c r="W34" t="s">
        <v>952</v>
      </c>
      <c r="X34">
        <v>0</v>
      </c>
      <c r="Y34" t="s">
        <v>952</v>
      </c>
      <c r="Z34">
        <v>0</v>
      </c>
      <c r="AA34" t="s">
        <v>952</v>
      </c>
      <c r="AB34" t="s">
        <v>952</v>
      </c>
      <c r="AC34" t="s">
        <v>952</v>
      </c>
      <c r="AD34" t="s">
        <v>952</v>
      </c>
      <c r="AE34">
        <v>0</v>
      </c>
      <c r="AF34" t="s">
        <v>952</v>
      </c>
      <c r="AG34" t="s">
        <v>649</v>
      </c>
      <c r="AH34" t="s">
        <v>952</v>
      </c>
      <c r="AI34"/>
      <c r="AJ34"/>
    </row>
    <row r="35" spans="1:36" x14ac:dyDescent="0.25">
      <c r="A35" t="s">
        <v>327</v>
      </c>
      <c r="B35" t="s">
        <v>639</v>
      </c>
      <c r="C35" t="s">
        <v>951</v>
      </c>
      <c r="D35" t="s">
        <v>264</v>
      </c>
      <c r="E35" t="s">
        <v>952</v>
      </c>
      <c r="F35" t="s">
        <v>328</v>
      </c>
      <c r="G35" t="s">
        <v>280</v>
      </c>
      <c r="H35" t="s">
        <v>969</v>
      </c>
      <c r="I35" t="s">
        <v>41</v>
      </c>
      <c r="J35" t="s">
        <v>952</v>
      </c>
      <c r="K35">
        <v>1</v>
      </c>
      <c r="L35">
        <v>24</v>
      </c>
      <c r="M35" t="s">
        <v>33</v>
      </c>
      <c r="N35">
        <v>1</v>
      </c>
      <c r="O35">
        <v>24</v>
      </c>
      <c r="P35">
        <v>1</v>
      </c>
      <c r="Q35" t="s">
        <v>48</v>
      </c>
      <c r="R35">
        <v>24</v>
      </c>
      <c r="S35">
        <v>0</v>
      </c>
      <c r="T35" t="s">
        <v>952</v>
      </c>
      <c r="U35" t="s">
        <v>952</v>
      </c>
      <c r="V35" t="s">
        <v>952</v>
      </c>
      <c r="W35" t="s">
        <v>952</v>
      </c>
      <c r="X35">
        <v>0</v>
      </c>
      <c r="Y35" t="s">
        <v>952</v>
      </c>
      <c r="Z35">
        <v>0</v>
      </c>
      <c r="AA35" t="s">
        <v>952</v>
      </c>
      <c r="AB35" t="s">
        <v>952</v>
      </c>
      <c r="AC35" t="s">
        <v>952</v>
      </c>
      <c r="AD35" t="s">
        <v>952</v>
      </c>
      <c r="AE35">
        <v>0</v>
      </c>
      <c r="AF35" t="s">
        <v>952</v>
      </c>
      <c r="AG35" t="s">
        <v>638</v>
      </c>
      <c r="AH35" t="s">
        <v>952</v>
      </c>
      <c r="AI35"/>
      <c r="AJ35"/>
    </row>
    <row r="36" spans="1:36" x14ac:dyDescent="0.25">
      <c r="A36" t="s">
        <v>329</v>
      </c>
      <c r="B36" t="s">
        <v>640</v>
      </c>
      <c r="C36" t="s">
        <v>951</v>
      </c>
      <c r="D36" t="s">
        <v>264</v>
      </c>
      <c r="E36" t="s">
        <v>952</v>
      </c>
      <c r="F36" t="s">
        <v>330</v>
      </c>
      <c r="G36" t="s">
        <v>280</v>
      </c>
      <c r="H36" t="s">
        <v>970</v>
      </c>
      <c r="I36" t="s">
        <v>35</v>
      </c>
      <c r="J36" t="s">
        <v>952</v>
      </c>
      <c r="K36">
        <v>1</v>
      </c>
      <c r="L36">
        <v>1</v>
      </c>
      <c r="M36" t="s">
        <v>33</v>
      </c>
      <c r="N36">
        <v>1</v>
      </c>
      <c r="O36">
        <v>1</v>
      </c>
      <c r="P36">
        <v>1</v>
      </c>
      <c r="Q36" t="s">
        <v>48</v>
      </c>
      <c r="R36">
        <v>1</v>
      </c>
      <c r="S36">
        <v>0</v>
      </c>
      <c r="T36" t="s">
        <v>952</v>
      </c>
      <c r="U36" t="s">
        <v>952</v>
      </c>
      <c r="V36" t="s">
        <v>952</v>
      </c>
      <c r="W36" t="s">
        <v>952</v>
      </c>
      <c r="X36">
        <v>0</v>
      </c>
      <c r="Y36" t="s">
        <v>952</v>
      </c>
      <c r="Z36">
        <v>0</v>
      </c>
      <c r="AA36" t="s">
        <v>952</v>
      </c>
      <c r="AB36" t="s">
        <v>952</v>
      </c>
      <c r="AC36" t="s">
        <v>952</v>
      </c>
      <c r="AD36" t="s">
        <v>952</v>
      </c>
      <c r="AE36">
        <v>0</v>
      </c>
      <c r="AF36" t="s">
        <v>952</v>
      </c>
      <c r="AG36" t="s">
        <v>638</v>
      </c>
      <c r="AH36" t="s">
        <v>952</v>
      </c>
      <c r="AI36"/>
      <c r="AJ36"/>
    </row>
    <row r="37" spans="1:36" x14ac:dyDescent="0.25">
      <c r="A37" t="s">
        <v>324</v>
      </c>
      <c r="B37" t="s">
        <v>654</v>
      </c>
      <c r="C37" t="s">
        <v>951</v>
      </c>
      <c r="D37" t="s">
        <v>264</v>
      </c>
      <c r="E37" t="s">
        <v>952</v>
      </c>
      <c r="F37" t="s">
        <v>331</v>
      </c>
      <c r="G37" t="s">
        <v>280</v>
      </c>
      <c r="H37" t="s">
        <v>971</v>
      </c>
      <c r="I37" t="s">
        <v>41</v>
      </c>
      <c r="J37" t="s">
        <v>952</v>
      </c>
      <c r="K37">
        <v>1</v>
      </c>
      <c r="L37">
        <v>1</v>
      </c>
      <c r="M37" t="s">
        <v>33</v>
      </c>
      <c r="N37">
        <v>1</v>
      </c>
      <c r="O37">
        <v>1</v>
      </c>
      <c r="P37">
        <v>1</v>
      </c>
      <c r="Q37" t="s">
        <v>48</v>
      </c>
      <c r="R37">
        <v>1</v>
      </c>
      <c r="S37">
        <v>0</v>
      </c>
      <c r="T37" t="s">
        <v>952</v>
      </c>
      <c r="U37" t="s">
        <v>952</v>
      </c>
      <c r="V37" t="s">
        <v>952</v>
      </c>
      <c r="W37" t="s">
        <v>952</v>
      </c>
      <c r="X37">
        <v>0</v>
      </c>
      <c r="Y37" t="s">
        <v>952</v>
      </c>
      <c r="Z37">
        <v>0</v>
      </c>
      <c r="AA37" t="s">
        <v>952</v>
      </c>
      <c r="AB37" t="s">
        <v>952</v>
      </c>
      <c r="AC37" t="s">
        <v>952</v>
      </c>
      <c r="AD37" t="s">
        <v>952</v>
      </c>
      <c r="AE37">
        <v>0</v>
      </c>
      <c r="AF37" t="s">
        <v>952</v>
      </c>
      <c r="AG37" t="s">
        <v>643</v>
      </c>
      <c r="AH37" t="s">
        <v>952</v>
      </c>
      <c r="AI37"/>
      <c r="AJ37"/>
    </row>
    <row r="38" spans="1:36" x14ac:dyDescent="0.25">
      <c r="A38" t="s">
        <v>329</v>
      </c>
      <c r="B38" t="s">
        <v>640</v>
      </c>
      <c r="C38" t="s">
        <v>951</v>
      </c>
      <c r="D38" t="s">
        <v>264</v>
      </c>
      <c r="E38" t="s">
        <v>952</v>
      </c>
      <c r="F38" t="s">
        <v>332</v>
      </c>
      <c r="G38" t="s">
        <v>280</v>
      </c>
      <c r="H38" t="s">
        <v>972</v>
      </c>
      <c r="I38" t="s">
        <v>41</v>
      </c>
      <c r="J38" t="s">
        <v>952</v>
      </c>
      <c r="K38">
        <v>8</v>
      </c>
      <c r="L38">
        <v>1</v>
      </c>
      <c r="M38" t="s">
        <v>33</v>
      </c>
      <c r="N38">
        <v>1</v>
      </c>
      <c r="O38">
        <v>1</v>
      </c>
      <c r="P38">
        <v>1</v>
      </c>
      <c r="Q38" t="s">
        <v>48</v>
      </c>
      <c r="R38">
        <v>1</v>
      </c>
      <c r="S38">
        <v>0</v>
      </c>
      <c r="T38" t="s">
        <v>952</v>
      </c>
      <c r="U38" t="s">
        <v>952</v>
      </c>
      <c r="V38" t="s">
        <v>952</v>
      </c>
      <c r="W38" t="s">
        <v>952</v>
      </c>
      <c r="X38">
        <v>0</v>
      </c>
      <c r="Y38" t="s">
        <v>952</v>
      </c>
      <c r="Z38">
        <v>0</v>
      </c>
      <c r="AA38" t="s">
        <v>952</v>
      </c>
      <c r="AB38" t="s">
        <v>952</v>
      </c>
      <c r="AC38" t="s">
        <v>952</v>
      </c>
      <c r="AD38" t="s">
        <v>952</v>
      </c>
      <c r="AE38">
        <v>0</v>
      </c>
      <c r="AF38" t="s">
        <v>952</v>
      </c>
      <c r="AG38" t="s">
        <v>952</v>
      </c>
      <c r="AH38" t="s">
        <v>952</v>
      </c>
      <c r="AI38"/>
      <c r="AJ38"/>
    </row>
    <row r="39" spans="1:36" x14ac:dyDescent="0.25">
      <c r="A39" t="s">
        <v>773</v>
      </c>
      <c r="B39" t="s">
        <v>774</v>
      </c>
      <c r="C39" t="s">
        <v>951</v>
      </c>
      <c r="D39" t="s">
        <v>264</v>
      </c>
      <c r="E39" t="s">
        <v>952</v>
      </c>
      <c r="F39" t="s">
        <v>332</v>
      </c>
      <c r="G39" t="s">
        <v>280</v>
      </c>
      <c r="H39" t="s">
        <v>972</v>
      </c>
      <c r="I39" t="s">
        <v>41</v>
      </c>
      <c r="J39" t="s">
        <v>952</v>
      </c>
      <c r="K39">
        <v>8</v>
      </c>
      <c r="L39">
        <v>1</v>
      </c>
      <c r="M39" t="s">
        <v>33</v>
      </c>
      <c r="N39">
        <v>1</v>
      </c>
      <c r="O39">
        <v>1</v>
      </c>
      <c r="P39">
        <v>1</v>
      </c>
      <c r="Q39" t="s">
        <v>48</v>
      </c>
      <c r="R39">
        <v>1</v>
      </c>
      <c r="S39">
        <v>0</v>
      </c>
      <c r="T39" t="s">
        <v>952</v>
      </c>
      <c r="U39" t="s">
        <v>952</v>
      </c>
      <c r="V39" t="s">
        <v>952</v>
      </c>
      <c r="W39" t="s">
        <v>952</v>
      </c>
      <c r="X39">
        <v>0</v>
      </c>
      <c r="Y39" t="s">
        <v>952</v>
      </c>
      <c r="Z39">
        <v>0</v>
      </c>
      <c r="AA39" t="s">
        <v>952</v>
      </c>
      <c r="AB39" t="s">
        <v>952</v>
      </c>
      <c r="AC39" t="s">
        <v>952</v>
      </c>
      <c r="AD39" t="s">
        <v>952</v>
      </c>
      <c r="AE39">
        <v>0</v>
      </c>
      <c r="AF39" t="s">
        <v>952</v>
      </c>
      <c r="AG39" t="s">
        <v>952</v>
      </c>
      <c r="AH39" t="s">
        <v>952</v>
      </c>
      <c r="AI39"/>
      <c r="AJ39"/>
    </row>
    <row r="40" spans="1:36" x14ac:dyDescent="0.25">
      <c r="A40" t="s">
        <v>329</v>
      </c>
      <c r="B40" t="s">
        <v>640</v>
      </c>
      <c r="C40" t="s">
        <v>951</v>
      </c>
      <c r="D40" t="s">
        <v>264</v>
      </c>
      <c r="E40" t="s">
        <v>952</v>
      </c>
      <c r="F40" t="s">
        <v>333</v>
      </c>
      <c r="G40" t="s">
        <v>280</v>
      </c>
      <c r="H40" t="s">
        <v>973</v>
      </c>
      <c r="I40" t="s">
        <v>41</v>
      </c>
      <c r="J40" t="s">
        <v>952</v>
      </c>
      <c r="K40">
        <v>8</v>
      </c>
      <c r="L40">
        <v>1</v>
      </c>
      <c r="M40" t="s">
        <v>33</v>
      </c>
      <c r="N40">
        <v>1</v>
      </c>
      <c r="O40">
        <v>1</v>
      </c>
      <c r="P40">
        <v>1</v>
      </c>
      <c r="Q40" t="s">
        <v>48</v>
      </c>
      <c r="R40">
        <v>1</v>
      </c>
      <c r="S40">
        <v>0</v>
      </c>
      <c r="T40" t="s">
        <v>952</v>
      </c>
      <c r="U40" t="s">
        <v>952</v>
      </c>
      <c r="V40" t="s">
        <v>952</v>
      </c>
      <c r="W40" t="s">
        <v>952</v>
      </c>
      <c r="X40">
        <v>0</v>
      </c>
      <c r="Y40" t="s">
        <v>952</v>
      </c>
      <c r="Z40">
        <v>0</v>
      </c>
      <c r="AA40" t="s">
        <v>952</v>
      </c>
      <c r="AB40" t="s">
        <v>952</v>
      </c>
      <c r="AC40" t="s">
        <v>952</v>
      </c>
      <c r="AD40" t="s">
        <v>952</v>
      </c>
      <c r="AE40">
        <v>0</v>
      </c>
      <c r="AF40" t="s">
        <v>952</v>
      </c>
      <c r="AG40" t="s">
        <v>952</v>
      </c>
      <c r="AH40" t="s">
        <v>952</v>
      </c>
      <c r="AI40"/>
      <c r="AJ40"/>
    </row>
    <row r="41" spans="1:36" x14ac:dyDescent="0.25">
      <c r="A41" t="s">
        <v>773</v>
      </c>
      <c r="B41" t="s">
        <v>774</v>
      </c>
      <c r="C41" t="s">
        <v>951</v>
      </c>
      <c r="D41" t="s">
        <v>264</v>
      </c>
      <c r="E41" t="s">
        <v>952</v>
      </c>
      <c r="F41" t="s">
        <v>333</v>
      </c>
      <c r="G41" t="s">
        <v>280</v>
      </c>
      <c r="H41" t="s">
        <v>973</v>
      </c>
      <c r="I41" t="s">
        <v>41</v>
      </c>
      <c r="J41" t="s">
        <v>952</v>
      </c>
      <c r="K41">
        <v>8</v>
      </c>
      <c r="L41">
        <v>1</v>
      </c>
      <c r="M41" t="s">
        <v>33</v>
      </c>
      <c r="N41">
        <v>1</v>
      </c>
      <c r="O41">
        <v>1</v>
      </c>
      <c r="P41">
        <v>1</v>
      </c>
      <c r="Q41" t="s">
        <v>48</v>
      </c>
      <c r="R41">
        <v>1</v>
      </c>
      <c r="S41">
        <v>0</v>
      </c>
      <c r="T41" t="s">
        <v>952</v>
      </c>
      <c r="U41" t="s">
        <v>952</v>
      </c>
      <c r="V41" t="s">
        <v>952</v>
      </c>
      <c r="W41" t="s">
        <v>952</v>
      </c>
      <c r="X41">
        <v>0</v>
      </c>
      <c r="Y41" t="s">
        <v>952</v>
      </c>
      <c r="Z41">
        <v>0</v>
      </c>
      <c r="AA41" t="s">
        <v>952</v>
      </c>
      <c r="AB41" t="s">
        <v>952</v>
      </c>
      <c r="AC41" t="s">
        <v>952</v>
      </c>
      <c r="AD41" t="s">
        <v>952</v>
      </c>
      <c r="AE41">
        <v>0</v>
      </c>
      <c r="AF41" t="s">
        <v>952</v>
      </c>
      <c r="AG41" t="s">
        <v>952</v>
      </c>
      <c r="AH41" t="s">
        <v>952</v>
      </c>
      <c r="AI41"/>
      <c r="AJ41"/>
    </row>
    <row r="42" spans="1:36" x14ac:dyDescent="0.25">
      <c r="A42" t="s">
        <v>334</v>
      </c>
      <c r="B42" t="s">
        <v>658</v>
      </c>
      <c r="C42" t="s">
        <v>951</v>
      </c>
      <c r="D42" t="s">
        <v>335</v>
      </c>
      <c r="E42" t="s">
        <v>952</v>
      </c>
      <c r="F42" t="s">
        <v>336</v>
      </c>
      <c r="G42" t="s">
        <v>280</v>
      </c>
      <c r="H42" t="s">
        <v>974</v>
      </c>
      <c r="I42" t="s">
        <v>35</v>
      </c>
      <c r="J42" t="s">
        <v>952</v>
      </c>
      <c r="K42">
        <v>1</v>
      </c>
      <c r="L42">
        <v>7</v>
      </c>
      <c r="M42" t="s">
        <v>33</v>
      </c>
      <c r="N42">
        <v>1</v>
      </c>
      <c r="O42">
        <v>7</v>
      </c>
      <c r="P42">
        <v>1</v>
      </c>
      <c r="Q42" t="s">
        <v>48</v>
      </c>
      <c r="R42">
        <v>7</v>
      </c>
      <c r="S42">
        <v>0</v>
      </c>
      <c r="T42" t="s">
        <v>952</v>
      </c>
      <c r="U42" t="s">
        <v>952</v>
      </c>
      <c r="V42" t="s">
        <v>952</v>
      </c>
      <c r="W42" t="s">
        <v>952</v>
      </c>
      <c r="X42">
        <v>0</v>
      </c>
      <c r="Y42" t="s">
        <v>952</v>
      </c>
      <c r="Z42">
        <v>0</v>
      </c>
      <c r="AA42" t="s">
        <v>952</v>
      </c>
      <c r="AB42" t="s">
        <v>952</v>
      </c>
      <c r="AC42" t="s">
        <v>952</v>
      </c>
      <c r="AD42" t="s">
        <v>952</v>
      </c>
      <c r="AE42">
        <v>0</v>
      </c>
      <c r="AF42" t="s">
        <v>952</v>
      </c>
      <c r="AG42" t="s">
        <v>608</v>
      </c>
      <c r="AH42" t="s">
        <v>952</v>
      </c>
      <c r="AI42"/>
      <c r="AJ42"/>
    </row>
    <row r="43" spans="1:36" x14ac:dyDescent="0.25">
      <c r="A43" t="s">
        <v>337</v>
      </c>
      <c r="B43" t="s">
        <v>659</v>
      </c>
      <c r="C43" t="s">
        <v>951</v>
      </c>
      <c r="D43" t="s">
        <v>335</v>
      </c>
      <c r="E43" t="s">
        <v>952</v>
      </c>
      <c r="F43" t="s">
        <v>338</v>
      </c>
      <c r="G43" t="s">
        <v>280</v>
      </c>
      <c r="H43" t="s">
        <v>975</v>
      </c>
      <c r="I43" t="s">
        <v>35</v>
      </c>
      <c r="J43" t="s">
        <v>952</v>
      </c>
      <c r="K43">
        <v>1</v>
      </c>
      <c r="L43">
        <v>2</v>
      </c>
      <c r="M43" t="s">
        <v>33</v>
      </c>
      <c r="N43">
        <v>1</v>
      </c>
      <c r="O43">
        <v>2</v>
      </c>
      <c r="P43">
        <v>1</v>
      </c>
      <c r="Q43" t="s">
        <v>48</v>
      </c>
      <c r="R43">
        <v>2</v>
      </c>
      <c r="S43">
        <v>0</v>
      </c>
      <c r="T43" t="s">
        <v>952</v>
      </c>
      <c r="U43" t="s">
        <v>952</v>
      </c>
      <c r="V43" t="s">
        <v>952</v>
      </c>
      <c r="W43" t="s">
        <v>952</v>
      </c>
      <c r="X43">
        <v>0</v>
      </c>
      <c r="Y43" t="s">
        <v>952</v>
      </c>
      <c r="Z43">
        <v>0</v>
      </c>
      <c r="AA43" t="s">
        <v>952</v>
      </c>
      <c r="AB43" t="s">
        <v>952</v>
      </c>
      <c r="AC43" t="s">
        <v>952</v>
      </c>
      <c r="AD43" t="s">
        <v>952</v>
      </c>
      <c r="AE43">
        <v>0</v>
      </c>
      <c r="AF43" t="s">
        <v>952</v>
      </c>
      <c r="AG43" t="s">
        <v>649</v>
      </c>
      <c r="AH43" t="s">
        <v>952</v>
      </c>
      <c r="AI43"/>
      <c r="AJ43"/>
    </row>
    <row r="44" spans="1:36" x14ac:dyDescent="0.25">
      <c r="A44" t="s">
        <v>339</v>
      </c>
      <c r="B44" t="s">
        <v>674</v>
      </c>
      <c r="C44" t="s">
        <v>951</v>
      </c>
      <c r="D44" t="s">
        <v>335</v>
      </c>
      <c r="E44" t="s">
        <v>952</v>
      </c>
      <c r="F44" t="s">
        <v>340</v>
      </c>
      <c r="G44" t="s">
        <v>280</v>
      </c>
      <c r="H44" t="s">
        <v>976</v>
      </c>
      <c r="I44" t="s">
        <v>41</v>
      </c>
      <c r="J44" t="s">
        <v>952</v>
      </c>
      <c r="K44">
        <v>1</v>
      </c>
      <c r="L44">
        <v>14</v>
      </c>
      <c r="M44" t="s">
        <v>33</v>
      </c>
      <c r="N44">
        <v>1</v>
      </c>
      <c r="O44">
        <v>14</v>
      </c>
      <c r="P44">
        <v>1</v>
      </c>
      <c r="Q44" t="s">
        <v>48</v>
      </c>
      <c r="R44">
        <v>14</v>
      </c>
      <c r="S44">
        <v>0</v>
      </c>
      <c r="T44" t="s">
        <v>952</v>
      </c>
      <c r="U44" t="s">
        <v>952</v>
      </c>
      <c r="V44" t="s">
        <v>952</v>
      </c>
      <c r="W44" t="s">
        <v>952</v>
      </c>
      <c r="X44">
        <v>0</v>
      </c>
      <c r="Y44" t="s">
        <v>952</v>
      </c>
      <c r="Z44">
        <v>0</v>
      </c>
      <c r="AA44" t="s">
        <v>952</v>
      </c>
      <c r="AB44" t="s">
        <v>952</v>
      </c>
      <c r="AC44" t="s">
        <v>952</v>
      </c>
      <c r="AD44" t="s">
        <v>952</v>
      </c>
      <c r="AE44">
        <v>0</v>
      </c>
      <c r="AF44" t="s">
        <v>952</v>
      </c>
      <c r="AG44" t="s">
        <v>643</v>
      </c>
      <c r="AH44" t="s">
        <v>952</v>
      </c>
      <c r="AI44"/>
      <c r="AJ44"/>
    </row>
    <row r="45" spans="1:36" x14ac:dyDescent="0.25">
      <c r="A45" t="s">
        <v>339</v>
      </c>
      <c r="B45" t="s">
        <v>674</v>
      </c>
      <c r="C45" t="s">
        <v>951</v>
      </c>
      <c r="D45" t="s">
        <v>335</v>
      </c>
      <c r="E45" t="s">
        <v>952</v>
      </c>
      <c r="F45" t="s">
        <v>341</v>
      </c>
      <c r="G45" t="s">
        <v>280</v>
      </c>
      <c r="H45" t="s">
        <v>977</v>
      </c>
      <c r="I45" t="s">
        <v>41</v>
      </c>
      <c r="J45" t="s">
        <v>952</v>
      </c>
      <c r="K45">
        <v>1</v>
      </c>
      <c r="L45">
        <v>28</v>
      </c>
      <c r="M45" t="s">
        <v>33</v>
      </c>
      <c r="N45">
        <v>1</v>
      </c>
      <c r="O45">
        <v>28</v>
      </c>
      <c r="P45">
        <v>1</v>
      </c>
      <c r="Q45" t="s">
        <v>48</v>
      </c>
      <c r="R45">
        <v>28</v>
      </c>
      <c r="S45">
        <v>0</v>
      </c>
      <c r="T45" t="s">
        <v>952</v>
      </c>
      <c r="U45" t="s">
        <v>952</v>
      </c>
      <c r="V45" t="s">
        <v>952</v>
      </c>
      <c r="W45" t="s">
        <v>952</v>
      </c>
      <c r="X45">
        <v>0</v>
      </c>
      <c r="Y45" t="s">
        <v>952</v>
      </c>
      <c r="Z45">
        <v>0</v>
      </c>
      <c r="AA45" t="s">
        <v>952</v>
      </c>
      <c r="AB45" t="s">
        <v>952</v>
      </c>
      <c r="AC45" t="s">
        <v>952</v>
      </c>
      <c r="AD45" t="s">
        <v>952</v>
      </c>
      <c r="AE45">
        <v>0</v>
      </c>
      <c r="AF45" t="s">
        <v>952</v>
      </c>
      <c r="AG45" t="s">
        <v>643</v>
      </c>
      <c r="AH45" t="s">
        <v>952</v>
      </c>
      <c r="AI45"/>
      <c r="AJ45"/>
    </row>
    <row r="46" spans="1:36" x14ac:dyDescent="0.25">
      <c r="A46" t="s">
        <v>342</v>
      </c>
      <c r="B46" t="s">
        <v>673</v>
      </c>
      <c r="C46" t="s">
        <v>951</v>
      </c>
      <c r="D46" t="s">
        <v>335</v>
      </c>
      <c r="E46" t="s">
        <v>952</v>
      </c>
      <c r="F46" t="s">
        <v>343</v>
      </c>
      <c r="G46" t="s">
        <v>280</v>
      </c>
      <c r="H46" t="s">
        <v>978</v>
      </c>
      <c r="I46" t="s">
        <v>41</v>
      </c>
      <c r="J46" t="s">
        <v>952</v>
      </c>
      <c r="K46">
        <v>1</v>
      </c>
      <c r="L46">
        <v>2</v>
      </c>
      <c r="M46" t="s">
        <v>33</v>
      </c>
      <c r="N46">
        <v>1</v>
      </c>
      <c r="O46">
        <v>2</v>
      </c>
      <c r="P46">
        <v>1</v>
      </c>
      <c r="Q46" t="s">
        <v>48</v>
      </c>
      <c r="R46">
        <v>2</v>
      </c>
      <c r="S46">
        <v>0</v>
      </c>
      <c r="T46" t="s">
        <v>952</v>
      </c>
      <c r="U46" t="s">
        <v>952</v>
      </c>
      <c r="V46" t="s">
        <v>952</v>
      </c>
      <c r="W46" t="s">
        <v>952</v>
      </c>
      <c r="X46">
        <v>0</v>
      </c>
      <c r="Y46" t="s">
        <v>952</v>
      </c>
      <c r="Z46">
        <v>0</v>
      </c>
      <c r="AA46" t="s">
        <v>952</v>
      </c>
      <c r="AB46" t="s">
        <v>952</v>
      </c>
      <c r="AC46" t="s">
        <v>952</v>
      </c>
      <c r="AD46" t="s">
        <v>952</v>
      </c>
      <c r="AE46">
        <v>0</v>
      </c>
      <c r="AF46" t="s">
        <v>952</v>
      </c>
      <c r="AG46" t="s">
        <v>638</v>
      </c>
      <c r="AH46" t="s">
        <v>952</v>
      </c>
      <c r="AI46"/>
      <c r="AJ46"/>
    </row>
    <row r="47" spans="1:36" x14ac:dyDescent="0.25">
      <c r="A47" t="s">
        <v>675</v>
      </c>
      <c r="B47" t="s">
        <v>676</v>
      </c>
      <c r="C47" t="s">
        <v>951</v>
      </c>
      <c r="D47" t="s">
        <v>335</v>
      </c>
      <c r="E47" t="s">
        <v>952</v>
      </c>
      <c r="F47" t="s">
        <v>344</v>
      </c>
      <c r="G47" t="s">
        <v>280</v>
      </c>
      <c r="H47" t="s">
        <v>979</v>
      </c>
      <c r="I47" t="s">
        <v>35</v>
      </c>
      <c r="J47" t="s">
        <v>952</v>
      </c>
      <c r="K47">
        <v>1</v>
      </c>
      <c r="L47">
        <v>52</v>
      </c>
      <c r="M47" t="s">
        <v>33</v>
      </c>
      <c r="N47">
        <v>1</v>
      </c>
      <c r="O47">
        <v>52</v>
      </c>
      <c r="P47">
        <v>1</v>
      </c>
      <c r="Q47" t="s">
        <v>48</v>
      </c>
      <c r="R47">
        <v>52</v>
      </c>
      <c r="S47">
        <v>0</v>
      </c>
      <c r="T47" t="s">
        <v>952</v>
      </c>
      <c r="U47" t="s">
        <v>952</v>
      </c>
      <c r="V47" t="s">
        <v>952</v>
      </c>
      <c r="W47" t="s">
        <v>952</v>
      </c>
      <c r="X47">
        <v>0</v>
      </c>
      <c r="Y47" t="s">
        <v>952</v>
      </c>
      <c r="Z47">
        <v>0</v>
      </c>
      <c r="AA47" t="s">
        <v>952</v>
      </c>
      <c r="AB47" t="s">
        <v>952</v>
      </c>
      <c r="AC47" t="s">
        <v>952</v>
      </c>
      <c r="AD47" t="s">
        <v>952</v>
      </c>
      <c r="AE47">
        <v>0</v>
      </c>
      <c r="AF47" t="s">
        <v>952</v>
      </c>
      <c r="AG47" t="s">
        <v>952</v>
      </c>
      <c r="AH47" t="s">
        <v>952</v>
      </c>
      <c r="AI47"/>
      <c r="AJ47"/>
    </row>
    <row r="48" spans="1:36" x14ac:dyDescent="0.25">
      <c r="A48" t="s">
        <v>678</v>
      </c>
      <c r="B48" t="s">
        <v>679</v>
      </c>
      <c r="C48" t="s">
        <v>951</v>
      </c>
      <c r="D48" t="s">
        <v>335</v>
      </c>
      <c r="E48" t="s">
        <v>952</v>
      </c>
      <c r="F48" t="s">
        <v>344</v>
      </c>
      <c r="G48" t="s">
        <v>280</v>
      </c>
      <c r="H48" t="s">
        <v>979</v>
      </c>
      <c r="I48" t="s">
        <v>35</v>
      </c>
      <c r="J48" t="s">
        <v>952</v>
      </c>
      <c r="K48">
        <v>1</v>
      </c>
      <c r="L48">
        <v>52</v>
      </c>
      <c r="M48" t="s">
        <v>33</v>
      </c>
      <c r="N48">
        <v>1</v>
      </c>
      <c r="O48">
        <v>52</v>
      </c>
      <c r="P48">
        <v>1</v>
      </c>
      <c r="Q48" t="s">
        <v>48</v>
      </c>
      <c r="R48">
        <v>52</v>
      </c>
      <c r="S48">
        <v>0</v>
      </c>
      <c r="T48" t="s">
        <v>952</v>
      </c>
      <c r="U48" t="s">
        <v>952</v>
      </c>
      <c r="V48" t="s">
        <v>952</v>
      </c>
      <c r="W48" t="s">
        <v>952</v>
      </c>
      <c r="X48">
        <v>0</v>
      </c>
      <c r="Y48" t="s">
        <v>952</v>
      </c>
      <c r="Z48">
        <v>0</v>
      </c>
      <c r="AA48" t="s">
        <v>952</v>
      </c>
      <c r="AB48" t="s">
        <v>952</v>
      </c>
      <c r="AC48" t="s">
        <v>952</v>
      </c>
      <c r="AD48" t="s">
        <v>952</v>
      </c>
      <c r="AE48">
        <v>0</v>
      </c>
      <c r="AF48" t="s">
        <v>952</v>
      </c>
      <c r="AG48" t="s">
        <v>952</v>
      </c>
      <c r="AH48" t="s">
        <v>952</v>
      </c>
      <c r="AI48"/>
      <c r="AJ48"/>
    </row>
    <row r="49" spans="1:36" x14ac:dyDescent="0.25">
      <c r="A49" t="s">
        <v>667</v>
      </c>
      <c r="B49" t="s">
        <v>668</v>
      </c>
      <c r="C49" t="s">
        <v>951</v>
      </c>
      <c r="D49" t="s">
        <v>335</v>
      </c>
      <c r="E49" t="s">
        <v>952</v>
      </c>
      <c r="F49" t="s">
        <v>344</v>
      </c>
      <c r="G49" t="s">
        <v>280</v>
      </c>
      <c r="H49" t="s">
        <v>979</v>
      </c>
      <c r="I49" t="s">
        <v>35</v>
      </c>
      <c r="J49" t="s">
        <v>952</v>
      </c>
      <c r="K49">
        <v>1</v>
      </c>
      <c r="L49">
        <v>52</v>
      </c>
      <c r="M49" t="s">
        <v>33</v>
      </c>
      <c r="N49">
        <v>1</v>
      </c>
      <c r="O49">
        <v>52</v>
      </c>
      <c r="P49">
        <v>1</v>
      </c>
      <c r="Q49" t="s">
        <v>48</v>
      </c>
      <c r="R49">
        <v>52</v>
      </c>
      <c r="S49">
        <v>0</v>
      </c>
      <c r="T49" t="s">
        <v>952</v>
      </c>
      <c r="U49" t="s">
        <v>952</v>
      </c>
      <c r="V49" t="s">
        <v>952</v>
      </c>
      <c r="W49" t="s">
        <v>952</v>
      </c>
      <c r="X49">
        <v>0</v>
      </c>
      <c r="Y49" t="s">
        <v>952</v>
      </c>
      <c r="Z49">
        <v>0</v>
      </c>
      <c r="AA49" t="s">
        <v>952</v>
      </c>
      <c r="AB49" t="s">
        <v>952</v>
      </c>
      <c r="AC49" t="s">
        <v>952</v>
      </c>
      <c r="AD49" t="s">
        <v>952</v>
      </c>
      <c r="AE49">
        <v>0</v>
      </c>
      <c r="AF49" t="s">
        <v>952</v>
      </c>
      <c r="AG49" t="s">
        <v>952</v>
      </c>
      <c r="AH49" t="s">
        <v>952</v>
      </c>
      <c r="AI49"/>
      <c r="AJ49"/>
    </row>
    <row r="50" spans="1:36" x14ac:dyDescent="0.25">
      <c r="A50" t="s">
        <v>665</v>
      </c>
      <c r="B50" t="s">
        <v>666</v>
      </c>
      <c r="C50" t="s">
        <v>951</v>
      </c>
      <c r="D50" t="s">
        <v>335</v>
      </c>
      <c r="E50" t="s">
        <v>952</v>
      </c>
      <c r="F50" t="s">
        <v>344</v>
      </c>
      <c r="G50" t="s">
        <v>280</v>
      </c>
      <c r="H50" t="s">
        <v>979</v>
      </c>
      <c r="I50" t="s">
        <v>35</v>
      </c>
      <c r="J50" t="s">
        <v>952</v>
      </c>
      <c r="K50">
        <v>1</v>
      </c>
      <c r="L50">
        <v>52</v>
      </c>
      <c r="M50" t="s">
        <v>33</v>
      </c>
      <c r="N50">
        <v>1</v>
      </c>
      <c r="O50">
        <v>52</v>
      </c>
      <c r="P50">
        <v>1</v>
      </c>
      <c r="Q50" t="s">
        <v>48</v>
      </c>
      <c r="R50">
        <v>52</v>
      </c>
      <c r="S50">
        <v>0</v>
      </c>
      <c r="T50" t="s">
        <v>952</v>
      </c>
      <c r="U50" t="s">
        <v>952</v>
      </c>
      <c r="V50" t="s">
        <v>952</v>
      </c>
      <c r="W50" t="s">
        <v>952</v>
      </c>
      <c r="X50">
        <v>0</v>
      </c>
      <c r="Y50" t="s">
        <v>952</v>
      </c>
      <c r="Z50">
        <v>0</v>
      </c>
      <c r="AA50" t="s">
        <v>952</v>
      </c>
      <c r="AB50" t="s">
        <v>952</v>
      </c>
      <c r="AC50" t="s">
        <v>952</v>
      </c>
      <c r="AD50" t="s">
        <v>952</v>
      </c>
      <c r="AE50">
        <v>0</v>
      </c>
      <c r="AF50" t="s">
        <v>952</v>
      </c>
      <c r="AG50" t="s">
        <v>952</v>
      </c>
      <c r="AH50" t="s">
        <v>952</v>
      </c>
      <c r="AI50"/>
      <c r="AJ50"/>
    </row>
    <row r="51" spans="1:36" x14ac:dyDescent="0.25">
      <c r="A51" t="s">
        <v>345</v>
      </c>
      <c r="B51" t="s">
        <v>680</v>
      </c>
      <c r="C51" t="s">
        <v>951</v>
      </c>
      <c r="D51" t="s">
        <v>335</v>
      </c>
      <c r="E51" t="s">
        <v>952</v>
      </c>
      <c r="F51" t="s">
        <v>346</v>
      </c>
      <c r="G51" t="s">
        <v>280</v>
      </c>
      <c r="H51" t="s">
        <v>980</v>
      </c>
      <c r="I51" t="s">
        <v>41</v>
      </c>
      <c r="J51" t="s">
        <v>952</v>
      </c>
      <c r="K51">
        <v>1</v>
      </c>
      <c r="L51">
        <v>35</v>
      </c>
      <c r="M51" t="s">
        <v>33</v>
      </c>
      <c r="N51">
        <v>1</v>
      </c>
      <c r="O51">
        <v>35</v>
      </c>
      <c r="P51">
        <v>1</v>
      </c>
      <c r="Q51" t="s">
        <v>48</v>
      </c>
      <c r="R51">
        <v>35</v>
      </c>
      <c r="S51">
        <v>0</v>
      </c>
      <c r="T51" t="s">
        <v>952</v>
      </c>
      <c r="U51" t="s">
        <v>952</v>
      </c>
      <c r="V51" t="s">
        <v>952</v>
      </c>
      <c r="W51" t="s">
        <v>952</v>
      </c>
      <c r="X51">
        <v>0</v>
      </c>
      <c r="Y51" t="s">
        <v>952</v>
      </c>
      <c r="Z51">
        <v>0</v>
      </c>
      <c r="AA51" t="s">
        <v>952</v>
      </c>
      <c r="AB51" t="s">
        <v>952</v>
      </c>
      <c r="AC51" t="s">
        <v>952</v>
      </c>
      <c r="AD51" t="s">
        <v>952</v>
      </c>
      <c r="AE51">
        <v>0</v>
      </c>
      <c r="AF51" t="s">
        <v>952</v>
      </c>
      <c r="AG51" t="s">
        <v>618</v>
      </c>
      <c r="AH51" t="s">
        <v>952</v>
      </c>
      <c r="AI51"/>
      <c r="AJ51"/>
    </row>
    <row r="52" spans="1:36" x14ac:dyDescent="0.25">
      <c r="A52" t="s">
        <v>347</v>
      </c>
      <c r="B52" t="s">
        <v>664</v>
      </c>
      <c r="C52" t="s">
        <v>951</v>
      </c>
      <c r="D52" t="s">
        <v>335</v>
      </c>
      <c r="E52" t="s">
        <v>952</v>
      </c>
      <c r="F52" t="s">
        <v>348</v>
      </c>
      <c r="G52" t="s">
        <v>280</v>
      </c>
      <c r="H52" t="s">
        <v>981</v>
      </c>
      <c r="I52" t="s">
        <v>41</v>
      </c>
      <c r="J52" t="s">
        <v>952</v>
      </c>
      <c r="K52">
        <v>1</v>
      </c>
      <c r="L52">
        <v>4</v>
      </c>
      <c r="M52" t="s">
        <v>33</v>
      </c>
      <c r="N52">
        <v>1</v>
      </c>
      <c r="O52">
        <v>4</v>
      </c>
      <c r="P52">
        <v>1</v>
      </c>
      <c r="Q52" t="s">
        <v>48</v>
      </c>
      <c r="R52">
        <v>4</v>
      </c>
      <c r="S52">
        <v>0</v>
      </c>
      <c r="T52" t="s">
        <v>952</v>
      </c>
      <c r="U52" t="s">
        <v>952</v>
      </c>
      <c r="V52" t="s">
        <v>952</v>
      </c>
      <c r="W52" t="s">
        <v>952</v>
      </c>
      <c r="X52">
        <v>0</v>
      </c>
      <c r="Y52" t="s">
        <v>952</v>
      </c>
      <c r="Z52">
        <v>0</v>
      </c>
      <c r="AA52" t="s">
        <v>952</v>
      </c>
      <c r="AB52" t="s">
        <v>952</v>
      </c>
      <c r="AC52" t="s">
        <v>952</v>
      </c>
      <c r="AD52" t="s">
        <v>952</v>
      </c>
      <c r="AE52">
        <v>0</v>
      </c>
      <c r="AF52" t="s">
        <v>952</v>
      </c>
      <c r="AG52" t="s">
        <v>952</v>
      </c>
      <c r="AH52" t="s">
        <v>952</v>
      </c>
      <c r="AI52"/>
      <c r="AJ52"/>
    </row>
    <row r="53" spans="1:36" x14ac:dyDescent="0.25">
      <c r="A53" t="s">
        <v>349</v>
      </c>
      <c r="B53" t="s">
        <v>663</v>
      </c>
      <c r="C53" t="s">
        <v>951</v>
      </c>
      <c r="D53" t="s">
        <v>335</v>
      </c>
      <c r="E53" t="s">
        <v>952</v>
      </c>
      <c r="F53" t="s">
        <v>350</v>
      </c>
      <c r="G53" t="s">
        <v>280</v>
      </c>
      <c r="H53" t="s">
        <v>982</v>
      </c>
      <c r="I53" t="s">
        <v>41</v>
      </c>
      <c r="J53" t="s">
        <v>952</v>
      </c>
      <c r="K53">
        <v>1</v>
      </c>
      <c r="L53">
        <v>4</v>
      </c>
      <c r="M53" t="s">
        <v>33</v>
      </c>
      <c r="N53">
        <v>1</v>
      </c>
      <c r="O53">
        <v>4</v>
      </c>
      <c r="P53">
        <v>1</v>
      </c>
      <c r="Q53" t="s">
        <v>48</v>
      </c>
      <c r="R53">
        <v>4</v>
      </c>
      <c r="S53">
        <v>0</v>
      </c>
      <c r="T53" t="s">
        <v>952</v>
      </c>
      <c r="U53" t="s">
        <v>952</v>
      </c>
      <c r="V53" t="s">
        <v>952</v>
      </c>
      <c r="W53" t="s">
        <v>952</v>
      </c>
      <c r="X53">
        <v>0</v>
      </c>
      <c r="Y53" t="s">
        <v>952</v>
      </c>
      <c r="Z53">
        <v>0</v>
      </c>
      <c r="AA53" t="s">
        <v>952</v>
      </c>
      <c r="AB53" t="s">
        <v>952</v>
      </c>
      <c r="AC53" t="s">
        <v>952</v>
      </c>
      <c r="AD53" t="s">
        <v>952</v>
      </c>
      <c r="AE53">
        <v>0</v>
      </c>
      <c r="AF53" t="s">
        <v>952</v>
      </c>
      <c r="AG53" t="s">
        <v>643</v>
      </c>
      <c r="AH53" t="s">
        <v>952</v>
      </c>
      <c r="AI53"/>
      <c r="AJ53"/>
    </row>
    <row r="54" spans="1:36" x14ac:dyDescent="0.25">
      <c r="A54" t="s">
        <v>351</v>
      </c>
      <c r="B54" t="s">
        <v>661</v>
      </c>
      <c r="C54" t="s">
        <v>951</v>
      </c>
      <c r="D54" t="s">
        <v>335</v>
      </c>
      <c r="E54" t="s">
        <v>952</v>
      </c>
      <c r="F54" t="s">
        <v>352</v>
      </c>
      <c r="G54" t="s">
        <v>280</v>
      </c>
      <c r="H54" t="s">
        <v>983</v>
      </c>
      <c r="I54" t="s">
        <v>41</v>
      </c>
      <c r="J54" t="s">
        <v>952</v>
      </c>
      <c r="K54">
        <v>1</v>
      </c>
      <c r="L54">
        <v>1</v>
      </c>
      <c r="M54" t="s">
        <v>33</v>
      </c>
      <c r="N54">
        <v>1</v>
      </c>
      <c r="O54">
        <v>1</v>
      </c>
      <c r="P54">
        <v>1</v>
      </c>
      <c r="Q54" t="s">
        <v>48</v>
      </c>
      <c r="R54">
        <v>1</v>
      </c>
      <c r="S54">
        <v>0</v>
      </c>
      <c r="T54" t="s">
        <v>952</v>
      </c>
      <c r="U54" t="s">
        <v>952</v>
      </c>
      <c r="V54" t="s">
        <v>952</v>
      </c>
      <c r="W54" t="s">
        <v>952</v>
      </c>
      <c r="X54">
        <v>0</v>
      </c>
      <c r="Y54" t="s">
        <v>952</v>
      </c>
      <c r="Z54">
        <v>0</v>
      </c>
      <c r="AA54" t="s">
        <v>952</v>
      </c>
      <c r="AB54" t="s">
        <v>952</v>
      </c>
      <c r="AC54" t="s">
        <v>952</v>
      </c>
      <c r="AD54" t="s">
        <v>952</v>
      </c>
      <c r="AE54">
        <v>0</v>
      </c>
      <c r="AF54" t="s">
        <v>952</v>
      </c>
      <c r="AG54" t="s">
        <v>952</v>
      </c>
      <c r="AH54" t="s">
        <v>952</v>
      </c>
      <c r="AI54"/>
      <c r="AJ54"/>
    </row>
    <row r="55" spans="1:36" x14ac:dyDescent="0.25">
      <c r="A55" t="s">
        <v>351</v>
      </c>
      <c r="B55" t="s">
        <v>661</v>
      </c>
      <c r="C55" t="s">
        <v>951</v>
      </c>
      <c r="D55" t="s">
        <v>335</v>
      </c>
      <c r="E55" t="s">
        <v>952</v>
      </c>
      <c r="F55" t="s">
        <v>353</v>
      </c>
      <c r="G55" t="s">
        <v>280</v>
      </c>
      <c r="H55" t="s">
        <v>984</v>
      </c>
      <c r="I55" t="s">
        <v>41</v>
      </c>
      <c r="J55" t="s">
        <v>952</v>
      </c>
      <c r="K55">
        <v>1</v>
      </c>
      <c r="L55">
        <v>62</v>
      </c>
      <c r="M55" t="s">
        <v>33</v>
      </c>
      <c r="N55">
        <v>1</v>
      </c>
      <c r="O55">
        <v>62</v>
      </c>
      <c r="P55">
        <v>1</v>
      </c>
      <c r="Q55" t="s">
        <v>48</v>
      </c>
      <c r="R55">
        <v>62</v>
      </c>
      <c r="S55">
        <v>0</v>
      </c>
      <c r="T55" t="s">
        <v>952</v>
      </c>
      <c r="U55" t="s">
        <v>952</v>
      </c>
      <c r="V55" t="s">
        <v>952</v>
      </c>
      <c r="W55" t="s">
        <v>952</v>
      </c>
      <c r="X55">
        <v>0</v>
      </c>
      <c r="Y55" t="s">
        <v>952</v>
      </c>
      <c r="Z55">
        <v>0</v>
      </c>
      <c r="AA55" t="s">
        <v>952</v>
      </c>
      <c r="AB55" t="s">
        <v>952</v>
      </c>
      <c r="AC55" t="s">
        <v>952</v>
      </c>
      <c r="AD55" t="s">
        <v>952</v>
      </c>
      <c r="AE55">
        <v>0</v>
      </c>
      <c r="AF55" t="s">
        <v>952</v>
      </c>
      <c r="AG55" t="s">
        <v>952</v>
      </c>
      <c r="AH55" t="s">
        <v>952</v>
      </c>
      <c r="AI55"/>
      <c r="AJ55"/>
    </row>
    <row r="56" spans="1:36" x14ac:dyDescent="0.25">
      <c r="A56" t="s">
        <v>329</v>
      </c>
      <c r="B56" t="s">
        <v>640</v>
      </c>
      <c r="C56" t="s">
        <v>951</v>
      </c>
      <c r="D56" t="s">
        <v>335</v>
      </c>
      <c r="E56" t="s">
        <v>952</v>
      </c>
      <c r="F56" t="s">
        <v>353</v>
      </c>
      <c r="G56" t="s">
        <v>280</v>
      </c>
      <c r="H56" t="s">
        <v>984</v>
      </c>
      <c r="I56" t="s">
        <v>41</v>
      </c>
      <c r="J56" t="s">
        <v>952</v>
      </c>
      <c r="K56">
        <v>1</v>
      </c>
      <c r="L56">
        <v>62</v>
      </c>
      <c r="M56" t="s">
        <v>33</v>
      </c>
      <c r="N56">
        <v>1</v>
      </c>
      <c r="O56">
        <v>62</v>
      </c>
      <c r="P56">
        <v>1</v>
      </c>
      <c r="Q56" t="s">
        <v>48</v>
      </c>
      <c r="R56">
        <v>62</v>
      </c>
      <c r="S56">
        <v>0</v>
      </c>
      <c r="T56" t="s">
        <v>952</v>
      </c>
      <c r="U56" t="s">
        <v>952</v>
      </c>
      <c r="V56" t="s">
        <v>952</v>
      </c>
      <c r="W56" t="s">
        <v>952</v>
      </c>
      <c r="X56">
        <v>0</v>
      </c>
      <c r="Y56" t="s">
        <v>952</v>
      </c>
      <c r="Z56">
        <v>0</v>
      </c>
      <c r="AA56" t="s">
        <v>952</v>
      </c>
      <c r="AB56" t="s">
        <v>952</v>
      </c>
      <c r="AC56" t="s">
        <v>952</v>
      </c>
      <c r="AD56" t="s">
        <v>952</v>
      </c>
      <c r="AE56">
        <v>0</v>
      </c>
      <c r="AF56" t="s">
        <v>952</v>
      </c>
      <c r="AG56" t="s">
        <v>952</v>
      </c>
      <c r="AH56" t="s">
        <v>952</v>
      </c>
      <c r="AI56"/>
      <c r="AJ56"/>
    </row>
    <row r="57" spans="1:36" x14ac:dyDescent="0.25">
      <c r="A57" t="s">
        <v>327</v>
      </c>
      <c r="B57" t="s">
        <v>639</v>
      </c>
      <c r="C57" t="s">
        <v>951</v>
      </c>
      <c r="D57" t="s">
        <v>335</v>
      </c>
      <c r="E57" t="s">
        <v>952</v>
      </c>
      <c r="F57" t="s">
        <v>353</v>
      </c>
      <c r="G57" t="s">
        <v>280</v>
      </c>
      <c r="H57" t="s">
        <v>984</v>
      </c>
      <c r="I57" t="s">
        <v>41</v>
      </c>
      <c r="J57" t="s">
        <v>952</v>
      </c>
      <c r="K57">
        <v>1</v>
      </c>
      <c r="L57">
        <v>62</v>
      </c>
      <c r="M57" t="s">
        <v>33</v>
      </c>
      <c r="N57">
        <v>1</v>
      </c>
      <c r="O57">
        <v>62</v>
      </c>
      <c r="P57">
        <v>1</v>
      </c>
      <c r="Q57" t="s">
        <v>48</v>
      </c>
      <c r="R57">
        <v>62</v>
      </c>
      <c r="S57">
        <v>0</v>
      </c>
      <c r="T57" t="s">
        <v>952</v>
      </c>
      <c r="U57" t="s">
        <v>952</v>
      </c>
      <c r="V57" t="s">
        <v>952</v>
      </c>
      <c r="W57" t="s">
        <v>952</v>
      </c>
      <c r="X57">
        <v>0</v>
      </c>
      <c r="Y57" t="s">
        <v>952</v>
      </c>
      <c r="Z57">
        <v>0</v>
      </c>
      <c r="AA57" t="s">
        <v>952</v>
      </c>
      <c r="AB57" t="s">
        <v>952</v>
      </c>
      <c r="AC57" t="s">
        <v>952</v>
      </c>
      <c r="AD57" t="s">
        <v>952</v>
      </c>
      <c r="AE57">
        <v>0</v>
      </c>
      <c r="AF57" t="s">
        <v>952</v>
      </c>
      <c r="AG57" t="s">
        <v>952</v>
      </c>
      <c r="AH57" t="s">
        <v>952</v>
      </c>
      <c r="AI57"/>
      <c r="AJ57"/>
    </row>
    <row r="58" spans="1:36" x14ac:dyDescent="0.25">
      <c r="A58" t="s">
        <v>334</v>
      </c>
      <c r="B58" t="s">
        <v>658</v>
      </c>
      <c r="C58" t="s">
        <v>951</v>
      </c>
      <c r="D58" t="s">
        <v>335</v>
      </c>
      <c r="E58" t="s">
        <v>952</v>
      </c>
      <c r="F58" t="s">
        <v>354</v>
      </c>
      <c r="G58" t="s">
        <v>280</v>
      </c>
      <c r="H58" t="s">
        <v>985</v>
      </c>
      <c r="I58" t="s">
        <v>41</v>
      </c>
      <c r="J58" t="s">
        <v>952</v>
      </c>
      <c r="K58">
        <v>1</v>
      </c>
      <c r="L58">
        <v>5</v>
      </c>
      <c r="M58" t="s">
        <v>33</v>
      </c>
      <c r="N58">
        <v>1</v>
      </c>
      <c r="O58">
        <v>5</v>
      </c>
      <c r="P58">
        <v>1</v>
      </c>
      <c r="Q58" t="s">
        <v>48</v>
      </c>
      <c r="R58">
        <v>5</v>
      </c>
      <c r="S58">
        <v>0</v>
      </c>
      <c r="T58" t="s">
        <v>952</v>
      </c>
      <c r="U58" t="s">
        <v>952</v>
      </c>
      <c r="V58" t="s">
        <v>952</v>
      </c>
      <c r="W58" t="s">
        <v>952</v>
      </c>
      <c r="X58">
        <v>0</v>
      </c>
      <c r="Y58" t="s">
        <v>952</v>
      </c>
      <c r="Z58">
        <v>0</v>
      </c>
      <c r="AA58" t="s">
        <v>952</v>
      </c>
      <c r="AB58" t="s">
        <v>952</v>
      </c>
      <c r="AC58" t="s">
        <v>952</v>
      </c>
      <c r="AD58" t="s">
        <v>952</v>
      </c>
      <c r="AE58">
        <v>0</v>
      </c>
      <c r="AF58" t="s">
        <v>952</v>
      </c>
      <c r="AG58" t="s">
        <v>608</v>
      </c>
      <c r="AH58" t="s">
        <v>952</v>
      </c>
      <c r="AI58"/>
      <c r="AJ58"/>
    </row>
    <row r="59" spans="1:36" x14ac:dyDescent="0.25">
      <c r="A59" t="s">
        <v>334</v>
      </c>
      <c r="B59" t="s">
        <v>658</v>
      </c>
      <c r="C59" t="s">
        <v>951</v>
      </c>
      <c r="D59" t="s">
        <v>335</v>
      </c>
      <c r="E59" t="s">
        <v>952</v>
      </c>
      <c r="F59" t="s">
        <v>355</v>
      </c>
      <c r="G59" t="s">
        <v>280</v>
      </c>
      <c r="H59" t="s">
        <v>986</v>
      </c>
      <c r="I59" t="s">
        <v>41</v>
      </c>
      <c r="J59" t="s">
        <v>952</v>
      </c>
      <c r="K59">
        <v>1</v>
      </c>
      <c r="L59">
        <v>1</v>
      </c>
      <c r="M59" t="s">
        <v>33</v>
      </c>
      <c r="N59">
        <v>1</v>
      </c>
      <c r="O59">
        <v>1</v>
      </c>
      <c r="P59">
        <v>1</v>
      </c>
      <c r="Q59" t="s">
        <v>48</v>
      </c>
      <c r="R59">
        <v>1</v>
      </c>
      <c r="S59">
        <v>0</v>
      </c>
      <c r="T59" t="s">
        <v>952</v>
      </c>
      <c r="U59" t="s">
        <v>952</v>
      </c>
      <c r="V59" t="s">
        <v>952</v>
      </c>
      <c r="W59" t="s">
        <v>952</v>
      </c>
      <c r="X59">
        <v>0</v>
      </c>
      <c r="Y59" t="s">
        <v>952</v>
      </c>
      <c r="Z59">
        <v>0</v>
      </c>
      <c r="AA59" t="s">
        <v>952</v>
      </c>
      <c r="AB59" t="s">
        <v>952</v>
      </c>
      <c r="AC59" t="s">
        <v>952</v>
      </c>
      <c r="AD59" t="s">
        <v>952</v>
      </c>
      <c r="AE59">
        <v>0</v>
      </c>
      <c r="AF59" t="s">
        <v>952</v>
      </c>
      <c r="AG59" t="s">
        <v>608</v>
      </c>
      <c r="AH59" t="s">
        <v>952</v>
      </c>
      <c r="AI59"/>
      <c r="AJ59"/>
    </row>
    <row r="60" spans="1:36" x14ac:dyDescent="0.25">
      <c r="A60" t="s">
        <v>347</v>
      </c>
      <c r="B60" t="s">
        <v>664</v>
      </c>
      <c r="C60" t="s">
        <v>951</v>
      </c>
      <c r="D60" t="s">
        <v>335</v>
      </c>
      <c r="E60" t="s">
        <v>952</v>
      </c>
      <c r="F60" t="s">
        <v>356</v>
      </c>
      <c r="G60" t="s">
        <v>280</v>
      </c>
      <c r="H60" t="s">
        <v>987</v>
      </c>
      <c r="I60" t="s">
        <v>41</v>
      </c>
      <c r="J60" t="s">
        <v>952</v>
      </c>
      <c r="K60">
        <v>1</v>
      </c>
      <c r="L60">
        <v>13</v>
      </c>
      <c r="M60" t="s">
        <v>33</v>
      </c>
      <c r="N60">
        <v>1</v>
      </c>
      <c r="O60">
        <v>13</v>
      </c>
      <c r="P60">
        <v>1</v>
      </c>
      <c r="Q60" t="s">
        <v>48</v>
      </c>
      <c r="R60">
        <v>13</v>
      </c>
      <c r="S60">
        <v>0</v>
      </c>
      <c r="T60" t="s">
        <v>952</v>
      </c>
      <c r="U60" t="s">
        <v>952</v>
      </c>
      <c r="V60" t="s">
        <v>952</v>
      </c>
      <c r="W60" t="s">
        <v>952</v>
      </c>
      <c r="X60">
        <v>0</v>
      </c>
      <c r="Y60" t="s">
        <v>952</v>
      </c>
      <c r="Z60">
        <v>0</v>
      </c>
      <c r="AA60" t="s">
        <v>952</v>
      </c>
      <c r="AB60" t="s">
        <v>952</v>
      </c>
      <c r="AC60" t="s">
        <v>952</v>
      </c>
      <c r="AD60" t="s">
        <v>952</v>
      </c>
      <c r="AE60">
        <v>0</v>
      </c>
      <c r="AF60" t="s">
        <v>952</v>
      </c>
      <c r="AG60" t="s">
        <v>952</v>
      </c>
      <c r="AH60" t="s">
        <v>952</v>
      </c>
      <c r="AI60"/>
      <c r="AJ60"/>
    </row>
    <row r="61" spans="1:36" x14ac:dyDescent="0.25">
      <c r="A61" t="s">
        <v>667</v>
      </c>
      <c r="B61" t="s">
        <v>668</v>
      </c>
      <c r="C61" t="s">
        <v>951</v>
      </c>
      <c r="D61" t="s">
        <v>335</v>
      </c>
      <c r="E61" t="s">
        <v>952</v>
      </c>
      <c r="F61" t="s">
        <v>356</v>
      </c>
      <c r="G61" t="s">
        <v>280</v>
      </c>
      <c r="H61" t="s">
        <v>987</v>
      </c>
      <c r="I61" t="s">
        <v>41</v>
      </c>
      <c r="J61" t="s">
        <v>952</v>
      </c>
      <c r="K61">
        <v>1</v>
      </c>
      <c r="L61">
        <v>13</v>
      </c>
      <c r="M61" t="s">
        <v>33</v>
      </c>
      <c r="N61">
        <v>1</v>
      </c>
      <c r="O61">
        <v>13</v>
      </c>
      <c r="P61">
        <v>1</v>
      </c>
      <c r="Q61" t="s">
        <v>48</v>
      </c>
      <c r="R61">
        <v>13</v>
      </c>
      <c r="S61">
        <v>0</v>
      </c>
      <c r="T61" t="s">
        <v>952</v>
      </c>
      <c r="U61" t="s">
        <v>952</v>
      </c>
      <c r="V61" t="s">
        <v>952</v>
      </c>
      <c r="W61" t="s">
        <v>952</v>
      </c>
      <c r="X61">
        <v>0</v>
      </c>
      <c r="Y61" t="s">
        <v>952</v>
      </c>
      <c r="Z61">
        <v>0</v>
      </c>
      <c r="AA61" t="s">
        <v>952</v>
      </c>
      <c r="AB61" t="s">
        <v>952</v>
      </c>
      <c r="AC61" t="s">
        <v>952</v>
      </c>
      <c r="AD61" t="s">
        <v>952</v>
      </c>
      <c r="AE61">
        <v>0</v>
      </c>
      <c r="AF61" t="s">
        <v>952</v>
      </c>
      <c r="AG61" t="s">
        <v>952</v>
      </c>
      <c r="AH61" t="s">
        <v>952</v>
      </c>
      <c r="AI61"/>
      <c r="AJ61"/>
    </row>
    <row r="62" spans="1:36" x14ac:dyDescent="0.25">
      <c r="A62" t="s">
        <v>678</v>
      </c>
      <c r="B62" t="s">
        <v>679</v>
      </c>
      <c r="C62" t="s">
        <v>951</v>
      </c>
      <c r="D62" t="s">
        <v>335</v>
      </c>
      <c r="E62" t="s">
        <v>952</v>
      </c>
      <c r="F62" t="s">
        <v>356</v>
      </c>
      <c r="G62" t="s">
        <v>280</v>
      </c>
      <c r="H62" t="s">
        <v>987</v>
      </c>
      <c r="I62" t="s">
        <v>41</v>
      </c>
      <c r="J62" t="s">
        <v>952</v>
      </c>
      <c r="K62">
        <v>1</v>
      </c>
      <c r="L62">
        <v>13</v>
      </c>
      <c r="M62" t="s">
        <v>33</v>
      </c>
      <c r="N62">
        <v>1</v>
      </c>
      <c r="O62">
        <v>13</v>
      </c>
      <c r="P62">
        <v>1</v>
      </c>
      <c r="Q62" t="s">
        <v>48</v>
      </c>
      <c r="R62">
        <v>13</v>
      </c>
      <c r="S62">
        <v>0</v>
      </c>
      <c r="T62" t="s">
        <v>952</v>
      </c>
      <c r="U62" t="s">
        <v>952</v>
      </c>
      <c r="V62" t="s">
        <v>952</v>
      </c>
      <c r="W62" t="s">
        <v>952</v>
      </c>
      <c r="X62">
        <v>0</v>
      </c>
      <c r="Y62" t="s">
        <v>952</v>
      </c>
      <c r="Z62">
        <v>0</v>
      </c>
      <c r="AA62" t="s">
        <v>952</v>
      </c>
      <c r="AB62" t="s">
        <v>952</v>
      </c>
      <c r="AC62" t="s">
        <v>952</v>
      </c>
      <c r="AD62" t="s">
        <v>952</v>
      </c>
      <c r="AE62">
        <v>0</v>
      </c>
      <c r="AF62" t="s">
        <v>952</v>
      </c>
      <c r="AG62" t="s">
        <v>952</v>
      </c>
      <c r="AH62" t="s">
        <v>952</v>
      </c>
      <c r="AI62"/>
      <c r="AJ62"/>
    </row>
    <row r="63" spans="1:36" x14ac:dyDescent="0.25">
      <c r="A63" t="s">
        <v>671</v>
      </c>
      <c r="B63" t="s">
        <v>672</v>
      </c>
      <c r="C63" t="s">
        <v>951</v>
      </c>
      <c r="D63" t="s">
        <v>335</v>
      </c>
      <c r="E63" t="s">
        <v>952</v>
      </c>
      <c r="F63" t="s">
        <v>356</v>
      </c>
      <c r="G63" t="s">
        <v>280</v>
      </c>
      <c r="H63" t="s">
        <v>987</v>
      </c>
      <c r="I63" t="s">
        <v>41</v>
      </c>
      <c r="J63" t="s">
        <v>952</v>
      </c>
      <c r="K63">
        <v>1</v>
      </c>
      <c r="L63">
        <v>13</v>
      </c>
      <c r="M63" t="s">
        <v>33</v>
      </c>
      <c r="N63">
        <v>1</v>
      </c>
      <c r="O63">
        <v>13</v>
      </c>
      <c r="P63">
        <v>1</v>
      </c>
      <c r="Q63" t="s">
        <v>48</v>
      </c>
      <c r="R63">
        <v>13</v>
      </c>
      <c r="S63">
        <v>0</v>
      </c>
      <c r="T63" t="s">
        <v>952</v>
      </c>
      <c r="U63" t="s">
        <v>952</v>
      </c>
      <c r="V63" t="s">
        <v>952</v>
      </c>
      <c r="W63" t="s">
        <v>952</v>
      </c>
      <c r="X63">
        <v>0</v>
      </c>
      <c r="Y63" t="s">
        <v>952</v>
      </c>
      <c r="Z63">
        <v>0</v>
      </c>
      <c r="AA63" t="s">
        <v>952</v>
      </c>
      <c r="AB63" t="s">
        <v>952</v>
      </c>
      <c r="AC63" t="s">
        <v>952</v>
      </c>
      <c r="AD63" t="s">
        <v>952</v>
      </c>
      <c r="AE63">
        <v>0</v>
      </c>
      <c r="AF63" t="s">
        <v>952</v>
      </c>
      <c r="AG63" t="s">
        <v>952</v>
      </c>
      <c r="AH63" t="s">
        <v>952</v>
      </c>
      <c r="AI63"/>
      <c r="AJ63"/>
    </row>
    <row r="64" spans="1:36" x14ac:dyDescent="0.25">
      <c r="A64" t="s">
        <v>669</v>
      </c>
      <c r="B64" t="s">
        <v>670</v>
      </c>
      <c r="C64" t="s">
        <v>951</v>
      </c>
      <c r="D64" t="s">
        <v>335</v>
      </c>
      <c r="E64" t="s">
        <v>952</v>
      </c>
      <c r="F64" t="s">
        <v>356</v>
      </c>
      <c r="G64" t="s">
        <v>280</v>
      </c>
      <c r="H64" t="s">
        <v>987</v>
      </c>
      <c r="I64" t="s">
        <v>41</v>
      </c>
      <c r="J64" t="s">
        <v>952</v>
      </c>
      <c r="K64">
        <v>1</v>
      </c>
      <c r="L64">
        <v>13</v>
      </c>
      <c r="M64" t="s">
        <v>33</v>
      </c>
      <c r="N64">
        <v>1</v>
      </c>
      <c r="O64">
        <v>13</v>
      </c>
      <c r="P64">
        <v>1</v>
      </c>
      <c r="Q64" t="s">
        <v>48</v>
      </c>
      <c r="R64">
        <v>13</v>
      </c>
      <c r="S64">
        <v>0</v>
      </c>
      <c r="T64" t="s">
        <v>952</v>
      </c>
      <c r="U64" t="s">
        <v>952</v>
      </c>
      <c r="V64" t="s">
        <v>952</v>
      </c>
      <c r="W64" t="s">
        <v>952</v>
      </c>
      <c r="X64">
        <v>0</v>
      </c>
      <c r="Y64" t="s">
        <v>952</v>
      </c>
      <c r="Z64">
        <v>0</v>
      </c>
      <c r="AA64" t="s">
        <v>952</v>
      </c>
      <c r="AB64" t="s">
        <v>952</v>
      </c>
      <c r="AC64" t="s">
        <v>952</v>
      </c>
      <c r="AD64" t="s">
        <v>952</v>
      </c>
      <c r="AE64">
        <v>0</v>
      </c>
      <c r="AF64" t="s">
        <v>952</v>
      </c>
      <c r="AG64" t="s">
        <v>952</v>
      </c>
      <c r="AH64" t="s">
        <v>952</v>
      </c>
      <c r="AI64"/>
      <c r="AJ64"/>
    </row>
    <row r="65" spans="1:36" x14ac:dyDescent="0.25">
      <c r="A65" t="s">
        <v>675</v>
      </c>
      <c r="B65" t="s">
        <v>676</v>
      </c>
      <c r="C65" t="s">
        <v>951</v>
      </c>
      <c r="D65" t="s">
        <v>335</v>
      </c>
      <c r="E65" t="s">
        <v>952</v>
      </c>
      <c r="F65" t="s">
        <v>356</v>
      </c>
      <c r="G65" t="s">
        <v>280</v>
      </c>
      <c r="H65" t="s">
        <v>987</v>
      </c>
      <c r="I65" t="s">
        <v>41</v>
      </c>
      <c r="J65" t="s">
        <v>952</v>
      </c>
      <c r="K65">
        <v>1</v>
      </c>
      <c r="L65">
        <v>13</v>
      </c>
      <c r="M65" t="s">
        <v>33</v>
      </c>
      <c r="N65">
        <v>1</v>
      </c>
      <c r="O65">
        <v>13</v>
      </c>
      <c r="P65">
        <v>1</v>
      </c>
      <c r="Q65" t="s">
        <v>48</v>
      </c>
      <c r="R65">
        <v>13</v>
      </c>
      <c r="S65">
        <v>0</v>
      </c>
      <c r="T65" t="s">
        <v>952</v>
      </c>
      <c r="U65" t="s">
        <v>952</v>
      </c>
      <c r="V65" t="s">
        <v>952</v>
      </c>
      <c r="W65" t="s">
        <v>952</v>
      </c>
      <c r="X65">
        <v>0</v>
      </c>
      <c r="Y65" t="s">
        <v>952</v>
      </c>
      <c r="Z65">
        <v>0</v>
      </c>
      <c r="AA65" t="s">
        <v>952</v>
      </c>
      <c r="AB65" t="s">
        <v>952</v>
      </c>
      <c r="AC65" t="s">
        <v>952</v>
      </c>
      <c r="AD65" t="s">
        <v>952</v>
      </c>
      <c r="AE65">
        <v>0</v>
      </c>
      <c r="AF65" t="s">
        <v>952</v>
      </c>
      <c r="AG65" t="s">
        <v>952</v>
      </c>
      <c r="AH65" t="s">
        <v>952</v>
      </c>
      <c r="AI65"/>
      <c r="AJ65"/>
    </row>
    <row r="66" spans="1:36" x14ac:dyDescent="0.25">
      <c r="A66" t="s">
        <v>357</v>
      </c>
      <c r="B66" t="s">
        <v>677</v>
      </c>
      <c r="C66" t="s">
        <v>951</v>
      </c>
      <c r="D66" t="s">
        <v>335</v>
      </c>
      <c r="E66" t="s">
        <v>952</v>
      </c>
      <c r="F66" t="s">
        <v>358</v>
      </c>
      <c r="G66" t="s">
        <v>280</v>
      </c>
      <c r="H66" t="s">
        <v>988</v>
      </c>
      <c r="I66" t="s">
        <v>41</v>
      </c>
      <c r="J66" t="s">
        <v>952</v>
      </c>
      <c r="K66">
        <v>1</v>
      </c>
      <c r="L66">
        <v>2</v>
      </c>
      <c r="M66" t="s">
        <v>33</v>
      </c>
      <c r="N66">
        <v>1</v>
      </c>
      <c r="O66">
        <v>2</v>
      </c>
      <c r="P66">
        <v>1</v>
      </c>
      <c r="Q66" t="s">
        <v>48</v>
      </c>
      <c r="R66">
        <v>2</v>
      </c>
      <c r="S66">
        <v>0</v>
      </c>
      <c r="T66" t="s">
        <v>952</v>
      </c>
      <c r="U66" t="s">
        <v>952</v>
      </c>
      <c r="V66" t="s">
        <v>952</v>
      </c>
      <c r="W66" t="s">
        <v>952</v>
      </c>
      <c r="X66">
        <v>0</v>
      </c>
      <c r="Y66" t="s">
        <v>952</v>
      </c>
      <c r="Z66">
        <v>0</v>
      </c>
      <c r="AA66" t="s">
        <v>952</v>
      </c>
      <c r="AB66" t="s">
        <v>952</v>
      </c>
      <c r="AC66" t="s">
        <v>952</v>
      </c>
      <c r="AD66" t="s">
        <v>952</v>
      </c>
      <c r="AE66">
        <v>0</v>
      </c>
      <c r="AF66" t="s">
        <v>952</v>
      </c>
      <c r="AG66" t="s">
        <v>618</v>
      </c>
      <c r="AH66" t="s">
        <v>952</v>
      </c>
      <c r="AI66"/>
      <c r="AJ66"/>
    </row>
    <row r="67" spans="1:36" x14ac:dyDescent="0.25">
      <c r="A67" t="s">
        <v>359</v>
      </c>
      <c r="B67" t="s">
        <v>660</v>
      </c>
      <c r="C67" t="s">
        <v>951</v>
      </c>
      <c r="D67" t="s">
        <v>335</v>
      </c>
      <c r="E67" t="s">
        <v>952</v>
      </c>
      <c r="F67" t="s">
        <v>360</v>
      </c>
      <c r="G67" t="s">
        <v>280</v>
      </c>
      <c r="H67" t="s">
        <v>989</v>
      </c>
      <c r="I67" t="s">
        <v>41</v>
      </c>
      <c r="J67" t="s">
        <v>952</v>
      </c>
      <c r="K67">
        <v>1</v>
      </c>
      <c r="L67">
        <v>1</v>
      </c>
      <c r="M67" t="s">
        <v>33</v>
      </c>
      <c r="N67">
        <v>1</v>
      </c>
      <c r="O67">
        <v>1</v>
      </c>
      <c r="P67">
        <v>1</v>
      </c>
      <c r="Q67" t="s">
        <v>48</v>
      </c>
      <c r="R67">
        <v>1</v>
      </c>
      <c r="S67">
        <v>0</v>
      </c>
      <c r="T67" t="s">
        <v>952</v>
      </c>
      <c r="U67" t="s">
        <v>952</v>
      </c>
      <c r="V67" t="s">
        <v>952</v>
      </c>
      <c r="W67" t="s">
        <v>952</v>
      </c>
      <c r="X67">
        <v>0</v>
      </c>
      <c r="Y67" t="s">
        <v>952</v>
      </c>
      <c r="Z67">
        <v>0</v>
      </c>
      <c r="AA67" t="s">
        <v>952</v>
      </c>
      <c r="AB67" t="s">
        <v>952</v>
      </c>
      <c r="AC67" t="s">
        <v>952</v>
      </c>
      <c r="AD67" t="s">
        <v>952</v>
      </c>
      <c r="AE67">
        <v>0</v>
      </c>
      <c r="AF67" t="s">
        <v>952</v>
      </c>
      <c r="AG67" t="s">
        <v>621</v>
      </c>
      <c r="AH67" t="s">
        <v>952</v>
      </c>
      <c r="AI67"/>
      <c r="AJ67"/>
    </row>
    <row r="68" spans="1:36" x14ac:dyDescent="0.25">
      <c r="A68" t="s">
        <v>347</v>
      </c>
      <c r="B68" t="s">
        <v>664</v>
      </c>
      <c r="C68" t="s">
        <v>951</v>
      </c>
      <c r="D68" t="s">
        <v>335</v>
      </c>
      <c r="E68" t="s">
        <v>952</v>
      </c>
      <c r="F68" t="s">
        <v>361</v>
      </c>
      <c r="G68" t="s">
        <v>280</v>
      </c>
      <c r="H68" t="s">
        <v>990</v>
      </c>
      <c r="I68" t="s">
        <v>41</v>
      </c>
      <c r="J68" t="s">
        <v>952</v>
      </c>
      <c r="K68">
        <v>1</v>
      </c>
      <c r="L68">
        <v>4</v>
      </c>
      <c r="M68" t="s">
        <v>33</v>
      </c>
      <c r="N68">
        <v>1</v>
      </c>
      <c r="O68">
        <v>4</v>
      </c>
      <c r="P68">
        <v>1</v>
      </c>
      <c r="Q68" t="s">
        <v>48</v>
      </c>
      <c r="R68">
        <v>4</v>
      </c>
      <c r="S68">
        <v>0</v>
      </c>
      <c r="T68" t="s">
        <v>952</v>
      </c>
      <c r="U68" t="s">
        <v>952</v>
      </c>
      <c r="V68" t="s">
        <v>952</v>
      </c>
      <c r="W68" t="s">
        <v>952</v>
      </c>
      <c r="X68">
        <v>0</v>
      </c>
      <c r="Y68" t="s">
        <v>952</v>
      </c>
      <c r="Z68">
        <v>0</v>
      </c>
      <c r="AA68" t="s">
        <v>952</v>
      </c>
      <c r="AB68" t="s">
        <v>952</v>
      </c>
      <c r="AC68" t="s">
        <v>952</v>
      </c>
      <c r="AD68" t="s">
        <v>952</v>
      </c>
      <c r="AE68">
        <v>0</v>
      </c>
      <c r="AF68" t="s">
        <v>952</v>
      </c>
      <c r="AG68" t="s">
        <v>952</v>
      </c>
      <c r="AH68" t="s">
        <v>952</v>
      </c>
      <c r="AI68"/>
      <c r="AJ68"/>
    </row>
    <row r="69" spans="1:36" x14ac:dyDescent="0.25">
      <c r="A69" t="s">
        <v>334</v>
      </c>
      <c r="B69" t="s">
        <v>658</v>
      </c>
      <c r="C69" t="s">
        <v>951</v>
      </c>
      <c r="D69" t="s">
        <v>335</v>
      </c>
      <c r="E69" t="s">
        <v>952</v>
      </c>
      <c r="F69" t="s">
        <v>362</v>
      </c>
      <c r="G69" t="s">
        <v>280</v>
      </c>
      <c r="H69" t="s">
        <v>991</v>
      </c>
      <c r="I69" t="s">
        <v>41</v>
      </c>
      <c r="J69" t="s">
        <v>952</v>
      </c>
      <c r="K69">
        <v>1</v>
      </c>
      <c r="L69">
        <v>4</v>
      </c>
      <c r="M69" t="s">
        <v>33</v>
      </c>
      <c r="N69">
        <v>1</v>
      </c>
      <c r="O69">
        <v>4</v>
      </c>
      <c r="P69">
        <v>1</v>
      </c>
      <c r="Q69" t="s">
        <v>48</v>
      </c>
      <c r="R69">
        <v>4</v>
      </c>
      <c r="S69">
        <v>0</v>
      </c>
      <c r="T69" t="s">
        <v>952</v>
      </c>
      <c r="U69" t="s">
        <v>952</v>
      </c>
      <c r="V69" t="s">
        <v>952</v>
      </c>
      <c r="W69" t="s">
        <v>952</v>
      </c>
      <c r="X69">
        <v>0</v>
      </c>
      <c r="Y69" t="s">
        <v>952</v>
      </c>
      <c r="Z69">
        <v>0</v>
      </c>
      <c r="AA69" t="s">
        <v>952</v>
      </c>
      <c r="AB69" t="s">
        <v>952</v>
      </c>
      <c r="AC69" t="s">
        <v>952</v>
      </c>
      <c r="AD69" t="s">
        <v>952</v>
      </c>
      <c r="AE69">
        <v>0</v>
      </c>
      <c r="AF69" t="s">
        <v>952</v>
      </c>
      <c r="AG69" t="s">
        <v>608</v>
      </c>
      <c r="AH69" t="s">
        <v>952</v>
      </c>
      <c r="AI69"/>
      <c r="AJ69"/>
    </row>
    <row r="70" spans="1:36" x14ac:dyDescent="0.25">
      <c r="A70" t="s">
        <v>337</v>
      </c>
      <c r="B70" t="s">
        <v>659</v>
      </c>
      <c r="C70" t="s">
        <v>951</v>
      </c>
      <c r="D70" t="s">
        <v>335</v>
      </c>
      <c r="E70" t="s">
        <v>952</v>
      </c>
      <c r="F70" t="s">
        <v>363</v>
      </c>
      <c r="G70" t="s">
        <v>280</v>
      </c>
      <c r="H70" t="s">
        <v>992</v>
      </c>
      <c r="I70" t="s">
        <v>41</v>
      </c>
      <c r="J70" t="s">
        <v>952</v>
      </c>
      <c r="K70">
        <v>1</v>
      </c>
      <c r="L70">
        <v>4</v>
      </c>
      <c r="M70" t="s">
        <v>33</v>
      </c>
      <c r="N70">
        <v>1</v>
      </c>
      <c r="O70">
        <v>4</v>
      </c>
      <c r="P70">
        <v>1</v>
      </c>
      <c r="Q70" t="s">
        <v>48</v>
      </c>
      <c r="R70">
        <v>4</v>
      </c>
      <c r="S70">
        <v>0</v>
      </c>
      <c r="T70" t="s">
        <v>952</v>
      </c>
      <c r="U70" t="s">
        <v>952</v>
      </c>
      <c r="V70" t="s">
        <v>952</v>
      </c>
      <c r="W70" t="s">
        <v>952</v>
      </c>
      <c r="X70">
        <v>0</v>
      </c>
      <c r="Y70" t="s">
        <v>952</v>
      </c>
      <c r="Z70">
        <v>0</v>
      </c>
      <c r="AA70" t="s">
        <v>952</v>
      </c>
      <c r="AB70" t="s">
        <v>952</v>
      </c>
      <c r="AC70" t="s">
        <v>952</v>
      </c>
      <c r="AD70" t="s">
        <v>952</v>
      </c>
      <c r="AE70">
        <v>0</v>
      </c>
      <c r="AF70" t="s">
        <v>952</v>
      </c>
      <c r="AG70" t="s">
        <v>649</v>
      </c>
      <c r="AH70" t="s">
        <v>952</v>
      </c>
      <c r="AI70"/>
      <c r="AJ70"/>
    </row>
    <row r="71" spans="1:36" x14ac:dyDescent="0.25">
      <c r="A71" t="s">
        <v>337</v>
      </c>
      <c r="B71" t="s">
        <v>659</v>
      </c>
      <c r="C71" t="s">
        <v>951</v>
      </c>
      <c r="D71" t="s">
        <v>335</v>
      </c>
      <c r="E71" t="s">
        <v>952</v>
      </c>
      <c r="F71" t="s">
        <v>364</v>
      </c>
      <c r="G71" t="s">
        <v>280</v>
      </c>
      <c r="H71" t="s">
        <v>993</v>
      </c>
      <c r="I71" t="s">
        <v>41</v>
      </c>
      <c r="J71" t="s">
        <v>952</v>
      </c>
      <c r="K71">
        <v>1</v>
      </c>
      <c r="L71">
        <v>8</v>
      </c>
      <c r="M71" t="s">
        <v>33</v>
      </c>
      <c r="N71">
        <v>1</v>
      </c>
      <c r="O71">
        <v>8</v>
      </c>
      <c r="P71">
        <v>1</v>
      </c>
      <c r="Q71" t="s">
        <v>48</v>
      </c>
      <c r="R71">
        <v>8</v>
      </c>
      <c r="S71">
        <v>0</v>
      </c>
      <c r="T71" t="s">
        <v>952</v>
      </c>
      <c r="U71" t="s">
        <v>952</v>
      </c>
      <c r="V71" t="s">
        <v>952</v>
      </c>
      <c r="W71" t="s">
        <v>952</v>
      </c>
      <c r="X71">
        <v>0</v>
      </c>
      <c r="Y71" t="s">
        <v>952</v>
      </c>
      <c r="Z71">
        <v>0</v>
      </c>
      <c r="AA71" t="s">
        <v>952</v>
      </c>
      <c r="AB71" t="s">
        <v>952</v>
      </c>
      <c r="AC71" t="s">
        <v>952</v>
      </c>
      <c r="AD71" t="s">
        <v>952</v>
      </c>
      <c r="AE71">
        <v>0</v>
      </c>
      <c r="AF71" t="s">
        <v>952</v>
      </c>
      <c r="AG71" t="s">
        <v>649</v>
      </c>
      <c r="AH71" t="s">
        <v>952</v>
      </c>
      <c r="AI71"/>
      <c r="AJ71"/>
    </row>
    <row r="72" spans="1:36" x14ac:dyDescent="0.25">
      <c r="A72" t="s">
        <v>337</v>
      </c>
      <c r="B72" t="s">
        <v>659</v>
      </c>
      <c r="C72" t="s">
        <v>951</v>
      </c>
      <c r="D72" t="s">
        <v>335</v>
      </c>
      <c r="E72" t="s">
        <v>952</v>
      </c>
      <c r="F72" t="s">
        <v>365</v>
      </c>
      <c r="G72" t="s">
        <v>280</v>
      </c>
      <c r="H72" t="s">
        <v>994</v>
      </c>
      <c r="I72" t="s">
        <v>41</v>
      </c>
      <c r="J72" t="s">
        <v>952</v>
      </c>
      <c r="K72">
        <v>1</v>
      </c>
      <c r="L72">
        <v>4</v>
      </c>
      <c r="M72" t="s">
        <v>33</v>
      </c>
      <c r="N72">
        <v>1</v>
      </c>
      <c r="O72">
        <v>4</v>
      </c>
      <c r="P72">
        <v>1</v>
      </c>
      <c r="Q72" t="s">
        <v>48</v>
      </c>
      <c r="R72">
        <v>4</v>
      </c>
      <c r="S72">
        <v>0</v>
      </c>
      <c r="T72" t="s">
        <v>952</v>
      </c>
      <c r="U72" t="s">
        <v>952</v>
      </c>
      <c r="V72" t="s">
        <v>952</v>
      </c>
      <c r="W72" t="s">
        <v>952</v>
      </c>
      <c r="X72">
        <v>0</v>
      </c>
      <c r="Y72" t="s">
        <v>952</v>
      </c>
      <c r="Z72">
        <v>0</v>
      </c>
      <c r="AA72" t="s">
        <v>952</v>
      </c>
      <c r="AB72" t="s">
        <v>952</v>
      </c>
      <c r="AC72" t="s">
        <v>952</v>
      </c>
      <c r="AD72" t="s">
        <v>952</v>
      </c>
      <c r="AE72">
        <v>0</v>
      </c>
      <c r="AF72" t="s">
        <v>952</v>
      </c>
      <c r="AG72" t="s">
        <v>649</v>
      </c>
      <c r="AH72" t="s">
        <v>952</v>
      </c>
      <c r="AI72"/>
      <c r="AJ72"/>
    </row>
    <row r="73" spans="1:36" x14ac:dyDescent="0.25">
      <c r="A73" t="s">
        <v>366</v>
      </c>
      <c r="B73" t="s">
        <v>798</v>
      </c>
      <c r="C73" t="s">
        <v>951</v>
      </c>
      <c r="D73" t="s">
        <v>335</v>
      </c>
      <c r="E73" t="s">
        <v>952</v>
      </c>
      <c r="F73" t="s">
        <v>367</v>
      </c>
      <c r="G73" t="s">
        <v>280</v>
      </c>
      <c r="H73" t="s">
        <v>995</v>
      </c>
      <c r="I73" t="s">
        <v>41</v>
      </c>
      <c r="J73" t="s">
        <v>952</v>
      </c>
      <c r="K73">
        <v>1</v>
      </c>
      <c r="L73">
        <v>1</v>
      </c>
      <c r="M73" t="s">
        <v>33</v>
      </c>
      <c r="N73">
        <v>1</v>
      </c>
      <c r="O73">
        <v>1</v>
      </c>
      <c r="P73">
        <v>1</v>
      </c>
      <c r="Q73" t="s">
        <v>48</v>
      </c>
      <c r="R73">
        <v>1</v>
      </c>
      <c r="S73">
        <v>0</v>
      </c>
      <c r="T73" t="s">
        <v>952</v>
      </c>
      <c r="U73" t="s">
        <v>952</v>
      </c>
      <c r="V73" t="s">
        <v>952</v>
      </c>
      <c r="W73" t="s">
        <v>952</v>
      </c>
      <c r="X73">
        <v>0</v>
      </c>
      <c r="Y73" t="s">
        <v>952</v>
      </c>
      <c r="Z73">
        <v>0</v>
      </c>
      <c r="AA73" t="s">
        <v>952</v>
      </c>
      <c r="AB73" t="s">
        <v>952</v>
      </c>
      <c r="AC73" t="s">
        <v>952</v>
      </c>
      <c r="AD73" t="s">
        <v>952</v>
      </c>
      <c r="AE73">
        <v>0</v>
      </c>
      <c r="AF73" t="s">
        <v>952</v>
      </c>
      <c r="AG73" t="s">
        <v>787</v>
      </c>
      <c r="AH73" t="s">
        <v>952</v>
      </c>
      <c r="AI73"/>
      <c r="AJ73"/>
    </row>
    <row r="74" spans="1:36" x14ac:dyDescent="0.25">
      <c r="A74" t="s">
        <v>351</v>
      </c>
      <c r="B74" t="s">
        <v>661</v>
      </c>
      <c r="C74" t="s">
        <v>951</v>
      </c>
      <c r="D74" t="s">
        <v>335</v>
      </c>
      <c r="E74" t="s">
        <v>952</v>
      </c>
      <c r="F74" t="s">
        <v>368</v>
      </c>
      <c r="G74" t="s">
        <v>280</v>
      </c>
      <c r="H74" t="s">
        <v>996</v>
      </c>
      <c r="I74" t="s">
        <v>41</v>
      </c>
      <c r="J74" t="s">
        <v>952</v>
      </c>
      <c r="K74">
        <v>1</v>
      </c>
      <c r="L74">
        <v>5</v>
      </c>
      <c r="M74" t="s">
        <v>33</v>
      </c>
      <c r="N74">
        <v>1</v>
      </c>
      <c r="O74">
        <v>5</v>
      </c>
      <c r="P74">
        <v>1</v>
      </c>
      <c r="Q74" t="s">
        <v>48</v>
      </c>
      <c r="R74">
        <v>5</v>
      </c>
      <c r="S74">
        <v>0</v>
      </c>
      <c r="T74" t="s">
        <v>952</v>
      </c>
      <c r="U74" t="s">
        <v>952</v>
      </c>
      <c r="V74" t="s">
        <v>952</v>
      </c>
      <c r="W74" t="s">
        <v>952</v>
      </c>
      <c r="X74">
        <v>0</v>
      </c>
      <c r="Y74" t="s">
        <v>952</v>
      </c>
      <c r="Z74">
        <v>0</v>
      </c>
      <c r="AA74" t="s">
        <v>952</v>
      </c>
      <c r="AB74" t="s">
        <v>952</v>
      </c>
      <c r="AC74" t="s">
        <v>952</v>
      </c>
      <c r="AD74" t="s">
        <v>952</v>
      </c>
      <c r="AE74">
        <v>0</v>
      </c>
      <c r="AF74" t="s">
        <v>952</v>
      </c>
      <c r="AG74" t="s">
        <v>952</v>
      </c>
      <c r="AH74" t="s">
        <v>952</v>
      </c>
      <c r="AI74"/>
      <c r="AJ74"/>
    </row>
    <row r="75" spans="1:36" x14ac:dyDescent="0.25">
      <c r="A75" t="s">
        <v>351</v>
      </c>
      <c r="B75" t="s">
        <v>661</v>
      </c>
      <c r="C75" t="s">
        <v>951</v>
      </c>
      <c r="D75" t="s">
        <v>335</v>
      </c>
      <c r="E75" t="s">
        <v>952</v>
      </c>
      <c r="F75" t="s">
        <v>369</v>
      </c>
      <c r="G75" t="s">
        <v>280</v>
      </c>
      <c r="H75" t="s">
        <v>997</v>
      </c>
      <c r="I75" t="s">
        <v>41</v>
      </c>
      <c r="J75" t="s">
        <v>952</v>
      </c>
      <c r="K75">
        <v>1</v>
      </c>
      <c r="L75">
        <v>5</v>
      </c>
      <c r="M75" t="s">
        <v>33</v>
      </c>
      <c r="N75">
        <v>1</v>
      </c>
      <c r="O75">
        <v>5</v>
      </c>
      <c r="P75">
        <v>1</v>
      </c>
      <c r="Q75" t="s">
        <v>48</v>
      </c>
      <c r="R75">
        <v>5</v>
      </c>
      <c r="S75">
        <v>0</v>
      </c>
      <c r="T75" t="s">
        <v>952</v>
      </c>
      <c r="U75" t="s">
        <v>952</v>
      </c>
      <c r="V75" t="s">
        <v>952</v>
      </c>
      <c r="W75" t="s">
        <v>952</v>
      </c>
      <c r="X75">
        <v>0</v>
      </c>
      <c r="Y75" t="s">
        <v>952</v>
      </c>
      <c r="Z75">
        <v>0</v>
      </c>
      <c r="AA75" t="s">
        <v>952</v>
      </c>
      <c r="AB75" t="s">
        <v>952</v>
      </c>
      <c r="AC75" t="s">
        <v>952</v>
      </c>
      <c r="AD75" t="s">
        <v>952</v>
      </c>
      <c r="AE75">
        <v>0</v>
      </c>
      <c r="AF75" t="s">
        <v>952</v>
      </c>
      <c r="AG75" t="s">
        <v>952</v>
      </c>
      <c r="AH75" t="s">
        <v>952</v>
      </c>
      <c r="AI75"/>
      <c r="AJ75"/>
    </row>
    <row r="76" spans="1:36" x14ac:dyDescent="0.25">
      <c r="A76" t="s">
        <v>370</v>
      </c>
      <c r="B76" t="s">
        <v>799</v>
      </c>
      <c r="C76" t="s">
        <v>951</v>
      </c>
      <c r="D76" t="s">
        <v>335</v>
      </c>
      <c r="E76" t="s">
        <v>952</v>
      </c>
      <c r="F76" t="s">
        <v>371</v>
      </c>
      <c r="G76" t="s">
        <v>280</v>
      </c>
      <c r="H76" t="s">
        <v>998</v>
      </c>
      <c r="I76" t="s">
        <v>41</v>
      </c>
      <c r="J76" t="s">
        <v>952</v>
      </c>
      <c r="K76">
        <v>1</v>
      </c>
      <c r="L76">
        <v>5</v>
      </c>
      <c r="M76" t="s">
        <v>33</v>
      </c>
      <c r="N76">
        <v>1</v>
      </c>
      <c r="O76">
        <v>5</v>
      </c>
      <c r="P76">
        <v>1</v>
      </c>
      <c r="Q76" t="s">
        <v>48</v>
      </c>
      <c r="R76">
        <v>5</v>
      </c>
      <c r="S76">
        <v>0</v>
      </c>
      <c r="T76" t="s">
        <v>952</v>
      </c>
      <c r="U76" t="s">
        <v>952</v>
      </c>
      <c r="V76" t="s">
        <v>952</v>
      </c>
      <c r="W76" t="s">
        <v>952</v>
      </c>
      <c r="X76">
        <v>0</v>
      </c>
      <c r="Y76" t="s">
        <v>952</v>
      </c>
      <c r="Z76">
        <v>0</v>
      </c>
      <c r="AA76" t="s">
        <v>952</v>
      </c>
      <c r="AB76" t="s">
        <v>952</v>
      </c>
      <c r="AC76" t="s">
        <v>952</v>
      </c>
      <c r="AD76" t="s">
        <v>952</v>
      </c>
      <c r="AE76">
        <v>0</v>
      </c>
      <c r="AF76" t="s">
        <v>952</v>
      </c>
      <c r="AG76" t="s">
        <v>787</v>
      </c>
      <c r="AH76" t="s">
        <v>952</v>
      </c>
      <c r="AI76"/>
      <c r="AJ76"/>
    </row>
    <row r="77" spans="1:36" x14ac:dyDescent="0.25">
      <c r="A77" t="s">
        <v>370</v>
      </c>
      <c r="B77" t="s">
        <v>799</v>
      </c>
      <c r="C77" t="s">
        <v>951</v>
      </c>
      <c r="D77" t="s">
        <v>335</v>
      </c>
      <c r="E77" t="s">
        <v>952</v>
      </c>
      <c r="F77" t="s">
        <v>372</v>
      </c>
      <c r="G77" t="s">
        <v>280</v>
      </c>
      <c r="H77" t="s">
        <v>999</v>
      </c>
      <c r="I77" t="s">
        <v>41</v>
      </c>
      <c r="J77" t="s">
        <v>952</v>
      </c>
      <c r="K77">
        <v>1</v>
      </c>
      <c r="L77">
        <v>5</v>
      </c>
      <c r="M77" t="s">
        <v>33</v>
      </c>
      <c r="N77">
        <v>1</v>
      </c>
      <c r="O77">
        <v>5</v>
      </c>
      <c r="P77">
        <v>1</v>
      </c>
      <c r="Q77" t="s">
        <v>48</v>
      </c>
      <c r="R77">
        <v>5</v>
      </c>
      <c r="S77">
        <v>0</v>
      </c>
      <c r="T77" t="s">
        <v>952</v>
      </c>
      <c r="U77" t="s">
        <v>952</v>
      </c>
      <c r="V77" t="s">
        <v>952</v>
      </c>
      <c r="W77" t="s">
        <v>952</v>
      </c>
      <c r="X77">
        <v>0</v>
      </c>
      <c r="Y77" t="s">
        <v>952</v>
      </c>
      <c r="Z77">
        <v>0</v>
      </c>
      <c r="AA77" t="s">
        <v>952</v>
      </c>
      <c r="AB77" t="s">
        <v>952</v>
      </c>
      <c r="AC77" t="s">
        <v>952</v>
      </c>
      <c r="AD77" t="s">
        <v>952</v>
      </c>
      <c r="AE77">
        <v>0</v>
      </c>
      <c r="AF77" t="s">
        <v>952</v>
      </c>
      <c r="AG77" t="s">
        <v>787</v>
      </c>
      <c r="AH77" t="s">
        <v>952</v>
      </c>
      <c r="AI77"/>
      <c r="AJ77"/>
    </row>
    <row r="78" spans="1:36" x14ac:dyDescent="0.25">
      <c r="A78" t="s">
        <v>373</v>
      </c>
      <c r="B78" t="s">
        <v>662</v>
      </c>
      <c r="C78" t="s">
        <v>951</v>
      </c>
      <c r="D78" t="s">
        <v>335</v>
      </c>
      <c r="E78" t="s">
        <v>952</v>
      </c>
      <c r="F78" t="s">
        <v>374</v>
      </c>
      <c r="G78" t="s">
        <v>280</v>
      </c>
      <c r="H78" t="s">
        <v>1000</v>
      </c>
      <c r="I78" t="s">
        <v>41</v>
      </c>
      <c r="J78" t="s">
        <v>952</v>
      </c>
      <c r="K78">
        <v>1</v>
      </c>
      <c r="L78">
        <v>7</v>
      </c>
      <c r="M78" t="s">
        <v>33</v>
      </c>
      <c r="N78">
        <v>1</v>
      </c>
      <c r="O78">
        <v>7</v>
      </c>
      <c r="P78">
        <v>1</v>
      </c>
      <c r="Q78" t="s">
        <v>48</v>
      </c>
      <c r="R78">
        <v>7</v>
      </c>
      <c r="S78">
        <v>0</v>
      </c>
      <c r="T78" t="s">
        <v>952</v>
      </c>
      <c r="U78" t="s">
        <v>952</v>
      </c>
      <c r="V78" t="s">
        <v>952</v>
      </c>
      <c r="W78" t="s">
        <v>952</v>
      </c>
      <c r="X78">
        <v>0</v>
      </c>
      <c r="Y78" t="s">
        <v>952</v>
      </c>
      <c r="Z78">
        <v>0</v>
      </c>
      <c r="AA78" t="s">
        <v>952</v>
      </c>
      <c r="AB78" t="s">
        <v>952</v>
      </c>
      <c r="AC78" t="s">
        <v>952</v>
      </c>
      <c r="AD78" t="s">
        <v>952</v>
      </c>
      <c r="AE78">
        <v>0</v>
      </c>
      <c r="AF78" t="s">
        <v>952</v>
      </c>
      <c r="AG78" t="s">
        <v>621</v>
      </c>
      <c r="AH78" t="s">
        <v>952</v>
      </c>
      <c r="AI78"/>
      <c r="AJ78"/>
    </row>
    <row r="79" spans="1:36" x14ac:dyDescent="0.25">
      <c r="A79" t="s">
        <v>359</v>
      </c>
      <c r="B79" t="s">
        <v>660</v>
      </c>
      <c r="C79" t="s">
        <v>951</v>
      </c>
      <c r="D79" t="s">
        <v>335</v>
      </c>
      <c r="E79" t="s">
        <v>952</v>
      </c>
      <c r="F79" t="s">
        <v>375</v>
      </c>
      <c r="G79" t="s">
        <v>280</v>
      </c>
      <c r="H79" t="s">
        <v>1001</v>
      </c>
      <c r="I79" t="s">
        <v>41</v>
      </c>
      <c r="J79" t="s">
        <v>952</v>
      </c>
      <c r="K79">
        <v>1</v>
      </c>
      <c r="L79">
        <v>2</v>
      </c>
      <c r="M79" t="s">
        <v>33</v>
      </c>
      <c r="N79">
        <v>1</v>
      </c>
      <c r="O79">
        <v>2</v>
      </c>
      <c r="P79">
        <v>1</v>
      </c>
      <c r="Q79" t="s">
        <v>48</v>
      </c>
      <c r="R79">
        <v>2</v>
      </c>
      <c r="S79">
        <v>0</v>
      </c>
      <c r="T79" t="s">
        <v>952</v>
      </c>
      <c r="U79" t="s">
        <v>952</v>
      </c>
      <c r="V79" t="s">
        <v>952</v>
      </c>
      <c r="W79" t="s">
        <v>952</v>
      </c>
      <c r="X79">
        <v>0</v>
      </c>
      <c r="Y79" t="s">
        <v>952</v>
      </c>
      <c r="Z79">
        <v>0</v>
      </c>
      <c r="AA79" t="s">
        <v>952</v>
      </c>
      <c r="AB79" t="s">
        <v>952</v>
      </c>
      <c r="AC79" t="s">
        <v>952</v>
      </c>
      <c r="AD79" t="s">
        <v>952</v>
      </c>
      <c r="AE79">
        <v>0</v>
      </c>
      <c r="AF79" t="s">
        <v>952</v>
      </c>
      <c r="AG79" t="s">
        <v>952</v>
      </c>
      <c r="AH79" t="s">
        <v>952</v>
      </c>
      <c r="AI79"/>
      <c r="AJ79"/>
    </row>
    <row r="80" spans="1:36" x14ac:dyDescent="0.25">
      <c r="A80" t="s">
        <v>800</v>
      </c>
      <c r="B80" t="s">
        <v>801</v>
      </c>
      <c r="C80" t="s">
        <v>951</v>
      </c>
      <c r="D80" t="s">
        <v>335</v>
      </c>
      <c r="E80" t="s">
        <v>952</v>
      </c>
      <c r="F80" t="s">
        <v>375</v>
      </c>
      <c r="G80" t="s">
        <v>280</v>
      </c>
      <c r="H80" t="s">
        <v>1001</v>
      </c>
      <c r="I80" t="s">
        <v>41</v>
      </c>
      <c r="J80" t="s">
        <v>952</v>
      </c>
      <c r="K80">
        <v>1</v>
      </c>
      <c r="L80">
        <v>2</v>
      </c>
      <c r="M80" t="s">
        <v>33</v>
      </c>
      <c r="N80">
        <v>1</v>
      </c>
      <c r="O80">
        <v>2</v>
      </c>
      <c r="P80">
        <v>1</v>
      </c>
      <c r="Q80" t="s">
        <v>48</v>
      </c>
      <c r="R80">
        <v>2</v>
      </c>
      <c r="S80">
        <v>0</v>
      </c>
      <c r="T80" t="s">
        <v>952</v>
      </c>
      <c r="U80" t="s">
        <v>952</v>
      </c>
      <c r="V80" t="s">
        <v>952</v>
      </c>
      <c r="W80" t="s">
        <v>952</v>
      </c>
      <c r="X80">
        <v>0</v>
      </c>
      <c r="Y80" t="s">
        <v>952</v>
      </c>
      <c r="Z80">
        <v>0</v>
      </c>
      <c r="AA80" t="s">
        <v>952</v>
      </c>
      <c r="AB80" t="s">
        <v>952</v>
      </c>
      <c r="AC80" t="s">
        <v>952</v>
      </c>
      <c r="AD80" t="s">
        <v>952</v>
      </c>
      <c r="AE80">
        <v>0</v>
      </c>
      <c r="AF80" t="s">
        <v>952</v>
      </c>
      <c r="AG80" t="s">
        <v>952</v>
      </c>
      <c r="AH80" t="s">
        <v>952</v>
      </c>
      <c r="AI80"/>
      <c r="AJ80"/>
    </row>
    <row r="81" spans="1:36" x14ac:dyDescent="0.25">
      <c r="A81" t="s">
        <v>376</v>
      </c>
      <c r="B81" t="s">
        <v>802</v>
      </c>
      <c r="C81" t="s">
        <v>951</v>
      </c>
      <c r="D81" t="s">
        <v>335</v>
      </c>
      <c r="E81" t="s">
        <v>952</v>
      </c>
      <c r="F81" t="s">
        <v>377</v>
      </c>
      <c r="G81" t="s">
        <v>280</v>
      </c>
      <c r="H81" t="s">
        <v>1002</v>
      </c>
      <c r="I81" t="s">
        <v>41</v>
      </c>
      <c r="J81" t="s">
        <v>952</v>
      </c>
      <c r="K81">
        <v>1</v>
      </c>
      <c r="L81">
        <v>16</v>
      </c>
      <c r="M81" t="s">
        <v>33</v>
      </c>
      <c r="N81">
        <v>1</v>
      </c>
      <c r="O81">
        <v>16</v>
      </c>
      <c r="P81">
        <v>1</v>
      </c>
      <c r="Q81" t="s">
        <v>48</v>
      </c>
      <c r="R81">
        <v>16</v>
      </c>
      <c r="S81">
        <v>0</v>
      </c>
      <c r="T81" t="s">
        <v>952</v>
      </c>
      <c r="U81" t="s">
        <v>952</v>
      </c>
      <c r="V81" t="s">
        <v>952</v>
      </c>
      <c r="W81" t="s">
        <v>952</v>
      </c>
      <c r="X81">
        <v>0</v>
      </c>
      <c r="Y81" t="s">
        <v>952</v>
      </c>
      <c r="Z81">
        <v>0</v>
      </c>
      <c r="AA81" t="s">
        <v>952</v>
      </c>
      <c r="AB81" t="s">
        <v>952</v>
      </c>
      <c r="AC81" t="s">
        <v>952</v>
      </c>
      <c r="AD81" t="s">
        <v>952</v>
      </c>
      <c r="AE81">
        <v>0</v>
      </c>
      <c r="AF81" t="s">
        <v>952</v>
      </c>
      <c r="AG81" t="s">
        <v>787</v>
      </c>
      <c r="AH81" t="s">
        <v>952</v>
      </c>
      <c r="AI81"/>
      <c r="AJ81"/>
    </row>
    <row r="82" spans="1:36" x14ac:dyDescent="0.25">
      <c r="A82" t="s">
        <v>683</v>
      </c>
      <c r="B82" t="s">
        <v>684</v>
      </c>
      <c r="C82" t="s">
        <v>951</v>
      </c>
      <c r="D82" t="s">
        <v>378</v>
      </c>
      <c r="E82" t="s">
        <v>952</v>
      </c>
      <c r="F82" t="s">
        <v>379</v>
      </c>
      <c r="G82" t="s">
        <v>280</v>
      </c>
      <c r="H82" t="s">
        <v>1003</v>
      </c>
      <c r="I82" t="s">
        <v>35</v>
      </c>
      <c r="J82" t="s">
        <v>952</v>
      </c>
      <c r="K82">
        <v>1</v>
      </c>
      <c r="L82">
        <v>5</v>
      </c>
      <c r="M82" t="s">
        <v>33</v>
      </c>
      <c r="N82">
        <v>1</v>
      </c>
      <c r="O82">
        <v>5</v>
      </c>
      <c r="P82">
        <v>1</v>
      </c>
      <c r="Q82" t="s">
        <v>48</v>
      </c>
      <c r="R82">
        <v>5</v>
      </c>
      <c r="S82">
        <v>0</v>
      </c>
      <c r="T82" t="s">
        <v>952</v>
      </c>
      <c r="U82" t="s">
        <v>952</v>
      </c>
      <c r="V82" t="s">
        <v>952</v>
      </c>
      <c r="W82" t="s">
        <v>952</v>
      </c>
      <c r="X82">
        <v>0</v>
      </c>
      <c r="Y82" t="s">
        <v>952</v>
      </c>
      <c r="Z82">
        <v>0</v>
      </c>
      <c r="AA82" t="s">
        <v>952</v>
      </c>
      <c r="AB82" t="s">
        <v>952</v>
      </c>
      <c r="AC82" t="s">
        <v>952</v>
      </c>
      <c r="AD82" t="s">
        <v>952</v>
      </c>
      <c r="AE82">
        <v>0</v>
      </c>
      <c r="AF82" t="s">
        <v>952</v>
      </c>
      <c r="AG82" t="s">
        <v>952</v>
      </c>
      <c r="AH82" t="s">
        <v>952</v>
      </c>
      <c r="AI82"/>
      <c r="AJ82"/>
    </row>
    <row r="83" spans="1:36" x14ac:dyDescent="0.25">
      <c r="A83" t="s">
        <v>685</v>
      </c>
      <c r="B83" t="s">
        <v>686</v>
      </c>
      <c r="C83" t="s">
        <v>951</v>
      </c>
      <c r="D83" t="s">
        <v>378</v>
      </c>
      <c r="E83" t="s">
        <v>952</v>
      </c>
      <c r="F83" t="s">
        <v>379</v>
      </c>
      <c r="G83" t="s">
        <v>280</v>
      </c>
      <c r="H83" t="s">
        <v>1003</v>
      </c>
      <c r="I83" t="s">
        <v>35</v>
      </c>
      <c r="J83" t="s">
        <v>952</v>
      </c>
      <c r="K83">
        <v>1</v>
      </c>
      <c r="L83">
        <v>5</v>
      </c>
      <c r="M83" t="s">
        <v>33</v>
      </c>
      <c r="N83">
        <v>1</v>
      </c>
      <c r="O83">
        <v>5</v>
      </c>
      <c r="P83">
        <v>1</v>
      </c>
      <c r="Q83" t="s">
        <v>48</v>
      </c>
      <c r="R83">
        <v>5</v>
      </c>
      <c r="S83">
        <v>0</v>
      </c>
      <c r="T83" t="s">
        <v>952</v>
      </c>
      <c r="U83" t="s">
        <v>952</v>
      </c>
      <c r="V83" t="s">
        <v>952</v>
      </c>
      <c r="W83" t="s">
        <v>952</v>
      </c>
      <c r="X83">
        <v>0</v>
      </c>
      <c r="Y83" t="s">
        <v>952</v>
      </c>
      <c r="Z83">
        <v>0</v>
      </c>
      <c r="AA83" t="s">
        <v>952</v>
      </c>
      <c r="AB83" t="s">
        <v>952</v>
      </c>
      <c r="AC83" t="s">
        <v>952</v>
      </c>
      <c r="AD83" t="s">
        <v>952</v>
      </c>
      <c r="AE83">
        <v>0</v>
      </c>
      <c r="AF83" t="s">
        <v>952</v>
      </c>
      <c r="AG83" t="s">
        <v>952</v>
      </c>
      <c r="AH83" t="s">
        <v>952</v>
      </c>
      <c r="AI83"/>
      <c r="AJ83"/>
    </row>
    <row r="84" spans="1:36" x14ac:dyDescent="0.25">
      <c r="A84" t="s">
        <v>687</v>
      </c>
      <c r="B84" t="s">
        <v>688</v>
      </c>
      <c r="C84" t="s">
        <v>951</v>
      </c>
      <c r="D84" t="s">
        <v>378</v>
      </c>
      <c r="E84" t="s">
        <v>952</v>
      </c>
      <c r="F84" t="s">
        <v>379</v>
      </c>
      <c r="G84" t="s">
        <v>280</v>
      </c>
      <c r="H84" t="s">
        <v>1003</v>
      </c>
      <c r="I84" t="s">
        <v>35</v>
      </c>
      <c r="J84" t="s">
        <v>952</v>
      </c>
      <c r="K84">
        <v>1</v>
      </c>
      <c r="L84">
        <v>5</v>
      </c>
      <c r="M84" t="s">
        <v>33</v>
      </c>
      <c r="N84">
        <v>1</v>
      </c>
      <c r="O84">
        <v>5</v>
      </c>
      <c r="P84">
        <v>1</v>
      </c>
      <c r="Q84" t="s">
        <v>48</v>
      </c>
      <c r="R84">
        <v>5</v>
      </c>
      <c r="S84">
        <v>0</v>
      </c>
      <c r="T84" t="s">
        <v>952</v>
      </c>
      <c r="U84" t="s">
        <v>952</v>
      </c>
      <c r="V84" t="s">
        <v>952</v>
      </c>
      <c r="W84" t="s">
        <v>952</v>
      </c>
      <c r="X84">
        <v>0</v>
      </c>
      <c r="Y84" t="s">
        <v>952</v>
      </c>
      <c r="Z84">
        <v>0</v>
      </c>
      <c r="AA84" t="s">
        <v>952</v>
      </c>
      <c r="AB84" t="s">
        <v>952</v>
      </c>
      <c r="AC84" t="s">
        <v>952</v>
      </c>
      <c r="AD84" t="s">
        <v>952</v>
      </c>
      <c r="AE84">
        <v>0</v>
      </c>
      <c r="AF84" t="s">
        <v>952</v>
      </c>
      <c r="AG84" t="s">
        <v>952</v>
      </c>
      <c r="AH84" t="s">
        <v>952</v>
      </c>
      <c r="AI84"/>
      <c r="AJ84"/>
    </row>
    <row r="85" spans="1:36" x14ac:dyDescent="0.25">
      <c r="A85" t="s">
        <v>380</v>
      </c>
      <c r="B85" t="s">
        <v>689</v>
      </c>
      <c r="C85" t="s">
        <v>951</v>
      </c>
      <c r="D85" t="s">
        <v>378</v>
      </c>
      <c r="E85" t="s">
        <v>952</v>
      </c>
      <c r="F85" t="s">
        <v>381</v>
      </c>
      <c r="G85" t="s">
        <v>280</v>
      </c>
      <c r="H85" t="s">
        <v>1004</v>
      </c>
      <c r="I85" t="s">
        <v>41</v>
      </c>
      <c r="J85" t="s">
        <v>952</v>
      </c>
      <c r="K85">
        <v>1</v>
      </c>
      <c r="L85">
        <v>1</v>
      </c>
      <c r="M85" t="s">
        <v>33</v>
      </c>
      <c r="N85">
        <v>1</v>
      </c>
      <c r="O85">
        <v>1</v>
      </c>
      <c r="P85">
        <v>1</v>
      </c>
      <c r="Q85" t="s">
        <v>48</v>
      </c>
      <c r="R85">
        <v>1</v>
      </c>
      <c r="S85">
        <v>0</v>
      </c>
      <c r="T85" t="s">
        <v>952</v>
      </c>
      <c r="U85" t="s">
        <v>952</v>
      </c>
      <c r="V85" t="s">
        <v>952</v>
      </c>
      <c r="W85" t="s">
        <v>952</v>
      </c>
      <c r="X85">
        <v>0</v>
      </c>
      <c r="Y85" t="s">
        <v>952</v>
      </c>
      <c r="Z85">
        <v>0</v>
      </c>
      <c r="AA85" t="s">
        <v>952</v>
      </c>
      <c r="AB85" t="s">
        <v>952</v>
      </c>
      <c r="AC85" t="s">
        <v>952</v>
      </c>
      <c r="AD85" t="s">
        <v>952</v>
      </c>
      <c r="AE85">
        <v>0</v>
      </c>
      <c r="AF85" t="s">
        <v>952</v>
      </c>
      <c r="AG85" t="s">
        <v>618</v>
      </c>
      <c r="AH85" t="s">
        <v>952</v>
      </c>
      <c r="AI85"/>
      <c r="AJ85"/>
    </row>
    <row r="86" spans="1:36" x14ac:dyDescent="0.25">
      <c r="A86" t="s">
        <v>685</v>
      </c>
      <c r="B86" t="s">
        <v>686</v>
      </c>
      <c r="C86" t="s">
        <v>951</v>
      </c>
      <c r="D86" t="s">
        <v>378</v>
      </c>
      <c r="E86" t="s">
        <v>952</v>
      </c>
      <c r="F86" t="s">
        <v>382</v>
      </c>
      <c r="G86" t="s">
        <v>280</v>
      </c>
      <c r="H86" t="s">
        <v>1005</v>
      </c>
      <c r="I86" t="s">
        <v>41</v>
      </c>
      <c r="J86" t="s">
        <v>952</v>
      </c>
      <c r="K86">
        <v>1</v>
      </c>
      <c r="L86">
        <v>4</v>
      </c>
      <c r="M86" t="s">
        <v>33</v>
      </c>
      <c r="N86">
        <v>1</v>
      </c>
      <c r="O86">
        <v>4</v>
      </c>
      <c r="P86">
        <v>1</v>
      </c>
      <c r="Q86" t="s">
        <v>48</v>
      </c>
      <c r="R86">
        <v>4</v>
      </c>
      <c r="S86">
        <v>0</v>
      </c>
      <c r="T86" t="s">
        <v>952</v>
      </c>
      <c r="U86" t="s">
        <v>952</v>
      </c>
      <c r="V86" t="s">
        <v>952</v>
      </c>
      <c r="W86" t="s">
        <v>952</v>
      </c>
      <c r="X86">
        <v>0</v>
      </c>
      <c r="Y86" t="s">
        <v>952</v>
      </c>
      <c r="Z86">
        <v>0</v>
      </c>
      <c r="AA86" t="s">
        <v>952</v>
      </c>
      <c r="AB86" t="s">
        <v>952</v>
      </c>
      <c r="AC86" t="s">
        <v>952</v>
      </c>
      <c r="AD86" t="s">
        <v>952</v>
      </c>
      <c r="AE86">
        <v>0</v>
      </c>
      <c r="AF86" t="s">
        <v>952</v>
      </c>
      <c r="AG86" t="s">
        <v>952</v>
      </c>
      <c r="AH86" t="s">
        <v>952</v>
      </c>
      <c r="AI86"/>
      <c r="AJ86"/>
    </row>
    <row r="87" spans="1:36" x14ac:dyDescent="0.25">
      <c r="A87" t="s">
        <v>687</v>
      </c>
      <c r="B87" t="s">
        <v>688</v>
      </c>
      <c r="C87" t="s">
        <v>951</v>
      </c>
      <c r="D87" t="s">
        <v>378</v>
      </c>
      <c r="E87" t="s">
        <v>952</v>
      </c>
      <c r="F87" t="s">
        <v>382</v>
      </c>
      <c r="G87" t="s">
        <v>280</v>
      </c>
      <c r="H87" t="s">
        <v>1005</v>
      </c>
      <c r="I87" t="s">
        <v>41</v>
      </c>
      <c r="J87" t="s">
        <v>952</v>
      </c>
      <c r="K87">
        <v>1</v>
      </c>
      <c r="L87">
        <v>4</v>
      </c>
      <c r="M87" t="s">
        <v>33</v>
      </c>
      <c r="N87">
        <v>1</v>
      </c>
      <c r="O87">
        <v>4</v>
      </c>
      <c r="P87">
        <v>1</v>
      </c>
      <c r="Q87" t="s">
        <v>48</v>
      </c>
      <c r="R87">
        <v>4</v>
      </c>
      <c r="S87">
        <v>0</v>
      </c>
      <c r="T87" t="s">
        <v>952</v>
      </c>
      <c r="U87" t="s">
        <v>952</v>
      </c>
      <c r="V87" t="s">
        <v>952</v>
      </c>
      <c r="W87" t="s">
        <v>952</v>
      </c>
      <c r="X87">
        <v>0</v>
      </c>
      <c r="Y87" t="s">
        <v>952</v>
      </c>
      <c r="Z87">
        <v>0</v>
      </c>
      <c r="AA87" t="s">
        <v>952</v>
      </c>
      <c r="AB87" t="s">
        <v>952</v>
      </c>
      <c r="AC87" t="s">
        <v>952</v>
      </c>
      <c r="AD87" t="s">
        <v>952</v>
      </c>
      <c r="AE87">
        <v>0</v>
      </c>
      <c r="AF87" t="s">
        <v>952</v>
      </c>
      <c r="AG87" t="s">
        <v>952</v>
      </c>
      <c r="AH87" t="s">
        <v>952</v>
      </c>
      <c r="AI87"/>
      <c r="AJ87"/>
    </row>
    <row r="88" spans="1:36" x14ac:dyDescent="0.25">
      <c r="A88" t="s">
        <v>383</v>
      </c>
      <c r="B88" t="s">
        <v>692</v>
      </c>
      <c r="C88" t="s">
        <v>951</v>
      </c>
      <c r="D88" t="s">
        <v>378</v>
      </c>
      <c r="E88" t="s">
        <v>952</v>
      </c>
      <c r="F88" t="s">
        <v>384</v>
      </c>
      <c r="G88" t="s">
        <v>280</v>
      </c>
      <c r="H88" t="s">
        <v>1006</v>
      </c>
      <c r="I88" t="s">
        <v>41</v>
      </c>
      <c r="J88" t="s">
        <v>952</v>
      </c>
      <c r="K88">
        <v>1</v>
      </c>
      <c r="L88">
        <v>4</v>
      </c>
      <c r="M88" t="s">
        <v>33</v>
      </c>
      <c r="N88">
        <v>1</v>
      </c>
      <c r="O88">
        <v>4</v>
      </c>
      <c r="P88">
        <v>1</v>
      </c>
      <c r="Q88" t="s">
        <v>48</v>
      </c>
      <c r="R88">
        <v>4</v>
      </c>
      <c r="S88">
        <v>0</v>
      </c>
      <c r="T88" t="s">
        <v>952</v>
      </c>
      <c r="U88" t="s">
        <v>952</v>
      </c>
      <c r="V88" t="s">
        <v>952</v>
      </c>
      <c r="W88" t="s">
        <v>952</v>
      </c>
      <c r="X88">
        <v>0</v>
      </c>
      <c r="Y88" t="s">
        <v>952</v>
      </c>
      <c r="Z88">
        <v>0</v>
      </c>
      <c r="AA88" t="s">
        <v>952</v>
      </c>
      <c r="AB88" t="s">
        <v>952</v>
      </c>
      <c r="AC88" t="s">
        <v>952</v>
      </c>
      <c r="AD88" t="s">
        <v>952</v>
      </c>
      <c r="AE88">
        <v>0</v>
      </c>
      <c r="AF88" t="s">
        <v>952</v>
      </c>
      <c r="AG88" t="s">
        <v>621</v>
      </c>
      <c r="AH88" t="s">
        <v>952</v>
      </c>
      <c r="AI88"/>
      <c r="AJ88"/>
    </row>
    <row r="89" spans="1:36" x14ac:dyDescent="0.25">
      <c r="A89" t="s">
        <v>385</v>
      </c>
      <c r="B89" t="s">
        <v>693</v>
      </c>
      <c r="C89" t="s">
        <v>951</v>
      </c>
      <c r="D89" t="s">
        <v>378</v>
      </c>
      <c r="E89" t="s">
        <v>952</v>
      </c>
      <c r="F89" t="s">
        <v>386</v>
      </c>
      <c r="G89" t="s">
        <v>280</v>
      </c>
      <c r="H89" t="s">
        <v>1007</v>
      </c>
      <c r="I89" t="s">
        <v>41</v>
      </c>
      <c r="J89" t="s">
        <v>952</v>
      </c>
      <c r="K89">
        <v>1</v>
      </c>
      <c r="L89">
        <v>2</v>
      </c>
      <c r="M89" t="s">
        <v>33</v>
      </c>
      <c r="N89">
        <v>1</v>
      </c>
      <c r="O89">
        <v>2</v>
      </c>
      <c r="P89">
        <v>1</v>
      </c>
      <c r="Q89" t="s">
        <v>48</v>
      </c>
      <c r="R89">
        <v>2</v>
      </c>
      <c r="S89">
        <v>0</v>
      </c>
      <c r="T89" t="s">
        <v>952</v>
      </c>
      <c r="U89" t="s">
        <v>952</v>
      </c>
      <c r="V89" t="s">
        <v>952</v>
      </c>
      <c r="W89" t="s">
        <v>952</v>
      </c>
      <c r="X89">
        <v>0</v>
      </c>
      <c r="Y89" t="s">
        <v>952</v>
      </c>
      <c r="Z89">
        <v>0</v>
      </c>
      <c r="AA89" t="s">
        <v>952</v>
      </c>
      <c r="AB89" t="s">
        <v>952</v>
      </c>
      <c r="AC89" t="s">
        <v>952</v>
      </c>
      <c r="AD89" t="s">
        <v>952</v>
      </c>
      <c r="AE89">
        <v>0</v>
      </c>
      <c r="AF89" t="s">
        <v>952</v>
      </c>
      <c r="AG89" t="s">
        <v>618</v>
      </c>
      <c r="AH89" t="s">
        <v>952</v>
      </c>
      <c r="AI89"/>
      <c r="AJ89"/>
    </row>
    <row r="90" spans="1:36" x14ac:dyDescent="0.25">
      <c r="A90" t="s">
        <v>387</v>
      </c>
      <c r="B90" t="s">
        <v>796</v>
      </c>
      <c r="C90" t="s">
        <v>951</v>
      </c>
      <c r="D90" t="s">
        <v>378</v>
      </c>
      <c r="E90" t="s">
        <v>952</v>
      </c>
      <c r="F90" t="s">
        <v>388</v>
      </c>
      <c r="G90" t="s">
        <v>280</v>
      </c>
      <c r="H90" t="s">
        <v>1008</v>
      </c>
      <c r="I90" t="s">
        <v>41</v>
      </c>
      <c r="J90" t="s">
        <v>952</v>
      </c>
      <c r="K90">
        <v>1</v>
      </c>
      <c r="L90">
        <v>3</v>
      </c>
      <c r="M90" t="s">
        <v>33</v>
      </c>
      <c r="N90">
        <v>1</v>
      </c>
      <c r="O90">
        <v>3</v>
      </c>
      <c r="P90">
        <v>1</v>
      </c>
      <c r="Q90" t="s">
        <v>48</v>
      </c>
      <c r="R90">
        <v>3</v>
      </c>
      <c r="S90">
        <v>0</v>
      </c>
      <c r="T90" t="s">
        <v>952</v>
      </c>
      <c r="U90" t="s">
        <v>952</v>
      </c>
      <c r="V90" t="s">
        <v>952</v>
      </c>
      <c r="W90" t="s">
        <v>952</v>
      </c>
      <c r="X90">
        <v>0</v>
      </c>
      <c r="Y90" t="s">
        <v>952</v>
      </c>
      <c r="Z90">
        <v>0</v>
      </c>
      <c r="AA90" t="s">
        <v>952</v>
      </c>
      <c r="AB90" t="s">
        <v>952</v>
      </c>
      <c r="AC90" t="s">
        <v>952</v>
      </c>
      <c r="AD90" t="s">
        <v>952</v>
      </c>
      <c r="AE90">
        <v>0</v>
      </c>
      <c r="AF90" t="s">
        <v>952</v>
      </c>
      <c r="AG90" t="s">
        <v>787</v>
      </c>
      <c r="AH90" t="s">
        <v>952</v>
      </c>
      <c r="AI90"/>
      <c r="AJ90"/>
    </row>
    <row r="91" spans="1:36" x14ac:dyDescent="0.25">
      <c r="A91" t="s">
        <v>389</v>
      </c>
      <c r="B91" t="s">
        <v>797</v>
      </c>
      <c r="C91" t="s">
        <v>951</v>
      </c>
      <c r="D91" t="s">
        <v>378</v>
      </c>
      <c r="E91" t="s">
        <v>952</v>
      </c>
      <c r="F91" t="s">
        <v>390</v>
      </c>
      <c r="G91" t="s">
        <v>280</v>
      </c>
      <c r="H91" t="s">
        <v>1009</v>
      </c>
      <c r="I91" t="s">
        <v>41</v>
      </c>
      <c r="J91" t="s">
        <v>952</v>
      </c>
      <c r="K91">
        <v>1</v>
      </c>
      <c r="L91">
        <v>1</v>
      </c>
      <c r="M91" t="s">
        <v>33</v>
      </c>
      <c r="N91">
        <v>1</v>
      </c>
      <c r="O91">
        <v>1</v>
      </c>
      <c r="P91">
        <v>1</v>
      </c>
      <c r="Q91" t="s">
        <v>48</v>
      </c>
      <c r="R91">
        <v>1</v>
      </c>
      <c r="S91">
        <v>0</v>
      </c>
      <c r="T91" t="s">
        <v>952</v>
      </c>
      <c r="U91" t="s">
        <v>952</v>
      </c>
      <c r="V91" t="s">
        <v>952</v>
      </c>
      <c r="W91" t="s">
        <v>952</v>
      </c>
      <c r="X91">
        <v>0</v>
      </c>
      <c r="Y91" t="s">
        <v>952</v>
      </c>
      <c r="Z91">
        <v>0</v>
      </c>
      <c r="AA91" t="s">
        <v>952</v>
      </c>
      <c r="AB91" t="s">
        <v>952</v>
      </c>
      <c r="AC91" t="s">
        <v>952</v>
      </c>
      <c r="AD91" t="s">
        <v>952</v>
      </c>
      <c r="AE91">
        <v>0</v>
      </c>
      <c r="AF91" t="s">
        <v>952</v>
      </c>
      <c r="AG91" t="s">
        <v>787</v>
      </c>
      <c r="AH91" t="s">
        <v>952</v>
      </c>
      <c r="AI91"/>
      <c r="AJ91"/>
    </row>
    <row r="92" spans="1:36" x14ac:dyDescent="0.25">
      <c r="A92" t="s">
        <v>389</v>
      </c>
      <c r="B92" t="s">
        <v>797</v>
      </c>
      <c r="C92" t="s">
        <v>951</v>
      </c>
      <c r="D92" t="s">
        <v>378</v>
      </c>
      <c r="E92" t="s">
        <v>952</v>
      </c>
      <c r="F92" t="s">
        <v>391</v>
      </c>
      <c r="G92" t="s">
        <v>280</v>
      </c>
      <c r="H92" t="s">
        <v>1010</v>
      </c>
      <c r="I92" t="s">
        <v>41</v>
      </c>
      <c r="J92" t="s">
        <v>952</v>
      </c>
      <c r="K92">
        <v>1</v>
      </c>
      <c r="L92">
        <v>1</v>
      </c>
      <c r="M92" t="s">
        <v>33</v>
      </c>
      <c r="N92">
        <v>1</v>
      </c>
      <c r="O92">
        <v>1</v>
      </c>
      <c r="P92">
        <v>1</v>
      </c>
      <c r="Q92" t="s">
        <v>48</v>
      </c>
      <c r="R92">
        <v>1</v>
      </c>
      <c r="S92">
        <v>0</v>
      </c>
      <c r="T92" t="s">
        <v>952</v>
      </c>
      <c r="U92" t="s">
        <v>952</v>
      </c>
      <c r="V92" t="s">
        <v>952</v>
      </c>
      <c r="W92" t="s">
        <v>952</v>
      </c>
      <c r="X92">
        <v>0</v>
      </c>
      <c r="Y92" t="s">
        <v>952</v>
      </c>
      <c r="Z92">
        <v>0</v>
      </c>
      <c r="AA92" t="s">
        <v>952</v>
      </c>
      <c r="AB92" t="s">
        <v>952</v>
      </c>
      <c r="AC92" t="s">
        <v>952</v>
      </c>
      <c r="AD92" t="s">
        <v>952</v>
      </c>
      <c r="AE92">
        <v>0</v>
      </c>
      <c r="AF92" t="s">
        <v>952</v>
      </c>
      <c r="AG92" t="s">
        <v>787</v>
      </c>
      <c r="AH92" t="s">
        <v>952</v>
      </c>
      <c r="AI92"/>
      <c r="AJ92"/>
    </row>
    <row r="93" spans="1:36" x14ac:dyDescent="0.25">
      <c r="A93" t="s">
        <v>408</v>
      </c>
      <c r="B93" t="s">
        <v>698</v>
      </c>
      <c r="C93" t="s">
        <v>951</v>
      </c>
      <c r="D93" t="s">
        <v>378</v>
      </c>
      <c r="E93" t="s">
        <v>952</v>
      </c>
      <c r="F93" t="s">
        <v>392</v>
      </c>
      <c r="G93" t="s">
        <v>280</v>
      </c>
      <c r="H93" t="s">
        <v>1011</v>
      </c>
      <c r="I93" t="s">
        <v>41</v>
      </c>
      <c r="J93" t="s">
        <v>952</v>
      </c>
      <c r="K93">
        <v>1</v>
      </c>
      <c r="L93">
        <v>16</v>
      </c>
      <c r="M93" t="s">
        <v>33</v>
      </c>
      <c r="N93">
        <v>1</v>
      </c>
      <c r="O93">
        <v>16</v>
      </c>
      <c r="P93">
        <v>1</v>
      </c>
      <c r="Q93" t="s">
        <v>48</v>
      </c>
      <c r="R93">
        <v>16</v>
      </c>
      <c r="S93">
        <v>0</v>
      </c>
      <c r="T93" t="s">
        <v>952</v>
      </c>
      <c r="U93" t="s">
        <v>952</v>
      </c>
      <c r="V93" t="s">
        <v>952</v>
      </c>
      <c r="W93" t="s">
        <v>952</v>
      </c>
      <c r="X93">
        <v>0</v>
      </c>
      <c r="Y93" t="s">
        <v>952</v>
      </c>
      <c r="Z93">
        <v>0</v>
      </c>
      <c r="AA93" t="s">
        <v>952</v>
      </c>
      <c r="AB93" t="s">
        <v>952</v>
      </c>
      <c r="AC93" t="s">
        <v>952</v>
      </c>
      <c r="AD93" t="s">
        <v>952</v>
      </c>
      <c r="AE93">
        <v>0</v>
      </c>
      <c r="AF93" t="s">
        <v>952</v>
      </c>
      <c r="AG93" t="s">
        <v>952</v>
      </c>
      <c r="AH93" t="s">
        <v>952</v>
      </c>
      <c r="AI93"/>
      <c r="AJ93"/>
    </row>
    <row r="94" spans="1:36" x14ac:dyDescent="0.25">
      <c r="A94" t="s">
        <v>690</v>
      </c>
      <c r="B94" t="s">
        <v>691</v>
      </c>
      <c r="C94" t="s">
        <v>951</v>
      </c>
      <c r="D94" t="s">
        <v>378</v>
      </c>
      <c r="E94" t="s">
        <v>952</v>
      </c>
      <c r="F94" t="s">
        <v>392</v>
      </c>
      <c r="G94" t="s">
        <v>280</v>
      </c>
      <c r="H94" t="s">
        <v>1011</v>
      </c>
      <c r="I94" t="s">
        <v>41</v>
      </c>
      <c r="J94" t="s">
        <v>952</v>
      </c>
      <c r="K94">
        <v>1</v>
      </c>
      <c r="L94">
        <v>16</v>
      </c>
      <c r="M94" t="s">
        <v>33</v>
      </c>
      <c r="N94">
        <v>1</v>
      </c>
      <c r="O94">
        <v>16</v>
      </c>
      <c r="P94">
        <v>1</v>
      </c>
      <c r="Q94" t="s">
        <v>48</v>
      </c>
      <c r="R94">
        <v>16</v>
      </c>
      <c r="S94">
        <v>0</v>
      </c>
      <c r="T94" t="s">
        <v>952</v>
      </c>
      <c r="U94" t="s">
        <v>952</v>
      </c>
      <c r="V94" t="s">
        <v>952</v>
      </c>
      <c r="W94" t="s">
        <v>952</v>
      </c>
      <c r="X94">
        <v>0</v>
      </c>
      <c r="Y94" t="s">
        <v>952</v>
      </c>
      <c r="Z94">
        <v>0</v>
      </c>
      <c r="AA94" t="s">
        <v>952</v>
      </c>
      <c r="AB94" t="s">
        <v>952</v>
      </c>
      <c r="AC94" t="s">
        <v>952</v>
      </c>
      <c r="AD94" t="s">
        <v>952</v>
      </c>
      <c r="AE94">
        <v>0</v>
      </c>
      <c r="AF94" t="s">
        <v>952</v>
      </c>
      <c r="AG94" t="s">
        <v>952</v>
      </c>
      <c r="AH94" t="s">
        <v>952</v>
      </c>
      <c r="AI94"/>
      <c r="AJ94"/>
    </row>
    <row r="95" spans="1:36" x14ac:dyDescent="0.25">
      <c r="A95" t="s">
        <v>393</v>
      </c>
      <c r="B95" t="s">
        <v>394</v>
      </c>
      <c r="C95" t="s">
        <v>951</v>
      </c>
      <c r="D95" t="s">
        <v>394</v>
      </c>
      <c r="E95" t="s">
        <v>952</v>
      </c>
      <c r="F95" t="s">
        <v>395</v>
      </c>
      <c r="G95" t="s">
        <v>280</v>
      </c>
      <c r="H95" t="s">
        <v>1012</v>
      </c>
      <c r="I95" t="s">
        <v>41</v>
      </c>
      <c r="J95" t="s">
        <v>952</v>
      </c>
      <c r="K95">
        <v>1</v>
      </c>
      <c r="L95">
        <v>12</v>
      </c>
      <c r="M95" t="s">
        <v>33</v>
      </c>
      <c r="N95">
        <v>1</v>
      </c>
      <c r="O95">
        <v>12</v>
      </c>
      <c r="P95">
        <v>1</v>
      </c>
      <c r="Q95" t="s">
        <v>48</v>
      </c>
      <c r="R95">
        <v>12</v>
      </c>
      <c r="S95">
        <v>0</v>
      </c>
      <c r="T95" t="s">
        <v>952</v>
      </c>
      <c r="U95" t="s">
        <v>952</v>
      </c>
      <c r="V95" t="s">
        <v>952</v>
      </c>
      <c r="W95" t="s">
        <v>952</v>
      </c>
      <c r="X95">
        <v>0</v>
      </c>
      <c r="Y95" t="s">
        <v>952</v>
      </c>
      <c r="Z95">
        <v>0</v>
      </c>
      <c r="AA95" t="s">
        <v>952</v>
      </c>
      <c r="AB95" t="s">
        <v>952</v>
      </c>
      <c r="AC95" t="s">
        <v>952</v>
      </c>
      <c r="AD95" t="s">
        <v>952</v>
      </c>
      <c r="AE95">
        <v>0</v>
      </c>
      <c r="AF95" t="s">
        <v>952</v>
      </c>
      <c r="AG95" t="s">
        <v>618</v>
      </c>
      <c r="AH95" t="s">
        <v>952</v>
      </c>
      <c r="AI95"/>
      <c r="AJ95"/>
    </row>
    <row r="96" spans="1:36" x14ac:dyDescent="0.25">
      <c r="A96" t="s">
        <v>393</v>
      </c>
      <c r="B96" t="s">
        <v>394</v>
      </c>
      <c r="C96" t="s">
        <v>951</v>
      </c>
      <c r="D96" t="s">
        <v>394</v>
      </c>
      <c r="E96" t="s">
        <v>952</v>
      </c>
      <c r="F96" t="s">
        <v>396</v>
      </c>
      <c r="G96" t="s">
        <v>280</v>
      </c>
      <c r="H96" t="s">
        <v>1013</v>
      </c>
      <c r="I96" t="s">
        <v>41</v>
      </c>
      <c r="J96" t="s">
        <v>952</v>
      </c>
      <c r="K96">
        <v>1</v>
      </c>
      <c r="L96">
        <v>1</v>
      </c>
      <c r="M96" t="s">
        <v>33</v>
      </c>
      <c r="N96">
        <v>1</v>
      </c>
      <c r="O96">
        <v>1</v>
      </c>
      <c r="P96">
        <v>1</v>
      </c>
      <c r="Q96" t="s">
        <v>48</v>
      </c>
      <c r="R96">
        <v>1</v>
      </c>
      <c r="S96">
        <v>0</v>
      </c>
      <c r="T96" t="s">
        <v>952</v>
      </c>
      <c r="U96" t="s">
        <v>952</v>
      </c>
      <c r="V96" t="s">
        <v>952</v>
      </c>
      <c r="W96" t="s">
        <v>952</v>
      </c>
      <c r="X96">
        <v>0</v>
      </c>
      <c r="Y96" t="s">
        <v>952</v>
      </c>
      <c r="Z96">
        <v>0</v>
      </c>
      <c r="AA96" t="s">
        <v>952</v>
      </c>
      <c r="AB96" t="s">
        <v>952</v>
      </c>
      <c r="AC96" t="s">
        <v>952</v>
      </c>
      <c r="AD96" t="s">
        <v>952</v>
      </c>
      <c r="AE96">
        <v>0</v>
      </c>
      <c r="AF96" t="s">
        <v>952</v>
      </c>
      <c r="AG96" t="s">
        <v>618</v>
      </c>
      <c r="AH96" t="s">
        <v>952</v>
      </c>
      <c r="AI96"/>
      <c r="AJ96"/>
    </row>
    <row r="97" spans="1:36" x14ac:dyDescent="0.25">
      <c r="A97" t="s">
        <v>397</v>
      </c>
      <c r="B97" t="s">
        <v>696</v>
      </c>
      <c r="C97" t="s">
        <v>951</v>
      </c>
      <c r="D97" t="s">
        <v>398</v>
      </c>
      <c r="E97" t="s">
        <v>952</v>
      </c>
      <c r="F97" t="s">
        <v>399</v>
      </c>
      <c r="G97" t="s">
        <v>280</v>
      </c>
      <c r="H97" t="s">
        <v>1014</v>
      </c>
      <c r="I97" t="s">
        <v>41</v>
      </c>
      <c r="J97" t="s">
        <v>952</v>
      </c>
      <c r="K97">
        <v>1</v>
      </c>
      <c r="L97">
        <v>8</v>
      </c>
      <c r="M97" t="s">
        <v>33</v>
      </c>
      <c r="N97">
        <v>1</v>
      </c>
      <c r="O97">
        <v>8</v>
      </c>
      <c r="P97">
        <v>1</v>
      </c>
      <c r="Q97" t="s">
        <v>48</v>
      </c>
      <c r="R97">
        <v>8</v>
      </c>
      <c r="S97">
        <v>0</v>
      </c>
      <c r="T97" t="s">
        <v>952</v>
      </c>
      <c r="U97" t="s">
        <v>952</v>
      </c>
      <c r="V97" t="s">
        <v>952</v>
      </c>
      <c r="W97" t="s">
        <v>952</v>
      </c>
      <c r="X97">
        <v>0</v>
      </c>
      <c r="Y97" t="s">
        <v>952</v>
      </c>
      <c r="Z97">
        <v>0</v>
      </c>
      <c r="AA97" t="s">
        <v>952</v>
      </c>
      <c r="AB97" t="s">
        <v>952</v>
      </c>
      <c r="AC97" t="s">
        <v>952</v>
      </c>
      <c r="AD97" t="s">
        <v>952</v>
      </c>
      <c r="AE97">
        <v>0</v>
      </c>
      <c r="AF97" t="s">
        <v>952</v>
      </c>
      <c r="AG97" t="s">
        <v>618</v>
      </c>
      <c r="AH97" t="s">
        <v>952</v>
      </c>
      <c r="AI97"/>
      <c r="AJ97"/>
    </row>
    <row r="98" spans="1:36" x14ac:dyDescent="0.25">
      <c r="A98" t="s">
        <v>397</v>
      </c>
      <c r="B98" t="s">
        <v>696</v>
      </c>
      <c r="C98" t="s">
        <v>951</v>
      </c>
      <c r="D98" t="s">
        <v>398</v>
      </c>
      <c r="E98" t="s">
        <v>952</v>
      </c>
      <c r="F98" t="s">
        <v>400</v>
      </c>
      <c r="G98" t="s">
        <v>280</v>
      </c>
      <c r="H98" t="s">
        <v>1015</v>
      </c>
      <c r="I98" t="s">
        <v>41</v>
      </c>
      <c r="J98" t="s">
        <v>952</v>
      </c>
      <c r="K98">
        <v>1</v>
      </c>
      <c r="L98">
        <v>16</v>
      </c>
      <c r="M98" t="s">
        <v>33</v>
      </c>
      <c r="N98">
        <v>1</v>
      </c>
      <c r="O98">
        <v>16</v>
      </c>
      <c r="P98">
        <v>1</v>
      </c>
      <c r="Q98" t="s">
        <v>48</v>
      </c>
      <c r="R98">
        <v>16</v>
      </c>
      <c r="S98">
        <v>0</v>
      </c>
      <c r="T98" t="s">
        <v>952</v>
      </c>
      <c r="U98" t="s">
        <v>952</v>
      </c>
      <c r="V98" t="s">
        <v>952</v>
      </c>
      <c r="W98" t="s">
        <v>952</v>
      </c>
      <c r="X98">
        <v>0</v>
      </c>
      <c r="Y98" t="s">
        <v>952</v>
      </c>
      <c r="Z98">
        <v>0</v>
      </c>
      <c r="AA98" t="s">
        <v>952</v>
      </c>
      <c r="AB98" t="s">
        <v>952</v>
      </c>
      <c r="AC98" t="s">
        <v>952</v>
      </c>
      <c r="AD98" t="s">
        <v>952</v>
      </c>
      <c r="AE98">
        <v>0</v>
      </c>
      <c r="AF98" t="s">
        <v>952</v>
      </c>
      <c r="AG98" t="s">
        <v>618</v>
      </c>
      <c r="AH98" t="s">
        <v>952</v>
      </c>
      <c r="AI98"/>
      <c r="AJ98"/>
    </row>
    <row r="99" spans="1:36" x14ac:dyDescent="0.25">
      <c r="A99" t="s">
        <v>397</v>
      </c>
      <c r="B99" t="s">
        <v>696</v>
      </c>
      <c r="C99" t="s">
        <v>951</v>
      </c>
      <c r="D99" t="s">
        <v>398</v>
      </c>
      <c r="E99" t="s">
        <v>952</v>
      </c>
      <c r="F99" t="s">
        <v>401</v>
      </c>
      <c r="G99" t="s">
        <v>280</v>
      </c>
      <c r="H99" t="s">
        <v>1016</v>
      </c>
      <c r="I99" t="s">
        <v>41</v>
      </c>
      <c r="J99" t="s">
        <v>952</v>
      </c>
      <c r="K99">
        <v>1</v>
      </c>
      <c r="L99">
        <v>1</v>
      </c>
      <c r="M99" t="s">
        <v>33</v>
      </c>
      <c r="N99">
        <v>1</v>
      </c>
      <c r="O99">
        <v>1</v>
      </c>
      <c r="P99">
        <v>1</v>
      </c>
      <c r="Q99" t="s">
        <v>48</v>
      </c>
      <c r="R99">
        <v>1</v>
      </c>
      <c r="S99">
        <v>0</v>
      </c>
      <c r="T99" t="s">
        <v>952</v>
      </c>
      <c r="U99" t="s">
        <v>952</v>
      </c>
      <c r="V99" t="s">
        <v>952</v>
      </c>
      <c r="W99" t="s">
        <v>952</v>
      </c>
      <c r="X99">
        <v>0</v>
      </c>
      <c r="Y99" t="s">
        <v>952</v>
      </c>
      <c r="Z99">
        <v>0</v>
      </c>
      <c r="AA99" t="s">
        <v>952</v>
      </c>
      <c r="AB99" t="s">
        <v>952</v>
      </c>
      <c r="AC99" t="s">
        <v>952</v>
      </c>
      <c r="AD99" t="s">
        <v>952</v>
      </c>
      <c r="AE99">
        <v>0</v>
      </c>
      <c r="AF99" t="s">
        <v>952</v>
      </c>
      <c r="AG99" t="s">
        <v>618</v>
      </c>
      <c r="AH99" t="s">
        <v>952</v>
      </c>
      <c r="AI99"/>
      <c r="AJ99"/>
    </row>
    <row r="100" spans="1:36" x14ac:dyDescent="0.25">
      <c r="A100" t="s">
        <v>397</v>
      </c>
      <c r="B100" t="s">
        <v>696</v>
      </c>
      <c r="C100" t="s">
        <v>951</v>
      </c>
      <c r="D100" t="s">
        <v>398</v>
      </c>
      <c r="E100" t="s">
        <v>952</v>
      </c>
      <c r="F100" t="s">
        <v>402</v>
      </c>
      <c r="G100" t="s">
        <v>280</v>
      </c>
      <c r="H100" t="s">
        <v>1017</v>
      </c>
      <c r="I100" t="s">
        <v>41</v>
      </c>
      <c r="J100" t="s">
        <v>952</v>
      </c>
      <c r="K100">
        <v>1</v>
      </c>
      <c r="L100">
        <v>1</v>
      </c>
      <c r="M100" t="s">
        <v>33</v>
      </c>
      <c r="N100">
        <v>1</v>
      </c>
      <c r="O100">
        <v>1</v>
      </c>
      <c r="P100">
        <v>1</v>
      </c>
      <c r="Q100" t="s">
        <v>48</v>
      </c>
      <c r="R100">
        <v>1</v>
      </c>
      <c r="S100">
        <v>0</v>
      </c>
      <c r="T100" t="s">
        <v>952</v>
      </c>
      <c r="U100" t="s">
        <v>952</v>
      </c>
      <c r="V100" t="s">
        <v>952</v>
      </c>
      <c r="W100" t="s">
        <v>952</v>
      </c>
      <c r="X100">
        <v>0</v>
      </c>
      <c r="Y100" t="s">
        <v>952</v>
      </c>
      <c r="Z100">
        <v>0</v>
      </c>
      <c r="AA100" t="s">
        <v>952</v>
      </c>
      <c r="AB100" t="s">
        <v>952</v>
      </c>
      <c r="AC100" t="s">
        <v>952</v>
      </c>
      <c r="AD100" t="s">
        <v>952</v>
      </c>
      <c r="AE100">
        <v>0</v>
      </c>
      <c r="AF100" t="s">
        <v>952</v>
      </c>
      <c r="AG100" t="s">
        <v>618</v>
      </c>
      <c r="AH100" t="s">
        <v>952</v>
      </c>
      <c r="AI100"/>
      <c r="AJ100"/>
    </row>
    <row r="101" spans="1:36" x14ac:dyDescent="0.25">
      <c r="A101" t="s">
        <v>397</v>
      </c>
      <c r="B101" t="s">
        <v>696</v>
      </c>
      <c r="C101" t="s">
        <v>951</v>
      </c>
      <c r="D101" t="s">
        <v>398</v>
      </c>
      <c r="E101" t="s">
        <v>952</v>
      </c>
      <c r="F101" t="s">
        <v>403</v>
      </c>
      <c r="G101" t="s">
        <v>280</v>
      </c>
      <c r="H101" t="s">
        <v>1018</v>
      </c>
      <c r="I101" t="s">
        <v>41</v>
      </c>
      <c r="J101" t="s">
        <v>952</v>
      </c>
      <c r="K101">
        <v>1</v>
      </c>
      <c r="L101">
        <v>10</v>
      </c>
      <c r="M101" t="s">
        <v>33</v>
      </c>
      <c r="N101">
        <v>1</v>
      </c>
      <c r="O101">
        <v>10</v>
      </c>
      <c r="P101">
        <v>1</v>
      </c>
      <c r="Q101" t="s">
        <v>48</v>
      </c>
      <c r="R101">
        <v>10</v>
      </c>
      <c r="S101">
        <v>0</v>
      </c>
      <c r="T101" t="s">
        <v>952</v>
      </c>
      <c r="U101" t="s">
        <v>952</v>
      </c>
      <c r="V101" t="s">
        <v>952</v>
      </c>
      <c r="W101" t="s">
        <v>952</v>
      </c>
      <c r="X101">
        <v>0</v>
      </c>
      <c r="Y101" t="s">
        <v>952</v>
      </c>
      <c r="Z101">
        <v>0</v>
      </c>
      <c r="AA101" t="s">
        <v>952</v>
      </c>
      <c r="AB101" t="s">
        <v>952</v>
      </c>
      <c r="AC101" t="s">
        <v>952</v>
      </c>
      <c r="AD101" t="s">
        <v>952</v>
      </c>
      <c r="AE101">
        <v>0</v>
      </c>
      <c r="AF101" t="s">
        <v>952</v>
      </c>
      <c r="AG101" t="s">
        <v>618</v>
      </c>
      <c r="AH101" t="s">
        <v>952</v>
      </c>
      <c r="AI101"/>
      <c r="AJ101"/>
    </row>
    <row r="102" spans="1:36" x14ac:dyDescent="0.25">
      <c r="A102" t="s">
        <v>397</v>
      </c>
      <c r="B102" t="s">
        <v>696</v>
      </c>
      <c r="C102" t="s">
        <v>951</v>
      </c>
      <c r="D102" t="s">
        <v>398</v>
      </c>
      <c r="E102" t="s">
        <v>952</v>
      </c>
      <c r="F102" t="s">
        <v>404</v>
      </c>
      <c r="G102" t="s">
        <v>280</v>
      </c>
      <c r="H102" t="s">
        <v>1019</v>
      </c>
      <c r="I102" t="s">
        <v>41</v>
      </c>
      <c r="J102" t="s">
        <v>952</v>
      </c>
      <c r="K102">
        <v>1</v>
      </c>
      <c r="L102">
        <v>52</v>
      </c>
      <c r="M102" t="s">
        <v>33</v>
      </c>
      <c r="N102">
        <v>1</v>
      </c>
      <c r="O102">
        <v>52</v>
      </c>
      <c r="P102">
        <v>1</v>
      </c>
      <c r="Q102" t="s">
        <v>48</v>
      </c>
      <c r="R102">
        <v>52</v>
      </c>
      <c r="S102">
        <v>0</v>
      </c>
      <c r="T102" t="s">
        <v>952</v>
      </c>
      <c r="U102" t="s">
        <v>952</v>
      </c>
      <c r="V102" t="s">
        <v>952</v>
      </c>
      <c r="W102" t="s">
        <v>952</v>
      </c>
      <c r="X102">
        <v>0</v>
      </c>
      <c r="Y102" t="s">
        <v>952</v>
      </c>
      <c r="Z102">
        <v>0</v>
      </c>
      <c r="AA102" t="s">
        <v>952</v>
      </c>
      <c r="AB102" t="s">
        <v>952</v>
      </c>
      <c r="AC102" t="s">
        <v>952</v>
      </c>
      <c r="AD102" t="s">
        <v>952</v>
      </c>
      <c r="AE102">
        <v>0</v>
      </c>
      <c r="AF102" t="s">
        <v>952</v>
      </c>
      <c r="AG102" t="s">
        <v>618</v>
      </c>
      <c r="AH102" t="s">
        <v>952</v>
      </c>
      <c r="AI102"/>
      <c r="AJ102"/>
    </row>
    <row r="103" spans="1:36" x14ac:dyDescent="0.25">
      <c r="A103" t="s">
        <v>405</v>
      </c>
      <c r="B103" t="s">
        <v>697</v>
      </c>
      <c r="C103" t="s">
        <v>951</v>
      </c>
      <c r="D103" t="s">
        <v>398</v>
      </c>
      <c r="E103" t="s">
        <v>952</v>
      </c>
      <c r="F103" t="s">
        <v>406</v>
      </c>
      <c r="G103" t="s">
        <v>280</v>
      </c>
      <c r="H103" t="s">
        <v>1020</v>
      </c>
      <c r="I103" t="s">
        <v>41</v>
      </c>
      <c r="J103" t="s">
        <v>952</v>
      </c>
      <c r="K103">
        <v>1</v>
      </c>
      <c r="L103">
        <v>5</v>
      </c>
      <c r="M103" t="s">
        <v>33</v>
      </c>
      <c r="N103">
        <v>1</v>
      </c>
      <c r="O103">
        <v>5</v>
      </c>
      <c r="P103">
        <v>1</v>
      </c>
      <c r="Q103" t="s">
        <v>48</v>
      </c>
      <c r="R103">
        <v>5</v>
      </c>
      <c r="S103">
        <v>0</v>
      </c>
      <c r="T103" t="s">
        <v>952</v>
      </c>
      <c r="U103" t="s">
        <v>952</v>
      </c>
      <c r="V103" t="s">
        <v>952</v>
      </c>
      <c r="W103" t="s">
        <v>952</v>
      </c>
      <c r="X103">
        <v>0</v>
      </c>
      <c r="Y103" t="s">
        <v>952</v>
      </c>
      <c r="Z103">
        <v>0</v>
      </c>
      <c r="AA103" t="s">
        <v>952</v>
      </c>
      <c r="AB103" t="s">
        <v>952</v>
      </c>
      <c r="AC103" t="s">
        <v>952</v>
      </c>
      <c r="AD103" t="s">
        <v>952</v>
      </c>
      <c r="AE103">
        <v>0</v>
      </c>
      <c r="AF103" t="s">
        <v>952</v>
      </c>
      <c r="AG103" t="s">
        <v>618</v>
      </c>
      <c r="AH103" t="s">
        <v>952</v>
      </c>
      <c r="AI103"/>
      <c r="AJ103"/>
    </row>
    <row r="104" spans="1:36" x14ac:dyDescent="0.25">
      <c r="A104" t="s">
        <v>397</v>
      </c>
      <c r="B104" t="s">
        <v>696</v>
      </c>
      <c r="C104" t="s">
        <v>951</v>
      </c>
      <c r="D104" t="s">
        <v>398</v>
      </c>
      <c r="E104" t="s">
        <v>952</v>
      </c>
      <c r="F104" t="s">
        <v>407</v>
      </c>
      <c r="G104" t="s">
        <v>280</v>
      </c>
      <c r="H104" t="s">
        <v>1021</v>
      </c>
      <c r="I104" t="s">
        <v>41</v>
      </c>
      <c r="J104" t="s">
        <v>952</v>
      </c>
      <c r="K104">
        <v>1</v>
      </c>
      <c r="L104">
        <v>2</v>
      </c>
      <c r="M104" t="s">
        <v>33</v>
      </c>
      <c r="N104">
        <v>1</v>
      </c>
      <c r="O104">
        <v>2</v>
      </c>
      <c r="P104">
        <v>1</v>
      </c>
      <c r="Q104" t="s">
        <v>48</v>
      </c>
      <c r="R104">
        <v>2</v>
      </c>
      <c r="S104">
        <v>0</v>
      </c>
      <c r="T104" t="s">
        <v>952</v>
      </c>
      <c r="U104" t="s">
        <v>952</v>
      </c>
      <c r="V104" t="s">
        <v>952</v>
      </c>
      <c r="W104" t="s">
        <v>952</v>
      </c>
      <c r="X104">
        <v>0</v>
      </c>
      <c r="Y104" t="s">
        <v>952</v>
      </c>
      <c r="Z104">
        <v>0</v>
      </c>
      <c r="AA104" t="s">
        <v>952</v>
      </c>
      <c r="AB104" t="s">
        <v>952</v>
      </c>
      <c r="AC104" t="s">
        <v>952</v>
      </c>
      <c r="AD104" t="s">
        <v>952</v>
      </c>
      <c r="AE104">
        <v>0</v>
      </c>
      <c r="AF104" t="s">
        <v>952</v>
      </c>
      <c r="AG104" t="s">
        <v>618</v>
      </c>
      <c r="AH104" t="s">
        <v>952</v>
      </c>
      <c r="AI104"/>
      <c r="AJ104"/>
    </row>
    <row r="105" spans="1:36" x14ac:dyDescent="0.25">
      <c r="A105" t="s">
        <v>408</v>
      </c>
      <c r="B105" t="s">
        <v>698</v>
      </c>
      <c r="C105" t="s">
        <v>951</v>
      </c>
      <c r="D105" t="s">
        <v>398</v>
      </c>
      <c r="E105" t="s">
        <v>952</v>
      </c>
      <c r="F105" t="s">
        <v>409</v>
      </c>
      <c r="G105" t="s">
        <v>280</v>
      </c>
      <c r="H105" t="s">
        <v>1022</v>
      </c>
      <c r="I105" t="s">
        <v>41</v>
      </c>
      <c r="J105" t="s">
        <v>952</v>
      </c>
      <c r="K105">
        <v>1</v>
      </c>
      <c r="L105">
        <v>4</v>
      </c>
      <c r="M105" t="s">
        <v>33</v>
      </c>
      <c r="N105">
        <v>1</v>
      </c>
      <c r="O105">
        <v>4</v>
      </c>
      <c r="P105">
        <v>1</v>
      </c>
      <c r="Q105" t="s">
        <v>48</v>
      </c>
      <c r="R105">
        <v>4</v>
      </c>
      <c r="S105">
        <v>0</v>
      </c>
      <c r="T105" t="s">
        <v>952</v>
      </c>
      <c r="U105" t="s">
        <v>952</v>
      </c>
      <c r="V105" t="s">
        <v>952</v>
      </c>
      <c r="W105" t="s">
        <v>952</v>
      </c>
      <c r="X105">
        <v>0</v>
      </c>
      <c r="Y105" t="s">
        <v>952</v>
      </c>
      <c r="Z105">
        <v>0</v>
      </c>
      <c r="AA105" t="s">
        <v>952</v>
      </c>
      <c r="AB105" t="s">
        <v>952</v>
      </c>
      <c r="AC105" t="s">
        <v>952</v>
      </c>
      <c r="AD105" t="s">
        <v>952</v>
      </c>
      <c r="AE105">
        <v>0</v>
      </c>
      <c r="AF105" t="s">
        <v>952</v>
      </c>
      <c r="AG105" t="s">
        <v>649</v>
      </c>
      <c r="AH105" t="s">
        <v>952</v>
      </c>
      <c r="AI105"/>
      <c r="AJ105"/>
    </row>
    <row r="106" spans="1:36" x14ac:dyDescent="0.25">
      <c r="A106" t="s">
        <v>408</v>
      </c>
      <c r="B106" t="s">
        <v>698</v>
      </c>
      <c r="C106" t="s">
        <v>951</v>
      </c>
      <c r="D106" t="s">
        <v>398</v>
      </c>
      <c r="E106" t="s">
        <v>952</v>
      </c>
      <c r="F106" t="s">
        <v>410</v>
      </c>
      <c r="G106" t="s">
        <v>280</v>
      </c>
      <c r="H106" t="s">
        <v>1023</v>
      </c>
      <c r="I106" t="s">
        <v>41</v>
      </c>
      <c r="J106" t="s">
        <v>952</v>
      </c>
      <c r="K106">
        <v>1</v>
      </c>
      <c r="L106">
        <v>8</v>
      </c>
      <c r="M106" t="s">
        <v>33</v>
      </c>
      <c r="N106">
        <v>1</v>
      </c>
      <c r="O106">
        <v>8</v>
      </c>
      <c r="P106">
        <v>1</v>
      </c>
      <c r="Q106" t="s">
        <v>48</v>
      </c>
      <c r="R106">
        <v>8</v>
      </c>
      <c r="S106">
        <v>0</v>
      </c>
      <c r="T106" t="s">
        <v>952</v>
      </c>
      <c r="U106" t="s">
        <v>952</v>
      </c>
      <c r="V106" t="s">
        <v>952</v>
      </c>
      <c r="W106" t="s">
        <v>952</v>
      </c>
      <c r="X106">
        <v>0</v>
      </c>
      <c r="Y106" t="s">
        <v>952</v>
      </c>
      <c r="Z106">
        <v>0</v>
      </c>
      <c r="AA106" t="s">
        <v>952</v>
      </c>
      <c r="AB106" t="s">
        <v>952</v>
      </c>
      <c r="AC106" t="s">
        <v>952</v>
      </c>
      <c r="AD106" t="s">
        <v>952</v>
      </c>
      <c r="AE106">
        <v>0</v>
      </c>
      <c r="AF106" t="s">
        <v>952</v>
      </c>
      <c r="AG106" t="s">
        <v>649</v>
      </c>
      <c r="AH106" t="s">
        <v>952</v>
      </c>
      <c r="AI106"/>
      <c r="AJ106"/>
    </row>
    <row r="107" spans="1:36" x14ac:dyDescent="0.25">
      <c r="A107" t="s">
        <v>408</v>
      </c>
      <c r="B107" t="s">
        <v>698</v>
      </c>
      <c r="C107" t="s">
        <v>951</v>
      </c>
      <c r="D107" t="s">
        <v>398</v>
      </c>
      <c r="E107" t="s">
        <v>952</v>
      </c>
      <c r="F107" t="s">
        <v>411</v>
      </c>
      <c r="G107" t="s">
        <v>280</v>
      </c>
      <c r="H107" t="s">
        <v>1024</v>
      </c>
      <c r="I107" t="s">
        <v>41</v>
      </c>
      <c r="J107" t="s">
        <v>952</v>
      </c>
      <c r="K107">
        <v>1</v>
      </c>
      <c r="L107">
        <v>1</v>
      </c>
      <c r="M107" t="s">
        <v>33</v>
      </c>
      <c r="N107">
        <v>1</v>
      </c>
      <c r="O107">
        <v>1</v>
      </c>
      <c r="P107">
        <v>1</v>
      </c>
      <c r="Q107" t="s">
        <v>48</v>
      </c>
      <c r="R107">
        <v>1</v>
      </c>
      <c r="S107">
        <v>0</v>
      </c>
      <c r="T107" t="s">
        <v>952</v>
      </c>
      <c r="U107" t="s">
        <v>952</v>
      </c>
      <c r="V107" t="s">
        <v>952</v>
      </c>
      <c r="W107" t="s">
        <v>952</v>
      </c>
      <c r="X107">
        <v>0</v>
      </c>
      <c r="Y107" t="s">
        <v>952</v>
      </c>
      <c r="Z107">
        <v>0</v>
      </c>
      <c r="AA107" t="s">
        <v>952</v>
      </c>
      <c r="AB107" t="s">
        <v>952</v>
      </c>
      <c r="AC107" t="s">
        <v>952</v>
      </c>
      <c r="AD107" t="s">
        <v>952</v>
      </c>
      <c r="AE107">
        <v>0</v>
      </c>
      <c r="AF107" t="s">
        <v>952</v>
      </c>
      <c r="AG107" t="s">
        <v>649</v>
      </c>
      <c r="AH107" t="s">
        <v>952</v>
      </c>
      <c r="AI107"/>
      <c r="AJ107"/>
    </row>
    <row r="108" spans="1:36" x14ac:dyDescent="0.25">
      <c r="A108" t="s">
        <v>412</v>
      </c>
      <c r="B108" t="s">
        <v>699</v>
      </c>
      <c r="C108" t="s">
        <v>951</v>
      </c>
      <c r="D108" t="s">
        <v>398</v>
      </c>
      <c r="E108" t="s">
        <v>952</v>
      </c>
      <c r="F108" t="s">
        <v>413</v>
      </c>
      <c r="G108" t="s">
        <v>280</v>
      </c>
      <c r="H108" t="s">
        <v>1025</v>
      </c>
      <c r="I108" t="s">
        <v>41</v>
      </c>
      <c r="J108" t="s">
        <v>952</v>
      </c>
      <c r="K108">
        <v>1</v>
      </c>
      <c r="L108">
        <v>4</v>
      </c>
      <c r="M108" t="s">
        <v>33</v>
      </c>
      <c r="N108">
        <v>1</v>
      </c>
      <c r="O108">
        <v>4</v>
      </c>
      <c r="P108">
        <v>1</v>
      </c>
      <c r="Q108" t="s">
        <v>48</v>
      </c>
      <c r="R108">
        <v>4</v>
      </c>
      <c r="S108">
        <v>0</v>
      </c>
      <c r="T108" t="s">
        <v>952</v>
      </c>
      <c r="U108" t="s">
        <v>952</v>
      </c>
      <c r="V108" t="s">
        <v>952</v>
      </c>
      <c r="W108" t="s">
        <v>952</v>
      </c>
      <c r="X108">
        <v>0</v>
      </c>
      <c r="Y108" t="s">
        <v>952</v>
      </c>
      <c r="Z108">
        <v>0</v>
      </c>
      <c r="AA108" t="s">
        <v>952</v>
      </c>
      <c r="AB108" t="s">
        <v>952</v>
      </c>
      <c r="AC108" t="s">
        <v>952</v>
      </c>
      <c r="AD108" t="s">
        <v>952</v>
      </c>
      <c r="AE108">
        <v>0</v>
      </c>
      <c r="AF108" t="s">
        <v>952</v>
      </c>
      <c r="AG108" t="s">
        <v>603</v>
      </c>
      <c r="AH108" t="s">
        <v>952</v>
      </c>
      <c r="AI108"/>
      <c r="AJ108"/>
    </row>
    <row r="109" spans="1:36" x14ac:dyDescent="0.25">
      <c r="A109" t="s">
        <v>408</v>
      </c>
      <c r="B109" t="s">
        <v>698</v>
      </c>
      <c r="C109" t="s">
        <v>951</v>
      </c>
      <c r="D109" t="s">
        <v>398</v>
      </c>
      <c r="E109" t="s">
        <v>952</v>
      </c>
      <c r="F109" t="s">
        <v>414</v>
      </c>
      <c r="G109" t="s">
        <v>280</v>
      </c>
      <c r="H109" t="s">
        <v>1026</v>
      </c>
      <c r="I109" t="s">
        <v>41</v>
      </c>
      <c r="J109" t="s">
        <v>952</v>
      </c>
      <c r="K109">
        <v>1</v>
      </c>
      <c r="L109">
        <v>4</v>
      </c>
      <c r="M109" t="s">
        <v>33</v>
      </c>
      <c r="N109">
        <v>1</v>
      </c>
      <c r="O109">
        <v>4</v>
      </c>
      <c r="P109">
        <v>1</v>
      </c>
      <c r="Q109" t="s">
        <v>48</v>
      </c>
      <c r="R109">
        <v>4</v>
      </c>
      <c r="S109">
        <v>0</v>
      </c>
      <c r="T109" t="s">
        <v>952</v>
      </c>
      <c r="U109" t="s">
        <v>952</v>
      </c>
      <c r="V109" t="s">
        <v>952</v>
      </c>
      <c r="W109" t="s">
        <v>952</v>
      </c>
      <c r="X109">
        <v>0</v>
      </c>
      <c r="Y109" t="s">
        <v>952</v>
      </c>
      <c r="Z109">
        <v>0</v>
      </c>
      <c r="AA109" t="s">
        <v>952</v>
      </c>
      <c r="AB109" t="s">
        <v>952</v>
      </c>
      <c r="AC109" t="s">
        <v>952</v>
      </c>
      <c r="AD109" t="s">
        <v>952</v>
      </c>
      <c r="AE109">
        <v>0</v>
      </c>
      <c r="AF109" t="s">
        <v>952</v>
      </c>
      <c r="AG109" t="s">
        <v>649</v>
      </c>
      <c r="AH109" t="s">
        <v>952</v>
      </c>
      <c r="AI109"/>
      <c r="AJ109"/>
    </row>
    <row r="110" spans="1:36" x14ac:dyDescent="0.25">
      <c r="A110" t="s">
        <v>408</v>
      </c>
      <c r="B110" t="s">
        <v>698</v>
      </c>
      <c r="C110" t="s">
        <v>951</v>
      </c>
      <c r="D110" t="s">
        <v>398</v>
      </c>
      <c r="E110" t="s">
        <v>952</v>
      </c>
      <c r="F110" t="s">
        <v>415</v>
      </c>
      <c r="G110" t="s">
        <v>280</v>
      </c>
      <c r="H110" t="s">
        <v>1027</v>
      </c>
      <c r="I110" t="s">
        <v>41</v>
      </c>
      <c r="J110" t="s">
        <v>952</v>
      </c>
      <c r="K110">
        <v>1</v>
      </c>
      <c r="L110">
        <v>8</v>
      </c>
      <c r="M110" t="s">
        <v>33</v>
      </c>
      <c r="N110">
        <v>1</v>
      </c>
      <c r="O110">
        <v>8</v>
      </c>
      <c r="P110">
        <v>1</v>
      </c>
      <c r="Q110" t="s">
        <v>48</v>
      </c>
      <c r="R110">
        <v>8</v>
      </c>
      <c r="S110">
        <v>0</v>
      </c>
      <c r="T110" t="s">
        <v>952</v>
      </c>
      <c r="U110" t="s">
        <v>952</v>
      </c>
      <c r="V110" t="s">
        <v>952</v>
      </c>
      <c r="W110" t="s">
        <v>952</v>
      </c>
      <c r="X110">
        <v>0</v>
      </c>
      <c r="Y110" t="s">
        <v>952</v>
      </c>
      <c r="Z110">
        <v>0</v>
      </c>
      <c r="AA110" t="s">
        <v>952</v>
      </c>
      <c r="AB110" t="s">
        <v>952</v>
      </c>
      <c r="AC110" t="s">
        <v>952</v>
      </c>
      <c r="AD110" t="s">
        <v>952</v>
      </c>
      <c r="AE110">
        <v>0</v>
      </c>
      <c r="AF110" t="s">
        <v>952</v>
      </c>
      <c r="AG110" t="s">
        <v>649</v>
      </c>
      <c r="AH110" t="s">
        <v>952</v>
      </c>
      <c r="AI110"/>
      <c r="AJ110"/>
    </row>
    <row r="111" spans="1:36" x14ac:dyDescent="0.25">
      <c r="A111" t="s">
        <v>706</v>
      </c>
      <c r="B111" t="s">
        <v>707</v>
      </c>
      <c r="C111" t="s">
        <v>951</v>
      </c>
      <c r="D111" t="s">
        <v>417</v>
      </c>
      <c r="E111" t="s">
        <v>952</v>
      </c>
      <c r="F111" t="s">
        <v>418</v>
      </c>
      <c r="G111" t="s">
        <v>280</v>
      </c>
      <c r="H111" t="s">
        <v>1028</v>
      </c>
      <c r="I111" t="s">
        <v>41</v>
      </c>
      <c r="J111" t="s">
        <v>952</v>
      </c>
      <c r="K111">
        <v>1</v>
      </c>
      <c r="L111">
        <v>3</v>
      </c>
      <c r="M111" t="s">
        <v>33</v>
      </c>
      <c r="N111">
        <v>1</v>
      </c>
      <c r="O111">
        <v>3</v>
      </c>
      <c r="P111">
        <v>1</v>
      </c>
      <c r="Q111" t="s">
        <v>48</v>
      </c>
      <c r="R111">
        <v>3</v>
      </c>
      <c r="S111">
        <v>0</v>
      </c>
      <c r="T111" t="s">
        <v>952</v>
      </c>
      <c r="U111" t="s">
        <v>952</v>
      </c>
      <c r="V111" t="s">
        <v>952</v>
      </c>
      <c r="W111" t="s">
        <v>952</v>
      </c>
      <c r="X111">
        <v>0</v>
      </c>
      <c r="Y111" t="s">
        <v>952</v>
      </c>
      <c r="Z111">
        <v>0</v>
      </c>
      <c r="AA111" t="s">
        <v>952</v>
      </c>
      <c r="AB111" t="s">
        <v>952</v>
      </c>
      <c r="AC111" t="s">
        <v>952</v>
      </c>
      <c r="AD111" t="s">
        <v>952</v>
      </c>
      <c r="AE111">
        <v>0</v>
      </c>
      <c r="AF111" t="s">
        <v>952</v>
      </c>
      <c r="AG111" t="s">
        <v>952</v>
      </c>
      <c r="AH111" t="s">
        <v>952</v>
      </c>
      <c r="AI111"/>
      <c r="AJ111"/>
    </row>
    <row r="112" spans="1:36" x14ac:dyDescent="0.25">
      <c r="A112" t="s">
        <v>708</v>
      </c>
      <c r="B112" t="s">
        <v>709</v>
      </c>
      <c r="C112" t="s">
        <v>951</v>
      </c>
      <c r="D112" t="s">
        <v>417</v>
      </c>
      <c r="E112" t="s">
        <v>952</v>
      </c>
      <c r="F112" t="s">
        <v>418</v>
      </c>
      <c r="G112" t="s">
        <v>280</v>
      </c>
      <c r="H112" t="s">
        <v>1028</v>
      </c>
      <c r="I112" t="s">
        <v>41</v>
      </c>
      <c r="J112" t="s">
        <v>952</v>
      </c>
      <c r="K112">
        <v>1</v>
      </c>
      <c r="L112">
        <v>3</v>
      </c>
      <c r="M112" t="s">
        <v>33</v>
      </c>
      <c r="N112">
        <v>1</v>
      </c>
      <c r="O112">
        <v>3</v>
      </c>
      <c r="P112">
        <v>1</v>
      </c>
      <c r="Q112" t="s">
        <v>48</v>
      </c>
      <c r="R112">
        <v>3</v>
      </c>
      <c r="S112">
        <v>0</v>
      </c>
      <c r="T112" t="s">
        <v>952</v>
      </c>
      <c r="U112" t="s">
        <v>952</v>
      </c>
      <c r="V112" t="s">
        <v>952</v>
      </c>
      <c r="W112" t="s">
        <v>952</v>
      </c>
      <c r="X112">
        <v>0</v>
      </c>
      <c r="Y112" t="s">
        <v>952</v>
      </c>
      <c r="Z112">
        <v>0</v>
      </c>
      <c r="AA112" t="s">
        <v>952</v>
      </c>
      <c r="AB112" t="s">
        <v>952</v>
      </c>
      <c r="AC112" t="s">
        <v>952</v>
      </c>
      <c r="AD112" t="s">
        <v>952</v>
      </c>
      <c r="AE112">
        <v>0</v>
      </c>
      <c r="AF112" t="s">
        <v>952</v>
      </c>
      <c r="AG112" t="s">
        <v>952</v>
      </c>
      <c r="AH112" t="s">
        <v>952</v>
      </c>
      <c r="AI112"/>
      <c r="AJ112"/>
    </row>
    <row r="113" spans="1:36" x14ac:dyDescent="0.25">
      <c r="A113" t="s">
        <v>704</v>
      </c>
      <c r="B113" t="s">
        <v>705</v>
      </c>
      <c r="C113" t="s">
        <v>951</v>
      </c>
      <c r="D113" t="s">
        <v>417</v>
      </c>
      <c r="E113" t="s">
        <v>952</v>
      </c>
      <c r="F113" t="s">
        <v>418</v>
      </c>
      <c r="G113" t="s">
        <v>280</v>
      </c>
      <c r="H113" t="s">
        <v>1028</v>
      </c>
      <c r="I113" t="s">
        <v>41</v>
      </c>
      <c r="J113" t="s">
        <v>952</v>
      </c>
      <c r="K113">
        <v>1</v>
      </c>
      <c r="L113">
        <v>3</v>
      </c>
      <c r="M113" t="s">
        <v>33</v>
      </c>
      <c r="N113">
        <v>1</v>
      </c>
      <c r="O113">
        <v>3</v>
      </c>
      <c r="P113">
        <v>1</v>
      </c>
      <c r="Q113" t="s">
        <v>48</v>
      </c>
      <c r="R113">
        <v>3</v>
      </c>
      <c r="S113">
        <v>0</v>
      </c>
      <c r="T113" t="s">
        <v>952</v>
      </c>
      <c r="U113" t="s">
        <v>952</v>
      </c>
      <c r="V113" t="s">
        <v>952</v>
      </c>
      <c r="W113" t="s">
        <v>952</v>
      </c>
      <c r="X113">
        <v>0</v>
      </c>
      <c r="Y113" t="s">
        <v>952</v>
      </c>
      <c r="Z113">
        <v>0</v>
      </c>
      <c r="AA113" t="s">
        <v>952</v>
      </c>
      <c r="AB113" t="s">
        <v>952</v>
      </c>
      <c r="AC113" t="s">
        <v>952</v>
      </c>
      <c r="AD113" t="s">
        <v>952</v>
      </c>
      <c r="AE113">
        <v>0</v>
      </c>
      <c r="AF113" t="s">
        <v>952</v>
      </c>
      <c r="AG113" t="s">
        <v>952</v>
      </c>
      <c r="AH113" t="s">
        <v>952</v>
      </c>
      <c r="AI113"/>
      <c r="AJ113"/>
    </row>
    <row r="114" spans="1:36" x14ac:dyDescent="0.25">
      <c r="A114" t="s">
        <v>595</v>
      </c>
      <c r="B114" t="s">
        <v>416</v>
      </c>
      <c r="C114" t="s">
        <v>951</v>
      </c>
      <c r="D114" t="s">
        <v>417</v>
      </c>
      <c r="E114" t="s">
        <v>952</v>
      </c>
      <c r="F114" t="s">
        <v>418</v>
      </c>
      <c r="G114" t="s">
        <v>952</v>
      </c>
      <c r="H114" t="s">
        <v>1028</v>
      </c>
      <c r="I114" t="s">
        <v>41</v>
      </c>
      <c r="J114" t="s">
        <v>952</v>
      </c>
      <c r="K114">
        <v>1</v>
      </c>
      <c r="L114">
        <v>3</v>
      </c>
      <c r="M114" t="s">
        <v>33</v>
      </c>
      <c r="N114">
        <v>1</v>
      </c>
      <c r="O114">
        <v>3</v>
      </c>
      <c r="P114">
        <v>1</v>
      </c>
      <c r="Q114" t="s">
        <v>48</v>
      </c>
      <c r="R114">
        <v>3</v>
      </c>
      <c r="S114">
        <v>0</v>
      </c>
      <c r="T114" t="s">
        <v>952</v>
      </c>
      <c r="U114" t="s">
        <v>952</v>
      </c>
      <c r="V114" t="s">
        <v>952</v>
      </c>
      <c r="W114" t="s">
        <v>952</v>
      </c>
      <c r="X114">
        <v>0</v>
      </c>
      <c r="Y114" t="s">
        <v>952</v>
      </c>
      <c r="Z114">
        <v>0</v>
      </c>
      <c r="AA114" t="s">
        <v>952</v>
      </c>
      <c r="AB114" t="s">
        <v>952</v>
      </c>
      <c r="AC114" t="s">
        <v>952</v>
      </c>
      <c r="AD114" t="s">
        <v>952</v>
      </c>
      <c r="AE114">
        <v>0</v>
      </c>
      <c r="AF114" t="s">
        <v>952</v>
      </c>
      <c r="AG114" t="s">
        <v>952</v>
      </c>
      <c r="AH114" t="s">
        <v>952</v>
      </c>
      <c r="AI114"/>
      <c r="AJ114"/>
    </row>
    <row r="115" spans="1:36" x14ac:dyDescent="0.25">
      <c r="A115" t="s">
        <v>419</v>
      </c>
      <c r="B115" t="s">
        <v>712</v>
      </c>
      <c r="C115" t="s">
        <v>951</v>
      </c>
      <c r="D115" t="s">
        <v>420</v>
      </c>
      <c r="E115" t="s">
        <v>952</v>
      </c>
      <c r="F115" t="s">
        <v>421</v>
      </c>
      <c r="G115" t="s">
        <v>280</v>
      </c>
      <c r="H115" t="s">
        <v>1029</v>
      </c>
      <c r="I115" t="s">
        <v>41</v>
      </c>
      <c r="J115" t="s">
        <v>952</v>
      </c>
      <c r="K115">
        <v>1</v>
      </c>
      <c r="L115">
        <v>20</v>
      </c>
      <c r="M115" t="s">
        <v>33</v>
      </c>
      <c r="N115">
        <v>1</v>
      </c>
      <c r="O115">
        <v>20</v>
      </c>
      <c r="P115">
        <v>1</v>
      </c>
      <c r="Q115" t="s">
        <v>48</v>
      </c>
      <c r="R115">
        <v>20</v>
      </c>
      <c r="S115">
        <v>0</v>
      </c>
      <c r="T115" t="s">
        <v>952</v>
      </c>
      <c r="U115" t="s">
        <v>952</v>
      </c>
      <c r="V115" t="s">
        <v>952</v>
      </c>
      <c r="W115" t="s">
        <v>952</v>
      </c>
      <c r="X115">
        <v>0</v>
      </c>
      <c r="Y115" t="s">
        <v>952</v>
      </c>
      <c r="Z115">
        <v>0</v>
      </c>
      <c r="AA115" t="s">
        <v>952</v>
      </c>
      <c r="AB115" t="s">
        <v>952</v>
      </c>
      <c r="AC115" t="s">
        <v>952</v>
      </c>
      <c r="AD115" t="s">
        <v>952</v>
      </c>
      <c r="AE115">
        <v>0</v>
      </c>
      <c r="AF115" t="s">
        <v>952</v>
      </c>
      <c r="AG115" t="s">
        <v>638</v>
      </c>
      <c r="AH115" t="s">
        <v>952</v>
      </c>
      <c r="AI115"/>
      <c r="AJ115"/>
    </row>
    <row r="116" spans="1:36" x14ac:dyDescent="0.25">
      <c r="A116" t="s">
        <v>419</v>
      </c>
      <c r="B116" t="s">
        <v>712</v>
      </c>
      <c r="C116" t="s">
        <v>951</v>
      </c>
      <c r="D116" t="s">
        <v>420</v>
      </c>
      <c r="E116" t="s">
        <v>952</v>
      </c>
      <c r="F116" t="s">
        <v>422</v>
      </c>
      <c r="G116" t="s">
        <v>280</v>
      </c>
      <c r="H116" t="s">
        <v>1030</v>
      </c>
      <c r="I116" t="s">
        <v>41</v>
      </c>
      <c r="J116" t="s">
        <v>952</v>
      </c>
      <c r="K116">
        <v>1</v>
      </c>
      <c r="L116">
        <v>28</v>
      </c>
      <c r="M116" t="s">
        <v>33</v>
      </c>
      <c r="N116">
        <v>1</v>
      </c>
      <c r="O116">
        <v>28</v>
      </c>
      <c r="P116">
        <v>1</v>
      </c>
      <c r="Q116" t="s">
        <v>48</v>
      </c>
      <c r="R116">
        <v>28</v>
      </c>
      <c r="S116">
        <v>0</v>
      </c>
      <c r="T116" t="s">
        <v>952</v>
      </c>
      <c r="U116" t="s">
        <v>952</v>
      </c>
      <c r="V116" t="s">
        <v>952</v>
      </c>
      <c r="W116" t="s">
        <v>952</v>
      </c>
      <c r="X116">
        <v>0</v>
      </c>
      <c r="Y116" t="s">
        <v>952</v>
      </c>
      <c r="Z116">
        <v>0</v>
      </c>
      <c r="AA116" t="s">
        <v>952</v>
      </c>
      <c r="AB116" t="s">
        <v>952</v>
      </c>
      <c r="AC116" t="s">
        <v>952</v>
      </c>
      <c r="AD116" t="s">
        <v>952</v>
      </c>
      <c r="AE116">
        <v>0</v>
      </c>
      <c r="AF116" t="s">
        <v>952</v>
      </c>
      <c r="AG116" t="s">
        <v>638</v>
      </c>
      <c r="AH116" t="s">
        <v>952</v>
      </c>
      <c r="AI116"/>
      <c r="AJ116"/>
    </row>
    <row r="117" spans="1:36" x14ac:dyDescent="0.25">
      <c r="A117" t="s">
        <v>419</v>
      </c>
      <c r="B117" t="s">
        <v>712</v>
      </c>
      <c r="C117" t="s">
        <v>951</v>
      </c>
      <c r="D117" t="s">
        <v>420</v>
      </c>
      <c r="E117" t="s">
        <v>952</v>
      </c>
      <c r="F117" t="s">
        <v>423</v>
      </c>
      <c r="G117" t="s">
        <v>280</v>
      </c>
      <c r="H117" t="s">
        <v>1031</v>
      </c>
      <c r="I117" t="s">
        <v>41</v>
      </c>
      <c r="J117" t="s">
        <v>952</v>
      </c>
      <c r="K117">
        <v>1</v>
      </c>
      <c r="L117">
        <v>12</v>
      </c>
      <c r="M117" t="s">
        <v>33</v>
      </c>
      <c r="N117">
        <v>1</v>
      </c>
      <c r="O117">
        <v>12</v>
      </c>
      <c r="P117">
        <v>1</v>
      </c>
      <c r="Q117" t="s">
        <v>48</v>
      </c>
      <c r="R117">
        <v>18</v>
      </c>
      <c r="S117">
        <v>0</v>
      </c>
      <c r="T117" t="s">
        <v>952</v>
      </c>
      <c r="U117" t="s">
        <v>952</v>
      </c>
      <c r="V117" t="s">
        <v>952</v>
      </c>
      <c r="W117" t="s">
        <v>952</v>
      </c>
      <c r="X117">
        <v>0</v>
      </c>
      <c r="Y117" t="s">
        <v>952</v>
      </c>
      <c r="Z117">
        <v>0</v>
      </c>
      <c r="AA117" t="s">
        <v>952</v>
      </c>
      <c r="AB117" t="s">
        <v>952</v>
      </c>
      <c r="AC117" t="s">
        <v>952</v>
      </c>
      <c r="AD117" t="s">
        <v>952</v>
      </c>
      <c r="AE117">
        <v>0</v>
      </c>
      <c r="AF117" t="s">
        <v>952</v>
      </c>
      <c r="AG117" t="s">
        <v>638</v>
      </c>
      <c r="AH117" t="s">
        <v>952</v>
      </c>
      <c r="AI117"/>
      <c r="AJ117"/>
    </row>
    <row r="118" spans="1:36" x14ac:dyDescent="0.25">
      <c r="A118" t="s">
        <v>419</v>
      </c>
      <c r="B118" t="s">
        <v>712</v>
      </c>
      <c r="C118" t="s">
        <v>951</v>
      </c>
      <c r="D118" t="s">
        <v>420</v>
      </c>
      <c r="E118" t="s">
        <v>952</v>
      </c>
      <c r="F118" t="s">
        <v>424</v>
      </c>
      <c r="G118" t="s">
        <v>280</v>
      </c>
      <c r="H118" t="s">
        <v>1032</v>
      </c>
      <c r="I118" t="s">
        <v>35</v>
      </c>
      <c r="J118" t="s">
        <v>952</v>
      </c>
      <c r="K118">
        <v>1</v>
      </c>
      <c r="L118">
        <v>1</v>
      </c>
      <c r="M118" t="s">
        <v>33</v>
      </c>
      <c r="N118">
        <v>1</v>
      </c>
      <c r="O118">
        <v>1</v>
      </c>
      <c r="P118">
        <v>1</v>
      </c>
      <c r="Q118" t="s">
        <v>48</v>
      </c>
      <c r="R118">
        <v>1</v>
      </c>
      <c r="S118">
        <v>0</v>
      </c>
      <c r="T118" t="s">
        <v>952</v>
      </c>
      <c r="U118" t="s">
        <v>952</v>
      </c>
      <c r="V118" t="s">
        <v>952</v>
      </c>
      <c r="W118" t="s">
        <v>952</v>
      </c>
      <c r="X118">
        <v>0</v>
      </c>
      <c r="Y118" t="s">
        <v>952</v>
      </c>
      <c r="Z118">
        <v>0</v>
      </c>
      <c r="AA118" t="s">
        <v>952</v>
      </c>
      <c r="AB118" t="s">
        <v>952</v>
      </c>
      <c r="AC118" t="s">
        <v>952</v>
      </c>
      <c r="AD118" t="s">
        <v>952</v>
      </c>
      <c r="AE118">
        <v>0</v>
      </c>
      <c r="AF118" t="s">
        <v>952</v>
      </c>
      <c r="AG118" t="s">
        <v>638</v>
      </c>
      <c r="AH118" t="s">
        <v>952</v>
      </c>
      <c r="AI118"/>
      <c r="AJ118"/>
    </row>
    <row r="119" spans="1:36" x14ac:dyDescent="0.25">
      <c r="A119" t="s">
        <v>425</v>
      </c>
      <c r="B119" t="s">
        <v>426</v>
      </c>
      <c r="C119" t="s">
        <v>951</v>
      </c>
      <c r="D119" t="s">
        <v>420</v>
      </c>
      <c r="E119" t="s">
        <v>952</v>
      </c>
      <c r="F119" t="s">
        <v>427</v>
      </c>
      <c r="G119" t="s">
        <v>952</v>
      </c>
      <c r="H119" t="s">
        <v>1033</v>
      </c>
      <c r="I119" t="s">
        <v>41</v>
      </c>
      <c r="J119" t="s">
        <v>952</v>
      </c>
      <c r="K119">
        <v>2</v>
      </c>
      <c r="L119">
        <v>12</v>
      </c>
      <c r="M119" t="s">
        <v>33</v>
      </c>
      <c r="N119">
        <v>1</v>
      </c>
      <c r="O119">
        <v>12</v>
      </c>
      <c r="P119">
        <v>1</v>
      </c>
      <c r="Q119" t="s">
        <v>48</v>
      </c>
      <c r="R119">
        <v>12</v>
      </c>
      <c r="S119">
        <v>0</v>
      </c>
      <c r="T119" t="s">
        <v>952</v>
      </c>
      <c r="U119" t="s">
        <v>952</v>
      </c>
      <c r="V119" t="s">
        <v>952</v>
      </c>
      <c r="W119" t="s">
        <v>952</v>
      </c>
      <c r="X119">
        <v>0</v>
      </c>
      <c r="Y119" t="s">
        <v>952</v>
      </c>
      <c r="Z119">
        <v>0</v>
      </c>
      <c r="AA119" t="s">
        <v>952</v>
      </c>
      <c r="AB119" t="s">
        <v>952</v>
      </c>
      <c r="AC119" t="s">
        <v>952</v>
      </c>
      <c r="AD119" t="s">
        <v>952</v>
      </c>
      <c r="AE119">
        <v>0</v>
      </c>
      <c r="AF119" t="s">
        <v>952</v>
      </c>
      <c r="AG119" t="s">
        <v>952</v>
      </c>
      <c r="AH119" t="s">
        <v>952</v>
      </c>
      <c r="AI119"/>
      <c r="AJ119"/>
    </row>
    <row r="120" spans="1:36" x14ac:dyDescent="0.25">
      <c r="A120" t="s">
        <v>700</v>
      </c>
      <c r="B120" t="s">
        <v>701</v>
      </c>
      <c r="C120" t="s">
        <v>951</v>
      </c>
      <c r="D120" t="s">
        <v>428</v>
      </c>
      <c r="E120" t="s">
        <v>952</v>
      </c>
      <c r="F120" t="s">
        <v>429</v>
      </c>
      <c r="G120" t="s">
        <v>280</v>
      </c>
      <c r="H120" t="s">
        <v>1034</v>
      </c>
      <c r="I120" t="s">
        <v>41</v>
      </c>
      <c r="J120" t="s">
        <v>952</v>
      </c>
      <c r="K120">
        <v>1</v>
      </c>
      <c r="L120">
        <v>10</v>
      </c>
      <c r="M120" t="s">
        <v>33</v>
      </c>
      <c r="N120">
        <v>1</v>
      </c>
      <c r="O120">
        <v>10</v>
      </c>
      <c r="P120">
        <v>1</v>
      </c>
      <c r="Q120" t="s">
        <v>48</v>
      </c>
      <c r="R120">
        <v>10</v>
      </c>
      <c r="S120">
        <v>0</v>
      </c>
      <c r="T120" t="s">
        <v>952</v>
      </c>
      <c r="U120" t="s">
        <v>952</v>
      </c>
      <c r="V120" t="s">
        <v>952</v>
      </c>
      <c r="W120" t="s">
        <v>952</v>
      </c>
      <c r="X120">
        <v>0</v>
      </c>
      <c r="Y120" t="s">
        <v>952</v>
      </c>
      <c r="Z120">
        <v>0</v>
      </c>
      <c r="AA120" t="s">
        <v>952</v>
      </c>
      <c r="AB120" t="s">
        <v>952</v>
      </c>
      <c r="AC120" t="s">
        <v>952</v>
      </c>
      <c r="AD120" t="s">
        <v>952</v>
      </c>
      <c r="AE120">
        <v>0</v>
      </c>
      <c r="AF120" t="s">
        <v>952</v>
      </c>
      <c r="AG120" t="s">
        <v>952</v>
      </c>
      <c r="AH120" t="s">
        <v>952</v>
      </c>
      <c r="AI120"/>
      <c r="AJ120"/>
    </row>
    <row r="121" spans="1:36" x14ac:dyDescent="0.25">
      <c r="A121" t="s">
        <v>718</v>
      </c>
      <c r="B121" t="s">
        <v>719</v>
      </c>
      <c r="C121" t="s">
        <v>951</v>
      </c>
      <c r="D121" t="s">
        <v>428</v>
      </c>
      <c r="E121" t="s">
        <v>952</v>
      </c>
      <c r="F121" t="s">
        <v>429</v>
      </c>
      <c r="G121" t="s">
        <v>280</v>
      </c>
      <c r="H121" t="s">
        <v>1034</v>
      </c>
      <c r="I121" t="s">
        <v>41</v>
      </c>
      <c r="J121" t="s">
        <v>952</v>
      </c>
      <c r="K121">
        <v>1</v>
      </c>
      <c r="L121">
        <v>10</v>
      </c>
      <c r="M121" t="s">
        <v>33</v>
      </c>
      <c r="N121">
        <v>1</v>
      </c>
      <c r="O121">
        <v>10</v>
      </c>
      <c r="P121">
        <v>1</v>
      </c>
      <c r="Q121" t="s">
        <v>48</v>
      </c>
      <c r="R121">
        <v>10</v>
      </c>
      <c r="S121">
        <v>0</v>
      </c>
      <c r="T121" t="s">
        <v>952</v>
      </c>
      <c r="U121" t="s">
        <v>952</v>
      </c>
      <c r="V121" t="s">
        <v>952</v>
      </c>
      <c r="W121" t="s">
        <v>952</v>
      </c>
      <c r="X121">
        <v>0</v>
      </c>
      <c r="Y121" t="s">
        <v>952</v>
      </c>
      <c r="Z121">
        <v>0</v>
      </c>
      <c r="AA121" t="s">
        <v>952</v>
      </c>
      <c r="AB121" t="s">
        <v>952</v>
      </c>
      <c r="AC121" t="s">
        <v>952</v>
      </c>
      <c r="AD121" t="s">
        <v>952</v>
      </c>
      <c r="AE121">
        <v>0</v>
      </c>
      <c r="AF121" t="s">
        <v>952</v>
      </c>
      <c r="AG121" t="s">
        <v>952</v>
      </c>
      <c r="AH121" t="s">
        <v>952</v>
      </c>
      <c r="AI121"/>
      <c r="AJ121"/>
    </row>
    <row r="122" spans="1:36" x14ac:dyDescent="0.25">
      <c r="A122" t="s">
        <v>430</v>
      </c>
      <c r="B122" t="s">
        <v>721</v>
      </c>
      <c r="C122" t="s">
        <v>951</v>
      </c>
      <c r="D122" t="s">
        <v>428</v>
      </c>
      <c r="E122" t="s">
        <v>952</v>
      </c>
      <c r="F122" t="s">
        <v>431</v>
      </c>
      <c r="G122" t="s">
        <v>280</v>
      </c>
      <c r="H122" t="s">
        <v>1035</v>
      </c>
      <c r="I122" t="s">
        <v>41</v>
      </c>
      <c r="J122" t="s">
        <v>952</v>
      </c>
      <c r="K122">
        <v>1</v>
      </c>
      <c r="L122">
        <v>215</v>
      </c>
      <c r="M122" t="s">
        <v>33</v>
      </c>
      <c r="N122">
        <v>1</v>
      </c>
      <c r="O122">
        <v>215</v>
      </c>
      <c r="P122">
        <v>1</v>
      </c>
      <c r="Q122" t="s">
        <v>48</v>
      </c>
      <c r="R122">
        <v>215</v>
      </c>
      <c r="S122">
        <v>0</v>
      </c>
      <c r="T122" t="s">
        <v>952</v>
      </c>
      <c r="U122" t="s">
        <v>952</v>
      </c>
      <c r="V122" t="s">
        <v>952</v>
      </c>
      <c r="W122" t="s">
        <v>952</v>
      </c>
      <c r="X122">
        <v>0</v>
      </c>
      <c r="Y122" t="s">
        <v>952</v>
      </c>
      <c r="Z122">
        <v>0</v>
      </c>
      <c r="AA122" t="s">
        <v>952</v>
      </c>
      <c r="AB122" t="s">
        <v>952</v>
      </c>
      <c r="AC122" t="s">
        <v>952</v>
      </c>
      <c r="AD122" t="s">
        <v>952</v>
      </c>
      <c r="AE122">
        <v>0</v>
      </c>
      <c r="AF122" t="s">
        <v>952</v>
      </c>
      <c r="AG122" t="s">
        <v>603</v>
      </c>
      <c r="AH122" t="s">
        <v>952</v>
      </c>
      <c r="AI122"/>
      <c r="AJ122"/>
    </row>
    <row r="123" spans="1:36" x14ac:dyDescent="0.25">
      <c r="A123" t="s">
        <v>432</v>
      </c>
      <c r="B123" t="s">
        <v>722</v>
      </c>
      <c r="C123" t="s">
        <v>951</v>
      </c>
      <c r="D123" t="s">
        <v>428</v>
      </c>
      <c r="E123" t="s">
        <v>952</v>
      </c>
      <c r="F123" t="s">
        <v>433</v>
      </c>
      <c r="G123" t="s">
        <v>280</v>
      </c>
      <c r="H123" t="s">
        <v>1036</v>
      </c>
      <c r="I123" t="s">
        <v>41</v>
      </c>
      <c r="J123" t="s">
        <v>952</v>
      </c>
      <c r="K123">
        <v>1</v>
      </c>
      <c r="L123">
        <v>215</v>
      </c>
      <c r="M123" t="s">
        <v>33</v>
      </c>
      <c r="N123">
        <v>1</v>
      </c>
      <c r="O123">
        <v>215</v>
      </c>
      <c r="P123">
        <v>1</v>
      </c>
      <c r="Q123" t="s">
        <v>48</v>
      </c>
      <c r="R123">
        <v>215</v>
      </c>
      <c r="S123">
        <v>0</v>
      </c>
      <c r="T123" t="s">
        <v>952</v>
      </c>
      <c r="U123" t="s">
        <v>952</v>
      </c>
      <c r="V123" t="s">
        <v>952</v>
      </c>
      <c r="W123" t="s">
        <v>952</v>
      </c>
      <c r="X123">
        <v>0</v>
      </c>
      <c r="Y123" t="s">
        <v>952</v>
      </c>
      <c r="Z123">
        <v>0</v>
      </c>
      <c r="AA123" t="s">
        <v>952</v>
      </c>
      <c r="AB123" t="s">
        <v>952</v>
      </c>
      <c r="AC123" t="s">
        <v>952</v>
      </c>
      <c r="AD123" t="s">
        <v>952</v>
      </c>
      <c r="AE123">
        <v>0</v>
      </c>
      <c r="AF123" t="s">
        <v>952</v>
      </c>
      <c r="AG123" t="s">
        <v>649</v>
      </c>
      <c r="AH123" t="s">
        <v>952</v>
      </c>
      <c r="AI123"/>
      <c r="AJ123"/>
    </row>
    <row r="124" spans="1:36" x14ac:dyDescent="0.25">
      <c r="A124" t="s">
        <v>434</v>
      </c>
      <c r="B124" t="s">
        <v>715</v>
      </c>
      <c r="C124" t="s">
        <v>951</v>
      </c>
      <c r="D124" t="s">
        <v>428</v>
      </c>
      <c r="E124" t="s">
        <v>952</v>
      </c>
      <c r="F124" t="s">
        <v>435</v>
      </c>
      <c r="G124" t="s">
        <v>280</v>
      </c>
      <c r="H124" t="s">
        <v>1037</v>
      </c>
      <c r="I124" t="s">
        <v>41</v>
      </c>
      <c r="J124" t="s">
        <v>952</v>
      </c>
      <c r="K124">
        <v>1</v>
      </c>
      <c r="L124">
        <v>215</v>
      </c>
      <c r="M124" t="s">
        <v>33</v>
      </c>
      <c r="N124">
        <v>1</v>
      </c>
      <c r="O124">
        <v>215</v>
      </c>
      <c r="P124">
        <v>1</v>
      </c>
      <c r="Q124" t="s">
        <v>48</v>
      </c>
      <c r="R124">
        <v>215</v>
      </c>
      <c r="S124">
        <v>0</v>
      </c>
      <c r="T124" t="s">
        <v>952</v>
      </c>
      <c r="U124" t="s">
        <v>952</v>
      </c>
      <c r="V124" t="s">
        <v>952</v>
      </c>
      <c r="W124" t="s">
        <v>952</v>
      </c>
      <c r="X124">
        <v>0</v>
      </c>
      <c r="Y124" t="s">
        <v>952</v>
      </c>
      <c r="Z124">
        <v>0</v>
      </c>
      <c r="AA124" t="s">
        <v>952</v>
      </c>
      <c r="AB124" t="s">
        <v>952</v>
      </c>
      <c r="AC124" t="s">
        <v>952</v>
      </c>
      <c r="AD124" t="s">
        <v>952</v>
      </c>
      <c r="AE124">
        <v>0</v>
      </c>
      <c r="AF124" t="s">
        <v>952</v>
      </c>
      <c r="AG124" t="s">
        <v>649</v>
      </c>
      <c r="AH124" t="s">
        <v>952</v>
      </c>
      <c r="AI124"/>
      <c r="AJ124"/>
    </row>
    <row r="125" spans="1:36" x14ac:dyDescent="0.25">
      <c r="A125" t="s">
        <v>436</v>
      </c>
      <c r="B125" t="s">
        <v>720</v>
      </c>
      <c r="C125" t="s">
        <v>951</v>
      </c>
      <c r="D125" t="s">
        <v>428</v>
      </c>
      <c r="E125" t="s">
        <v>952</v>
      </c>
      <c r="F125" t="s">
        <v>437</v>
      </c>
      <c r="G125" t="s">
        <v>280</v>
      </c>
      <c r="H125" t="s">
        <v>1038</v>
      </c>
      <c r="I125" t="s">
        <v>41</v>
      </c>
      <c r="J125" t="s">
        <v>952</v>
      </c>
      <c r="K125">
        <v>1</v>
      </c>
      <c r="L125">
        <v>1</v>
      </c>
      <c r="M125" t="s">
        <v>33</v>
      </c>
      <c r="N125">
        <v>1</v>
      </c>
      <c r="O125">
        <v>1</v>
      </c>
      <c r="P125">
        <v>1</v>
      </c>
      <c r="Q125" t="s">
        <v>48</v>
      </c>
      <c r="R125">
        <v>1</v>
      </c>
      <c r="S125">
        <v>0</v>
      </c>
      <c r="T125" t="s">
        <v>952</v>
      </c>
      <c r="U125" t="s">
        <v>952</v>
      </c>
      <c r="V125" t="s">
        <v>952</v>
      </c>
      <c r="W125" t="s">
        <v>952</v>
      </c>
      <c r="X125">
        <v>0</v>
      </c>
      <c r="Y125" t="s">
        <v>952</v>
      </c>
      <c r="Z125">
        <v>0</v>
      </c>
      <c r="AA125" t="s">
        <v>952</v>
      </c>
      <c r="AB125" t="s">
        <v>952</v>
      </c>
      <c r="AC125" t="s">
        <v>952</v>
      </c>
      <c r="AD125" t="s">
        <v>952</v>
      </c>
      <c r="AE125">
        <v>0</v>
      </c>
      <c r="AF125" t="s">
        <v>952</v>
      </c>
      <c r="AG125" t="s">
        <v>952</v>
      </c>
      <c r="AH125" t="s">
        <v>952</v>
      </c>
      <c r="AI125"/>
      <c r="AJ125"/>
    </row>
    <row r="126" spans="1:36" x14ac:dyDescent="0.25">
      <c r="A126" t="s">
        <v>438</v>
      </c>
      <c r="B126" t="s">
        <v>723</v>
      </c>
      <c r="C126" t="s">
        <v>951</v>
      </c>
      <c r="D126" t="s">
        <v>428</v>
      </c>
      <c r="E126" t="s">
        <v>952</v>
      </c>
      <c r="F126" t="s">
        <v>439</v>
      </c>
      <c r="G126" t="s">
        <v>280</v>
      </c>
      <c r="H126" t="s">
        <v>1039</v>
      </c>
      <c r="I126" t="s">
        <v>41</v>
      </c>
      <c r="J126" t="s">
        <v>952</v>
      </c>
      <c r="K126">
        <v>1</v>
      </c>
      <c r="L126">
        <v>1</v>
      </c>
      <c r="M126" t="s">
        <v>33</v>
      </c>
      <c r="N126">
        <v>1</v>
      </c>
      <c r="O126">
        <v>1</v>
      </c>
      <c r="P126">
        <v>1</v>
      </c>
      <c r="Q126" t="s">
        <v>48</v>
      </c>
      <c r="R126">
        <v>1</v>
      </c>
      <c r="S126">
        <v>0</v>
      </c>
      <c r="T126" t="s">
        <v>952</v>
      </c>
      <c r="U126" t="s">
        <v>952</v>
      </c>
      <c r="V126" t="s">
        <v>952</v>
      </c>
      <c r="W126" t="s">
        <v>952</v>
      </c>
      <c r="X126">
        <v>0</v>
      </c>
      <c r="Y126" t="s">
        <v>952</v>
      </c>
      <c r="Z126">
        <v>0</v>
      </c>
      <c r="AA126" t="s">
        <v>952</v>
      </c>
      <c r="AB126" t="s">
        <v>952</v>
      </c>
      <c r="AC126" t="s">
        <v>952</v>
      </c>
      <c r="AD126" t="s">
        <v>952</v>
      </c>
      <c r="AE126">
        <v>0</v>
      </c>
      <c r="AF126" t="s">
        <v>952</v>
      </c>
      <c r="AG126" t="s">
        <v>638</v>
      </c>
      <c r="AH126" t="s">
        <v>952</v>
      </c>
      <c r="AI126"/>
      <c r="AJ126"/>
    </row>
    <row r="127" spans="1:36" x14ac:dyDescent="0.25">
      <c r="A127" t="s">
        <v>440</v>
      </c>
      <c r="B127" t="s">
        <v>728</v>
      </c>
      <c r="C127" t="s">
        <v>951</v>
      </c>
      <c r="D127" t="s">
        <v>428</v>
      </c>
      <c r="E127" t="s">
        <v>952</v>
      </c>
      <c r="F127" t="s">
        <v>441</v>
      </c>
      <c r="G127" t="s">
        <v>280</v>
      </c>
      <c r="H127" t="s">
        <v>1040</v>
      </c>
      <c r="I127" t="s">
        <v>41</v>
      </c>
      <c r="J127" t="s">
        <v>952</v>
      </c>
      <c r="K127">
        <v>1</v>
      </c>
      <c r="L127">
        <v>199</v>
      </c>
      <c r="M127" t="s">
        <v>33</v>
      </c>
      <c r="N127">
        <v>1</v>
      </c>
      <c r="O127">
        <v>199</v>
      </c>
      <c r="P127">
        <v>1</v>
      </c>
      <c r="Q127" t="s">
        <v>48</v>
      </c>
      <c r="R127">
        <v>199</v>
      </c>
      <c r="S127">
        <v>0</v>
      </c>
      <c r="T127" t="s">
        <v>952</v>
      </c>
      <c r="U127" t="s">
        <v>952</v>
      </c>
      <c r="V127" t="s">
        <v>952</v>
      </c>
      <c r="W127" t="s">
        <v>952</v>
      </c>
      <c r="X127">
        <v>0</v>
      </c>
      <c r="Y127" t="s">
        <v>952</v>
      </c>
      <c r="Z127">
        <v>0</v>
      </c>
      <c r="AA127" t="s">
        <v>952</v>
      </c>
      <c r="AB127" t="s">
        <v>952</v>
      </c>
      <c r="AC127" t="s">
        <v>952</v>
      </c>
      <c r="AD127" t="s">
        <v>952</v>
      </c>
      <c r="AE127">
        <v>0</v>
      </c>
      <c r="AF127" t="s">
        <v>952</v>
      </c>
      <c r="AG127" t="s">
        <v>649</v>
      </c>
      <c r="AH127" t="s">
        <v>952</v>
      </c>
      <c r="AI127"/>
      <c r="AJ127"/>
    </row>
    <row r="128" spans="1:36" x14ac:dyDescent="0.25">
      <c r="A128" t="s">
        <v>726</v>
      </c>
      <c r="B128" t="s">
        <v>727</v>
      </c>
      <c r="C128" t="s">
        <v>951</v>
      </c>
      <c r="D128" t="s">
        <v>428</v>
      </c>
      <c r="E128" t="s">
        <v>952</v>
      </c>
      <c r="F128" t="s">
        <v>429</v>
      </c>
      <c r="G128" t="s">
        <v>280</v>
      </c>
      <c r="H128" t="s">
        <v>1041</v>
      </c>
      <c r="I128" t="s">
        <v>41</v>
      </c>
      <c r="J128" t="s">
        <v>952</v>
      </c>
      <c r="K128">
        <v>1</v>
      </c>
      <c r="L128">
        <v>3</v>
      </c>
      <c r="M128" t="s">
        <v>33</v>
      </c>
      <c r="N128">
        <v>1</v>
      </c>
      <c r="O128">
        <v>3</v>
      </c>
      <c r="P128">
        <v>1</v>
      </c>
      <c r="Q128" t="s">
        <v>48</v>
      </c>
      <c r="R128">
        <v>3</v>
      </c>
      <c r="S128">
        <v>0</v>
      </c>
      <c r="T128" t="s">
        <v>952</v>
      </c>
      <c r="U128" t="s">
        <v>952</v>
      </c>
      <c r="V128" t="s">
        <v>952</v>
      </c>
      <c r="W128" t="s">
        <v>952</v>
      </c>
      <c r="X128">
        <v>0</v>
      </c>
      <c r="Y128" t="s">
        <v>952</v>
      </c>
      <c r="Z128">
        <v>0</v>
      </c>
      <c r="AA128" t="s">
        <v>952</v>
      </c>
      <c r="AB128" t="s">
        <v>952</v>
      </c>
      <c r="AC128" t="s">
        <v>952</v>
      </c>
      <c r="AD128" t="s">
        <v>952</v>
      </c>
      <c r="AE128">
        <v>0</v>
      </c>
      <c r="AF128" t="s">
        <v>952</v>
      </c>
      <c r="AG128" t="s">
        <v>952</v>
      </c>
      <c r="AH128" t="s">
        <v>952</v>
      </c>
      <c r="AI128"/>
      <c r="AJ128"/>
    </row>
    <row r="129" spans="1:36" x14ac:dyDescent="0.25">
      <c r="A129" t="s">
        <v>713</v>
      </c>
      <c r="B129" t="s">
        <v>714</v>
      </c>
      <c r="C129" t="s">
        <v>951</v>
      </c>
      <c r="D129" t="s">
        <v>428</v>
      </c>
      <c r="E129" t="s">
        <v>952</v>
      </c>
      <c r="F129" t="s">
        <v>429</v>
      </c>
      <c r="G129" t="s">
        <v>280</v>
      </c>
      <c r="H129" t="s">
        <v>1041</v>
      </c>
      <c r="I129" t="s">
        <v>41</v>
      </c>
      <c r="J129" t="s">
        <v>952</v>
      </c>
      <c r="K129">
        <v>1</v>
      </c>
      <c r="L129">
        <v>3</v>
      </c>
      <c r="M129" t="s">
        <v>33</v>
      </c>
      <c r="N129">
        <v>1</v>
      </c>
      <c r="O129">
        <v>3</v>
      </c>
      <c r="P129">
        <v>1</v>
      </c>
      <c r="Q129" t="s">
        <v>48</v>
      </c>
      <c r="R129">
        <v>3</v>
      </c>
      <c r="S129">
        <v>0</v>
      </c>
      <c r="T129" t="s">
        <v>952</v>
      </c>
      <c r="U129" t="s">
        <v>952</v>
      </c>
      <c r="V129" t="s">
        <v>952</v>
      </c>
      <c r="W129" t="s">
        <v>952</v>
      </c>
      <c r="X129">
        <v>0</v>
      </c>
      <c r="Y129" t="s">
        <v>952</v>
      </c>
      <c r="Z129">
        <v>0</v>
      </c>
      <c r="AA129" t="s">
        <v>952</v>
      </c>
      <c r="AB129" t="s">
        <v>952</v>
      </c>
      <c r="AC129" t="s">
        <v>952</v>
      </c>
      <c r="AD129" t="s">
        <v>952</v>
      </c>
      <c r="AE129">
        <v>0</v>
      </c>
      <c r="AF129" t="s">
        <v>952</v>
      </c>
      <c r="AG129" t="s">
        <v>952</v>
      </c>
      <c r="AH129" t="s">
        <v>952</v>
      </c>
      <c r="AI129"/>
      <c r="AJ129"/>
    </row>
    <row r="130" spans="1:36" x14ac:dyDescent="0.25">
      <c r="A130" t="s">
        <v>442</v>
      </c>
      <c r="B130" t="s">
        <v>717</v>
      </c>
      <c r="C130" t="s">
        <v>951</v>
      </c>
      <c r="D130" t="s">
        <v>428</v>
      </c>
      <c r="E130" t="s">
        <v>952</v>
      </c>
      <c r="F130" t="s">
        <v>443</v>
      </c>
      <c r="G130" t="s">
        <v>280</v>
      </c>
      <c r="H130" t="s">
        <v>1042</v>
      </c>
      <c r="I130" t="s">
        <v>41</v>
      </c>
      <c r="J130" t="s">
        <v>952</v>
      </c>
      <c r="K130">
        <v>1</v>
      </c>
      <c r="L130">
        <v>2</v>
      </c>
      <c r="M130" t="s">
        <v>33</v>
      </c>
      <c r="N130">
        <v>1</v>
      </c>
      <c r="O130">
        <v>2</v>
      </c>
      <c r="P130">
        <v>1</v>
      </c>
      <c r="Q130" t="s">
        <v>48</v>
      </c>
      <c r="R130">
        <v>2</v>
      </c>
      <c r="S130">
        <v>0</v>
      </c>
      <c r="T130" t="s">
        <v>952</v>
      </c>
      <c r="U130" t="s">
        <v>952</v>
      </c>
      <c r="V130" t="s">
        <v>952</v>
      </c>
      <c r="W130" t="s">
        <v>952</v>
      </c>
      <c r="X130">
        <v>0</v>
      </c>
      <c r="Y130" t="s">
        <v>952</v>
      </c>
      <c r="Z130">
        <v>0</v>
      </c>
      <c r="AA130" t="s">
        <v>952</v>
      </c>
      <c r="AB130" t="s">
        <v>952</v>
      </c>
      <c r="AC130" t="s">
        <v>952</v>
      </c>
      <c r="AD130" t="s">
        <v>952</v>
      </c>
      <c r="AE130">
        <v>0</v>
      </c>
      <c r="AF130" t="s">
        <v>952</v>
      </c>
      <c r="AG130" t="s">
        <v>649</v>
      </c>
      <c r="AH130" t="s">
        <v>952</v>
      </c>
      <c r="AI130"/>
      <c r="AJ130"/>
    </row>
    <row r="131" spans="1:36" x14ac:dyDescent="0.25">
      <c r="A131" t="s">
        <v>444</v>
      </c>
      <c r="B131" t="s">
        <v>725</v>
      </c>
      <c r="C131" t="s">
        <v>951</v>
      </c>
      <c r="D131" t="s">
        <v>428</v>
      </c>
      <c r="E131" t="s">
        <v>952</v>
      </c>
      <c r="F131" t="s">
        <v>445</v>
      </c>
      <c r="G131" t="s">
        <v>280</v>
      </c>
      <c r="H131" t="s">
        <v>1043</v>
      </c>
      <c r="I131" t="s">
        <v>41</v>
      </c>
      <c r="J131" t="s">
        <v>952</v>
      </c>
      <c r="K131">
        <v>1</v>
      </c>
      <c r="L131">
        <v>2</v>
      </c>
      <c r="M131" t="s">
        <v>33</v>
      </c>
      <c r="N131">
        <v>1</v>
      </c>
      <c r="O131">
        <v>2</v>
      </c>
      <c r="P131">
        <v>1</v>
      </c>
      <c r="Q131" t="s">
        <v>48</v>
      </c>
      <c r="R131">
        <v>2</v>
      </c>
      <c r="S131">
        <v>0</v>
      </c>
      <c r="T131" t="s">
        <v>952</v>
      </c>
      <c r="U131" t="s">
        <v>952</v>
      </c>
      <c r="V131" t="s">
        <v>952</v>
      </c>
      <c r="W131" t="s">
        <v>952</v>
      </c>
      <c r="X131">
        <v>0</v>
      </c>
      <c r="Y131" t="s">
        <v>952</v>
      </c>
      <c r="Z131">
        <v>0</v>
      </c>
      <c r="AA131" t="s">
        <v>952</v>
      </c>
      <c r="AB131" t="s">
        <v>952</v>
      </c>
      <c r="AC131" t="s">
        <v>952</v>
      </c>
      <c r="AD131" t="s">
        <v>952</v>
      </c>
      <c r="AE131">
        <v>0</v>
      </c>
      <c r="AF131" t="s">
        <v>952</v>
      </c>
      <c r="AG131" t="s">
        <v>649</v>
      </c>
      <c r="AH131" t="s">
        <v>952</v>
      </c>
      <c r="AI131"/>
      <c r="AJ131"/>
    </row>
    <row r="132" spans="1:36" x14ac:dyDescent="0.25">
      <c r="A132" t="s">
        <v>447</v>
      </c>
      <c r="B132" t="s">
        <v>695</v>
      </c>
      <c r="C132" t="s">
        <v>951</v>
      </c>
      <c r="D132" t="s">
        <v>428</v>
      </c>
      <c r="E132" t="s">
        <v>952</v>
      </c>
      <c r="F132" t="s">
        <v>446</v>
      </c>
      <c r="G132" t="s">
        <v>280</v>
      </c>
      <c r="H132" t="s">
        <v>1044</v>
      </c>
      <c r="I132" t="s">
        <v>41</v>
      </c>
      <c r="J132" t="s">
        <v>952</v>
      </c>
      <c r="K132">
        <v>1</v>
      </c>
      <c r="L132">
        <v>16</v>
      </c>
      <c r="M132" t="s">
        <v>33</v>
      </c>
      <c r="N132">
        <v>1</v>
      </c>
      <c r="O132">
        <v>16</v>
      </c>
      <c r="P132">
        <v>1</v>
      </c>
      <c r="Q132" t="s">
        <v>48</v>
      </c>
      <c r="R132">
        <v>16</v>
      </c>
      <c r="S132">
        <v>0</v>
      </c>
      <c r="T132" t="s">
        <v>952</v>
      </c>
      <c r="U132" t="s">
        <v>952</v>
      </c>
      <c r="V132" t="s">
        <v>952</v>
      </c>
      <c r="W132" t="s">
        <v>952</v>
      </c>
      <c r="X132">
        <v>0</v>
      </c>
      <c r="Y132" t="s">
        <v>952</v>
      </c>
      <c r="Z132">
        <v>0</v>
      </c>
      <c r="AA132" t="s">
        <v>952</v>
      </c>
      <c r="AB132" t="s">
        <v>952</v>
      </c>
      <c r="AC132" t="s">
        <v>952</v>
      </c>
      <c r="AD132" t="s">
        <v>952</v>
      </c>
      <c r="AE132">
        <v>0</v>
      </c>
      <c r="AF132" t="s">
        <v>952</v>
      </c>
      <c r="AG132" t="s">
        <v>952</v>
      </c>
      <c r="AH132" t="s">
        <v>952</v>
      </c>
      <c r="AI132"/>
      <c r="AJ132"/>
    </row>
    <row r="133" spans="1:36" x14ac:dyDescent="0.25">
      <c r="A133" t="s">
        <v>704</v>
      </c>
      <c r="B133" t="s">
        <v>705</v>
      </c>
      <c r="C133" t="s">
        <v>951</v>
      </c>
      <c r="D133" t="s">
        <v>428</v>
      </c>
      <c r="E133" t="s">
        <v>952</v>
      </c>
      <c r="F133" t="s">
        <v>446</v>
      </c>
      <c r="G133" t="s">
        <v>280</v>
      </c>
      <c r="H133" t="s">
        <v>1044</v>
      </c>
      <c r="I133" t="s">
        <v>41</v>
      </c>
      <c r="J133" t="s">
        <v>952</v>
      </c>
      <c r="K133">
        <v>1</v>
      </c>
      <c r="L133">
        <v>16</v>
      </c>
      <c r="M133" t="s">
        <v>33</v>
      </c>
      <c r="N133">
        <v>1</v>
      </c>
      <c r="O133">
        <v>16</v>
      </c>
      <c r="P133">
        <v>1</v>
      </c>
      <c r="Q133" t="s">
        <v>48</v>
      </c>
      <c r="R133">
        <v>16</v>
      </c>
      <c r="S133">
        <v>0</v>
      </c>
      <c r="T133" t="s">
        <v>952</v>
      </c>
      <c r="U133" t="s">
        <v>952</v>
      </c>
      <c r="V133" t="s">
        <v>952</v>
      </c>
      <c r="W133" t="s">
        <v>952</v>
      </c>
      <c r="X133">
        <v>0</v>
      </c>
      <c r="Y133" t="s">
        <v>952</v>
      </c>
      <c r="Z133">
        <v>0</v>
      </c>
      <c r="AA133" t="s">
        <v>952</v>
      </c>
      <c r="AB133" t="s">
        <v>952</v>
      </c>
      <c r="AC133" t="s">
        <v>952</v>
      </c>
      <c r="AD133" t="s">
        <v>952</v>
      </c>
      <c r="AE133">
        <v>0</v>
      </c>
      <c r="AF133" t="s">
        <v>952</v>
      </c>
      <c r="AG133" t="s">
        <v>952</v>
      </c>
      <c r="AH133" t="s">
        <v>952</v>
      </c>
      <c r="AI133"/>
      <c r="AJ133"/>
    </row>
    <row r="134" spans="1:36" x14ac:dyDescent="0.25">
      <c r="A134" t="s">
        <v>447</v>
      </c>
      <c r="B134" t="s">
        <v>695</v>
      </c>
      <c r="C134" t="s">
        <v>951</v>
      </c>
      <c r="D134" t="s">
        <v>428</v>
      </c>
      <c r="E134" t="s">
        <v>952</v>
      </c>
      <c r="F134" t="s">
        <v>448</v>
      </c>
      <c r="G134" t="s">
        <v>280</v>
      </c>
      <c r="H134" t="s">
        <v>1045</v>
      </c>
      <c r="I134" t="s">
        <v>41</v>
      </c>
      <c r="J134" t="s">
        <v>952</v>
      </c>
      <c r="K134">
        <v>1</v>
      </c>
      <c r="L134">
        <v>4</v>
      </c>
      <c r="M134" t="s">
        <v>33</v>
      </c>
      <c r="N134">
        <v>1</v>
      </c>
      <c r="O134">
        <v>4</v>
      </c>
      <c r="P134">
        <v>1</v>
      </c>
      <c r="Q134" t="s">
        <v>48</v>
      </c>
      <c r="R134">
        <v>4</v>
      </c>
      <c r="S134">
        <v>0</v>
      </c>
      <c r="T134" t="s">
        <v>952</v>
      </c>
      <c r="U134" t="s">
        <v>952</v>
      </c>
      <c r="V134" t="s">
        <v>952</v>
      </c>
      <c r="W134" t="s">
        <v>952</v>
      </c>
      <c r="X134">
        <v>0</v>
      </c>
      <c r="Y134" t="s">
        <v>952</v>
      </c>
      <c r="Z134">
        <v>0</v>
      </c>
      <c r="AA134" t="s">
        <v>952</v>
      </c>
      <c r="AB134" t="s">
        <v>952</v>
      </c>
      <c r="AC134" t="s">
        <v>952</v>
      </c>
      <c r="AD134" t="s">
        <v>952</v>
      </c>
      <c r="AE134">
        <v>0</v>
      </c>
      <c r="AF134" t="s">
        <v>952</v>
      </c>
      <c r="AG134" t="s">
        <v>952</v>
      </c>
      <c r="AH134" t="s">
        <v>952</v>
      </c>
      <c r="AI134"/>
      <c r="AJ134"/>
    </row>
    <row r="135" spans="1:36" x14ac:dyDescent="0.25">
      <c r="A135" t="s">
        <v>436</v>
      </c>
      <c r="B135" t="s">
        <v>720</v>
      </c>
      <c r="C135" t="s">
        <v>951</v>
      </c>
      <c r="D135" t="s">
        <v>428</v>
      </c>
      <c r="E135" t="s">
        <v>952</v>
      </c>
      <c r="F135" t="s">
        <v>449</v>
      </c>
      <c r="G135" t="s">
        <v>280</v>
      </c>
      <c r="H135" t="s">
        <v>1046</v>
      </c>
      <c r="I135" t="s">
        <v>41</v>
      </c>
      <c r="J135" t="s">
        <v>952</v>
      </c>
      <c r="K135">
        <v>1</v>
      </c>
      <c r="L135">
        <v>1</v>
      </c>
      <c r="M135" t="s">
        <v>33</v>
      </c>
      <c r="N135">
        <v>1</v>
      </c>
      <c r="O135">
        <v>1</v>
      </c>
      <c r="P135">
        <v>1</v>
      </c>
      <c r="Q135" t="s">
        <v>48</v>
      </c>
      <c r="R135">
        <v>1</v>
      </c>
      <c r="S135">
        <v>0</v>
      </c>
      <c r="T135" t="s">
        <v>952</v>
      </c>
      <c r="U135" t="s">
        <v>952</v>
      </c>
      <c r="V135" t="s">
        <v>952</v>
      </c>
      <c r="W135" t="s">
        <v>952</v>
      </c>
      <c r="X135">
        <v>0</v>
      </c>
      <c r="Y135" t="s">
        <v>952</v>
      </c>
      <c r="Z135">
        <v>0</v>
      </c>
      <c r="AA135" t="s">
        <v>952</v>
      </c>
      <c r="AB135" t="s">
        <v>952</v>
      </c>
      <c r="AC135" t="s">
        <v>952</v>
      </c>
      <c r="AD135" t="s">
        <v>952</v>
      </c>
      <c r="AE135">
        <v>0</v>
      </c>
      <c r="AF135" t="s">
        <v>952</v>
      </c>
      <c r="AG135" t="s">
        <v>952</v>
      </c>
      <c r="AH135" t="s">
        <v>952</v>
      </c>
      <c r="AI135"/>
      <c r="AJ135"/>
    </row>
    <row r="136" spans="1:36" x14ac:dyDescent="0.25">
      <c r="A136" t="s">
        <v>454</v>
      </c>
      <c r="B136" t="s">
        <v>724</v>
      </c>
      <c r="C136" t="s">
        <v>951</v>
      </c>
      <c r="D136" t="s">
        <v>428</v>
      </c>
      <c r="E136" t="s">
        <v>952</v>
      </c>
      <c r="F136" t="s">
        <v>450</v>
      </c>
      <c r="G136" t="s">
        <v>280</v>
      </c>
      <c r="H136" t="s">
        <v>1047</v>
      </c>
      <c r="I136" t="s">
        <v>41</v>
      </c>
      <c r="J136" t="s">
        <v>952</v>
      </c>
      <c r="K136">
        <v>1</v>
      </c>
      <c r="L136">
        <v>2</v>
      </c>
      <c r="M136" t="s">
        <v>33</v>
      </c>
      <c r="N136">
        <v>1</v>
      </c>
      <c r="O136">
        <v>2</v>
      </c>
      <c r="P136">
        <v>1</v>
      </c>
      <c r="Q136" t="s">
        <v>48</v>
      </c>
      <c r="R136">
        <v>2</v>
      </c>
      <c r="S136">
        <v>0</v>
      </c>
      <c r="T136" t="s">
        <v>952</v>
      </c>
      <c r="U136" t="s">
        <v>952</v>
      </c>
      <c r="V136" t="s">
        <v>952</v>
      </c>
      <c r="W136" t="s">
        <v>952</v>
      </c>
      <c r="X136">
        <v>0</v>
      </c>
      <c r="Y136" t="s">
        <v>952</v>
      </c>
      <c r="Z136">
        <v>0</v>
      </c>
      <c r="AA136" t="s">
        <v>952</v>
      </c>
      <c r="AB136" t="s">
        <v>952</v>
      </c>
      <c r="AC136" t="s">
        <v>952</v>
      </c>
      <c r="AD136" t="s">
        <v>952</v>
      </c>
      <c r="AE136">
        <v>0</v>
      </c>
      <c r="AF136" t="s">
        <v>952</v>
      </c>
      <c r="AG136" t="s">
        <v>952</v>
      </c>
      <c r="AH136" t="s">
        <v>952</v>
      </c>
      <c r="AI136"/>
      <c r="AJ136"/>
    </row>
    <row r="137" spans="1:36" x14ac:dyDescent="0.25">
      <c r="A137" t="s">
        <v>764</v>
      </c>
      <c r="B137" t="s">
        <v>765</v>
      </c>
      <c r="C137" t="s">
        <v>951</v>
      </c>
      <c r="D137" t="s">
        <v>428</v>
      </c>
      <c r="E137" t="s">
        <v>952</v>
      </c>
      <c r="F137" t="s">
        <v>450</v>
      </c>
      <c r="G137" t="s">
        <v>280</v>
      </c>
      <c r="H137" t="s">
        <v>1047</v>
      </c>
      <c r="I137" t="s">
        <v>41</v>
      </c>
      <c r="J137" t="s">
        <v>952</v>
      </c>
      <c r="K137">
        <v>1</v>
      </c>
      <c r="L137">
        <v>2</v>
      </c>
      <c r="M137" t="s">
        <v>33</v>
      </c>
      <c r="N137">
        <v>1</v>
      </c>
      <c r="O137">
        <v>2</v>
      </c>
      <c r="P137">
        <v>1</v>
      </c>
      <c r="Q137" t="s">
        <v>48</v>
      </c>
      <c r="R137">
        <v>2</v>
      </c>
      <c r="S137">
        <v>0</v>
      </c>
      <c r="T137" t="s">
        <v>952</v>
      </c>
      <c r="U137" t="s">
        <v>952</v>
      </c>
      <c r="V137" t="s">
        <v>952</v>
      </c>
      <c r="W137" t="s">
        <v>952</v>
      </c>
      <c r="X137">
        <v>0</v>
      </c>
      <c r="Y137" t="s">
        <v>952</v>
      </c>
      <c r="Z137">
        <v>0</v>
      </c>
      <c r="AA137" t="s">
        <v>952</v>
      </c>
      <c r="AB137" t="s">
        <v>952</v>
      </c>
      <c r="AC137" t="s">
        <v>952</v>
      </c>
      <c r="AD137" t="s">
        <v>952</v>
      </c>
      <c r="AE137">
        <v>0</v>
      </c>
      <c r="AF137" t="s">
        <v>952</v>
      </c>
      <c r="AG137" t="s">
        <v>952</v>
      </c>
      <c r="AH137" t="s">
        <v>952</v>
      </c>
      <c r="AI137"/>
      <c r="AJ137"/>
    </row>
    <row r="138" spans="1:36" x14ac:dyDescent="0.25">
      <c r="A138" t="s">
        <v>454</v>
      </c>
      <c r="B138" t="s">
        <v>724</v>
      </c>
      <c r="C138" t="s">
        <v>951</v>
      </c>
      <c r="D138" t="s">
        <v>428</v>
      </c>
      <c r="E138" t="s">
        <v>952</v>
      </c>
      <c r="F138" t="s">
        <v>451</v>
      </c>
      <c r="G138" t="s">
        <v>280</v>
      </c>
      <c r="H138" t="s">
        <v>1048</v>
      </c>
      <c r="I138" t="s">
        <v>41</v>
      </c>
      <c r="J138" t="s">
        <v>952</v>
      </c>
      <c r="K138">
        <v>1</v>
      </c>
      <c r="L138">
        <v>1</v>
      </c>
      <c r="M138" t="s">
        <v>33</v>
      </c>
      <c r="N138">
        <v>1</v>
      </c>
      <c r="O138">
        <v>1</v>
      </c>
      <c r="P138">
        <v>1</v>
      </c>
      <c r="Q138" t="s">
        <v>48</v>
      </c>
      <c r="R138">
        <v>1</v>
      </c>
      <c r="S138">
        <v>0</v>
      </c>
      <c r="T138" t="s">
        <v>952</v>
      </c>
      <c r="U138" t="s">
        <v>952</v>
      </c>
      <c r="V138" t="s">
        <v>952</v>
      </c>
      <c r="W138" t="s">
        <v>952</v>
      </c>
      <c r="X138">
        <v>0</v>
      </c>
      <c r="Y138" t="s">
        <v>952</v>
      </c>
      <c r="Z138">
        <v>0</v>
      </c>
      <c r="AA138" t="s">
        <v>952</v>
      </c>
      <c r="AB138" t="s">
        <v>952</v>
      </c>
      <c r="AC138" t="s">
        <v>952</v>
      </c>
      <c r="AD138" t="s">
        <v>952</v>
      </c>
      <c r="AE138">
        <v>0</v>
      </c>
      <c r="AF138" t="s">
        <v>952</v>
      </c>
      <c r="AG138" t="s">
        <v>952</v>
      </c>
      <c r="AH138" t="s">
        <v>952</v>
      </c>
      <c r="AI138"/>
      <c r="AJ138"/>
    </row>
    <row r="139" spans="1:36" x14ac:dyDescent="0.25">
      <c r="A139" t="s">
        <v>432</v>
      </c>
      <c r="B139" t="s">
        <v>722</v>
      </c>
      <c r="C139" t="s">
        <v>951</v>
      </c>
      <c r="D139" t="s">
        <v>428</v>
      </c>
      <c r="E139" t="s">
        <v>952</v>
      </c>
      <c r="F139" t="s">
        <v>451</v>
      </c>
      <c r="G139" t="s">
        <v>280</v>
      </c>
      <c r="H139" t="s">
        <v>1048</v>
      </c>
      <c r="I139" t="s">
        <v>41</v>
      </c>
      <c r="J139" t="s">
        <v>952</v>
      </c>
      <c r="K139">
        <v>1</v>
      </c>
      <c r="L139">
        <v>1</v>
      </c>
      <c r="M139" t="s">
        <v>33</v>
      </c>
      <c r="N139">
        <v>1</v>
      </c>
      <c r="O139">
        <v>1</v>
      </c>
      <c r="P139">
        <v>1</v>
      </c>
      <c r="Q139" t="s">
        <v>48</v>
      </c>
      <c r="R139">
        <v>1</v>
      </c>
      <c r="S139">
        <v>0</v>
      </c>
      <c r="T139" t="s">
        <v>952</v>
      </c>
      <c r="U139" t="s">
        <v>952</v>
      </c>
      <c r="V139" t="s">
        <v>952</v>
      </c>
      <c r="W139" t="s">
        <v>952</v>
      </c>
      <c r="X139">
        <v>0</v>
      </c>
      <c r="Y139" t="s">
        <v>952</v>
      </c>
      <c r="Z139">
        <v>0</v>
      </c>
      <c r="AA139" t="s">
        <v>952</v>
      </c>
      <c r="AB139" t="s">
        <v>952</v>
      </c>
      <c r="AC139" t="s">
        <v>952</v>
      </c>
      <c r="AD139" t="s">
        <v>952</v>
      </c>
      <c r="AE139">
        <v>0</v>
      </c>
      <c r="AF139" t="s">
        <v>952</v>
      </c>
      <c r="AG139" t="s">
        <v>952</v>
      </c>
      <c r="AH139" t="s">
        <v>952</v>
      </c>
      <c r="AI139"/>
      <c r="AJ139"/>
    </row>
    <row r="140" spans="1:36" x14ac:dyDescent="0.25">
      <c r="A140" t="s">
        <v>764</v>
      </c>
      <c r="B140" t="s">
        <v>765</v>
      </c>
      <c r="C140" t="s">
        <v>951</v>
      </c>
      <c r="D140" t="s">
        <v>428</v>
      </c>
      <c r="E140" t="s">
        <v>952</v>
      </c>
      <c r="F140" t="s">
        <v>452</v>
      </c>
      <c r="G140" t="s">
        <v>280</v>
      </c>
      <c r="H140" t="s">
        <v>1049</v>
      </c>
      <c r="I140" t="s">
        <v>41</v>
      </c>
      <c r="J140" t="s">
        <v>952</v>
      </c>
      <c r="K140">
        <v>1</v>
      </c>
      <c r="L140">
        <v>1</v>
      </c>
      <c r="M140" t="s">
        <v>33</v>
      </c>
      <c r="N140">
        <v>1</v>
      </c>
      <c r="O140">
        <v>1</v>
      </c>
      <c r="P140">
        <v>1</v>
      </c>
      <c r="Q140" t="s">
        <v>48</v>
      </c>
      <c r="R140">
        <v>1</v>
      </c>
      <c r="S140">
        <v>0</v>
      </c>
      <c r="T140" t="s">
        <v>952</v>
      </c>
      <c r="U140" t="s">
        <v>952</v>
      </c>
      <c r="V140" t="s">
        <v>952</v>
      </c>
      <c r="W140" t="s">
        <v>952</v>
      </c>
      <c r="X140">
        <v>0</v>
      </c>
      <c r="Y140" t="s">
        <v>952</v>
      </c>
      <c r="Z140">
        <v>0</v>
      </c>
      <c r="AA140" t="s">
        <v>952</v>
      </c>
      <c r="AB140" t="s">
        <v>952</v>
      </c>
      <c r="AC140" t="s">
        <v>952</v>
      </c>
      <c r="AD140" t="s">
        <v>952</v>
      </c>
      <c r="AE140">
        <v>0</v>
      </c>
      <c r="AF140" t="s">
        <v>952</v>
      </c>
      <c r="AG140" t="s">
        <v>952</v>
      </c>
      <c r="AH140" t="s">
        <v>952</v>
      </c>
      <c r="AI140"/>
      <c r="AJ140"/>
    </row>
    <row r="141" spans="1:36" x14ac:dyDescent="0.25">
      <c r="A141" t="s">
        <v>436</v>
      </c>
      <c r="B141" t="s">
        <v>720</v>
      </c>
      <c r="C141" t="s">
        <v>951</v>
      </c>
      <c r="D141" t="s">
        <v>428</v>
      </c>
      <c r="E141" t="s">
        <v>952</v>
      </c>
      <c r="F141" t="s">
        <v>452</v>
      </c>
      <c r="G141" t="s">
        <v>280</v>
      </c>
      <c r="H141" t="s">
        <v>1049</v>
      </c>
      <c r="I141" t="s">
        <v>41</v>
      </c>
      <c r="J141" t="s">
        <v>952</v>
      </c>
      <c r="K141">
        <v>1</v>
      </c>
      <c r="L141">
        <v>1</v>
      </c>
      <c r="M141" t="s">
        <v>33</v>
      </c>
      <c r="N141">
        <v>1</v>
      </c>
      <c r="O141">
        <v>1</v>
      </c>
      <c r="P141">
        <v>1</v>
      </c>
      <c r="Q141" t="s">
        <v>48</v>
      </c>
      <c r="R141">
        <v>1</v>
      </c>
      <c r="S141">
        <v>0</v>
      </c>
      <c r="T141" t="s">
        <v>952</v>
      </c>
      <c r="U141" t="s">
        <v>952</v>
      </c>
      <c r="V141" t="s">
        <v>952</v>
      </c>
      <c r="W141" t="s">
        <v>952</v>
      </c>
      <c r="X141">
        <v>0</v>
      </c>
      <c r="Y141" t="s">
        <v>952</v>
      </c>
      <c r="Z141">
        <v>0</v>
      </c>
      <c r="AA141" t="s">
        <v>952</v>
      </c>
      <c r="AB141" t="s">
        <v>952</v>
      </c>
      <c r="AC141" t="s">
        <v>952</v>
      </c>
      <c r="AD141" t="s">
        <v>952</v>
      </c>
      <c r="AE141">
        <v>0</v>
      </c>
      <c r="AF141" t="s">
        <v>952</v>
      </c>
      <c r="AG141" t="s">
        <v>952</v>
      </c>
      <c r="AH141" t="s">
        <v>952</v>
      </c>
      <c r="AI141"/>
      <c r="AJ141"/>
    </row>
    <row r="142" spans="1:36" x14ac:dyDescent="0.25">
      <c r="A142" t="s">
        <v>764</v>
      </c>
      <c r="B142" t="s">
        <v>765</v>
      </c>
      <c r="C142" t="s">
        <v>951</v>
      </c>
      <c r="D142" t="s">
        <v>428</v>
      </c>
      <c r="E142" t="s">
        <v>952</v>
      </c>
      <c r="F142" t="s">
        <v>453</v>
      </c>
      <c r="G142" t="s">
        <v>280</v>
      </c>
      <c r="H142" t="s">
        <v>1050</v>
      </c>
      <c r="I142" t="s">
        <v>41</v>
      </c>
      <c r="J142" t="s">
        <v>952</v>
      </c>
      <c r="K142">
        <v>1</v>
      </c>
      <c r="L142">
        <v>1</v>
      </c>
      <c r="M142" t="s">
        <v>33</v>
      </c>
      <c r="N142">
        <v>1</v>
      </c>
      <c r="O142">
        <v>1</v>
      </c>
      <c r="P142">
        <v>1</v>
      </c>
      <c r="Q142" t="s">
        <v>48</v>
      </c>
      <c r="R142">
        <v>1</v>
      </c>
      <c r="S142">
        <v>0</v>
      </c>
      <c r="T142" t="s">
        <v>952</v>
      </c>
      <c r="U142" t="s">
        <v>952</v>
      </c>
      <c r="V142" t="s">
        <v>952</v>
      </c>
      <c r="W142" t="s">
        <v>952</v>
      </c>
      <c r="X142">
        <v>0</v>
      </c>
      <c r="Y142" t="s">
        <v>952</v>
      </c>
      <c r="Z142">
        <v>0</v>
      </c>
      <c r="AA142" t="s">
        <v>952</v>
      </c>
      <c r="AB142" t="s">
        <v>952</v>
      </c>
      <c r="AC142" t="s">
        <v>952</v>
      </c>
      <c r="AD142" t="s">
        <v>952</v>
      </c>
      <c r="AE142">
        <v>0</v>
      </c>
      <c r="AF142" t="s">
        <v>952</v>
      </c>
      <c r="AG142" t="s">
        <v>952</v>
      </c>
      <c r="AH142" t="s">
        <v>952</v>
      </c>
      <c r="AI142"/>
      <c r="AJ142"/>
    </row>
    <row r="143" spans="1:36" x14ac:dyDescent="0.25">
      <c r="A143" t="s">
        <v>436</v>
      </c>
      <c r="B143" t="s">
        <v>720</v>
      </c>
      <c r="C143" t="s">
        <v>951</v>
      </c>
      <c r="D143" t="s">
        <v>428</v>
      </c>
      <c r="E143" t="s">
        <v>952</v>
      </c>
      <c r="F143" t="s">
        <v>453</v>
      </c>
      <c r="G143" t="s">
        <v>280</v>
      </c>
      <c r="H143" t="s">
        <v>1050</v>
      </c>
      <c r="I143" t="s">
        <v>41</v>
      </c>
      <c r="J143" t="s">
        <v>952</v>
      </c>
      <c r="K143">
        <v>1</v>
      </c>
      <c r="L143">
        <v>1</v>
      </c>
      <c r="M143" t="s">
        <v>33</v>
      </c>
      <c r="N143">
        <v>1</v>
      </c>
      <c r="O143">
        <v>1</v>
      </c>
      <c r="P143">
        <v>1</v>
      </c>
      <c r="Q143" t="s">
        <v>48</v>
      </c>
      <c r="R143">
        <v>1</v>
      </c>
      <c r="S143">
        <v>0</v>
      </c>
      <c r="T143" t="s">
        <v>952</v>
      </c>
      <c r="U143" t="s">
        <v>952</v>
      </c>
      <c r="V143" t="s">
        <v>952</v>
      </c>
      <c r="W143" t="s">
        <v>952</v>
      </c>
      <c r="X143">
        <v>0</v>
      </c>
      <c r="Y143" t="s">
        <v>952</v>
      </c>
      <c r="Z143">
        <v>0</v>
      </c>
      <c r="AA143" t="s">
        <v>952</v>
      </c>
      <c r="AB143" t="s">
        <v>952</v>
      </c>
      <c r="AC143" t="s">
        <v>952</v>
      </c>
      <c r="AD143" t="s">
        <v>952</v>
      </c>
      <c r="AE143">
        <v>0</v>
      </c>
      <c r="AF143" t="s">
        <v>952</v>
      </c>
      <c r="AG143" t="s">
        <v>952</v>
      </c>
      <c r="AH143" t="s">
        <v>952</v>
      </c>
      <c r="AI143"/>
      <c r="AJ143"/>
    </row>
    <row r="144" spans="1:36" x14ac:dyDescent="0.25">
      <c r="A144" t="s">
        <v>454</v>
      </c>
      <c r="B144" t="s">
        <v>724</v>
      </c>
      <c r="C144" t="s">
        <v>951</v>
      </c>
      <c r="D144" t="s">
        <v>428</v>
      </c>
      <c r="E144" t="s">
        <v>952</v>
      </c>
      <c r="F144" t="s">
        <v>455</v>
      </c>
      <c r="G144" t="s">
        <v>280</v>
      </c>
      <c r="H144" t="s">
        <v>1051</v>
      </c>
      <c r="I144" t="s">
        <v>41</v>
      </c>
      <c r="J144" t="s">
        <v>952</v>
      </c>
      <c r="K144">
        <v>1</v>
      </c>
      <c r="L144">
        <v>2</v>
      </c>
      <c r="M144" t="s">
        <v>33</v>
      </c>
      <c r="N144">
        <v>1</v>
      </c>
      <c r="O144">
        <v>2</v>
      </c>
      <c r="P144">
        <v>1</v>
      </c>
      <c r="Q144" t="s">
        <v>48</v>
      </c>
      <c r="R144">
        <v>2</v>
      </c>
      <c r="S144">
        <v>0</v>
      </c>
      <c r="T144" t="s">
        <v>952</v>
      </c>
      <c r="U144" t="s">
        <v>952</v>
      </c>
      <c r="V144" t="s">
        <v>952</v>
      </c>
      <c r="W144" t="s">
        <v>952</v>
      </c>
      <c r="X144">
        <v>0</v>
      </c>
      <c r="Y144" t="s">
        <v>952</v>
      </c>
      <c r="Z144">
        <v>0</v>
      </c>
      <c r="AA144" t="s">
        <v>952</v>
      </c>
      <c r="AB144" t="s">
        <v>952</v>
      </c>
      <c r="AC144" t="s">
        <v>952</v>
      </c>
      <c r="AD144" t="s">
        <v>952</v>
      </c>
      <c r="AE144">
        <v>0</v>
      </c>
      <c r="AF144" t="s">
        <v>952</v>
      </c>
      <c r="AG144" t="s">
        <v>613</v>
      </c>
      <c r="AH144" t="s">
        <v>952</v>
      </c>
      <c r="AI144"/>
      <c r="AJ144"/>
    </row>
    <row r="145" spans="1:36" x14ac:dyDescent="0.25">
      <c r="A145" t="s">
        <v>454</v>
      </c>
      <c r="B145" t="s">
        <v>724</v>
      </c>
      <c r="C145" t="s">
        <v>951</v>
      </c>
      <c r="D145" t="s">
        <v>428</v>
      </c>
      <c r="E145" t="s">
        <v>952</v>
      </c>
      <c r="F145" t="s">
        <v>456</v>
      </c>
      <c r="G145" t="s">
        <v>280</v>
      </c>
      <c r="H145" t="s">
        <v>1052</v>
      </c>
      <c r="I145" t="s">
        <v>41</v>
      </c>
      <c r="J145" t="s">
        <v>952</v>
      </c>
      <c r="K145">
        <v>1</v>
      </c>
      <c r="L145">
        <v>1</v>
      </c>
      <c r="M145" t="s">
        <v>33</v>
      </c>
      <c r="N145">
        <v>1</v>
      </c>
      <c r="O145">
        <v>1</v>
      </c>
      <c r="P145">
        <v>1</v>
      </c>
      <c r="Q145" t="s">
        <v>48</v>
      </c>
      <c r="R145">
        <v>1</v>
      </c>
      <c r="S145">
        <v>0</v>
      </c>
      <c r="T145" t="s">
        <v>952</v>
      </c>
      <c r="U145" t="s">
        <v>952</v>
      </c>
      <c r="V145" t="s">
        <v>952</v>
      </c>
      <c r="W145" t="s">
        <v>952</v>
      </c>
      <c r="X145">
        <v>0</v>
      </c>
      <c r="Y145" t="s">
        <v>952</v>
      </c>
      <c r="Z145">
        <v>0</v>
      </c>
      <c r="AA145" t="s">
        <v>952</v>
      </c>
      <c r="AB145" t="s">
        <v>952</v>
      </c>
      <c r="AC145" t="s">
        <v>952</v>
      </c>
      <c r="AD145" t="s">
        <v>952</v>
      </c>
      <c r="AE145">
        <v>0</v>
      </c>
      <c r="AF145" t="s">
        <v>952</v>
      </c>
      <c r="AG145" t="s">
        <v>613</v>
      </c>
      <c r="AH145" t="s">
        <v>952</v>
      </c>
      <c r="AI145"/>
      <c r="AJ145"/>
    </row>
    <row r="146" spans="1:36" x14ac:dyDescent="0.25">
      <c r="A146" t="s">
        <v>457</v>
      </c>
      <c r="B146" t="s">
        <v>740</v>
      </c>
      <c r="C146" t="s">
        <v>951</v>
      </c>
      <c r="D146" t="s">
        <v>257</v>
      </c>
      <c r="E146" t="s">
        <v>952</v>
      </c>
      <c r="F146" t="s">
        <v>459</v>
      </c>
      <c r="G146" t="s">
        <v>280</v>
      </c>
      <c r="H146" t="s">
        <v>1053</v>
      </c>
      <c r="I146" t="s">
        <v>41</v>
      </c>
      <c r="J146" t="s">
        <v>952</v>
      </c>
      <c r="K146">
        <v>1</v>
      </c>
      <c r="L146">
        <v>4</v>
      </c>
      <c r="M146" t="s">
        <v>33</v>
      </c>
      <c r="N146">
        <v>1</v>
      </c>
      <c r="O146">
        <v>4</v>
      </c>
      <c r="P146">
        <v>1</v>
      </c>
      <c r="Q146" t="s">
        <v>48</v>
      </c>
      <c r="R146">
        <v>4</v>
      </c>
      <c r="S146">
        <v>0</v>
      </c>
      <c r="T146" t="s">
        <v>952</v>
      </c>
      <c r="U146" t="s">
        <v>952</v>
      </c>
      <c r="V146" t="s">
        <v>952</v>
      </c>
      <c r="W146" t="s">
        <v>952</v>
      </c>
      <c r="X146">
        <v>0</v>
      </c>
      <c r="Y146" t="s">
        <v>952</v>
      </c>
      <c r="Z146">
        <v>0</v>
      </c>
      <c r="AA146" t="s">
        <v>952</v>
      </c>
      <c r="AB146" t="s">
        <v>952</v>
      </c>
      <c r="AC146" t="s">
        <v>952</v>
      </c>
      <c r="AD146" t="s">
        <v>952</v>
      </c>
      <c r="AE146">
        <v>0</v>
      </c>
      <c r="AF146" t="s">
        <v>952</v>
      </c>
      <c r="AG146" t="s">
        <v>603</v>
      </c>
      <c r="AH146" t="s">
        <v>952</v>
      </c>
      <c r="AI146"/>
      <c r="AJ146"/>
    </row>
    <row r="147" spans="1:36" x14ac:dyDescent="0.25">
      <c r="A147" t="s">
        <v>457</v>
      </c>
      <c r="B147" t="s">
        <v>740</v>
      </c>
      <c r="C147" t="s">
        <v>951</v>
      </c>
      <c r="D147" t="s">
        <v>257</v>
      </c>
      <c r="E147" t="s">
        <v>952</v>
      </c>
      <c r="F147" t="s">
        <v>460</v>
      </c>
      <c r="G147" t="s">
        <v>280</v>
      </c>
      <c r="H147" t="s">
        <v>1054</v>
      </c>
      <c r="I147" t="s">
        <v>41</v>
      </c>
      <c r="J147" t="s">
        <v>952</v>
      </c>
      <c r="K147">
        <v>1</v>
      </c>
      <c r="L147">
        <v>1</v>
      </c>
      <c r="M147" t="s">
        <v>33</v>
      </c>
      <c r="N147">
        <v>1</v>
      </c>
      <c r="O147">
        <v>1</v>
      </c>
      <c r="P147">
        <v>1</v>
      </c>
      <c r="Q147" t="s">
        <v>48</v>
      </c>
      <c r="R147">
        <v>6</v>
      </c>
      <c r="S147">
        <v>0</v>
      </c>
      <c r="T147" t="s">
        <v>952</v>
      </c>
      <c r="U147" t="s">
        <v>952</v>
      </c>
      <c r="V147" t="s">
        <v>952</v>
      </c>
      <c r="W147" t="s">
        <v>952</v>
      </c>
      <c r="X147">
        <v>0</v>
      </c>
      <c r="Y147" t="s">
        <v>952</v>
      </c>
      <c r="Z147">
        <v>0</v>
      </c>
      <c r="AA147" t="s">
        <v>952</v>
      </c>
      <c r="AB147" t="s">
        <v>952</v>
      </c>
      <c r="AC147" t="s">
        <v>952</v>
      </c>
      <c r="AD147" t="s">
        <v>952</v>
      </c>
      <c r="AE147">
        <v>0</v>
      </c>
      <c r="AF147" t="s">
        <v>952</v>
      </c>
      <c r="AG147" t="s">
        <v>603</v>
      </c>
      <c r="AH147" t="s">
        <v>952</v>
      </c>
      <c r="AI147"/>
      <c r="AJ147"/>
    </row>
    <row r="148" spans="1:36" x14ac:dyDescent="0.25">
      <c r="A148" t="s">
        <v>1055</v>
      </c>
      <c r="B148" t="s">
        <v>458</v>
      </c>
      <c r="C148" t="s">
        <v>951</v>
      </c>
      <c r="D148" t="s">
        <v>257</v>
      </c>
      <c r="E148" t="s">
        <v>952</v>
      </c>
      <c r="F148" t="s">
        <v>461</v>
      </c>
      <c r="G148" t="s">
        <v>952</v>
      </c>
      <c r="H148" t="s">
        <v>1056</v>
      </c>
      <c r="I148" t="s">
        <v>41</v>
      </c>
      <c r="J148" t="s">
        <v>952</v>
      </c>
      <c r="K148">
        <v>1</v>
      </c>
      <c r="L148">
        <v>2</v>
      </c>
      <c r="M148" t="s">
        <v>33</v>
      </c>
      <c r="N148">
        <v>1</v>
      </c>
      <c r="O148">
        <v>2</v>
      </c>
      <c r="P148">
        <v>1</v>
      </c>
      <c r="Q148" t="s">
        <v>48</v>
      </c>
      <c r="R148">
        <v>2</v>
      </c>
      <c r="S148">
        <v>0</v>
      </c>
      <c r="T148" t="s">
        <v>952</v>
      </c>
      <c r="U148" t="s">
        <v>952</v>
      </c>
      <c r="V148" t="s">
        <v>952</v>
      </c>
      <c r="W148" t="s">
        <v>952</v>
      </c>
      <c r="X148">
        <v>0</v>
      </c>
      <c r="Y148" t="s">
        <v>952</v>
      </c>
      <c r="Z148">
        <v>0</v>
      </c>
      <c r="AA148" t="s">
        <v>952</v>
      </c>
      <c r="AB148" t="s">
        <v>952</v>
      </c>
      <c r="AC148" t="s">
        <v>952</v>
      </c>
      <c r="AD148" t="s">
        <v>952</v>
      </c>
      <c r="AE148">
        <v>0</v>
      </c>
      <c r="AF148" t="s">
        <v>952</v>
      </c>
      <c r="AG148" t="s">
        <v>952</v>
      </c>
      <c r="AH148" t="s">
        <v>952</v>
      </c>
      <c r="AI148"/>
      <c r="AJ148"/>
    </row>
    <row r="149" spans="1:36" x14ac:dyDescent="0.25">
      <c r="A149" t="s">
        <v>434</v>
      </c>
      <c r="B149" t="s">
        <v>715</v>
      </c>
      <c r="C149" t="s">
        <v>951</v>
      </c>
      <c r="D149" t="s">
        <v>257</v>
      </c>
      <c r="E149" t="s">
        <v>952</v>
      </c>
      <c r="F149" t="s">
        <v>462</v>
      </c>
      <c r="G149" t="s">
        <v>280</v>
      </c>
      <c r="H149" t="s">
        <v>1057</v>
      </c>
      <c r="I149" t="s">
        <v>35</v>
      </c>
      <c r="J149" t="s">
        <v>952</v>
      </c>
      <c r="K149">
        <v>1</v>
      </c>
      <c r="L149">
        <v>7</v>
      </c>
      <c r="M149" t="s">
        <v>33</v>
      </c>
      <c r="N149">
        <v>1</v>
      </c>
      <c r="O149">
        <v>7</v>
      </c>
      <c r="P149">
        <v>1</v>
      </c>
      <c r="Q149" t="s">
        <v>48</v>
      </c>
      <c r="R149">
        <v>7</v>
      </c>
      <c r="S149">
        <v>0</v>
      </c>
      <c r="T149" t="s">
        <v>952</v>
      </c>
      <c r="U149" t="s">
        <v>952</v>
      </c>
      <c r="V149" t="s">
        <v>952</v>
      </c>
      <c r="W149" t="s">
        <v>952</v>
      </c>
      <c r="X149">
        <v>0</v>
      </c>
      <c r="Y149" t="s">
        <v>952</v>
      </c>
      <c r="Z149">
        <v>0</v>
      </c>
      <c r="AA149" t="s">
        <v>952</v>
      </c>
      <c r="AB149" t="s">
        <v>952</v>
      </c>
      <c r="AC149" t="s">
        <v>952</v>
      </c>
      <c r="AD149" t="s">
        <v>952</v>
      </c>
      <c r="AE149">
        <v>0</v>
      </c>
      <c r="AF149" t="s">
        <v>952</v>
      </c>
      <c r="AG149" t="s">
        <v>952</v>
      </c>
      <c r="AH149" t="s">
        <v>952</v>
      </c>
      <c r="AI149"/>
      <c r="AJ149"/>
    </row>
    <row r="150" spans="1:36" x14ac:dyDescent="0.25">
      <c r="A150" t="s">
        <v>463</v>
      </c>
      <c r="B150" t="s">
        <v>491</v>
      </c>
      <c r="C150" t="s">
        <v>951</v>
      </c>
      <c r="D150" t="s">
        <v>257</v>
      </c>
      <c r="E150" t="s">
        <v>952</v>
      </c>
      <c r="F150" t="s">
        <v>462</v>
      </c>
      <c r="G150" t="s">
        <v>280</v>
      </c>
      <c r="H150" t="s">
        <v>1057</v>
      </c>
      <c r="I150" t="s">
        <v>35</v>
      </c>
      <c r="J150" t="s">
        <v>952</v>
      </c>
      <c r="K150">
        <v>1</v>
      </c>
      <c r="L150">
        <v>7</v>
      </c>
      <c r="M150" t="s">
        <v>33</v>
      </c>
      <c r="N150">
        <v>1</v>
      </c>
      <c r="O150">
        <v>7</v>
      </c>
      <c r="P150">
        <v>1</v>
      </c>
      <c r="Q150" t="s">
        <v>48</v>
      </c>
      <c r="R150">
        <v>7</v>
      </c>
      <c r="S150">
        <v>0</v>
      </c>
      <c r="T150" t="s">
        <v>952</v>
      </c>
      <c r="U150" t="s">
        <v>952</v>
      </c>
      <c r="V150" t="s">
        <v>952</v>
      </c>
      <c r="W150" t="s">
        <v>952</v>
      </c>
      <c r="X150">
        <v>0</v>
      </c>
      <c r="Y150" t="s">
        <v>952</v>
      </c>
      <c r="Z150">
        <v>0</v>
      </c>
      <c r="AA150" t="s">
        <v>952</v>
      </c>
      <c r="AB150" t="s">
        <v>952</v>
      </c>
      <c r="AC150" t="s">
        <v>952</v>
      </c>
      <c r="AD150" t="s">
        <v>952</v>
      </c>
      <c r="AE150">
        <v>0</v>
      </c>
      <c r="AF150" t="s">
        <v>952</v>
      </c>
      <c r="AG150" t="s">
        <v>952</v>
      </c>
      <c r="AH150" t="s">
        <v>952</v>
      </c>
      <c r="AI150"/>
      <c r="AJ150"/>
    </row>
    <row r="151" spans="1:36" x14ac:dyDescent="0.25">
      <c r="A151" t="s">
        <v>702</v>
      </c>
      <c r="B151" t="s">
        <v>703</v>
      </c>
      <c r="C151" t="s">
        <v>951</v>
      </c>
      <c r="D151" t="s">
        <v>257</v>
      </c>
      <c r="E151" t="s">
        <v>952</v>
      </c>
      <c r="F151" t="s">
        <v>462</v>
      </c>
      <c r="G151" t="s">
        <v>280</v>
      </c>
      <c r="H151" t="s">
        <v>1057</v>
      </c>
      <c r="I151" t="s">
        <v>35</v>
      </c>
      <c r="J151" t="s">
        <v>952</v>
      </c>
      <c r="K151">
        <v>1</v>
      </c>
      <c r="L151">
        <v>7</v>
      </c>
      <c r="M151" t="s">
        <v>33</v>
      </c>
      <c r="N151">
        <v>1</v>
      </c>
      <c r="O151">
        <v>7</v>
      </c>
      <c r="P151">
        <v>1</v>
      </c>
      <c r="Q151" t="s">
        <v>48</v>
      </c>
      <c r="R151">
        <v>7</v>
      </c>
      <c r="S151">
        <v>0</v>
      </c>
      <c r="T151" t="s">
        <v>952</v>
      </c>
      <c r="U151" t="s">
        <v>952</v>
      </c>
      <c r="V151" t="s">
        <v>952</v>
      </c>
      <c r="W151" t="s">
        <v>952</v>
      </c>
      <c r="X151">
        <v>0</v>
      </c>
      <c r="Y151" t="s">
        <v>952</v>
      </c>
      <c r="Z151">
        <v>0</v>
      </c>
      <c r="AA151" t="s">
        <v>952</v>
      </c>
      <c r="AB151" t="s">
        <v>952</v>
      </c>
      <c r="AC151" t="s">
        <v>952</v>
      </c>
      <c r="AD151" t="s">
        <v>952</v>
      </c>
      <c r="AE151">
        <v>0</v>
      </c>
      <c r="AF151" t="s">
        <v>952</v>
      </c>
      <c r="AG151" t="s">
        <v>952</v>
      </c>
      <c r="AH151" t="s">
        <v>952</v>
      </c>
      <c r="AI151"/>
      <c r="AJ151"/>
    </row>
    <row r="152" spans="1:36" x14ac:dyDescent="0.25">
      <c r="A152" t="s">
        <v>463</v>
      </c>
      <c r="B152" t="s">
        <v>491</v>
      </c>
      <c r="C152" t="s">
        <v>951</v>
      </c>
      <c r="D152" t="s">
        <v>257</v>
      </c>
      <c r="E152" t="s">
        <v>952</v>
      </c>
      <c r="F152" t="s">
        <v>464</v>
      </c>
      <c r="G152" t="s">
        <v>280</v>
      </c>
      <c r="H152" t="s">
        <v>1058</v>
      </c>
      <c r="I152" t="s">
        <v>41</v>
      </c>
      <c r="J152" t="s">
        <v>952</v>
      </c>
      <c r="K152">
        <v>1</v>
      </c>
      <c r="L152">
        <v>6</v>
      </c>
      <c r="M152" t="s">
        <v>33</v>
      </c>
      <c r="N152">
        <v>1</v>
      </c>
      <c r="O152">
        <v>6</v>
      </c>
      <c r="P152">
        <v>1</v>
      </c>
      <c r="Q152" t="s">
        <v>48</v>
      </c>
      <c r="R152">
        <v>6</v>
      </c>
      <c r="S152">
        <v>0</v>
      </c>
      <c r="T152" t="s">
        <v>952</v>
      </c>
      <c r="U152" t="s">
        <v>952</v>
      </c>
      <c r="V152" t="s">
        <v>952</v>
      </c>
      <c r="W152" t="s">
        <v>952</v>
      </c>
      <c r="X152">
        <v>0</v>
      </c>
      <c r="Y152" t="s">
        <v>952</v>
      </c>
      <c r="Z152">
        <v>0</v>
      </c>
      <c r="AA152" t="s">
        <v>952</v>
      </c>
      <c r="AB152" t="s">
        <v>952</v>
      </c>
      <c r="AC152" t="s">
        <v>952</v>
      </c>
      <c r="AD152" t="s">
        <v>952</v>
      </c>
      <c r="AE152">
        <v>0</v>
      </c>
      <c r="AF152" t="s">
        <v>952</v>
      </c>
      <c r="AG152" t="s">
        <v>613</v>
      </c>
      <c r="AH152" t="s">
        <v>952</v>
      </c>
      <c r="AI152"/>
      <c r="AJ152"/>
    </row>
    <row r="153" spans="1:36" x14ac:dyDescent="0.25">
      <c r="A153" t="s">
        <v>731</v>
      </c>
      <c r="B153" t="s">
        <v>732</v>
      </c>
      <c r="C153" t="s">
        <v>951</v>
      </c>
      <c r="D153" t="s">
        <v>257</v>
      </c>
      <c r="E153" t="s">
        <v>952</v>
      </c>
      <c r="F153" t="s">
        <v>465</v>
      </c>
      <c r="G153" t="s">
        <v>280</v>
      </c>
      <c r="H153" t="s">
        <v>1059</v>
      </c>
      <c r="I153" t="s">
        <v>41</v>
      </c>
      <c r="J153" t="s">
        <v>952</v>
      </c>
      <c r="K153">
        <v>1</v>
      </c>
      <c r="L153">
        <v>2</v>
      </c>
      <c r="M153" t="s">
        <v>33</v>
      </c>
      <c r="N153">
        <v>1</v>
      </c>
      <c r="O153">
        <v>2</v>
      </c>
      <c r="P153">
        <v>1</v>
      </c>
      <c r="Q153" t="s">
        <v>48</v>
      </c>
      <c r="R153">
        <v>2</v>
      </c>
      <c r="S153">
        <v>0</v>
      </c>
      <c r="T153" t="s">
        <v>952</v>
      </c>
      <c r="U153" t="s">
        <v>952</v>
      </c>
      <c r="V153" t="s">
        <v>952</v>
      </c>
      <c r="W153" t="s">
        <v>952</v>
      </c>
      <c r="X153">
        <v>0</v>
      </c>
      <c r="Y153" t="s">
        <v>952</v>
      </c>
      <c r="Z153">
        <v>0</v>
      </c>
      <c r="AA153" t="s">
        <v>952</v>
      </c>
      <c r="AB153" t="s">
        <v>952</v>
      </c>
      <c r="AC153" t="s">
        <v>952</v>
      </c>
      <c r="AD153" t="s">
        <v>952</v>
      </c>
      <c r="AE153">
        <v>0</v>
      </c>
      <c r="AF153" t="s">
        <v>952</v>
      </c>
      <c r="AG153" t="s">
        <v>952</v>
      </c>
      <c r="AH153" t="s">
        <v>952</v>
      </c>
      <c r="AI153"/>
      <c r="AJ153"/>
    </row>
    <row r="154" spans="1:36" x14ac:dyDescent="0.25">
      <c r="A154" t="s">
        <v>736</v>
      </c>
      <c r="B154" t="s">
        <v>737</v>
      </c>
      <c r="C154" t="s">
        <v>951</v>
      </c>
      <c r="D154" t="s">
        <v>257</v>
      </c>
      <c r="E154" t="s">
        <v>952</v>
      </c>
      <c r="F154" t="s">
        <v>465</v>
      </c>
      <c r="G154" t="s">
        <v>280</v>
      </c>
      <c r="H154" t="s">
        <v>1059</v>
      </c>
      <c r="I154" t="s">
        <v>41</v>
      </c>
      <c r="J154" t="s">
        <v>952</v>
      </c>
      <c r="K154">
        <v>1</v>
      </c>
      <c r="L154">
        <v>2</v>
      </c>
      <c r="M154" t="s">
        <v>33</v>
      </c>
      <c r="N154">
        <v>1</v>
      </c>
      <c r="O154">
        <v>2</v>
      </c>
      <c r="P154">
        <v>1</v>
      </c>
      <c r="Q154" t="s">
        <v>48</v>
      </c>
      <c r="R154">
        <v>2</v>
      </c>
      <c r="S154">
        <v>0</v>
      </c>
      <c r="T154" t="s">
        <v>952</v>
      </c>
      <c r="U154" t="s">
        <v>952</v>
      </c>
      <c r="V154" t="s">
        <v>952</v>
      </c>
      <c r="W154" t="s">
        <v>952</v>
      </c>
      <c r="X154">
        <v>0</v>
      </c>
      <c r="Y154" t="s">
        <v>952</v>
      </c>
      <c r="Z154">
        <v>0</v>
      </c>
      <c r="AA154" t="s">
        <v>952</v>
      </c>
      <c r="AB154" t="s">
        <v>952</v>
      </c>
      <c r="AC154" t="s">
        <v>952</v>
      </c>
      <c r="AD154" t="s">
        <v>952</v>
      </c>
      <c r="AE154">
        <v>0</v>
      </c>
      <c r="AF154" t="s">
        <v>952</v>
      </c>
      <c r="AG154" t="s">
        <v>952</v>
      </c>
      <c r="AH154" t="s">
        <v>952</v>
      </c>
      <c r="AI154"/>
      <c r="AJ154"/>
    </row>
    <row r="155" spans="1:36" x14ac:dyDescent="0.25">
      <c r="A155" t="s">
        <v>329</v>
      </c>
      <c r="B155" t="s">
        <v>640</v>
      </c>
      <c r="C155" t="s">
        <v>951</v>
      </c>
      <c r="D155" t="s">
        <v>257</v>
      </c>
      <c r="E155" t="s">
        <v>952</v>
      </c>
      <c r="F155" t="s">
        <v>465</v>
      </c>
      <c r="G155" t="s">
        <v>280</v>
      </c>
      <c r="H155" t="s">
        <v>1059</v>
      </c>
      <c r="I155" t="s">
        <v>41</v>
      </c>
      <c r="J155" t="s">
        <v>952</v>
      </c>
      <c r="K155">
        <v>1</v>
      </c>
      <c r="L155">
        <v>2</v>
      </c>
      <c r="M155" t="s">
        <v>33</v>
      </c>
      <c r="N155">
        <v>1</v>
      </c>
      <c r="O155">
        <v>2</v>
      </c>
      <c r="P155">
        <v>1</v>
      </c>
      <c r="Q155" t="s">
        <v>48</v>
      </c>
      <c r="R155">
        <v>2</v>
      </c>
      <c r="S155">
        <v>0</v>
      </c>
      <c r="T155" t="s">
        <v>952</v>
      </c>
      <c r="U155" t="s">
        <v>952</v>
      </c>
      <c r="V155" t="s">
        <v>952</v>
      </c>
      <c r="W155" t="s">
        <v>952</v>
      </c>
      <c r="X155">
        <v>0</v>
      </c>
      <c r="Y155" t="s">
        <v>952</v>
      </c>
      <c r="Z155">
        <v>0</v>
      </c>
      <c r="AA155" t="s">
        <v>952</v>
      </c>
      <c r="AB155" t="s">
        <v>952</v>
      </c>
      <c r="AC155" t="s">
        <v>952</v>
      </c>
      <c r="AD155" t="s">
        <v>952</v>
      </c>
      <c r="AE155">
        <v>0</v>
      </c>
      <c r="AF155" t="s">
        <v>952</v>
      </c>
      <c r="AG155" t="s">
        <v>952</v>
      </c>
      <c r="AH155" t="s">
        <v>952</v>
      </c>
      <c r="AI155"/>
      <c r="AJ155"/>
    </row>
    <row r="156" spans="1:36" x14ac:dyDescent="0.25">
      <c r="A156" t="s">
        <v>327</v>
      </c>
      <c r="B156" t="s">
        <v>639</v>
      </c>
      <c r="C156" t="s">
        <v>951</v>
      </c>
      <c r="D156" t="s">
        <v>257</v>
      </c>
      <c r="E156" t="s">
        <v>952</v>
      </c>
      <c r="F156" t="s">
        <v>465</v>
      </c>
      <c r="G156" t="s">
        <v>280</v>
      </c>
      <c r="H156" t="s">
        <v>1059</v>
      </c>
      <c r="I156" t="s">
        <v>41</v>
      </c>
      <c r="J156" t="s">
        <v>952</v>
      </c>
      <c r="K156">
        <v>1</v>
      </c>
      <c r="L156">
        <v>2</v>
      </c>
      <c r="M156" t="s">
        <v>33</v>
      </c>
      <c r="N156">
        <v>1</v>
      </c>
      <c r="O156">
        <v>2</v>
      </c>
      <c r="P156">
        <v>1</v>
      </c>
      <c r="Q156" t="s">
        <v>48</v>
      </c>
      <c r="R156">
        <v>2</v>
      </c>
      <c r="S156">
        <v>0</v>
      </c>
      <c r="T156" t="s">
        <v>952</v>
      </c>
      <c r="U156" t="s">
        <v>952</v>
      </c>
      <c r="V156" t="s">
        <v>952</v>
      </c>
      <c r="W156" t="s">
        <v>952</v>
      </c>
      <c r="X156">
        <v>0</v>
      </c>
      <c r="Y156" t="s">
        <v>952</v>
      </c>
      <c r="Z156">
        <v>0</v>
      </c>
      <c r="AA156" t="s">
        <v>952</v>
      </c>
      <c r="AB156" t="s">
        <v>952</v>
      </c>
      <c r="AC156" t="s">
        <v>952</v>
      </c>
      <c r="AD156" t="s">
        <v>952</v>
      </c>
      <c r="AE156">
        <v>0</v>
      </c>
      <c r="AF156" t="s">
        <v>952</v>
      </c>
      <c r="AG156" t="s">
        <v>952</v>
      </c>
      <c r="AH156" t="s">
        <v>952</v>
      </c>
      <c r="AI156"/>
      <c r="AJ156"/>
    </row>
    <row r="157" spans="1:36" x14ac:dyDescent="0.25">
      <c r="A157" t="s">
        <v>466</v>
      </c>
      <c r="B157" t="s">
        <v>733</v>
      </c>
      <c r="C157" t="s">
        <v>951</v>
      </c>
      <c r="D157" t="s">
        <v>257</v>
      </c>
      <c r="E157" t="s">
        <v>952</v>
      </c>
      <c r="F157" t="s">
        <v>467</v>
      </c>
      <c r="G157" t="s">
        <v>280</v>
      </c>
      <c r="H157" t="s">
        <v>1060</v>
      </c>
      <c r="I157" t="s">
        <v>41</v>
      </c>
      <c r="J157" t="s">
        <v>952</v>
      </c>
      <c r="K157">
        <v>1</v>
      </c>
      <c r="L157">
        <v>9</v>
      </c>
      <c r="M157" t="s">
        <v>33</v>
      </c>
      <c r="N157">
        <v>1</v>
      </c>
      <c r="O157">
        <v>9</v>
      </c>
      <c r="P157">
        <v>1</v>
      </c>
      <c r="Q157" t="s">
        <v>48</v>
      </c>
      <c r="R157">
        <v>9</v>
      </c>
      <c r="S157">
        <v>0</v>
      </c>
      <c r="T157" t="s">
        <v>952</v>
      </c>
      <c r="U157" t="s">
        <v>952</v>
      </c>
      <c r="V157" t="s">
        <v>952</v>
      </c>
      <c r="W157" t="s">
        <v>952</v>
      </c>
      <c r="X157">
        <v>0</v>
      </c>
      <c r="Y157" t="s">
        <v>952</v>
      </c>
      <c r="Z157">
        <v>0</v>
      </c>
      <c r="AA157" t="s">
        <v>952</v>
      </c>
      <c r="AB157" t="s">
        <v>952</v>
      </c>
      <c r="AC157" t="s">
        <v>952</v>
      </c>
      <c r="AD157" t="s">
        <v>952</v>
      </c>
      <c r="AE157">
        <v>0</v>
      </c>
      <c r="AF157" t="s">
        <v>952</v>
      </c>
      <c r="AG157" t="s">
        <v>603</v>
      </c>
      <c r="AH157" t="s">
        <v>952</v>
      </c>
      <c r="AI157"/>
      <c r="AJ157"/>
    </row>
    <row r="158" spans="1:36" x14ac:dyDescent="0.25">
      <c r="A158" t="s">
        <v>463</v>
      </c>
      <c r="B158" t="s">
        <v>491</v>
      </c>
      <c r="C158" t="s">
        <v>951</v>
      </c>
      <c r="D158" t="s">
        <v>257</v>
      </c>
      <c r="E158" t="s">
        <v>952</v>
      </c>
      <c r="F158" t="s">
        <v>468</v>
      </c>
      <c r="G158" t="s">
        <v>280</v>
      </c>
      <c r="H158" t="s">
        <v>1061</v>
      </c>
      <c r="I158" t="s">
        <v>41</v>
      </c>
      <c r="J158" t="s">
        <v>952</v>
      </c>
      <c r="K158">
        <v>1</v>
      </c>
      <c r="L158">
        <v>95</v>
      </c>
      <c r="M158" t="s">
        <v>33</v>
      </c>
      <c r="N158">
        <v>1</v>
      </c>
      <c r="O158">
        <v>95</v>
      </c>
      <c r="P158">
        <v>1</v>
      </c>
      <c r="Q158" t="s">
        <v>48</v>
      </c>
      <c r="R158">
        <v>95</v>
      </c>
      <c r="S158">
        <v>0</v>
      </c>
      <c r="T158" t="s">
        <v>952</v>
      </c>
      <c r="U158" t="s">
        <v>952</v>
      </c>
      <c r="V158" t="s">
        <v>952</v>
      </c>
      <c r="W158" t="s">
        <v>952</v>
      </c>
      <c r="X158">
        <v>0</v>
      </c>
      <c r="Y158" t="s">
        <v>952</v>
      </c>
      <c r="Z158">
        <v>0</v>
      </c>
      <c r="AA158" t="s">
        <v>952</v>
      </c>
      <c r="AB158" t="s">
        <v>952</v>
      </c>
      <c r="AC158" t="s">
        <v>952</v>
      </c>
      <c r="AD158" t="s">
        <v>952</v>
      </c>
      <c r="AE158">
        <v>0</v>
      </c>
      <c r="AF158" t="s">
        <v>952</v>
      </c>
      <c r="AG158" t="s">
        <v>613</v>
      </c>
      <c r="AH158" t="s">
        <v>952</v>
      </c>
      <c r="AI158"/>
      <c r="AJ158"/>
    </row>
    <row r="159" spans="1:36" x14ac:dyDescent="0.25">
      <c r="A159" t="s">
        <v>463</v>
      </c>
      <c r="B159" t="s">
        <v>491</v>
      </c>
      <c r="C159" t="s">
        <v>951</v>
      </c>
      <c r="D159" t="s">
        <v>257</v>
      </c>
      <c r="E159" t="s">
        <v>952</v>
      </c>
      <c r="F159" t="s">
        <v>469</v>
      </c>
      <c r="G159" t="s">
        <v>280</v>
      </c>
      <c r="H159" t="s">
        <v>1062</v>
      </c>
      <c r="I159" t="s">
        <v>41</v>
      </c>
      <c r="J159" t="s">
        <v>952</v>
      </c>
      <c r="K159">
        <v>1</v>
      </c>
      <c r="L159">
        <v>12</v>
      </c>
      <c r="M159" t="s">
        <v>33</v>
      </c>
      <c r="N159">
        <v>1</v>
      </c>
      <c r="O159">
        <v>12</v>
      </c>
      <c r="P159">
        <v>1</v>
      </c>
      <c r="Q159" t="s">
        <v>48</v>
      </c>
      <c r="R159">
        <v>12</v>
      </c>
      <c r="S159">
        <v>0</v>
      </c>
      <c r="T159" t="s">
        <v>952</v>
      </c>
      <c r="U159" t="s">
        <v>952</v>
      </c>
      <c r="V159" t="s">
        <v>952</v>
      </c>
      <c r="W159" t="s">
        <v>952</v>
      </c>
      <c r="X159">
        <v>0</v>
      </c>
      <c r="Y159" t="s">
        <v>952</v>
      </c>
      <c r="Z159">
        <v>0</v>
      </c>
      <c r="AA159" t="s">
        <v>952</v>
      </c>
      <c r="AB159" t="s">
        <v>952</v>
      </c>
      <c r="AC159" t="s">
        <v>952</v>
      </c>
      <c r="AD159" t="s">
        <v>952</v>
      </c>
      <c r="AE159">
        <v>0</v>
      </c>
      <c r="AF159" t="s">
        <v>952</v>
      </c>
      <c r="AG159" t="s">
        <v>613</v>
      </c>
      <c r="AH159" t="s">
        <v>952</v>
      </c>
      <c r="AI159"/>
      <c r="AJ159"/>
    </row>
    <row r="160" spans="1:36" x14ac:dyDescent="0.25">
      <c r="A160" t="s">
        <v>463</v>
      </c>
      <c r="B160" t="s">
        <v>491</v>
      </c>
      <c r="C160" t="s">
        <v>951</v>
      </c>
      <c r="D160" t="s">
        <v>257</v>
      </c>
      <c r="E160" t="s">
        <v>952</v>
      </c>
      <c r="F160" t="s">
        <v>470</v>
      </c>
      <c r="G160" t="s">
        <v>280</v>
      </c>
      <c r="H160" t="s">
        <v>1063</v>
      </c>
      <c r="I160" t="s">
        <v>41</v>
      </c>
      <c r="J160" t="s">
        <v>952</v>
      </c>
      <c r="K160">
        <v>1</v>
      </c>
      <c r="L160">
        <v>12</v>
      </c>
      <c r="M160" t="s">
        <v>33</v>
      </c>
      <c r="N160">
        <v>1</v>
      </c>
      <c r="O160">
        <v>12</v>
      </c>
      <c r="P160">
        <v>1</v>
      </c>
      <c r="Q160" t="s">
        <v>48</v>
      </c>
      <c r="R160">
        <v>12</v>
      </c>
      <c r="S160">
        <v>0</v>
      </c>
      <c r="T160" t="s">
        <v>952</v>
      </c>
      <c r="U160" t="s">
        <v>952</v>
      </c>
      <c r="V160" t="s">
        <v>952</v>
      </c>
      <c r="W160" t="s">
        <v>952</v>
      </c>
      <c r="X160">
        <v>0</v>
      </c>
      <c r="Y160" t="s">
        <v>952</v>
      </c>
      <c r="Z160">
        <v>0</v>
      </c>
      <c r="AA160" t="s">
        <v>952</v>
      </c>
      <c r="AB160" t="s">
        <v>952</v>
      </c>
      <c r="AC160" t="s">
        <v>952</v>
      </c>
      <c r="AD160" t="s">
        <v>952</v>
      </c>
      <c r="AE160">
        <v>0</v>
      </c>
      <c r="AF160" t="s">
        <v>952</v>
      </c>
      <c r="AG160" t="s">
        <v>613</v>
      </c>
      <c r="AH160" t="s">
        <v>952</v>
      </c>
      <c r="AI160"/>
      <c r="AJ160"/>
    </row>
    <row r="161" spans="1:36" x14ac:dyDescent="0.25">
      <c r="A161" t="s">
        <v>463</v>
      </c>
      <c r="B161" t="s">
        <v>491</v>
      </c>
      <c r="C161" t="s">
        <v>951</v>
      </c>
      <c r="D161" t="s">
        <v>257</v>
      </c>
      <c r="E161" t="s">
        <v>952</v>
      </c>
      <c r="F161" t="s">
        <v>471</v>
      </c>
      <c r="G161" t="s">
        <v>280</v>
      </c>
      <c r="H161" t="s">
        <v>1064</v>
      </c>
      <c r="I161" t="s">
        <v>41</v>
      </c>
      <c r="J161" t="s">
        <v>952</v>
      </c>
      <c r="K161">
        <v>1</v>
      </c>
      <c r="L161">
        <v>6</v>
      </c>
      <c r="M161" t="s">
        <v>33</v>
      </c>
      <c r="N161">
        <v>1</v>
      </c>
      <c r="O161">
        <v>6</v>
      </c>
      <c r="P161">
        <v>1</v>
      </c>
      <c r="Q161" t="s">
        <v>48</v>
      </c>
      <c r="R161">
        <v>6</v>
      </c>
      <c r="S161">
        <v>0</v>
      </c>
      <c r="T161" t="s">
        <v>952</v>
      </c>
      <c r="U161" t="s">
        <v>952</v>
      </c>
      <c r="V161" t="s">
        <v>952</v>
      </c>
      <c r="W161" t="s">
        <v>952</v>
      </c>
      <c r="X161">
        <v>0</v>
      </c>
      <c r="Y161" t="s">
        <v>952</v>
      </c>
      <c r="Z161">
        <v>0</v>
      </c>
      <c r="AA161" t="s">
        <v>952</v>
      </c>
      <c r="AB161" t="s">
        <v>952</v>
      </c>
      <c r="AC161" t="s">
        <v>952</v>
      </c>
      <c r="AD161" t="s">
        <v>952</v>
      </c>
      <c r="AE161">
        <v>0</v>
      </c>
      <c r="AF161" t="s">
        <v>952</v>
      </c>
      <c r="AG161" t="s">
        <v>613</v>
      </c>
      <c r="AH161" t="s">
        <v>952</v>
      </c>
      <c r="AI161"/>
      <c r="AJ161"/>
    </row>
    <row r="162" spans="1:36" x14ac:dyDescent="0.25">
      <c r="A162" t="s">
        <v>463</v>
      </c>
      <c r="B162" t="s">
        <v>491</v>
      </c>
      <c r="C162" t="s">
        <v>951</v>
      </c>
      <c r="D162" t="s">
        <v>257</v>
      </c>
      <c r="E162" t="s">
        <v>952</v>
      </c>
      <c r="F162" t="s">
        <v>472</v>
      </c>
      <c r="G162" t="s">
        <v>280</v>
      </c>
      <c r="H162" t="s">
        <v>1065</v>
      </c>
      <c r="I162" t="s">
        <v>41</v>
      </c>
      <c r="J162" t="s">
        <v>952</v>
      </c>
      <c r="K162">
        <v>1</v>
      </c>
      <c r="L162">
        <v>12</v>
      </c>
      <c r="M162" t="s">
        <v>33</v>
      </c>
      <c r="N162">
        <v>1</v>
      </c>
      <c r="O162">
        <v>12</v>
      </c>
      <c r="P162">
        <v>1</v>
      </c>
      <c r="Q162" t="s">
        <v>48</v>
      </c>
      <c r="R162">
        <v>12</v>
      </c>
      <c r="S162">
        <v>0</v>
      </c>
      <c r="T162" t="s">
        <v>952</v>
      </c>
      <c r="U162" t="s">
        <v>952</v>
      </c>
      <c r="V162" t="s">
        <v>952</v>
      </c>
      <c r="W162" t="s">
        <v>952</v>
      </c>
      <c r="X162">
        <v>0</v>
      </c>
      <c r="Y162" t="s">
        <v>952</v>
      </c>
      <c r="Z162">
        <v>0</v>
      </c>
      <c r="AA162" t="s">
        <v>952</v>
      </c>
      <c r="AB162" t="s">
        <v>952</v>
      </c>
      <c r="AC162" t="s">
        <v>952</v>
      </c>
      <c r="AD162" t="s">
        <v>952</v>
      </c>
      <c r="AE162">
        <v>0</v>
      </c>
      <c r="AF162" t="s">
        <v>952</v>
      </c>
      <c r="AG162" t="s">
        <v>613</v>
      </c>
      <c r="AH162" t="s">
        <v>952</v>
      </c>
      <c r="AI162"/>
      <c r="AJ162"/>
    </row>
    <row r="163" spans="1:36" x14ac:dyDescent="0.25">
      <c r="A163" t="s">
        <v>463</v>
      </c>
      <c r="B163" t="s">
        <v>491</v>
      </c>
      <c r="C163" t="s">
        <v>951</v>
      </c>
      <c r="D163" t="s">
        <v>257</v>
      </c>
      <c r="E163" t="s">
        <v>952</v>
      </c>
      <c r="F163" t="s">
        <v>473</v>
      </c>
      <c r="G163" t="s">
        <v>280</v>
      </c>
      <c r="H163" t="s">
        <v>1066</v>
      </c>
      <c r="I163" t="s">
        <v>41</v>
      </c>
      <c r="J163" t="s">
        <v>952</v>
      </c>
      <c r="K163">
        <v>1</v>
      </c>
      <c r="L163">
        <v>16</v>
      </c>
      <c r="M163" t="s">
        <v>33</v>
      </c>
      <c r="N163">
        <v>1</v>
      </c>
      <c r="O163">
        <v>16</v>
      </c>
      <c r="P163">
        <v>1</v>
      </c>
      <c r="Q163" t="s">
        <v>48</v>
      </c>
      <c r="R163">
        <v>16</v>
      </c>
      <c r="S163">
        <v>0</v>
      </c>
      <c r="T163" t="s">
        <v>952</v>
      </c>
      <c r="U163" t="s">
        <v>952</v>
      </c>
      <c r="V163" t="s">
        <v>952</v>
      </c>
      <c r="W163" t="s">
        <v>952</v>
      </c>
      <c r="X163">
        <v>0</v>
      </c>
      <c r="Y163" t="s">
        <v>952</v>
      </c>
      <c r="Z163">
        <v>0</v>
      </c>
      <c r="AA163" t="s">
        <v>952</v>
      </c>
      <c r="AB163" t="s">
        <v>952</v>
      </c>
      <c r="AC163" t="s">
        <v>952</v>
      </c>
      <c r="AD163" t="s">
        <v>952</v>
      </c>
      <c r="AE163">
        <v>0</v>
      </c>
      <c r="AF163" t="s">
        <v>952</v>
      </c>
      <c r="AG163" t="s">
        <v>613</v>
      </c>
      <c r="AH163" t="s">
        <v>952</v>
      </c>
      <c r="AI163"/>
      <c r="AJ163"/>
    </row>
    <row r="164" spans="1:36" x14ac:dyDescent="0.25">
      <c r="A164" t="s">
        <v>463</v>
      </c>
      <c r="B164" t="s">
        <v>491</v>
      </c>
      <c r="C164" t="s">
        <v>951</v>
      </c>
      <c r="D164" t="s">
        <v>257</v>
      </c>
      <c r="E164" t="s">
        <v>952</v>
      </c>
      <c r="F164" t="s">
        <v>474</v>
      </c>
      <c r="G164" t="s">
        <v>280</v>
      </c>
      <c r="H164" t="s">
        <v>1067</v>
      </c>
      <c r="I164" t="s">
        <v>41</v>
      </c>
      <c r="J164" t="s">
        <v>952</v>
      </c>
      <c r="K164">
        <v>1</v>
      </c>
      <c r="L164">
        <v>16</v>
      </c>
      <c r="M164" t="s">
        <v>33</v>
      </c>
      <c r="N164">
        <v>1</v>
      </c>
      <c r="O164">
        <v>16</v>
      </c>
      <c r="P164">
        <v>1</v>
      </c>
      <c r="Q164" t="s">
        <v>48</v>
      </c>
      <c r="R164">
        <v>16</v>
      </c>
      <c r="S164">
        <v>0</v>
      </c>
      <c r="T164" t="s">
        <v>952</v>
      </c>
      <c r="U164" t="s">
        <v>952</v>
      </c>
      <c r="V164" t="s">
        <v>952</v>
      </c>
      <c r="W164" t="s">
        <v>952</v>
      </c>
      <c r="X164">
        <v>0</v>
      </c>
      <c r="Y164" t="s">
        <v>952</v>
      </c>
      <c r="Z164">
        <v>0</v>
      </c>
      <c r="AA164" t="s">
        <v>952</v>
      </c>
      <c r="AB164" t="s">
        <v>952</v>
      </c>
      <c r="AC164" t="s">
        <v>952</v>
      </c>
      <c r="AD164" t="s">
        <v>952</v>
      </c>
      <c r="AE164">
        <v>0</v>
      </c>
      <c r="AF164" t="s">
        <v>952</v>
      </c>
      <c r="AG164" t="s">
        <v>613</v>
      </c>
      <c r="AH164" t="s">
        <v>952</v>
      </c>
      <c r="AI164"/>
      <c r="AJ164"/>
    </row>
    <row r="165" spans="1:36" x14ac:dyDescent="0.25">
      <c r="A165" t="s">
        <v>463</v>
      </c>
      <c r="B165" t="s">
        <v>491</v>
      </c>
      <c r="C165" t="s">
        <v>951</v>
      </c>
      <c r="D165" t="s">
        <v>257</v>
      </c>
      <c r="E165" t="s">
        <v>952</v>
      </c>
      <c r="F165" t="s">
        <v>475</v>
      </c>
      <c r="G165" t="s">
        <v>280</v>
      </c>
      <c r="H165" t="s">
        <v>1068</v>
      </c>
      <c r="I165" t="s">
        <v>41</v>
      </c>
      <c r="J165" t="s">
        <v>952</v>
      </c>
      <c r="K165">
        <v>1</v>
      </c>
      <c r="L165">
        <v>16</v>
      </c>
      <c r="M165" t="s">
        <v>33</v>
      </c>
      <c r="N165">
        <v>1</v>
      </c>
      <c r="O165">
        <v>16</v>
      </c>
      <c r="P165">
        <v>1</v>
      </c>
      <c r="Q165" t="s">
        <v>48</v>
      </c>
      <c r="R165">
        <v>16</v>
      </c>
      <c r="S165">
        <v>0</v>
      </c>
      <c r="T165" t="s">
        <v>952</v>
      </c>
      <c r="U165" t="s">
        <v>952</v>
      </c>
      <c r="V165" t="s">
        <v>952</v>
      </c>
      <c r="W165" t="s">
        <v>952</v>
      </c>
      <c r="X165">
        <v>0</v>
      </c>
      <c r="Y165" t="s">
        <v>952</v>
      </c>
      <c r="Z165">
        <v>0</v>
      </c>
      <c r="AA165" t="s">
        <v>952</v>
      </c>
      <c r="AB165" t="s">
        <v>952</v>
      </c>
      <c r="AC165" t="s">
        <v>952</v>
      </c>
      <c r="AD165" t="s">
        <v>952</v>
      </c>
      <c r="AE165">
        <v>0</v>
      </c>
      <c r="AF165" t="s">
        <v>952</v>
      </c>
      <c r="AG165" t="s">
        <v>613</v>
      </c>
      <c r="AH165" t="s">
        <v>952</v>
      </c>
      <c r="AI165"/>
      <c r="AJ165"/>
    </row>
    <row r="166" spans="1:36" x14ac:dyDescent="0.25">
      <c r="A166" t="s">
        <v>463</v>
      </c>
      <c r="B166" t="s">
        <v>491</v>
      </c>
      <c r="C166" t="s">
        <v>951</v>
      </c>
      <c r="D166" t="s">
        <v>257</v>
      </c>
      <c r="E166" t="s">
        <v>952</v>
      </c>
      <c r="F166" t="s">
        <v>476</v>
      </c>
      <c r="G166" t="s">
        <v>280</v>
      </c>
      <c r="H166" t="s">
        <v>1069</v>
      </c>
      <c r="I166" t="s">
        <v>41</v>
      </c>
      <c r="J166" t="s">
        <v>952</v>
      </c>
      <c r="K166">
        <v>1</v>
      </c>
      <c r="L166">
        <v>16</v>
      </c>
      <c r="M166" t="s">
        <v>33</v>
      </c>
      <c r="N166">
        <v>1</v>
      </c>
      <c r="O166">
        <v>16</v>
      </c>
      <c r="P166">
        <v>1</v>
      </c>
      <c r="Q166" t="s">
        <v>48</v>
      </c>
      <c r="R166">
        <v>16</v>
      </c>
      <c r="S166">
        <v>0</v>
      </c>
      <c r="T166" t="s">
        <v>952</v>
      </c>
      <c r="U166" t="s">
        <v>952</v>
      </c>
      <c r="V166" t="s">
        <v>952</v>
      </c>
      <c r="W166" t="s">
        <v>952</v>
      </c>
      <c r="X166">
        <v>0</v>
      </c>
      <c r="Y166" t="s">
        <v>952</v>
      </c>
      <c r="Z166">
        <v>0</v>
      </c>
      <c r="AA166" t="s">
        <v>952</v>
      </c>
      <c r="AB166" t="s">
        <v>952</v>
      </c>
      <c r="AC166" t="s">
        <v>952</v>
      </c>
      <c r="AD166" t="s">
        <v>952</v>
      </c>
      <c r="AE166">
        <v>0</v>
      </c>
      <c r="AF166" t="s">
        <v>952</v>
      </c>
      <c r="AG166" t="s">
        <v>613</v>
      </c>
      <c r="AH166" t="s">
        <v>952</v>
      </c>
      <c r="AI166"/>
      <c r="AJ166"/>
    </row>
    <row r="167" spans="1:36" x14ac:dyDescent="0.25">
      <c r="A167" t="s">
        <v>463</v>
      </c>
      <c r="B167" t="s">
        <v>491</v>
      </c>
      <c r="C167" t="s">
        <v>951</v>
      </c>
      <c r="D167" t="s">
        <v>257</v>
      </c>
      <c r="E167" t="s">
        <v>952</v>
      </c>
      <c r="F167" t="s">
        <v>477</v>
      </c>
      <c r="G167" t="s">
        <v>280</v>
      </c>
      <c r="H167" t="s">
        <v>1070</v>
      </c>
      <c r="I167" t="s">
        <v>41</v>
      </c>
      <c r="J167" t="s">
        <v>952</v>
      </c>
      <c r="K167">
        <v>1</v>
      </c>
      <c r="L167">
        <v>16</v>
      </c>
      <c r="M167" t="s">
        <v>33</v>
      </c>
      <c r="N167">
        <v>1</v>
      </c>
      <c r="O167">
        <v>16</v>
      </c>
      <c r="P167">
        <v>1</v>
      </c>
      <c r="Q167" t="s">
        <v>48</v>
      </c>
      <c r="R167">
        <v>16</v>
      </c>
      <c r="S167">
        <v>0</v>
      </c>
      <c r="T167" t="s">
        <v>952</v>
      </c>
      <c r="U167" t="s">
        <v>952</v>
      </c>
      <c r="V167" t="s">
        <v>952</v>
      </c>
      <c r="W167" t="s">
        <v>952</v>
      </c>
      <c r="X167">
        <v>0</v>
      </c>
      <c r="Y167" t="s">
        <v>952</v>
      </c>
      <c r="Z167">
        <v>0</v>
      </c>
      <c r="AA167" t="s">
        <v>952</v>
      </c>
      <c r="AB167" t="s">
        <v>952</v>
      </c>
      <c r="AC167" t="s">
        <v>952</v>
      </c>
      <c r="AD167" t="s">
        <v>952</v>
      </c>
      <c r="AE167">
        <v>0</v>
      </c>
      <c r="AF167" t="s">
        <v>952</v>
      </c>
      <c r="AG167" t="s">
        <v>613</v>
      </c>
      <c r="AH167" t="s">
        <v>952</v>
      </c>
      <c r="AI167"/>
      <c r="AJ167"/>
    </row>
    <row r="168" spans="1:36" x14ac:dyDescent="0.25">
      <c r="A168" t="s">
        <v>463</v>
      </c>
      <c r="B168" t="s">
        <v>491</v>
      </c>
      <c r="C168" t="s">
        <v>951</v>
      </c>
      <c r="D168" t="s">
        <v>257</v>
      </c>
      <c r="E168" t="s">
        <v>952</v>
      </c>
      <c r="F168" t="s">
        <v>478</v>
      </c>
      <c r="G168" t="s">
        <v>280</v>
      </c>
      <c r="H168" t="s">
        <v>1071</v>
      </c>
      <c r="I168" t="s">
        <v>41</v>
      </c>
      <c r="J168" t="s">
        <v>952</v>
      </c>
      <c r="K168">
        <v>1</v>
      </c>
      <c r="L168">
        <v>2</v>
      </c>
      <c r="M168" t="s">
        <v>33</v>
      </c>
      <c r="N168">
        <v>1</v>
      </c>
      <c r="O168">
        <v>2</v>
      </c>
      <c r="P168">
        <v>1</v>
      </c>
      <c r="Q168" t="s">
        <v>48</v>
      </c>
      <c r="R168">
        <v>2</v>
      </c>
      <c r="S168">
        <v>0</v>
      </c>
      <c r="T168" t="s">
        <v>952</v>
      </c>
      <c r="U168" t="s">
        <v>952</v>
      </c>
      <c r="V168" t="s">
        <v>952</v>
      </c>
      <c r="W168" t="s">
        <v>952</v>
      </c>
      <c r="X168">
        <v>0</v>
      </c>
      <c r="Y168" t="s">
        <v>952</v>
      </c>
      <c r="Z168">
        <v>0</v>
      </c>
      <c r="AA168" t="s">
        <v>952</v>
      </c>
      <c r="AB168" t="s">
        <v>952</v>
      </c>
      <c r="AC168" t="s">
        <v>952</v>
      </c>
      <c r="AD168" t="s">
        <v>952</v>
      </c>
      <c r="AE168">
        <v>0</v>
      </c>
      <c r="AF168" t="s">
        <v>952</v>
      </c>
      <c r="AG168" t="s">
        <v>613</v>
      </c>
      <c r="AH168" t="s">
        <v>952</v>
      </c>
      <c r="AI168"/>
      <c r="AJ168"/>
    </row>
    <row r="169" spans="1:36" x14ac:dyDescent="0.25">
      <c r="A169" t="s">
        <v>463</v>
      </c>
      <c r="B169" t="s">
        <v>491</v>
      </c>
      <c r="C169" t="s">
        <v>951</v>
      </c>
      <c r="D169" t="s">
        <v>257</v>
      </c>
      <c r="E169" t="s">
        <v>952</v>
      </c>
      <c r="F169" t="s">
        <v>479</v>
      </c>
      <c r="G169" t="s">
        <v>280</v>
      </c>
      <c r="H169" t="s">
        <v>1072</v>
      </c>
      <c r="I169" t="s">
        <v>41</v>
      </c>
      <c r="J169" t="s">
        <v>952</v>
      </c>
      <c r="K169">
        <v>1</v>
      </c>
      <c r="L169">
        <v>8</v>
      </c>
      <c r="M169" t="s">
        <v>33</v>
      </c>
      <c r="N169">
        <v>1</v>
      </c>
      <c r="O169">
        <v>8</v>
      </c>
      <c r="P169">
        <v>1</v>
      </c>
      <c r="Q169" t="s">
        <v>48</v>
      </c>
      <c r="R169">
        <v>8</v>
      </c>
      <c r="S169">
        <v>0</v>
      </c>
      <c r="T169" t="s">
        <v>952</v>
      </c>
      <c r="U169" t="s">
        <v>952</v>
      </c>
      <c r="V169" t="s">
        <v>952</v>
      </c>
      <c r="W169" t="s">
        <v>952</v>
      </c>
      <c r="X169">
        <v>0</v>
      </c>
      <c r="Y169" t="s">
        <v>952</v>
      </c>
      <c r="Z169">
        <v>0</v>
      </c>
      <c r="AA169" t="s">
        <v>952</v>
      </c>
      <c r="AB169" t="s">
        <v>952</v>
      </c>
      <c r="AC169" t="s">
        <v>952</v>
      </c>
      <c r="AD169" t="s">
        <v>952</v>
      </c>
      <c r="AE169">
        <v>0</v>
      </c>
      <c r="AF169" t="s">
        <v>952</v>
      </c>
      <c r="AG169" t="s">
        <v>613</v>
      </c>
      <c r="AH169" t="s">
        <v>952</v>
      </c>
      <c r="AI169"/>
      <c r="AJ169"/>
    </row>
    <row r="170" spans="1:36" x14ac:dyDescent="0.25">
      <c r="A170" t="s">
        <v>463</v>
      </c>
      <c r="B170" t="s">
        <v>491</v>
      </c>
      <c r="C170" t="s">
        <v>951</v>
      </c>
      <c r="D170" t="s">
        <v>257</v>
      </c>
      <c r="E170" t="s">
        <v>952</v>
      </c>
      <c r="F170" t="s">
        <v>480</v>
      </c>
      <c r="G170" t="s">
        <v>280</v>
      </c>
      <c r="H170" t="s">
        <v>481</v>
      </c>
      <c r="I170" t="s">
        <v>41</v>
      </c>
      <c r="J170" t="s">
        <v>952</v>
      </c>
      <c r="K170">
        <v>1</v>
      </c>
      <c r="L170">
        <v>1</v>
      </c>
      <c r="M170" t="s">
        <v>33</v>
      </c>
      <c r="N170">
        <v>1</v>
      </c>
      <c r="O170">
        <v>1</v>
      </c>
      <c r="P170">
        <v>1</v>
      </c>
      <c r="Q170" t="s">
        <v>48</v>
      </c>
      <c r="R170">
        <v>1</v>
      </c>
      <c r="S170">
        <v>0</v>
      </c>
      <c r="T170" t="s">
        <v>952</v>
      </c>
      <c r="U170" t="s">
        <v>952</v>
      </c>
      <c r="V170" t="s">
        <v>952</v>
      </c>
      <c r="W170" t="s">
        <v>952</v>
      </c>
      <c r="X170">
        <v>0</v>
      </c>
      <c r="Y170" t="s">
        <v>952</v>
      </c>
      <c r="Z170">
        <v>0</v>
      </c>
      <c r="AA170" t="s">
        <v>952</v>
      </c>
      <c r="AB170" t="s">
        <v>952</v>
      </c>
      <c r="AC170" t="s">
        <v>952</v>
      </c>
      <c r="AD170" t="s">
        <v>952</v>
      </c>
      <c r="AE170">
        <v>0</v>
      </c>
      <c r="AF170" t="s">
        <v>952</v>
      </c>
      <c r="AG170" t="s">
        <v>613</v>
      </c>
      <c r="AH170" t="s">
        <v>952</v>
      </c>
      <c r="AI170"/>
      <c r="AJ170"/>
    </row>
    <row r="171" spans="1:36" x14ac:dyDescent="0.25">
      <c r="A171" t="s">
        <v>463</v>
      </c>
      <c r="B171" t="s">
        <v>491</v>
      </c>
      <c r="C171" t="s">
        <v>951</v>
      </c>
      <c r="D171" t="s">
        <v>257</v>
      </c>
      <c r="E171" t="s">
        <v>952</v>
      </c>
      <c r="F171" t="s">
        <v>482</v>
      </c>
      <c r="G171" t="s">
        <v>280</v>
      </c>
      <c r="H171" t="s">
        <v>1073</v>
      </c>
      <c r="I171" t="s">
        <v>41</v>
      </c>
      <c r="J171" t="s">
        <v>952</v>
      </c>
      <c r="K171">
        <v>1</v>
      </c>
      <c r="L171">
        <v>28</v>
      </c>
      <c r="M171" t="s">
        <v>33</v>
      </c>
      <c r="N171">
        <v>1</v>
      </c>
      <c r="O171">
        <v>28</v>
      </c>
      <c r="P171">
        <v>1</v>
      </c>
      <c r="Q171" t="s">
        <v>48</v>
      </c>
      <c r="R171">
        <v>28</v>
      </c>
      <c r="S171">
        <v>0</v>
      </c>
      <c r="T171" t="s">
        <v>952</v>
      </c>
      <c r="U171" t="s">
        <v>952</v>
      </c>
      <c r="V171" t="s">
        <v>952</v>
      </c>
      <c r="W171" t="s">
        <v>952</v>
      </c>
      <c r="X171">
        <v>0</v>
      </c>
      <c r="Y171" t="s">
        <v>952</v>
      </c>
      <c r="Z171">
        <v>0</v>
      </c>
      <c r="AA171" t="s">
        <v>952</v>
      </c>
      <c r="AB171" t="s">
        <v>952</v>
      </c>
      <c r="AC171" t="s">
        <v>952</v>
      </c>
      <c r="AD171" t="s">
        <v>952</v>
      </c>
      <c r="AE171">
        <v>0</v>
      </c>
      <c r="AF171" t="s">
        <v>952</v>
      </c>
      <c r="AG171" t="s">
        <v>613</v>
      </c>
      <c r="AH171" t="s">
        <v>952</v>
      </c>
      <c r="AI171"/>
      <c r="AJ171"/>
    </row>
    <row r="172" spans="1:36" x14ac:dyDescent="0.25">
      <c r="A172" t="s">
        <v>463</v>
      </c>
      <c r="B172" t="s">
        <v>491</v>
      </c>
      <c r="C172" t="s">
        <v>951</v>
      </c>
      <c r="D172" t="s">
        <v>257</v>
      </c>
      <c r="E172" t="s">
        <v>952</v>
      </c>
      <c r="F172" t="s">
        <v>483</v>
      </c>
      <c r="G172" t="s">
        <v>280</v>
      </c>
      <c r="H172" t="s">
        <v>1074</v>
      </c>
      <c r="I172" t="s">
        <v>41</v>
      </c>
      <c r="J172" t="s">
        <v>952</v>
      </c>
      <c r="K172">
        <v>1</v>
      </c>
      <c r="L172">
        <v>28</v>
      </c>
      <c r="M172" t="s">
        <v>33</v>
      </c>
      <c r="N172">
        <v>1</v>
      </c>
      <c r="O172">
        <v>28</v>
      </c>
      <c r="P172">
        <v>1</v>
      </c>
      <c r="Q172" t="s">
        <v>48</v>
      </c>
      <c r="R172">
        <v>28</v>
      </c>
      <c r="S172">
        <v>0</v>
      </c>
      <c r="T172" t="s">
        <v>952</v>
      </c>
      <c r="U172" t="s">
        <v>952</v>
      </c>
      <c r="V172" t="s">
        <v>952</v>
      </c>
      <c r="W172" t="s">
        <v>952</v>
      </c>
      <c r="X172">
        <v>0</v>
      </c>
      <c r="Y172" t="s">
        <v>952</v>
      </c>
      <c r="Z172">
        <v>0</v>
      </c>
      <c r="AA172" t="s">
        <v>952</v>
      </c>
      <c r="AB172" t="s">
        <v>952</v>
      </c>
      <c r="AC172" t="s">
        <v>952</v>
      </c>
      <c r="AD172" t="s">
        <v>952</v>
      </c>
      <c r="AE172">
        <v>0</v>
      </c>
      <c r="AF172" t="s">
        <v>952</v>
      </c>
      <c r="AG172" t="s">
        <v>613</v>
      </c>
      <c r="AH172" t="s">
        <v>952</v>
      </c>
      <c r="AI172"/>
      <c r="AJ172"/>
    </row>
    <row r="173" spans="1:36" x14ac:dyDescent="0.25">
      <c r="A173" t="s">
        <v>463</v>
      </c>
      <c r="B173" t="s">
        <v>491</v>
      </c>
      <c r="C173" t="s">
        <v>951</v>
      </c>
      <c r="D173" t="s">
        <v>257</v>
      </c>
      <c r="E173" t="s">
        <v>952</v>
      </c>
      <c r="F173" t="s">
        <v>484</v>
      </c>
      <c r="G173" t="s">
        <v>280</v>
      </c>
      <c r="H173" t="s">
        <v>1075</v>
      </c>
      <c r="I173" t="s">
        <v>41</v>
      </c>
      <c r="J173" t="s">
        <v>952</v>
      </c>
      <c r="K173">
        <v>1</v>
      </c>
      <c r="L173">
        <v>4</v>
      </c>
      <c r="M173" t="s">
        <v>33</v>
      </c>
      <c r="N173">
        <v>1</v>
      </c>
      <c r="O173">
        <v>4</v>
      </c>
      <c r="P173">
        <v>1</v>
      </c>
      <c r="Q173" t="s">
        <v>48</v>
      </c>
      <c r="R173">
        <v>2</v>
      </c>
      <c r="S173">
        <v>0</v>
      </c>
      <c r="T173" t="s">
        <v>952</v>
      </c>
      <c r="U173" t="s">
        <v>952</v>
      </c>
      <c r="V173" t="s">
        <v>952</v>
      </c>
      <c r="W173" t="s">
        <v>952</v>
      </c>
      <c r="X173">
        <v>0</v>
      </c>
      <c r="Y173" t="s">
        <v>952</v>
      </c>
      <c r="Z173">
        <v>0</v>
      </c>
      <c r="AA173" t="s">
        <v>952</v>
      </c>
      <c r="AB173" t="s">
        <v>952</v>
      </c>
      <c r="AC173" t="s">
        <v>952</v>
      </c>
      <c r="AD173" t="s">
        <v>952</v>
      </c>
      <c r="AE173">
        <v>0</v>
      </c>
      <c r="AF173" t="s">
        <v>952</v>
      </c>
      <c r="AG173" t="s">
        <v>613</v>
      </c>
      <c r="AH173" t="s">
        <v>952</v>
      </c>
      <c r="AI173"/>
      <c r="AJ173"/>
    </row>
    <row r="174" spans="1:36" x14ac:dyDescent="0.25">
      <c r="A174" t="s">
        <v>463</v>
      </c>
      <c r="B174" t="s">
        <v>491</v>
      </c>
      <c r="C174" t="s">
        <v>951</v>
      </c>
      <c r="D174" t="s">
        <v>257</v>
      </c>
      <c r="E174" t="s">
        <v>952</v>
      </c>
      <c r="F174" t="s">
        <v>485</v>
      </c>
      <c r="G174" t="s">
        <v>280</v>
      </c>
      <c r="H174" t="s">
        <v>1076</v>
      </c>
      <c r="I174" t="s">
        <v>41</v>
      </c>
      <c r="J174" t="s">
        <v>952</v>
      </c>
      <c r="K174">
        <v>1</v>
      </c>
      <c r="L174">
        <v>4</v>
      </c>
      <c r="M174" t="s">
        <v>33</v>
      </c>
      <c r="N174">
        <v>1</v>
      </c>
      <c r="O174">
        <v>4</v>
      </c>
      <c r="P174">
        <v>1</v>
      </c>
      <c r="Q174" t="s">
        <v>48</v>
      </c>
      <c r="R174">
        <v>4</v>
      </c>
      <c r="S174">
        <v>0</v>
      </c>
      <c r="T174" t="s">
        <v>952</v>
      </c>
      <c r="U174" t="s">
        <v>952</v>
      </c>
      <c r="V174" t="s">
        <v>952</v>
      </c>
      <c r="W174" t="s">
        <v>952</v>
      </c>
      <c r="X174">
        <v>0</v>
      </c>
      <c r="Y174" t="s">
        <v>952</v>
      </c>
      <c r="Z174">
        <v>0</v>
      </c>
      <c r="AA174" t="s">
        <v>952</v>
      </c>
      <c r="AB174" t="s">
        <v>952</v>
      </c>
      <c r="AC174" t="s">
        <v>952</v>
      </c>
      <c r="AD174" t="s">
        <v>952</v>
      </c>
      <c r="AE174">
        <v>0</v>
      </c>
      <c r="AF174" t="s">
        <v>952</v>
      </c>
      <c r="AG174" t="s">
        <v>613</v>
      </c>
      <c r="AH174" t="s">
        <v>952</v>
      </c>
      <c r="AI174"/>
      <c r="AJ174"/>
    </row>
    <row r="175" spans="1:36" x14ac:dyDescent="0.25">
      <c r="A175" t="s">
        <v>486</v>
      </c>
      <c r="B175" t="s">
        <v>487</v>
      </c>
      <c r="C175" t="s">
        <v>951</v>
      </c>
      <c r="D175" t="s">
        <v>257</v>
      </c>
      <c r="E175" t="s">
        <v>952</v>
      </c>
      <c r="F175" t="s">
        <v>488</v>
      </c>
      <c r="G175" t="s">
        <v>952</v>
      </c>
      <c r="H175" t="s">
        <v>1077</v>
      </c>
      <c r="I175" t="s">
        <v>41</v>
      </c>
      <c r="J175" t="s">
        <v>952</v>
      </c>
      <c r="K175">
        <v>1</v>
      </c>
      <c r="L175">
        <v>2</v>
      </c>
      <c r="M175" t="s">
        <v>33</v>
      </c>
      <c r="N175">
        <v>1</v>
      </c>
      <c r="O175">
        <v>2</v>
      </c>
      <c r="P175">
        <v>1</v>
      </c>
      <c r="Q175" t="s">
        <v>48</v>
      </c>
      <c r="R175">
        <v>2</v>
      </c>
      <c r="S175">
        <v>0</v>
      </c>
      <c r="T175" t="s">
        <v>952</v>
      </c>
      <c r="U175" t="s">
        <v>952</v>
      </c>
      <c r="V175" t="s">
        <v>952</v>
      </c>
      <c r="W175" t="s">
        <v>952</v>
      </c>
      <c r="X175">
        <v>0</v>
      </c>
      <c r="Y175" t="s">
        <v>952</v>
      </c>
      <c r="Z175">
        <v>0</v>
      </c>
      <c r="AA175" t="s">
        <v>952</v>
      </c>
      <c r="AB175" t="s">
        <v>952</v>
      </c>
      <c r="AC175" t="s">
        <v>952</v>
      </c>
      <c r="AD175" t="s">
        <v>952</v>
      </c>
      <c r="AE175">
        <v>0</v>
      </c>
      <c r="AF175" t="s">
        <v>952</v>
      </c>
      <c r="AG175" t="s">
        <v>952</v>
      </c>
      <c r="AH175" t="s">
        <v>952</v>
      </c>
      <c r="AI175"/>
      <c r="AJ175"/>
    </row>
    <row r="176" spans="1:36" x14ac:dyDescent="0.25">
      <c r="A176" t="s">
        <v>463</v>
      </c>
      <c r="B176" t="s">
        <v>491</v>
      </c>
      <c r="C176" t="s">
        <v>951</v>
      </c>
      <c r="D176" t="s">
        <v>257</v>
      </c>
      <c r="E176" t="s">
        <v>952</v>
      </c>
      <c r="F176" t="s">
        <v>489</v>
      </c>
      <c r="G176" t="s">
        <v>280</v>
      </c>
      <c r="H176" t="s">
        <v>490</v>
      </c>
      <c r="I176" t="s">
        <v>41</v>
      </c>
      <c r="J176" t="s">
        <v>952</v>
      </c>
      <c r="K176">
        <v>1</v>
      </c>
      <c r="L176">
        <v>1</v>
      </c>
      <c r="M176" t="s">
        <v>33</v>
      </c>
      <c r="N176">
        <v>1</v>
      </c>
      <c r="O176">
        <v>1</v>
      </c>
      <c r="P176">
        <v>1</v>
      </c>
      <c r="Q176" t="s">
        <v>48</v>
      </c>
      <c r="R176">
        <v>1</v>
      </c>
      <c r="S176">
        <v>0</v>
      </c>
      <c r="T176" t="s">
        <v>952</v>
      </c>
      <c r="U176" t="s">
        <v>952</v>
      </c>
      <c r="V176" t="s">
        <v>952</v>
      </c>
      <c r="W176" t="s">
        <v>952</v>
      </c>
      <c r="X176">
        <v>0</v>
      </c>
      <c r="Y176" t="s">
        <v>952</v>
      </c>
      <c r="Z176">
        <v>0</v>
      </c>
      <c r="AA176" t="s">
        <v>952</v>
      </c>
      <c r="AB176" t="s">
        <v>952</v>
      </c>
      <c r="AC176" t="s">
        <v>952</v>
      </c>
      <c r="AD176" t="s">
        <v>952</v>
      </c>
      <c r="AE176">
        <v>0</v>
      </c>
      <c r="AF176" t="s">
        <v>952</v>
      </c>
      <c r="AG176" t="s">
        <v>613</v>
      </c>
      <c r="AH176" t="s">
        <v>952</v>
      </c>
      <c r="AI176"/>
      <c r="AJ176"/>
    </row>
    <row r="177" spans="1:36" x14ac:dyDescent="0.25">
      <c r="A177" t="s">
        <v>463</v>
      </c>
      <c r="B177" t="s">
        <v>491</v>
      </c>
      <c r="C177" t="s">
        <v>951</v>
      </c>
      <c r="D177" t="s">
        <v>257</v>
      </c>
      <c r="E177" t="s">
        <v>952</v>
      </c>
      <c r="F177" t="s">
        <v>492</v>
      </c>
      <c r="G177" t="s">
        <v>280</v>
      </c>
      <c r="H177" t="s">
        <v>1078</v>
      </c>
      <c r="I177" t="s">
        <v>35</v>
      </c>
      <c r="J177" t="s">
        <v>952</v>
      </c>
      <c r="K177">
        <v>1</v>
      </c>
      <c r="L177">
        <v>24</v>
      </c>
      <c r="M177" t="s">
        <v>33</v>
      </c>
      <c r="N177">
        <v>1</v>
      </c>
      <c r="O177">
        <v>24</v>
      </c>
      <c r="P177">
        <v>1</v>
      </c>
      <c r="Q177" t="s">
        <v>48</v>
      </c>
      <c r="R177">
        <v>24</v>
      </c>
      <c r="S177">
        <v>0</v>
      </c>
      <c r="T177" t="s">
        <v>952</v>
      </c>
      <c r="U177" t="s">
        <v>952</v>
      </c>
      <c r="V177" t="s">
        <v>952</v>
      </c>
      <c r="W177" t="s">
        <v>952</v>
      </c>
      <c r="X177">
        <v>0</v>
      </c>
      <c r="Y177" t="s">
        <v>952</v>
      </c>
      <c r="Z177">
        <v>0</v>
      </c>
      <c r="AA177" t="s">
        <v>952</v>
      </c>
      <c r="AB177" t="s">
        <v>952</v>
      </c>
      <c r="AC177" t="s">
        <v>952</v>
      </c>
      <c r="AD177" t="s">
        <v>952</v>
      </c>
      <c r="AE177">
        <v>0</v>
      </c>
      <c r="AF177" t="s">
        <v>952</v>
      </c>
      <c r="AG177" t="s">
        <v>613</v>
      </c>
      <c r="AH177" t="s">
        <v>952</v>
      </c>
      <c r="AI177"/>
      <c r="AJ177"/>
    </row>
    <row r="178" spans="1:36" x14ac:dyDescent="0.25">
      <c r="A178" t="s">
        <v>493</v>
      </c>
      <c r="B178" t="s">
        <v>734</v>
      </c>
      <c r="C178" t="s">
        <v>951</v>
      </c>
      <c r="D178" t="s">
        <v>257</v>
      </c>
      <c r="E178" t="s">
        <v>952</v>
      </c>
      <c r="F178" t="s">
        <v>494</v>
      </c>
      <c r="G178" t="s">
        <v>280</v>
      </c>
      <c r="H178" t="s">
        <v>1079</v>
      </c>
      <c r="I178" t="s">
        <v>41</v>
      </c>
      <c r="J178" t="s">
        <v>952</v>
      </c>
      <c r="K178">
        <v>1</v>
      </c>
      <c r="L178">
        <v>1</v>
      </c>
      <c r="M178" t="s">
        <v>33</v>
      </c>
      <c r="N178">
        <v>1</v>
      </c>
      <c r="O178">
        <v>1</v>
      </c>
      <c r="P178">
        <v>1</v>
      </c>
      <c r="Q178" t="s">
        <v>48</v>
      </c>
      <c r="R178">
        <v>1</v>
      </c>
      <c r="S178">
        <v>0</v>
      </c>
      <c r="T178" t="s">
        <v>952</v>
      </c>
      <c r="U178" t="s">
        <v>952</v>
      </c>
      <c r="V178" t="s">
        <v>952</v>
      </c>
      <c r="W178" t="s">
        <v>952</v>
      </c>
      <c r="X178">
        <v>0</v>
      </c>
      <c r="Y178" t="s">
        <v>952</v>
      </c>
      <c r="Z178">
        <v>0</v>
      </c>
      <c r="AA178" t="s">
        <v>952</v>
      </c>
      <c r="AB178" t="s">
        <v>952</v>
      </c>
      <c r="AC178" t="s">
        <v>952</v>
      </c>
      <c r="AD178" t="s">
        <v>952</v>
      </c>
      <c r="AE178">
        <v>0</v>
      </c>
      <c r="AF178" t="s">
        <v>952</v>
      </c>
      <c r="AG178" t="s">
        <v>613</v>
      </c>
      <c r="AH178" t="s">
        <v>952</v>
      </c>
      <c r="AI178"/>
      <c r="AJ178"/>
    </row>
    <row r="179" spans="1:36" x14ac:dyDescent="0.25">
      <c r="A179" t="s">
        <v>495</v>
      </c>
      <c r="B179" t="s">
        <v>637</v>
      </c>
      <c r="C179" t="s">
        <v>951</v>
      </c>
      <c r="D179" t="s">
        <v>257</v>
      </c>
      <c r="E179" t="s">
        <v>952</v>
      </c>
      <c r="F179" t="s">
        <v>496</v>
      </c>
      <c r="G179" t="s">
        <v>280</v>
      </c>
      <c r="H179" t="s">
        <v>1080</v>
      </c>
      <c r="I179" t="s">
        <v>41</v>
      </c>
      <c r="J179" t="s">
        <v>952</v>
      </c>
      <c r="K179">
        <v>1</v>
      </c>
      <c r="L179">
        <v>1</v>
      </c>
      <c r="M179" t="s">
        <v>33</v>
      </c>
      <c r="N179">
        <v>1</v>
      </c>
      <c r="O179">
        <v>1</v>
      </c>
      <c r="P179">
        <v>1</v>
      </c>
      <c r="Q179" t="s">
        <v>48</v>
      </c>
      <c r="R179">
        <v>1</v>
      </c>
      <c r="S179">
        <v>0</v>
      </c>
      <c r="T179" t="s">
        <v>952</v>
      </c>
      <c r="U179" t="s">
        <v>952</v>
      </c>
      <c r="V179" t="s">
        <v>952</v>
      </c>
      <c r="W179" t="s">
        <v>952</v>
      </c>
      <c r="X179">
        <v>0</v>
      </c>
      <c r="Y179" t="s">
        <v>952</v>
      </c>
      <c r="Z179">
        <v>0</v>
      </c>
      <c r="AA179" t="s">
        <v>952</v>
      </c>
      <c r="AB179" t="s">
        <v>952</v>
      </c>
      <c r="AC179" t="s">
        <v>952</v>
      </c>
      <c r="AD179" t="s">
        <v>952</v>
      </c>
      <c r="AE179">
        <v>0</v>
      </c>
      <c r="AF179" t="s">
        <v>952</v>
      </c>
      <c r="AG179" t="s">
        <v>638</v>
      </c>
      <c r="AH179" t="s">
        <v>952</v>
      </c>
      <c r="AI179"/>
      <c r="AJ179"/>
    </row>
    <row r="180" spans="1:36" x14ac:dyDescent="0.25">
      <c r="A180" t="s">
        <v>434</v>
      </c>
      <c r="B180" t="s">
        <v>715</v>
      </c>
      <c r="C180" t="s">
        <v>951</v>
      </c>
      <c r="D180" t="s">
        <v>257</v>
      </c>
      <c r="E180" t="s">
        <v>952</v>
      </c>
      <c r="F180" t="s">
        <v>498</v>
      </c>
      <c r="G180" t="s">
        <v>280</v>
      </c>
      <c r="H180" t="s">
        <v>1081</v>
      </c>
      <c r="I180" t="s">
        <v>41</v>
      </c>
      <c r="J180" t="s">
        <v>952</v>
      </c>
      <c r="K180">
        <v>1</v>
      </c>
      <c r="L180">
        <v>7</v>
      </c>
      <c r="M180" t="s">
        <v>33</v>
      </c>
      <c r="N180">
        <v>1</v>
      </c>
      <c r="O180">
        <v>7</v>
      </c>
      <c r="P180">
        <v>1</v>
      </c>
      <c r="Q180" t="s">
        <v>48</v>
      </c>
      <c r="R180">
        <v>7</v>
      </c>
      <c r="S180">
        <v>0</v>
      </c>
      <c r="T180" t="s">
        <v>952</v>
      </c>
      <c r="U180" t="s">
        <v>952</v>
      </c>
      <c r="V180" t="s">
        <v>952</v>
      </c>
      <c r="W180" t="s">
        <v>952</v>
      </c>
      <c r="X180">
        <v>0</v>
      </c>
      <c r="Y180" t="s">
        <v>952</v>
      </c>
      <c r="Z180">
        <v>0</v>
      </c>
      <c r="AA180" t="s">
        <v>952</v>
      </c>
      <c r="AB180" t="s">
        <v>952</v>
      </c>
      <c r="AC180" t="s">
        <v>952</v>
      </c>
      <c r="AD180" t="s">
        <v>952</v>
      </c>
      <c r="AE180">
        <v>0</v>
      </c>
      <c r="AF180" t="s">
        <v>952</v>
      </c>
      <c r="AG180" t="s">
        <v>649</v>
      </c>
      <c r="AH180" t="s">
        <v>952</v>
      </c>
      <c r="AI180"/>
      <c r="AJ180"/>
    </row>
    <row r="181" spans="1:36" x14ac:dyDescent="0.25">
      <c r="A181" t="s">
        <v>434</v>
      </c>
      <c r="B181" t="s">
        <v>715</v>
      </c>
      <c r="C181" t="s">
        <v>951</v>
      </c>
      <c r="D181" t="s">
        <v>257</v>
      </c>
      <c r="E181" t="s">
        <v>952</v>
      </c>
      <c r="F181" t="s">
        <v>499</v>
      </c>
      <c r="G181" t="s">
        <v>280</v>
      </c>
      <c r="H181" t="s">
        <v>1082</v>
      </c>
      <c r="I181" t="s">
        <v>41</v>
      </c>
      <c r="J181" t="s">
        <v>952</v>
      </c>
      <c r="K181">
        <v>1</v>
      </c>
      <c r="L181">
        <v>2</v>
      </c>
      <c r="M181" t="s">
        <v>33</v>
      </c>
      <c r="N181">
        <v>1</v>
      </c>
      <c r="O181">
        <v>2</v>
      </c>
      <c r="P181">
        <v>1</v>
      </c>
      <c r="Q181" t="s">
        <v>48</v>
      </c>
      <c r="R181">
        <v>3</v>
      </c>
      <c r="S181">
        <v>0</v>
      </c>
      <c r="T181" t="s">
        <v>952</v>
      </c>
      <c r="U181" t="s">
        <v>952</v>
      </c>
      <c r="V181" t="s">
        <v>952</v>
      </c>
      <c r="W181" t="s">
        <v>952</v>
      </c>
      <c r="X181">
        <v>0</v>
      </c>
      <c r="Y181" t="s">
        <v>952</v>
      </c>
      <c r="Z181">
        <v>0</v>
      </c>
      <c r="AA181" t="s">
        <v>952</v>
      </c>
      <c r="AB181" t="s">
        <v>952</v>
      </c>
      <c r="AC181" t="s">
        <v>952</v>
      </c>
      <c r="AD181" t="s">
        <v>952</v>
      </c>
      <c r="AE181">
        <v>0</v>
      </c>
      <c r="AF181" t="s">
        <v>952</v>
      </c>
      <c r="AG181" t="s">
        <v>649</v>
      </c>
      <c r="AH181" t="s">
        <v>952</v>
      </c>
      <c r="AI181"/>
      <c r="AJ181"/>
    </row>
    <row r="182" spans="1:36" x14ac:dyDescent="0.25">
      <c r="A182" t="s">
        <v>500</v>
      </c>
      <c r="B182" t="s">
        <v>716</v>
      </c>
      <c r="C182" t="s">
        <v>951</v>
      </c>
      <c r="D182" t="s">
        <v>257</v>
      </c>
      <c r="E182" t="s">
        <v>952</v>
      </c>
      <c r="F182" t="s">
        <v>501</v>
      </c>
      <c r="G182" t="s">
        <v>280</v>
      </c>
      <c r="H182" t="s">
        <v>1083</v>
      </c>
      <c r="I182" t="s">
        <v>41</v>
      </c>
      <c r="J182" t="s">
        <v>952</v>
      </c>
      <c r="K182">
        <v>1</v>
      </c>
      <c r="L182">
        <v>1</v>
      </c>
      <c r="M182" t="s">
        <v>33</v>
      </c>
      <c r="N182">
        <v>1</v>
      </c>
      <c r="O182">
        <v>1</v>
      </c>
      <c r="P182">
        <v>1</v>
      </c>
      <c r="Q182" t="s">
        <v>48</v>
      </c>
      <c r="R182">
        <v>1</v>
      </c>
      <c r="S182">
        <v>0</v>
      </c>
      <c r="T182" t="s">
        <v>952</v>
      </c>
      <c r="U182" t="s">
        <v>952</v>
      </c>
      <c r="V182" t="s">
        <v>952</v>
      </c>
      <c r="W182" t="s">
        <v>952</v>
      </c>
      <c r="X182">
        <v>0</v>
      </c>
      <c r="Y182" t="s">
        <v>952</v>
      </c>
      <c r="Z182">
        <v>0</v>
      </c>
      <c r="AA182" t="s">
        <v>952</v>
      </c>
      <c r="AB182" t="s">
        <v>952</v>
      </c>
      <c r="AC182" t="s">
        <v>952</v>
      </c>
      <c r="AD182" t="s">
        <v>952</v>
      </c>
      <c r="AE182">
        <v>0</v>
      </c>
      <c r="AF182" t="s">
        <v>952</v>
      </c>
      <c r="AG182" t="s">
        <v>649</v>
      </c>
      <c r="AH182" t="s">
        <v>952</v>
      </c>
      <c r="AI182"/>
      <c r="AJ182"/>
    </row>
    <row r="183" spans="1:36" x14ac:dyDescent="0.25">
      <c r="A183" t="s">
        <v>500</v>
      </c>
      <c r="B183" t="s">
        <v>716</v>
      </c>
      <c r="C183" t="s">
        <v>951</v>
      </c>
      <c r="D183" t="s">
        <v>257</v>
      </c>
      <c r="E183" t="s">
        <v>952</v>
      </c>
      <c r="F183" t="s">
        <v>502</v>
      </c>
      <c r="G183" t="s">
        <v>280</v>
      </c>
      <c r="H183" t="s">
        <v>1084</v>
      </c>
      <c r="I183" t="s">
        <v>41</v>
      </c>
      <c r="J183" t="s">
        <v>952</v>
      </c>
      <c r="K183">
        <v>1</v>
      </c>
      <c r="L183">
        <v>1</v>
      </c>
      <c r="M183" t="s">
        <v>33</v>
      </c>
      <c r="N183">
        <v>1</v>
      </c>
      <c r="O183">
        <v>1</v>
      </c>
      <c r="P183">
        <v>1</v>
      </c>
      <c r="Q183" t="s">
        <v>48</v>
      </c>
      <c r="R183">
        <v>1</v>
      </c>
      <c r="S183">
        <v>0</v>
      </c>
      <c r="T183" t="s">
        <v>952</v>
      </c>
      <c r="U183" t="s">
        <v>952</v>
      </c>
      <c r="V183" t="s">
        <v>952</v>
      </c>
      <c r="W183" t="s">
        <v>952</v>
      </c>
      <c r="X183">
        <v>0</v>
      </c>
      <c r="Y183" t="s">
        <v>952</v>
      </c>
      <c r="Z183">
        <v>0</v>
      </c>
      <c r="AA183" t="s">
        <v>952</v>
      </c>
      <c r="AB183" t="s">
        <v>952</v>
      </c>
      <c r="AC183" t="s">
        <v>952</v>
      </c>
      <c r="AD183" t="s">
        <v>952</v>
      </c>
      <c r="AE183">
        <v>0</v>
      </c>
      <c r="AF183" t="s">
        <v>952</v>
      </c>
      <c r="AG183" t="s">
        <v>649</v>
      </c>
      <c r="AH183" t="s">
        <v>952</v>
      </c>
      <c r="AI183"/>
      <c r="AJ183"/>
    </row>
    <row r="184" spans="1:36" x14ac:dyDescent="0.25">
      <c r="A184" t="s">
        <v>493</v>
      </c>
      <c r="B184" t="s">
        <v>734</v>
      </c>
      <c r="C184" t="s">
        <v>951</v>
      </c>
      <c r="D184" t="s">
        <v>257</v>
      </c>
      <c r="E184" t="s">
        <v>952</v>
      </c>
      <c r="F184" t="s">
        <v>503</v>
      </c>
      <c r="G184" t="s">
        <v>280</v>
      </c>
      <c r="H184" t="s">
        <v>1085</v>
      </c>
      <c r="I184" t="s">
        <v>41</v>
      </c>
      <c r="J184" t="s">
        <v>952</v>
      </c>
      <c r="K184">
        <v>1</v>
      </c>
      <c r="L184">
        <v>4</v>
      </c>
      <c r="M184" t="s">
        <v>33</v>
      </c>
      <c r="N184">
        <v>1</v>
      </c>
      <c r="O184">
        <v>4</v>
      </c>
      <c r="P184">
        <v>1</v>
      </c>
      <c r="Q184" t="s">
        <v>48</v>
      </c>
      <c r="R184">
        <v>8</v>
      </c>
      <c r="S184">
        <v>0</v>
      </c>
      <c r="T184" t="s">
        <v>952</v>
      </c>
      <c r="U184" t="s">
        <v>952</v>
      </c>
      <c r="V184" t="s">
        <v>952</v>
      </c>
      <c r="W184" t="s">
        <v>952</v>
      </c>
      <c r="X184">
        <v>0</v>
      </c>
      <c r="Y184" t="s">
        <v>952</v>
      </c>
      <c r="Z184">
        <v>0</v>
      </c>
      <c r="AA184" t="s">
        <v>952</v>
      </c>
      <c r="AB184" t="s">
        <v>952</v>
      </c>
      <c r="AC184" t="s">
        <v>952</v>
      </c>
      <c r="AD184" t="s">
        <v>952</v>
      </c>
      <c r="AE184">
        <v>0</v>
      </c>
      <c r="AF184" t="s">
        <v>952</v>
      </c>
      <c r="AG184" t="s">
        <v>952</v>
      </c>
      <c r="AH184" t="s">
        <v>952</v>
      </c>
      <c r="AI184"/>
      <c r="AJ184"/>
    </row>
    <row r="185" spans="1:36" x14ac:dyDescent="0.25">
      <c r="A185" t="s">
        <v>743</v>
      </c>
      <c r="B185" t="s">
        <v>744</v>
      </c>
      <c r="C185" t="s">
        <v>951</v>
      </c>
      <c r="D185" t="s">
        <v>257</v>
      </c>
      <c r="E185" t="s">
        <v>952</v>
      </c>
      <c r="F185" t="s">
        <v>503</v>
      </c>
      <c r="G185" t="s">
        <v>280</v>
      </c>
      <c r="H185" t="s">
        <v>1085</v>
      </c>
      <c r="I185" t="s">
        <v>41</v>
      </c>
      <c r="J185" t="s">
        <v>952</v>
      </c>
      <c r="K185">
        <v>1</v>
      </c>
      <c r="L185">
        <v>4</v>
      </c>
      <c r="M185" t="s">
        <v>33</v>
      </c>
      <c r="N185">
        <v>1</v>
      </c>
      <c r="O185">
        <v>4</v>
      </c>
      <c r="P185">
        <v>1</v>
      </c>
      <c r="Q185" t="s">
        <v>48</v>
      </c>
      <c r="R185">
        <v>8</v>
      </c>
      <c r="S185">
        <v>0</v>
      </c>
      <c r="T185" t="s">
        <v>952</v>
      </c>
      <c r="U185" t="s">
        <v>952</v>
      </c>
      <c r="V185" t="s">
        <v>952</v>
      </c>
      <c r="W185" t="s">
        <v>952</v>
      </c>
      <c r="X185">
        <v>0</v>
      </c>
      <c r="Y185" t="s">
        <v>952</v>
      </c>
      <c r="Z185">
        <v>0</v>
      </c>
      <c r="AA185" t="s">
        <v>952</v>
      </c>
      <c r="AB185" t="s">
        <v>952</v>
      </c>
      <c r="AC185" t="s">
        <v>952</v>
      </c>
      <c r="AD185" t="s">
        <v>952</v>
      </c>
      <c r="AE185">
        <v>0</v>
      </c>
      <c r="AF185" t="s">
        <v>952</v>
      </c>
      <c r="AG185" t="s">
        <v>952</v>
      </c>
      <c r="AH185" t="s">
        <v>952</v>
      </c>
      <c r="AI185"/>
      <c r="AJ185"/>
    </row>
    <row r="186" spans="1:36" x14ac:dyDescent="0.25">
      <c r="A186" t="s">
        <v>493</v>
      </c>
      <c r="B186" t="s">
        <v>734</v>
      </c>
      <c r="C186" t="s">
        <v>951</v>
      </c>
      <c r="D186" t="s">
        <v>257</v>
      </c>
      <c r="E186" t="s">
        <v>952</v>
      </c>
      <c r="F186" t="s">
        <v>504</v>
      </c>
      <c r="G186" t="s">
        <v>280</v>
      </c>
      <c r="H186" t="s">
        <v>1086</v>
      </c>
      <c r="I186" t="s">
        <v>41</v>
      </c>
      <c r="J186" t="s">
        <v>952</v>
      </c>
      <c r="K186">
        <v>1</v>
      </c>
      <c r="L186">
        <v>5</v>
      </c>
      <c r="M186" t="s">
        <v>33</v>
      </c>
      <c r="N186">
        <v>1</v>
      </c>
      <c r="O186">
        <v>5</v>
      </c>
      <c r="P186">
        <v>1</v>
      </c>
      <c r="Q186" t="s">
        <v>48</v>
      </c>
      <c r="R186">
        <v>8</v>
      </c>
      <c r="S186">
        <v>0</v>
      </c>
      <c r="T186" t="s">
        <v>952</v>
      </c>
      <c r="U186" t="s">
        <v>952</v>
      </c>
      <c r="V186" t="s">
        <v>952</v>
      </c>
      <c r="W186" t="s">
        <v>952</v>
      </c>
      <c r="X186">
        <v>0</v>
      </c>
      <c r="Y186" t="s">
        <v>952</v>
      </c>
      <c r="Z186">
        <v>0</v>
      </c>
      <c r="AA186" t="s">
        <v>952</v>
      </c>
      <c r="AB186" t="s">
        <v>952</v>
      </c>
      <c r="AC186" t="s">
        <v>952</v>
      </c>
      <c r="AD186" t="s">
        <v>952</v>
      </c>
      <c r="AE186">
        <v>0</v>
      </c>
      <c r="AF186" t="s">
        <v>952</v>
      </c>
      <c r="AG186" t="s">
        <v>952</v>
      </c>
      <c r="AH186" t="s">
        <v>952</v>
      </c>
      <c r="AI186"/>
      <c r="AJ186"/>
    </row>
    <row r="187" spans="1:36" x14ac:dyDescent="0.25">
      <c r="A187" t="s">
        <v>743</v>
      </c>
      <c r="B187" t="s">
        <v>744</v>
      </c>
      <c r="C187" t="s">
        <v>951</v>
      </c>
      <c r="D187" t="s">
        <v>257</v>
      </c>
      <c r="E187" t="s">
        <v>952</v>
      </c>
      <c r="F187" t="s">
        <v>504</v>
      </c>
      <c r="G187" t="s">
        <v>280</v>
      </c>
      <c r="H187" t="s">
        <v>1086</v>
      </c>
      <c r="I187" t="s">
        <v>41</v>
      </c>
      <c r="J187" t="s">
        <v>952</v>
      </c>
      <c r="K187">
        <v>1</v>
      </c>
      <c r="L187">
        <v>5</v>
      </c>
      <c r="M187" t="s">
        <v>33</v>
      </c>
      <c r="N187">
        <v>1</v>
      </c>
      <c r="O187">
        <v>5</v>
      </c>
      <c r="P187">
        <v>1</v>
      </c>
      <c r="Q187" t="s">
        <v>48</v>
      </c>
      <c r="R187">
        <v>8</v>
      </c>
      <c r="S187">
        <v>0</v>
      </c>
      <c r="T187" t="s">
        <v>952</v>
      </c>
      <c r="U187" t="s">
        <v>952</v>
      </c>
      <c r="V187" t="s">
        <v>952</v>
      </c>
      <c r="W187" t="s">
        <v>952</v>
      </c>
      <c r="X187">
        <v>0</v>
      </c>
      <c r="Y187" t="s">
        <v>952</v>
      </c>
      <c r="Z187">
        <v>0</v>
      </c>
      <c r="AA187" t="s">
        <v>952</v>
      </c>
      <c r="AB187" t="s">
        <v>952</v>
      </c>
      <c r="AC187" t="s">
        <v>952</v>
      </c>
      <c r="AD187" t="s">
        <v>952</v>
      </c>
      <c r="AE187">
        <v>0</v>
      </c>
      <c r="AF187" t="s">
        <v>952</v>
      </c>
      <c r="AG187" t="s">
        <v>952</v>
      </c>
      <c r="AH187" t="s">
        <v>952</v>
      </c>
      <c r="AI187"/>
      <c r="AJ187"/>
    </row>
    <row r="188" spans="1:36" x14ac:dyDescent="0.25">
      <c r="A188" t="s">
        <v>493</v>
      </c>
      <c r="B188" t="s">
        <v>734</v>
      </c>
      <c r="C188" t="s">
        <v>951</v>
      </c>
      <c r="D188" t="s">
        <v>257</v>
      </c>
      <c r="E188" t="s">
        <v>952</v>
      </c>
      <c r="F188" t="s">
        <v>505</v>
      </c>
      <c r="G188" t="s">
        <v>280</v>
      </c>
      <c r="H188" t="s">
        <v>1087</v>
      </c>
      <c r="I188" t="s">
        <v>41</v>
      </c>
      <c r="J188" t="s">
        <v>952</v>
      </c>
      <c r="K188">
        <v>1</v>
      </c>
      <c r="L188">
        <v>4</v>
      </c>
      <c r="M188" t="s">
        <v>33</v>
      </c>
      <c r="N188">
        <v>1</v>
      </c>
      <c r="O188">
        <v>4</v>
      </c>
      <c r="P188">
        <v>1</v>
      </c>
      <c r="Q188" t="s">
        <v>48</v>
      </c>
      <c r="R188">
        <v>8</v>
      </c>
      <c r="S188">
        <v>0</v>
      </c>
      <c r="T188" t="s">
        <v>952</v>
      </c>
      <c r="U188" t="s">
        <v>952</v>
      </c>
      <c r="V188" t="s">
        <v>952</v>
      </c>
      <c r="W188" t="s">
        <v>952</v>
      </c>
      <c r="X188">
        <v>0</v>
      </c>
      <c r="Y188" t="s">
        <v>952</v>
      </c>
      <c r="Z188">
        <v>0</v>
      </c>
      <c r="AA188" t="s">
        <v>952</v>
      </c>
      <c r="AB188" t="s">
        <v>952</v>
      </c>
      <c r="AC188" t="s">
        <v>952</v>
      </c>
      <c r="AD188" t="s">
        <v>952</v>
      </c>
      <c r="AE188">
        <v>0</v>
      </c>
      <c r="AF188" t="s">
        <v>952</v>
      </c>
      <c r="AG188" t="s">
        <v>952</v>
      </c>
      <c r="AH188" t="s">
        <v>952</v>
      </c>
      <c r="AI188"/>
      <c r="AJ188"/>
    </row>
    <row r="189" spans="1:36" x14ac:dyDescent="0.25">
      <c r="A189" t="s">
        <v>743</v>
      </c>
      <c r="B189" t="s">
        <v>744</v>
      </c>
      <c r="C189" t="s">
        <v>951</v>
      </c>
      <c r="D189" t="s">
        <v>257</v>
      </c>
      <c r="E189" t="s">
        <v>952</v>
      </c>
      <c r="F189" t="s">
        <v>505</v>
      </c>
      <c r="G189" t="s">
        <v>280</v>
      </c>
      <c r="H189" t="s">
        <v>1087</v>
      </c>
      <c r="I189" t="s">
        <v>41</v>
      </c>
      <c r="J189" t="s">
        <v>952</v>
      </c>
      <c r="K189">
        <v>1</v>
      </c>
      <c r="L189">
        <v>4</v>
      </c>
      <c r="M189" t="s">
        <v>33</v>
      </c>
      <c r="N189">
        <v>1</v>
      </c>
      <c r="O189">
        <v>4</v>
      </c>
      <c r="P189">
        <v>1</v>
      </c>
      <c r="Q189" t="s">
        <v>48</v>
      </c>
      <c r="R189">
        <v>8</v>
      </c>
      <c r="S189">
        <v>0</v>
      </c>
      <c r="T189" t="s">
        <v>952</v>
      </c>
      <c r="U189" t="s">
        <v>952</v>
      </c>
      <c r="V189" t="s">
        <v>952</v>
      </c>
      <c r="W189" t="s">
        <v>952</v>
      </c>
      <c r="X189">
        <v>0</v>
      </c>
      <c r="Y189" t="s">
        <v>952</v>
      </c>
      <c r="Z189">
        <v>0</v>
      </c>
      <c r="AA189" t="s">
        <v>952</v>
      </c>
      <c r="AB189" t="s">
        <v>952</v>
      </c>
      <c r="AC189" t="s">
        <v>952</v>
      </c>
      <c r="AD189" t="s">
        <v>952</v>
      </c>
      <c r="AE189">
        <v>0</v>
      </c>
      <c r="AF189" t="s">
        <v>952</v>
      </c>
      <c r="AG189" t="s">
        <v>952</v>
      </c>
      <c r="AH189" t="s">
        <v>952</v>
      </c>
      <c r="AI189"/>
      <c r="AJ189"/>
    </row>
    <row r="190" spans="1:36" x14ac:dyDescent="0.25">
      <c r="A190" t="s">
        <v>493</v>
      </c>
      <c r="B190" t="s">
        <v>734</v>
      </c>
      <c r="C190" t="s">
        <v>951</v>
      </c>
      <c r="D190" t="s">
        <v>257</v>
      </c>
      <c r="E190" t="s">
        <v>952</v>
      </c>
      <c r="F190" t="s">
        <v>506</v>
      </c>
      <c r="G190" t="s">
        <v>280</v>
      </c>
      <c r="H190" t="s">
        <v>1088</v>
      </c>
      <c r="I190" t="s">
        <v>41</v>
      </c>
      <c r="J190" t="s">
        <v>952</v>
      </c>
      <c r="K190">
        <v>1</v>
      </c>
      <c r="L190">
        <v>4</v>
      </c>
      <c r="M190" t="s">
        <v>33</v>
      </c>
      <c r="N190">
        <v>1</v>
      </c>
      <c r="O190">
        <v>4</v>
      </c>
      <c r="P190">
        <v>1</v>
      </c>
      <c r="Q190" t="s">
        <v>48</v>
      </c>
      <c r="R190">
        <v>8</v>
      </c>
      <c r="S190">
        <v>0</v>
      </c>
      <c r="T190" t="s">
        <v>952</v>
      </c>
      <c r="U190" t="s">
        <v>952</v>
      </c>
      <c r="V190" t="s">
        <v>952</v>
      </c>
      <c r="W190" t="s">
        <v>952</v>
      </c>
      <c r="X190">
        <v>0</v>
      </c>
      <c r="Y190" t="s">
        <v>952</v>
      </c>
      <c r="Z190">
        <v>0</v>
      </c>
      <c r="AA190" t="s">
        <v>952</v>
      </c>
      <c r="AB190" t="s">
        <v>952</v>
      </c>
      <c r="AC190" t="s">
        <v>952</v>
      </c>
      <c r="AD190" t="s">
        <v>952</v>
      </c>
      <c r="AE190">
        <v>0</v>
      </c>
      <c r="AF190" t="s">
        <v>952</v>
      </c>
      <c r="AG190" t="s">
        <v>952</v>
      </c>
      <c r="AH190" t="s">
        <v>952</v>
      </c>
      <c r="AI190"/>
      <c r="AJ190"/>
    </row>
    <row r="191" spans="1:36" x14ac:dyDescent="0.25">
      <c r="A191" t="s">
        <v>743</v>
      </c>
      <c r="B191" t="s">
        <v>744</v>
      </c>
      <c r="C191" t="s">
        <v>951</v>
      </c>
      <c r="D191" t="s">
        <v>257</v>
      </c>
      <c r="E191" t="s">
        <v>952</v>
      </c>
      <c r="F191" t="s">
        <v>506</v>
      </c>
      <c r="G191" t="s">
        <v>280</v>
      </c>
      <c r="H191" t="s">
        <v>1088</v>
      </c>
      <c r="I191" t="s">
        <v>41</v>
      </c>
      <c r="J191" t="s">
        <v>952</v>
      </c>
      <c r="K191">
        <v>1</v>
      </c>
      <c r="L191">
        <v>4</v>
      </c>
      <c r="M191" t="s">
        <v>33</v>
      </c>
      <c r="N191">
        <v>1</v>
      </c>
      <c r="O191">
        <v>4</v>
      </c>
      <c r="P191">
        <v>1</v>
      </c>
      <c r="Q191" t="s">
        <v>48</v>
      </c>
      <c r="R191">
        <v>8</v>
      </c>
      <c r="S191">
        <v>0</v>
      </c>
      <c r="T191" t="s">
        <v>952</v>
      </c>
      <c r="U191" t="s">
        <v>952</v>
      </c>
      <c r="V191" t="s">
        <v>952</v>
      </c>
      <c r="W191" t="s">
        <v>952</v>
      </c>
      <c r="X191">
        <v>0</v>
      </c>
      <c r="Y191" t="s">
        <v>952</v>
      </c>
      <c r="Z191">
        <v>0</v>
      </c>
      <c r="AA191" t="s">
        <v>952</v>
      </c>
      <c r="AB191" t="s">
        <v>952</v>
      </c>
      <c r="AC191" t="s">
        <v>952</v>
      </c>
      <c r="AD191" t="s">
        <v>952</v>
      </c>
      <c r="AE191">
        <v>0</v>
      </c>
      <c r="AF191" t="s">
        <v>952</v>
      </c>
      <c r="AG191" t="s">
        <v>952</v>
      </c>
      <c r="AH191" t="s">
        <v>952</v>
      </c>
      <c r="AI191"/>
      <c r="AJ191"/>
    </row>
    <row r="192" spans="1:36" s="172" customFormat="1" x14ac:dyDescent="0.25">
      <c r="A192" t="s">
        <v>493</v>
      </c>
      <c r="B192" t="s">
        <v>734</v>
      </c>
      <c r="C192" t="s">
        <v>951</v>
      </c>
      <c r="D192" t="s">
        <v>257</v>
      </c>
      <c r="E192" t="s">
        <v>952</v>
      </c>
      <c r="F192" t="s">
        <v>507</v>
      </c>
      <c r="G192" t="s">
        <v>280</v>
      </c>
      <c r="H192" t="s">
        <v>1089</v>
      </c>
      <c r="I192" t="s">
        <v>41</v>
      </c>
      <c r="J192" t="s">
        <v>952</v>
      </c>
      <c r="K192">
        <v>1</v>
      </c>
      <c r="L192">
        <v>4</v>
      </c>
      <c r="M192" t="s">
        <v>33</v>
      </c>
      <c r="N192">
        <v>1</v>
      </c>
      <c r="O192">
        <v>4</v>
      </c>
      <c r="P192">
        <v>1</v>
      </c>
      <c r="Q192" t="s">
        <v>48</v>
      </c>
      <c r="R192">
        <v>8</v>
      </c>
      <c r="S192">
        <v>0</v>
      </c>
      <c r="T192" t="s">
        <v>952</v>
      </c>
      <c r="U192" t="s">
        <v>952</v>
      </c>
      <c r="V192" t="s">
        <v>952</v>
      </c>
      <c r="W192" t="s">
        <v>952</v>
      </c>
      <c r="X192">
        <v>0</v>
      </c>
      <c r="Y192" t="s">
        <v>952</v>
      </c>
      <c r="Z192">
        <v>0</v>
      </c>
      <c r="AA192" t="s">
        <v>952</v>
      </c>
      <c r="AB192" t="s">
        <v>952</v>
      </c>
      <c r="AC192" t="s">
        <v>952</v>
      </c>
      <c r="AD192" t="s">
        <v>952</v>
      </c>
      <c r="AE192">
        <v>0</v>
      </c>
      <c r="AF192" t="s">
        <v>952</v>
      </c>
      <c r="AG192" t="s">
        <v>952</v>
      </c>
      <c r="AH192" t="s">
        <v>952</v>
      </c>
      <c r="AI192"/>
      <c r="AJ192"/>
    </row>
    <row r="193" spans="1:36" x14ac:dyDescent="0.25">
      <c r="A193" t="s">
        <v>743</v>
      </c>
      <c r="B193" t="s">
        <v>744</v>
      </c>
      <c r="C193" t="s">
        <v>951</v>
      </c>
      <c r="D193" t="s">
        <v>257</v>
      </c>
      <c r="E193" t="s">
        <v>952</v>
      </c>
      <c r="F193" t="s">
        <v>507</v>
      </c>
      <c r="G193" t="s">
        <v>280</v>
      </c>
      <c r="H193" t="s">
        <v>1089</v>
      </c>
      <c r="I193" t="s">
        <v>41</v>
      </c>
      <c r="J193" t="s">
        <v>952</v>
      </c>
      <c r="K193">
        <v>1</v>
      </c>
      <c r="L193">
        <v>4</v>
      </c>
      <c r="M193" t="s">
        <v>33</v>
      </c>
      <c r="N193">
        <v>1</v>
      </c>
      <c r="O193">
        <v>4</v>
      </c>
      <c r="P193">
        <v>1</v>
      </c>
      <c r="Q193" t="s">
        <v>48</v>
      </c>
      <c r="R193">
        <v>8</v>
      </c>
      <c r="S193">
        <v>0</v>
      </c>
      <c r="T193" t="s">
        <v>952</v>
      </c>
      <c r="U193" t="s">
        <v>952</v>
      </c>
      <c r="V193" t="s">
        <v>952</v>
      </c>
      <c r="W193" t="s">
        <v>952</v>
      </c>
      <c r="X193">
        <v>0</v>
      </c>
      <c r="Y193" t="s">
        <v>952</v>
      </c>
      <c r="Z193">
        <v>0</v>
      </c>
      <c r="AA193" t="s">
        <v>952</v>
      </c>
      <c r="AB193" t="s">
        <v>952</v>
      </c>
      <c r="AC193" t="s">
        <v>952</v>
      </c>
      <c r="AD193" t="s">
        <v>952</v>
      </c>
      <c r="AE193">
        <v>0</v>
      </c>
      <c r="AF193" t="s">
        <v>952</v>
      </c>
      <c r="AG193" t="s">
        <v>952</v>
      </c>
      <c r="AH193" t="s">
        <v>952</v>
      </c>
      <c r="AI193"/>
      <c r="AJ193"/>
    </row>
    <row r="194" spans="1:36" x14ac:dyDescent="0.25">
      <c r="A194" t="s">
        <v>493</v>
      </c>
      <c r="B194" t="s">
        <v>734</v>
      </c>
      <c r="C194" t="s">
        <v>951</v>
      </c>
      <c r="D194" t="s">
        <v>257</v>
      </c>
      <c r="E194" t="s">
        <v>952</v>
      </c>
      <c r="F194" t="s">
        <v>508</v>
      </c>
      <c r="G194" t="s">
        <v>280</v>
      </c>
      <c r="H194" t="s">
        <v>1090</v>
      </c>
      <c r="I194" t="s">
        <v>41</v>
      </c>
      <c r="J194" t="s">
        <v>952</v>
      </c>
      <c r="K194">
        <v>1</v>
      </c>
      <c r="L194">
        <v>4</v>
      </c>
      <c r="M194" t="s">
        <v>33</v>
      </c>
      <c r="N194">
        <v>1</v>
      </c>
      <c r="O194">
        <v>4</v>
      </c>
      <c r="P194">
        <v>1</v>
      </c>
      <c r="Q194" t="s">
        <v>48</v>
      </c>
      <c r="R194">
        <v>8</v>
      </c>
      <c r="S194">
        <v>0</v>
      </c>
      <c r="T194" t="s">
        <v>952</v>
      </c>
      <c r="U194" t="s">
        <v>952</v>
      </c>
      <c r="V194" t="s">
        <v>952</v>
      </c>
      <c r="W194" t="s">
        <v>952</v>
      </c>
      <c r="X194">
        <v>0</v>
      </c>
      <c r="Y194" t="s">
        <v>952</v>
      </c>
      <c r="Z194">
        <v>0</v>
      </c>
      <c r="AA194" t="s">
        <v>952</v>
      </c>
      <c r="AB194" t="s">
        <v>952</v>
      </c>
      <c r="AC194" t="s">
        <v>952</v>
      </c>
      <c r="AD194" t="s">
        <v>952</v>
      </c>
      <c r="AE194">
        <v>0</v>
      </c>
      <c r="AF194" t="s">
        <v>952</v>
      </c>
      <c r="AG194" t="s">
        <v>952</v>
      </c>
      <c r="AH194" t="s">
        <v>952</v>
      </c>
      <c r="AI194"/>
      <c r="AJ194"/>
    </row>
    <row r="195" spans="1:36" x14ac:dyDescent="0.25">
      <c r="A195" t="s">
        <v>743</v>
      </c>
      <c r="B195" t="s">
        <v>744</v>
      </c>
      <c r="C195" t="s">
        <v>951</v>
      </c>
      <c r="D195" t="s">
        <v>257</v>
      </c>
      <c r="E195" t="s">
        <v>952</v>
      </c>
      <c r="F195" t="s">
        <v>508</v>
      </c>
      <c r="G195" t="s">
        <v>280</v>
      </c>
      <c r="H195" t="s">
        <v>1090</v>
      </c>
      <c r="I195" t="s">
        <v>41</v>
      </c>
      <c r="J195" t="s">
        <v>952</v>
      </c>
      <c r="K195">
        <v>1</v>
      </c>
      <c r="L195">
        <v>4</v>
      </c>
      <c r="M195" t="s">
        <v>33</v>
      </c>
      <c r="N195">
        <v>1</v>
      </c>
      <c r="O195">
        <v>4</v>
      </c>
      <c r="P195">
        <v>1</v>
      </c>
      <c r="Q195" t="s">
        <v>48</v>
      </c>
      <c r="R195">
        <v>8</v>
      </c>
      <c r="S195">
        <v>0</v>
      </c>
      <c r="T195" t="s">
        <v>952</v>
      </c>
      <c r="U195" t="s">
        <v>952</v>
      </c>
      <c r="V195" t="s">
        <v>952</v>
      </c>
      <c r="W195" t="s">
        <v>952</v>
      </c>
      <c r="X195">
        <v>0</v>
      </c>
      <c r="Y195" t="s">
        <v>952</v>
      </c>
      <c r="Z195">
        <v>0</v>
      </c>
      <c r="AA195" t="s">
        <v>952</v>
      </c>
      <c r="AB195" t="s">
        <v>952</v>
      </c>
      <c r="AC195" t="s">
        <v>952</v>
      </c>
      <c r="AD195" t="s">
        <v>952</v>
      </c>
      <c r="AE195">
        <v>0</v>
      </c>
      <c r="AF195" t="s">
        <v>952</v>
      </c>
      <c r="AG195" t="s">
        <v>952</v>
      </c>
      <c r="AH195" t="s">
        <v>952</v>
      </c>
      <c r="AI195"/>
      <c r="AJ195"/>
    </row>
    <row r="196" spans="1:36" x14ac:dyDescent="0.25">
      <c r="A196" t="s">
        <v>493</v>
      </c>
      <c r="B196" t="s">
        <v>734</v>
      </c>
      <c r="C196" t="s">
        <v>951</v>
      </c>
      <c r="D196" t="s">
        <v>257</v>
      </c>
      <c r="E196" t="s">
        <v>952</v>
      </c>
      <c r="F196" t="s">
        <v>509</v>
      </c>
      <c r="G196" t="s">
        <v>280</v>
      </c>
      <c r="H196" t="s">
        <v>1091</v>
      </c>
      <c r="I196" t="s">
        <v>41</v>
      </c>
      <c r="J196" t="s">
        <v>952</v>
      </c>
      <c r="K196">
        <v>1</v>
      </c>
      <c r="L196">
        <v>4</v>
      </c>
      <c r="M196" t="s">
        <v>33</v>
      </c>
      <c r="N196">
        <v>1</v>
      </c>
      <c r="O196">
        <v>4</v>
      </c>
      <c r="P196">
        <v>1</v>
      </c>
      <c r="Q196" t="s">
        <v>48</v>
      </c>
      <c r="R196">
        <v>8</v>
      </c>
      <c r="S196">
        <v>0</v>
      </c>
      <c r="T196" t="s">
        <v>952</v>
      </c>
      <c r="U196" t="s">
        <v>952</v>
      </c>
      <c r="V196" t="s">
        <v>952</v>
      </c>
      <c r="W196" t="s">
        <v>952</v>
      </c>
      <c r="X196">
        <v>0</v>
      </c>
      <c r="Y196" t="s">
        <v>952</v>
      </c>
      <c r="Z196">
        <v>0</v>
      </c>
      <c r="AA196" t="s">
        <v>952</v>
      </c>
      <c r="AB196" t="s">
        <v>952</v>
      </c>
      <c r="AC196" t="s">
        <v>952</v>
      </c>
      <c r="AD196" t="s">
        <v>952</v>
      </c>
      <c r="AE196">
        <v>0</v>
      </c>
      <c r="AF196" t="s">
        <v>952</v>
      </c>
      <c r="AG196" t="s">
        <v>952</v>
      </c>
      <c r="AH196" t="s">
        <v>952</v>
      </c>
      <c r="AI196"/>
      <c r="AJ196"/>
    </row>
    <row r="197" spans="1:36" x14ac:dyDescent="0.25">
      <c r="A197" t="s">
        <v>743</v>
      </c>
      <c r="B197" t="s">
        <v>744</v>
      </c>
      <c r="C197" t="s">
        <v>951</v>
      </c>
      <c r="D197" t="s">
        <v>257</v>
      </c>
      <c r="E197" t="s">
        <v>952</v>
      </c>
      <c r="F197" t="s">
        <v>509</v>
      </c>
      <c r="G197" t="s">
        <v>280</v>
      </c>
      <c r="H197" t="s">
        <v>1091</v>
      </c>
      <c r="I197" t="s">
        <v>41</v>
      </c>
      <c r="J197" t="s">
        <v>952</v>
      </c>
      <c r="K197">
        <v>1</v>
      </c>
      <c r="L197">
        <v>4</v>
      </c>
      <c r="M197" t="s">
        <v>33</v>
      </c>
      <c r="N197">
        <v>1</v>
      </c>
      <c r="O197">
        <v>4</v>
      </c>
      <c r="P197">
        <v>1</v>
      </c>
      <c r="Q197" t="s">
        <v>48</v>
      </c>
      <c r="R197">
        <v>8</v>
      </c>
      <c r="S197">
        <v>0</v>
      </c>
      <c r="T197" t="s">
        <v>952</v>
      </c>
      <c r="U197" t="s">
        <v>952</v>
      </c>
      <c r="V197" t="s">
        <v>952</v>
      </c>
      <c r="W197" t="s">
        <v>952</v>
      </c>
      <c r="X197">
        <v>0</v>
      </c>
      <c r="Y197" t="s">
        <v>952</v>
      </c>
      <c r="Z197">
        <v>0</v>
      </c>
      <c r="AA197" t="s">
        <v>952</v>
      </c>
      <c r="AB197" t="s">
        <v>952</v>
      </c>
      <c r="AC197" t="s">
        <v>952</v>
      </c>
      <c r="AD197" t="s">
        <v>952</v>
      </c>
      <c r="AE197">
        <v>0</v>
      </c>
      <c r="AF197" t="s">
        <v>952</v>
      </c>
      <c r="AG197" t="s">
        <v>952</v>
      </c>
      <c r="AH197" t="s">
        <v>952</v>
      </c>
      <c r="AI197"/>
      <c r="AJ197"/>
    </row>
    <row r="198" spans="1:36" x14ac:dyDescent="0.25">
      <c r="A198" t="s">
        <v>493</v>
      </c>
      <c r="B198" t="s">
        <v>734</v>
      </c>
      <c r="C198" t="s">
        <v>951</v>
      </c>
      <c r="D198" t="s">
        <v>257</v>
      </c>
      <c r="E198" t="s">
        <v>952</v>
      </c>
      <c r="F198" t="s">
        <v>510</v>
      </c>
      <c r="G198" t="s">
        <v>280</v>
      </c>
      <c r="H198" t="s">
        <v>1092</v>
      </c>
      <c r="I198" t="s">
        <v>41</v>
      </c>
      <c r="J198" t="s">
        <v>952</v>
      </c>
      <c r="K198">
        <v>1</v>
      </c>
      <c r="L198">
        <v>4</v>
      </c>
      <c r="M198" t="s">
        <v>33</v>
      </c>
      <c r="N198">
        <v>1</v>
      </c>
      <c r="O198">
        <v>4</v>
      </c>
      <c r="P198">
        <v>1</v>
      </c>
      <c r="Q198" t="s">
        <v>48</v>
      </c>
      <c r="R198">
        <v>8</v>
      </c>
      <c r="S198">
        <v>0</v>
      </c>
      <c r="T198" t="s">
        <v>952</v>
      </c>
      <c r="U198" t="s">
        <v>952</v>
      </c>
      <c r="V198" t="s">
        <v>952</v>
      </c>
      <c r="W198" t="s">
        <v>952</v>
      </c>
      <c r="X198">
        <v>0</v>
      </c>
      <c r="Y198" t="s">
        <v>952</v>
      </c>
      <c r="Z198">
        <v>0</v>
      </c>
      <c r="AA198" t="s">
        <v>952</v>
      </c>
      <c r="AB198" t="s">
        <v>952</v>
      </c>
      <c r="AC198" t="s">
        <v>952</v>
      </c>
      <c r="AD198" t="s">
        <v>952</v>
      </c>
      <c r="AE198">
        <v>0</v>
      </c>
      <c r="AF198" t="s">
        <v>952</v>
      </c>
      <c r="AG198" t="s">
        <v>952</v>
      </c>
      <c r="AH198" t="s">
        <v>952</v>
      </c>
      <c r="AI198"/>
      <c r="AJ198"/>
    </row>
    <row r="199" spans="1:36" x14ac:dyDescent="0.25">
      <c r="A199" t="s">
        <v>743</v>
      </c>
      <c r="B199" t="s">
        <v>744</v>
      </c>
      <c r="C199" t="s">
        <v>951</v>
      </c>
      <c r="D199" t="s">
        <v>257</v>
      </c>
      <c r="E199" t="s">
        <v>952</v>
      </c>
      <c r="F199" t="s">
        <v>510</v>
      </c>
      <c r="G199" t="s">
        <v>280</v>
      </c>
      <c r="H199" t="s">
        <v>1092</v>
      </c>
      <c r="I199" t="s">
        <v>41</v>
      </c>
      <c r="J199" t="s">
        <v>952</v>
      </c>
      <c r="K199">
        <v>1</v>
      </c>
      <c r="L199">
        <v>4</v>
      </c>
      <c r="M199" t="s">
        <v>33</v>
      </c>
      <c r="N199">
        <v>1</v>
      </c>
      <c r="O199">
        <v>4</v>
      </c>
      <c r="P199">
        <v>1</v>
      </c>
      <c r="Q199" t="s">
        <v>48</v>
      </c>
      <c r="R199">
        <v>8</v>
      </c>
      <c r="S199">
        <v>0</v>
      </c>
      <c r="T199" t="s">
        <v>952</v>
      </c>
      <c r="U199" t="s">
        <v>952</v>
      </c>
      <c r="V199" t="s">
        <v>952</v>
      </c>
      <c r="W199" t="s">
        <v>952</v>
      </c>
      <c r="X199">
        <v>0</v>
      </c>
      <c r="Y199" t="s">
        <v>952</v>
      </c>
      <c r="Z199">
        <v>0</v>
      </c>
      <c r="AA199" t="s">
        <v>952</v>
      </c>
      <c r="AB199" t="s">
        <v>952</v>
      </c>
      <c r="AC199" t="s">
        <v>952</v>
      </c>
      <c r="AD199" t="s">
        <v>952</v>
      </c>
      <c r="AE199">
        <v>0</v>
      </c>
      <c r="AF199" t="s">
        <v>952</v>
      </c>
      <c r="AG199" t="s">
        <v>952</v>
      </c>
      <c r="AH199" t="s">
        <v>952</v>
      </c>
      <c r="AI199"/>
      <c r="AJ199"/>
    </row>
    <row r="200" spans="1:36" x14ac:dyDescent="0.25">
      <c r="A200" t="s">
        <v>493</v>
      </c>
      <c r="B200" t="s">
        <v>734</v>
      </c>
      <c r="C200" t="s">
        <v>951</v>
      </c>
      <c r="D200" t="s">
        <v>257</v>
      </c>
      <c r="E200" t="s">
        <v>952</v>
      </c>
      <c r="F200" t="s">
        <v>511</v>
      </c>
      <c r="G200" t="s">
        <v>280</v>
      </c>
      <c r="H200" t="s">
        <v>1093</v>
      </c>
      <c r="I200" t="s">
        <v>35</v>
      </c>
      <c r="J200" t="s">
        <v>952</v>
      </c>
      <c r="K200">
        <v>1</v>
      </c>
      <c r="L200">
        <v>4</v>
      </c>
      <c r="M200" t="s">
        <v>33</v>
      </c>
      <c r="N200">
        <v>1</v>
      </c>
      <c r="O200">
        <v>4</v>
      </c>
      <c r="P200">
        <v>1</v>
      </c>
      <c r="Q200" t="s">
        <v>48</v>
      </c>
      <c r="R200">
        <v>8</v>
      </c>
      <c r="S200">
        <v>0</v>
      </c>
      <c r="T200" t="s">
        <v>952</v>
      </c>
      <c r="U200" t="s">
        <v>952</v>
      </c>
      <c r="V200" t="s">
        <v>952</v>
      </c>
      <c r="W200" t="s">
        <v>952</v>
      </c>
      <c r="X200">
        <v>0</v>
      </c>
      <c r="Y200" t="s">
        <v>952</v>
      </c>
      <c r="Z200">
        <v>0</v>
      </c>
      <c r="AA200" t="s">
        <v>952</v>
      </c>
      <c r="AB200" t="s">
        <v>952</v>
      </c>
      <c r="AC200" t="s">
        <v>952</v>
      </c>
      <c r="AD200" t="s">
        <v>952</v>
      </c>
      <c r="AE200">
        <v>0</v>
      </c>
      <c r="AF200" t="s">
        <v>952</v>
      </c>
      <c r="AG200" t="s">
        <v>952</v>
      </c>
      <c r="AH200" t="s">
        <v>952</v>
      </c>
      <c r="AI200"/>
      <c r="AJ200"/>
    </row>
    <row r="201" spans="1:36" x14ac:dyDescent="0.25">
      <c r="A201" t="s">
        <v>743</v>
      </c>
      <c r="B201" t="s">
        <v>744</v>
      </c>
      <c r="C201" t="s">
        <v>951</v>
      </c>
      <c r="D201" t="s">
        <v>257</v>
      </c>
      <c r="E201" t="s">
        <v>952</v>
      </c>
      <c r="F201" t="s">
        <v>511</v>
      </c>
      <c r="G201" t="s">
        <v>280</v>
      </c>
      <c r="H201" t="s">
        <v>1093</v>
      </c>
      <c r="I201" t="s">
        <v>35</v>
      </c>
      <c r="J201" t="s">
        <v>952</v>
      </c>
      <c r="K201">
        <v>1</v>
      </c>
      <c r="L201">
        <v>4</v>
      </c>
      <c r="M201" t="s">
        <v>33</v>
      </c>
      <c r="N201">
        <v>1</v>
      </c>
      <c r="O201">
        <v>4</v>
      </c>
      <c r="P201">
        <v>1</v>
      </c>
      <c r="Q201" t="s">
        <v>48</v>
      </c>
      <c r="R201">
        <v>8</v>
      </c>
      <c r="S201">
        <v>0</v>
      </c>
      <c r="T201" t="s">
        <v>952</v>
      </c>
      <c r="U201" t="s">
        <v>952</v>
      </c>
      <c r="V201" t="s">
        <v>952</v>
      </c>
      <c r="W201" t="s">
        <v>952</v>
      </c>
      <c r="X201">
        <v>0</v>
      </c>
      <c r="Y201" t="s">
        <v>952</v>
      </c>
      <c r="Z201">
        <v>0</v>
      </c>
      <c r="AA201" t="s">
        <v>952</v>
      </c>
      <c r="AB201" t="s">
        <v>952</v>
      </c>
      <c r="AC201" t="s">
        <v>952</v>
      </c>
      <c r="AD201" t="s">
        <v>952</v>
      </c>
      <c r="AE201">
        <v>0</v>
      </c>
      <c r="AF201" t="s">
        <v>952</v>
      </c>
      <c r="AG201" t="s">
        <v>952</v>
      </c>
      <c r="AH201" t="s">
        <v>952</v>
      </c>
      <c r="AI201"/>
      <c r="AJ201"/>
    </row>
    <row r="202" spans="1:36" x14ac:dyDescent="0.25">
      <c r="A202" t="s">
        <v>493</v>
      </c>
      <c r="B202" t="s">
        <v>734</v>
      </c>
      <c r="C202" t="s">
        <v>951</v>
      </c>
      <c r="D202" t="s">
        <v>257</v>
      </c>
      <c r="E202" t="s">
        <v>952</v>
      </c>
      <c r="F202" t="s">
        <v>512</v>
      </c>
      <c r="G202" t="s">
        <v>280</v>
      </c>
      <c r="H202" t="s">
        <v>1094</v>
      </c>
      <c r="I202" t="s">
        <v>41</v>
      </c>
      <c r="J202" t="s">
        <v>952</v>
      </c>
      <c r="K202">
        <v>1</v>
      </c>
      <c r="L202">
        <v>4</v>
      </c>
      <c r="M202" t="s">
        <v>33</v>
      </c>
      <c r="N202">
        <v>1</v>
      </c>
      <c r="O202">
        <v>4</v>
      </c>
      <c r="P202">
        <v>1</v>
      </c>
      <c r="Q202" t="s">
        <v>48</v>
      </c>
      <c r="R202">
        <v>8</v>
      </c>
      <c r="S202">
        <v>0</v>
      </c>
      <c r="T202" t="s">
        <v>952</v>
      </c>
      <c r="U202" t="s">
        <v>952</v>
      </c>
      <c r="V202" t="s">
        <v>952</v>
      </c>
      <c r="W202" t="s">
        <v>952</v>
      </c>
      <c r="X202">
        <v>0</v>
      </c>
      <c r="Y202" t="s">
        <v>952</v>
      </c>
      <c r="Z202">
        <v>0</v>
      </c>
      <c r="AA202" t="s">
        <v>952</v>
      </c>
      <c r="AB202" t="s">
        <v>952</v>
      </c>
      <c r="AC202" t="s">
        <v>952</v>
      </c>
      <c r="AD202" t="s">
        <v>952</v>
      </c>
      <c r="AE202">
        <v>0</v>
      </c>
      <c r="AF202" t="s">
        <v>952</v>
      </c>
      <c r="AG202" t="s">
        <v>952</v>
      </c>
      <c r="AH202" t="s">
        <v>952</v>
      </c>
      <c r="AI202"/>
      <c r="AJ202"/>
    </row>
    <row r="203" spans="1:36" x14ac:dyDescent="0.25">
      <c r="A203" t="s">
        <v>743</v>
      </c>
      <c r="B203" t="s">
        <v>744</v>
      </c>
      <c r="C203" t="s">
        <v>951</v>
      </c>
      <c r="D203" t="s">
        <v>257</v>
      </c>
      <c r="E203" t="s">
        <v>952</v>
      </c>
      <c r="F203" t="s">
        <v>512</v>
      </c>
      <c r="G203" t="s">
        <v>280</v>
      </c>
      <c r="H203" t="s">
        <v>1094</v>
      </c>
      <c r="I203" t="s">
        <v>41</v>
      </c>
      <c r="J203" t="s">
        <v>952</v>
      </c>
      <c r="K203">
        <v>1</v>
      </c>
      <c r="L203">
        <v>4</v>
      </c>
      <c r="M203" t="s">
        <v>33</v>
      </c>
      <c r="N203">
        <v>1</v>
      </c>
      <c r="O203">
        <v>4</v>
      </c>
      <c r="P203">
        <v>1</v>
      </c>
      <c r="Q203" t="s">
        <v>48</v>
      </c>
      <c r="R203">
        <v>8</v>
      </c>
      <c r="S203">
        <v>0</v>
      </c>
      <c r="T203" t="s">
        <v>952</v>
      </c>
      <c r="U203" t="s">
        <v>952</v>
      </c>
      <c r="V203" t="s">
        <v>952</v>
      </c>
      <c r="W203" t="s">
        <v>952</v>
      </c>
      <c r="X203">
        <v>0</v>
      </c>
      <c r="Y203" t="s">
        <v>952</v>
      </c>
      <c r="Z203">
        <v>0</v>
      </c>
      <c r="AA203" t="s">
        <v>952</v>
      </c>
      <c r="AB203" t="s">
        <v>952</v>
      </c>
      <c r="AC203" t="s">
        <v>952</v>
      </c>
      <c r="AD203" t="s">
        <v>952</v>
      </c>
      <c r="AE203">
        <v>0</v>
      </c>
      <c r="AF203" t="s">
        <v>952</v>
      </c>
      <c r="AG203" t="s">
        <v>952</v>
      </c>
      <c r="AH203" t="s">
        <v>952</v>
      </c>
      <c r="AI203"/>
      <c r="AJ203"/>
    </row>
    <row r="204" spans="1:36" x14ac:dyDescent="0.25">
      <c r="A204" t="s">
        <v>493</v>
      </c>
      <c r="B204" t="s">
        <v>734</v>
      </c>
      <c r="C204" t="s">
        <v>951</v>
      </c>
      <c r="D204" t="s">
        <v>257</v>
      </c>
      <c r="E204" t="s">
        <v>952</v>
      </c>
      <c r="F204" t="s">
        <v>513</v>
      </c>
      <c r="G204" t="s">
        <v>280</v>
      </c>
      <c r="H204" t="s">
        <v>1095</v>
      </c>
      <c r="I204" t="s">
        <v>41</v>
      </c>
      <c r="J204" t="s">
        <v>952</v>
      </c>
      <c r="K204">
        <v>1</v>
      </c>
      <c r="L204">
        <v>4</v>
      </c>
      <c r="M204" t="s">
        <v>33</v>
      </c>
      <c r="N204">
        <v>1</v>
      </c>
      <c r="O204">
        <v>4</v>
      </c>
      <c r="P204">
        <v>1</v>
      </c>
      <c r="Q204" t="s">
        <v>48</v>
      </c>
      <c r="R204">
        <v>8</v>
      </c>
      <c r="S204">
        <v>0</v>
      </c>
      <c r="T204" t="s">
        <v>952</v>
      </c>
      <c r="U204" t="s">
        <v>952</v>
      </c>
      <c r="V204" t="s">
        <v>952</v>
      </c>
      <c r="W204" t="s">
        <v>952</v>
      </c>
      <c r="X204">
        <v>0</v>
      </c>
      <c r="Y204" t="s">
        <v>952</v>
      </c>
      <c r="Z204">
        <v>0</v>
      </c>
      <c r="AA204" t="s">
        <v>952</v>
      </c>
      <c r="AB204" t="s">
        <v>952</v>
      </c>
      <c r="AC204" t="s">
        <v>952</v>
      </c>
      <c r="AD204" t="s">
        <v>952</v>
      </c>
      <c r="AE204">
        <v>0</v>
      </c>
      <c r="AF204" t="s">
        <v>952</v>
      </c>
      <c r="AG204" t="s">
        <v>952</v>
      </c>
      <c r="AH204" t="s">
        <v>952</v>
      </c>
      <c r="AI204"/>
      <c r="AJ204"/>
    </row>
    <row r="205" spans="1:36" x14ac:dyDescent="0.25">
      <c r="A205" t="s">
        <v>743</v>
      </c>
      <c r="B205" t="s">
        <v>744</v>
      </c>
      <c r="C205" t="s">
        <v>951</v>
      </c>
      <c r="D205" t="s">
        <v>257</v>
      </c>
      <c r="E205" t="s">
        <v>952</v>
      </c>
      <c r="F205" t="s">
        <v>513</v>
      </c>
      <c r="G205" t="s">
        <v>280</v>
      </c>
      <c r="H205" t="s">
        <v>1095</v>
      </c>
      <c r="I205" t="s">
        <v>41</v>
      </c>
      <c r="J205" t="s">
        <v>952</v>
      </c>
      <c r="K205">
        <v>1</v>
      </c>
      <c r="L205">
        <v>4</v>
      </c>
      <c r="M205" t="s">
        <v>33</v>
      </c>
      <c r="N205">
        <v>1</v>
      </c>
      <c r="O205">
        <v>4</v>
      </c>
      <c r="P205">
        <v>1</v>
      </c>
      <c r="Q205" t="s">
        <v>48</v>
      </c>
      <c r="R205">
        <v>8</v>
      </c>
      <c r="S205">
        <v>0</v>
      </c>
      <c r="T205" t="s">
        <v>952</v>
      </c>
      <c r="U205" t="s">
        <v>952</v>
      </c>
      <c r="V205" t="s">
        <v>952</v>
      </c>
      <c r="W205" t="s">
        <v>952</v>
      </c>
      <c r="X205">
        <v>0</v>
      </c>
      <c r="Y205" t="s">
        <v>952</v>
      </c>
      <c r="Z205">
        <v>0</v>
      </c>
      <c r="AA205" t="s">
        <v>952</v>
      </c>
      <c r="AB205" t="s">
        <v>952</v>
      </c>
      <c r="AC205" t="s">
        <v>952</v>
      </c>
      <c r="AD205" t="s">
        <v>952</v>
      </c>
      <c r="AE205">
        <v>0</v>
      </c>
      <c r="AF205" t="s">
        <v>952</v>
      </c>
      <c r="AG205" t="s">
        <v>952</v>
      </c>
      <c r="AH205" t="s">
        <v>952</v>
      </c>
      <c r="AI205"/>
      <c r="AJ205"/>
    </row>
    <row r="206" spans="1:36" x14ac:dyDescent="0.25">
      <c r="A206" t="s">
        <v>493</v>
      </c>
      <c r="B206" t="s">
        <v>734</v>
      </c>
      <c r="C206" t="s">
        <v>951</v>
      </c>
      <c r="D206" t="s">
        <v>257</v>
      </c>
      <c r="E206" t="s">
        <v>952</v>
      </c>
      <c r="F206" t="s">
        <v>514</v>
      </c>
      <c r="G206" t="s">
        <v>280</v>
      </c>
      <c r="H206" t="s">
        <v>1096</v>
      </c>
      <c r="I206" t="s">
        <v>41</v>
      </c>
      <c r="J206" t="s">
        <v>952</v>
      </c>
      <c r="K206">
        <v>1</v>
      </c>
      <c r="L206">
        <v>4</v>
      </c>
      <c r="M206" t="s">
        <v>33</v>
      </c>
      <c r="N206">
        <v>1</v>
      </c>
      <c r="O206">
        <v>4</v>
      </c>
      <c r="P206">
        <v>1</v>
      </c>
      <c r="Q206" t="s">
        <v>48</v>
      </c>
      <c r="R206">
        <v>8</v>
      </c>
      <c r="S206">
        <v>0</v>
      </c>
      <c r="T206" t="s">
        <v>952</v>
      </c>
      <c r="U206" t="s">
        <v>952</v>
      </c>
      <c r="V206" t="s">
        <v>952</v>
      </c>
      <c r="W206" t="s">
        <v>952</v>
      </c>
      <c r="X206">
        <v>0</v>
      </c>
      <c r="Y206" t="s">
        <v>952</v>
      </c>
      <c r="Z206">
        <v>0</v>
      </c>
      <c r="AA206" t="s">
        <v>952</v>
      </c>
      <c r="AB206" t="s">
        <v>952</v>
      </c>
      <c r="AC206" t="s">
        <v>952</v>
      </c>
      <c r="AD206" t="s">
        <v>952</v>
      </c>
      <c r="AE206">
        <v>0</v>
      </c>
      <c r="AF206" t="s">
        <v>952</v>
      </c>
      <c r="AG206" t="s">
        <v>952</v>
      </c>
      <c r="AH206" t="s">
        <v>952</v>
      </c>
      <c r="AI206"/>
      <c r="AJ206"/>
    </row>
    <row r="207" spans="1:36" x14ac:dyDescent="0.25">
      <c r="A207" t="s">
        <v>743</v>
      </c>
      <c r="B207" t="s">
        <v>744</v>
      </c>
      <c r="C207" t="s">
        <v>951</v>
      </c>
      <c r="D207" t="s">
        <v>257</v>
      </c>
      <c r="E207" t="s">
        <v>952</v>
      </c>
      <c r="F207" t="s">
        <v>514</v>
      </c>
      <c r="G207" t="s">
        <v>280</v>
      </c>
      <c r="H207" t="s">
        <v>1096</v>
      </c>
      <c r="I207" t="s">
        <v>41</v>
      </c>
      <c r="J207" t="s">
        <v>952</v>
      </c>
      <c r="K207">
        <v>1</v>
      </c>
      <c r="L207">
        <v>4</v>
      </c>
      <c r="M207" t="s">
        <v>33</v>
      </c>
      <c r="N207">
        <v>1</v>
      </c>
      <c r="O207">
        <v>4</v>
      </c>
      <c r="P207">
        <v>1</v>
      </c>
      <c r="Q207" t="s">
        <v>48</v>
      </c>
      <c r="R207">
        <v>8</v>
      </c>
      <c r="S207">
        <v>0</v>
      </c>
      <c r="T207" t="s">
        <v>952</v>
      </c>
      <c r="U207" t="s">
        <v>952</v>
      </c>
      <c r="V207" t="s">
        <v>952</v>
      </c>
      <c r="W207" t="s">
        <v>952</v>
      </c>
      <c r="X207">
        <v>0</v>
      </c>
      <c r="Y207" t="s">
        <v>952</v>
      </c>
      <c r="Z207">
        <v>0</v>
      </c>
      <c r="AA207" t="s">
        <v>952</v>
      </c>
      <c r="AB207" t="s">
        <v>952</v>
      </c>
      <c r="AC207" t="s">
        <v>952</v>
      </c>
      <c r="AD207" t="s">
        <v>952</v>
      </c>
      <c r="AE207">
        <v>0</v>
      </c>
      <c r="AF207" t="s">
        <v>952</v>
      </c>
      <c r="AG207" t="s">
        <v>952</v>
      </c>
      <c r="AH207" t="s">
        <v>952</v>
      </c>
      <c r="AI207"/>
      <c r="AJ207"/>
    </row>
    <row r="208" spans="1:36" x14ac:dyDescent="0.25">
      <c r="A208" t="s">
        <v>515</v>
      </c>
      <c r="B208" t="s">
        <v>735</v>
      </c>
      <c r="C208" t="s">
        <v>951</v>
      </c>
      <c r="D208" t="s">
        <v>257</v>
      </c>
      <c r="E208" t="s">
        <v>952</v>
      </c>
      <c r="F208" t="s">
        <v>516</v>
      </c>
      <c r="G208" t="s">
        <v>280</v>
      </c>
      <c r="H208" t="s">
        <v>1097</v>
      </c>
      <c r="I208" t="s">
        <v>41</v>
      </c>
      <c r="J208" t="s">
        <v>952</v>
      </c>
      <c r="K208">
        <v>1</v>
      </c>
      <c r="L208">
        <v>6</v>
      </c>
      <c r="M208" t="s">
        <v>33</v>
      </c>
      <c r="N208">
        <v>1</v>
      </c>
      <c r="O208">
        <v>6</v>
      </c>
      <c r="P208">
        <v>1</v>
      </c>
      <c r="Q208" t="s">
        <v>48</v>
      </c>
      <c r="R208">
        <v>4</v>
      </c>
      <c r="S208">
        <v>0</v>
      </c>
      <c r="T208" t="s">
        <v>952</v>
      </c>
      <c r="U208" t="s">
        <v>952</v>
      </c>
      <c r="V208" t="s">
        <v>952</v>
      </c>
      <c r="W208" t="s">
        <v>952</v>
      </c>
      <c r="X208">
        <v>0</v>
      </c>
      <c r="Y208" t="s">
        <v>952</v>
      </c>
      <c r="Z208">
        <v>0</v>
      </c>
      <c r="AA208" t="s">
        <v>952</v>
      </c>
      <c r="AB208" t="s">
        <v>952</v>
      </c>
      <c r="AC208" t="s">
        <v>952</v>
      </c>
      <c r="AD208" t="s">
        <v>952</v>
      </c>
      <c r="AE208">
        <v>0</v>
      </c>
      <c r="AF208" t="s">
        <v>952</v>
      </c>
      <c r="AG208" t="s">
        <v>613</v>
      </c>
      <c r="AH208" t="s">
        <v>952</v>
      </c>
      <c r="AI208"/>
      <c r="AJ208"/>
    </row>
    <row r="209" spans="1:36" ht="15" customHeight="1" x14ac:dyDescent="0.25">
      <c r="A209" t="s">
        <v>515</v>
      </c>
      <c r="B209" t="s">
        <v>735</v>
      </c>
      <c r="C209" t="s">
        <v>951</v>
      </c>
      <c r="D209" t="s">
        <v>257</v>
      </c>
      <c r="E209" t="s">
        <v>952</v>
      </c>
      <c r="F209" t="s">
        <v>517</v>
      </c>
      <c r="G209" t="s">
        <v>280</v>
      </c>
      <c r="H209" t="s">
        <v>1098</v>
      </c>
      <c r="I209" t="s">
        <v>41</v>
      </c>
      <c r="J209" t="s">
        <v>952</v>
      </c>
      <c r="K209">
        <v>1</v>
      </c>
      <c r="L209">
        <v>13</v>
      </c>
      <c r="M209" t="s">
        <v>33</v>
      </c>
      <c r="N209">
        <v>1</v>
      </c>
      <c r="O209">
        <v>13</v>
      </c>
      <c r="P209">
        <v>1</v>
      </c>
      <c r="Q209" t="s">
        <v>48</v>
      </c>
      <c r="R209">
        <v>13</v>
      </c>
      <c r="S209">
        <v>0</v>
      </c>
      <c r="T209" t="s">
        <v>952</v>
      </c>
      <c r="U209" t="s">
        <v>952</v>
      </c>
      <c r="V209" t="s">
        <v>952</v>
      </c>
      <c r="W209" t="s">
        <v>952</v>
      </c>
      <c r="X209">
        <v>0</v>
      </c>
      <c r="Y209" t="s">
        <v>952</v>
      </c>
      <c r="Z209">
        <v>0</v>
      </c>
      <c r="AA209" t="s">
        <v>952</v>
      </c>
      <c r="AB209" t="s">
        <v>952</v>
      </c>
      <c r="AC209" t="s">
        <v>952</v>
      </c>
      <c r="AD209" t="s">
        <v>952</v>
      </c>
      <c r="AE209">
        <v>0</v>
      </c>
      <c r="AF209" t="s">
        <v>952</v>
      </c>
      <c r="AG209" t="s">
        <v>613</v>
      </c>
      <c r="AH209" t="s">
        <v>952</v>
      </c>
      <c r="AI209"/>
      <c r="AJ209"/>
    </row>
    <row r="210" spans="1:36" ht="15.75" customHeight="1" x14ac:dyDescent="0.25">
      <c r="A210" t="s">
        <v>515</v>
      </c>
      <c r="B210" t="s">
        <v>735</v>
      </c>
      <c r="C210" t="s">
        <v>951</v>
      </c>
      <c r="D210" t="s">
        <v>257</v>
      </c>
      <c r="E210" t="s">
        <v>952</v>
      </c>
      <c r="F210" t="s">
        <v>518</v>
      </c>
      <c r="G210" t="s">
        <v>280</v>
      </c>
      <c r="H210" t="s">
        <v>1099</v>
      </c>
      <c r="I210" t="s">
        <v>41</v>
      </c>
      <c r="J210" t="s">
        <v>952</v>
      </c>
      <c r="K210">
        <v>1</v>
      </c>
      <c r="L210">
        <v>15</v>
      </c>
      <c r="M210" t="s">
        <v>33</v>
      </c>
      <c r="N210">
        <v>1</v>
      </c>
      <c r="O210">
        <v>15</v>
      </c>
      <c r="P210">
        <v>1</v>
      </c>
      <c r="Q210" t="s">
        <v>48</v>
      </c>
      <c r="R210">
        <v>15</v>
      </c>
      <c r="S210">
        <v>0</v>
      </c>
      <c r="T210" t="s">
        <v>952</v>
      </c>
      <c r="U210" t="s">
        <v>952</v>
      </c>
      <c r="V210" t="s">
        <v>952</v>
      </c>
      <c r="W210" t="s">
        <v>952</v>
      </c>
      <c r="X210">
        <v>0</v>
      </c>
      <c r="Y210" t="s">
        <v>952</v>
      </c>
      <c r="Z210">
        <v>0</v>
      </c>
      <c r="AA210" t="s">
        <v>952</v>
      </c>
      <c r="AB210" t="s">
        <v>952</v>
      </c>
      <c r="AC210" t="s">
        <v>952</v>
      </c>
      <c r="AD210" t="s">
        <v>952</v>
      </c>
      <c r="AE210">
        <v>0</v>
      </c>
      <c r="AF210" t="s">
        <v>952</v>
      </c>
      <c r="AG210" t="s">
        <v>613</v>
      </c>
      <c r="AH210" t="s">
        <v>952</v>
      </c>
      <c r="AI210"/>
      <c r="AJ210"/>
    </row>
    <row r="211" spans="1:36" ht="19.5" customHeight="1" x14ac:dyDescent="0.25">
      <c r="A211" t="s">
        <v>493</v>
      </c>
      <c r="B211" t="s">
        <v>734</v>
      </c>
      <c r="C211" t="s">
        <v>951</v>
      </c>
      <c r="D211" t="s">
        <v>257</v>
      </c>
      <c r="E211" t="s">
        <v>952</v>
      </c>
      <c r="F211" t="s">
        <v>519</v>
      </c>
      <c r="G211" t="s">
        <v>280</v>
      </c>
      <c r="H211" t="s">
        <v>1100</v>
      </c>
      <c r="I211" t="s">
        <v>41</v>
      </c>
      <c r="J211" t="s">
        <v>952</v>
      </c>
      <c r="K211">
        <v>1</v>
      </c>
      <c r="L211">
        <v>15</v>
      </c>
      <c r="M211" t="s">
        <v>33</v>
      </c>
      <c r="N211">
        <v>1</v>
      </c>
      <c r="O211">
        <v>15</v>
      </c>
      <c r="P211">
        <v>1</v>
      </c>
      <c r="Q211" t="s">
        <v>48</v>
      </c>
      <c r="R211">
        <v>15</v>
      </c>
      <c r="S211">
        <v>0</v>
      </c>
      <c r="T211" t="s">
        <v>952</v>
      </c>
      <c r="U211" t="s">
        <v>952</v>
      </c>
      <c r="V211" t="s">
        <v>952</v>
      </c>
      <c r="W211" t="s">
        <v>952</v>
      </c>
      <c r="X211">
        <v>0</v>
      </c>
      <c r="Y211" t="s">
        <v>952</v>
      </c>
      <c r="Z211">
        <v>0</v>
      </c>
      <c r="AA211" t="s">
        <v>952</v>
      </c>
      <c r="AB211" t="s">
        <v>952</v>
      </c>
      <c r="AC211" t="s">
        <v>952</v>
      </c>
      <c r="AD211" t="s">
        <v>952</v>
      </c>
      <c r="AE211">
        <v>0</v>
      </c>
      <c r="AF211" t="s">
        <v>952</v>
      </c>
      <c r="AG211" t="s">
        <v>613</v>
      </c>
      <c r="AH211" t="s">
        <v>952</v>
      </c>
      <c r="AI211"/>
      <c r="AJ211"/>
    </row>
    <row r="212" spans="1:36" x14ac:dyDescent="0.25">
      <c r="A212" t="s">
        <v>520</v>
      </c>
      <c r="B212" t="s">
        <v>694</v>
      </c>
      <c r="C212" t="s">
        <v>951</v>
      </c>
      <c r="D212" t="s">
        <v>257</v>
      </c>
      <c r="E212" t="s">
        <v>952</v>
      </c>
      <c r="F212" t="s">
        <v>521</v>
      </c>
      <c r="G212" t="s">
        <v>280</v>
      </c>
      <c r="H212" t="s">
        <v>1101</v>
      </c>
      <c r="I212" t="s">
        <v>41</v>
      </c>
      <c r="J212" t="s">
        <v>952</v>
      </c>
      <c r="K212">
        <v>1</v>
      </c>
      <c r="L212">
        <v>63</v>
      </c>
      <c r="M212" t="s">
        <v>33</v>
      </c>
      <c r="N212">
        <v>1</v>
      </c>
      <c r="O212">
        <v>63</v>
      </c>
      <c r="P212">
        <v>1</v>
      </c>
      <c r="Q212" t="s">
        <v>48</v>
      </c>
      <c r="R212">
        <v>63</v>
      </c>
      <c r="S212">
        <v>0</v>
      </c>
      <c r="T212" t="s">
        <v>952</v>
      </c>
      <c r="U212" t="s">
        <v>952</v>
      </c>
      <c r="V212" t="s">
        <v>952</v>
      </c>
      <c r="W212" t="s">
        <v>952</v>
      </c>
      <c r="X212">
        <v>0</v>
      </c>
      <c r="Y212" t="s">
        <v>952</v>
      </c>
      <c r="Z212">
        <v>0</v>
      </c>
      <c r="AA212" t="s">
        <v>952</v>
      </c>
      <c r="AB212" t="s">
        <v>952</v>
      </c>
      <c r="AC212" t="s">
        <v>952</v>
      </c>
      <c r="AD212" t="s">
        <v>952</v>
      </c>
      <c r="AE212">
        <v>0</v>
      </c>
      <c r="AF212" t="s">
        <v>952</v>
      </c>
      <c r="AG212" t="s">
        <v>643</v>
      </c>
      <c r="AH212" t="s">
        <v>952</v>
      </c>
      <c r="AI212"/>
      <c r="AJ212"/>
    </row>
    <row r="213" spans="1:36" x14ac:dyDescent="0.25">
      <c r="A213" t="s">
        <v>486</v>
      </c>
      <c r="B213" t="s">
        <v>487</v>
      </c>
      <c r="C213" t="s">
        <v>951</v>
      </c>
      <c r="D213" t="s">
        <v>257</v>
      </c>
      <c r="E213" t="s">
        <v>952</v>
      </c>
      <c r="F213" t="s">
        <v>522</v>
      </c>
      <c r="G213" t="s">
        <v>952</v>
      </c>
      <c r="H213" t="s">
        <v>523</v>
      </c>
      <c r="I213" t="s">
        <v>41</v>
      </c>
      <c r="J213" t="s">
        <v>952</v>
      </c>
      <c r="K213">
        <v>1</v>
      </c>
      <c r="L213">
        <v>1</v>
      </c>
      <c r="M213" t="s">
        <v>33</v>
      </c>
      <c r="N213">
        <v>1</v>
      </c>
      <c r="O213">
        <v>1</v>
      </c>
      <c r="P213">
        <v>1</v>
      </c>
      <c r="Q213" t="s">
        <v>48</v>
      </c>
      <c r="R213">
        <v>1</v>
      </c>
      <c r="S213">
        <v>0</v>
      </c>
      <c r="T213" t="s">
        <v>952</v>
      </c>
      <c r="U213" t="s">
        <v>952</v>
      </c>
      <c r="V213" t="s">
        <v>952</v>
      </c>
      <c r="W213" t="s">
        <v>952</v>
      </c>
      <c r="X213">
        <v>0</v>
      </c>
      <c r="Y213" t="s">
        <v>952</v>
      </c>
      <c r="Z213">
        <v>0</v>
      </c>
      <c r="AA213" t="s">
        <v>952</v>
      </c>
      <c r="AB213" t="s">
        <v>952</v>
      </c>
      <c r="AC213" t="s">
        <v>952</v>
      </c>
      <c r="AD213" t="s">
        <v>952</v>
      </c>
      <c r="AE213">
        <v>0</v>
      </c>
      <c r="AF213" t="s">
        <v>952</v>
      </c>
      <c r="AG213" t="s">
        <v>952</v>
      </c>
      <c r="AH213" t="s">
        <v>952</v>
      </c>
      <c r="AI213"/>
      <c r="AJ213"/>
    </row>
    <row r="214" spans="1:36" x14ac:dyDescent="0.25">
      <c r="A214" t="s">
        <v>493</v>
      </c>
      <c r="B214" t="s">
        <v>734</v>
      </c>
      <c r="C214" t="s">
        <v>951</v>
      </c>
      <c r="D214" t="s">
        <v>257</v>
      </c>
      <c r="E214" t="s">
        <v>952</v>
      </c>
      <c r="F214" t="s">
        <v>524</v>
      </c>
      <c r="G214" t="s">
        <v>280</v>
      </c>
      <c r="H214" t="s">
        <v>1102</v>
      </c>
      <c r="I214" t="s">
        <v>35</v>
      </c>
      <c r="J214" t="s">
        <v>952</v>
      </c>
      <c r="K214">
        <v>1</v>
      </c>
      <c r="L214">
        <v>12</v>
      </c>
      <c r="M214" t="s">
        <v>33</v>
      </c>
      <c r="N214">
        <v>1</v>
      </c>
      <c r="O214">
        <v>12</v>
      </c>
      <c r="P214">
        <v>1</v>
      </c>
      <c r="Q214" t="s">
        <v>48</v>
      </c>
      <c r="R214">
        <v>169</v>
      </c>
      <c r="S214">
        <v>0</v>
      </c>
      <c r="T214" t="s">
        <v>952</v>
      </c>
      <c r="U214" t="s">
        <v>952</v>
      </c>
      <c r="V214" t="s">
        <v>952</v>
      </c>
      <c r="W214" t="s">
        <v>952</v>
      </c>
      <c r="X214">
        <v>0</v>
      </c>
      <c r="Y214" t="s">
        <v>952</v>
      </c>
      <c r="Z214">
        <v>0</v>
      </c>
      <c r="AA214" t="s">
        <v>952</v>
      </c>
      <c r="AB214" t="s">
        <v>952</v>
      </c>
      <c r="AC214" t="s">
        <v>952</v>
      </c>
      <c r="AD214" t="s">
        <v>952</v>
      </c>
      <c r="AE214">
        <v>0</v>
      </c>
      <c r="AF214" t="s">
        <v>952</v>
      </c>
      <c r="AG214" t="s">
        <v>613</v>
      </c>
      <c r="AH214" t="s">
        <v>952</v>
      </c>
      <c r="AI214"/>
      <c r="AJ214"/>
    </row>
    <row r="215" spans="1:36" x14ac:dyDescent="0.25">
      <c r="A215" t="s">
        <v>493</v>
      </c>
      <c r="B215" t="s">
        <v>734</v>
      </c>
      <c r="C215" t="s">
        <v>951</v>
      </c>
      <c r="D215" t="s">
        <v>257</v>
      </c>
      <c r="E215" t="s">
        <v>952</v>
      </c>
      <c r="F215" t="s">
        <v>525</v>
      </c>
      <c r="G215" t="s">
        <v>280</v>
      </c>
      <c r="H215" t="s">
        <v>1103</v>
      </c>
      <c r="I215" t="s">
        <v>41</v>
      </c>
      <c r="J215" t="s">
        <v>952</v>
      </c>
      <c r="K215">
        <v>1</v>
      </c>
      <c r="L215">
        <v>130</v>
      </c>
      <c r="M215" t="s">
        <v>33</v>
      </c>
      <c r="N215">
        <v>1</v>
      </c>
      <c r="O215">
        <v>130</v>
      </c>
      <c r="P215">
        <v>1</v>
      </c>
      <c r="Q215" t="s">
        <v>48</v>
      </c>
      <c r="R215">
        <v>130</v>
      </c>
      <c r="S215">
        <v>0</v>
      </c>
      <c r="T215" t="s">
        <v>952</v>
      </c>
      <c r="U215" t="s">
        <v>952</v>
      </c>
      <c r="V215" t="s">
        <v>952</v>
      </c>
      <c r="W215" t="s">
        <v>952</v>
      </c>
      <c r="X215">
        <v>0</v>
      </c>
      <c r="Y215" t="s">
        <v>952</v>
      </c>
      <c r="Z215">
        <v>0</v>
      </c>
      <c r="AA215" t="s">
        <v>952</v>
      </c>
      <c r="AB215" t="s">
        <v>952</v>
      </c>
      <c r="AC215" t="s">
        <v>952</v>
      </c>
      <c r="AD215" t="s">
        <v>952</v>
      </c>
      <c r="AE215">
        <v>0</v>
      </c>
      <c r="AF215" t="s">
        <v>952</v>
      </c>
      <c r="AG215" t="s">
        <v>613</v>
      </c>
      <c r="AH215" t="s">
        <v>952</v>
      </c>
      <c r="AI215"/>
      <c r="AJ215"/>
    </row>
    <row r="216" spans="1:36" x14ac:dyDescent="0.25">
      <c r="A216" t="s">
        <v>493</v>
      </c>
      <c r="B216" t="s">
        <v>734</v>
      </c>
      <c r="C216" t="s">
        <v>951</v>
      </c>
      <c r="D216" t="s">
        <v>257</v>
      </c>
      <c r="E216" t="s">
        <v>952</v>
      </c>
      <c r="F216" t="s">
        <v>526</v>
      </c>
      <c r="G216" t="s">
        <v>280</v>
      </c>
      <c r="H216" t="s">
        <v>1104</v>
      </c>
      <c r="I216" t="s">
        <v>41</v>
      </c>
      <c r="J216" t="s">
        <v>952</v>
      </c>
      <c r="K216">
        <v>1</v>
      </c>
      <c r="L216">
        <v>12</v>
      </c>
      <c r="M216" t="s">
        <v>33</v>
      </c>
      <c r="N216">
        <v>1</v>
      </c>
      <c r="O216">
        <v>12</v>
      </c>
      <c r="P216">
        <v>1</v>
      </c>
      <c r="Q216" t="s">
        <v>48</v>
      </c>
      <c r="R216">
        <v>12</v>
      </c>
      <c r="S216">
        <v>0</v>
      </c>
      <c r="T216" t="s">
        <v>952</v>
      </c>
      <c r="U216" t="s">
        <v>952</v>
      </c>
      <c r="V216" t="s">
        <v>952</v>
      </c>
      <c r="W216" t="s">
        <v>952</v>
      </c>
      <c r="X216">
        <v>0</v>
      </c>
      <c r="Y216" t="s">
        <v>952</v>
      </c>
      <c r="Z216">
        <v>0</v>
      </c>
      <c r="AA216" t="s">
        <v>952</v>
      </c>
      <c r="AB216" t="s">
        <v>952</v>
      </c>
      <c r="AC216" t="s">
        <v>952</v>
      </c>
      <c r="AD216" t="s">
        <v>952</v>
      </c>
      <c r="AE216">
        <v>0</v>
      </c>
      <c r="AF216" t="s">
        <v>952</v>
      </c>
      <c r="AG216" t="s">
        <v>613</v>
      </c>
      <c r="AH216" t="s">
        <v>952</v>
      </c>
      <c r="AI216"/>
      <c r="AJ216"/>
    </row>
    <row r="217" spans="1:36" x14ac:dyDescent="0.25">
      <c r="A217" t="s">
        <v>493</v>
      </c>
      <c r="B217" t="s">
        <v>734</v>
      </c>
      <c r="C217" t="s">
        <v>951</v>
      </c>
      <c r="D217" t="s">
        <v>257</v>
      </c>
      <c r="E217" t="s">
        <v>952</v>
      </c>
      <c r="F217" t="s">
        <v>527</v>
      </c>
      <c r="G217" t="s">
        <v>280</v>
      </c>
      <c r="H217" t="s">
        <v>1105</v>
      </c>
      <c r="I217" t="s">
        <v>41</v>
      </c>
      <c r="J217" t="s">
        <v>952</v>
      </c>
      <c r="K217">
        <v>1</v>
      </c>
      <c r="L217">
        <v>12</v>
      </c>
      <c r="M217" t="s">
        <v>33</v>
      </c>
      <c r="N217">
        <v>1</v>
      </c>
      <c r="O217">
        <v>12</v>
      </c>
      <c r="P217">
        <v>1</v>
      </c>
      <c r="Q217" t="s">
        <v>48</v>
      </c>
      <c r="R217">
        <v>12</v>
      </c>
      <c r="S217">
        <v>0</v>
      </c>
      <c r="T217" t="s">
        <v>952</v>
      </c>
      <c r="U217" t="s">
        <v>952</v>
      </c>
      <c r="V217" t="s">
        <v>952</v>
      </c>
      <c r="W217" t="s">
        <v>952</v>
      </c>
      <c r="X217">
        <v>0</v>
      </c>
      <c r="Y217" t="s">
        <v>952</v>
      </c>
      <c r="Z217">
        <v>0</v>
      </c>
      <c r="AA217" t="s">
        <v>952</v>
      </c>
      <c r="AB217" t="s">
        <v>952</v>
      </c>
      <c r="AC217" t="s">
        <v>952</v>
      </c>
      <c r="AD217" t="s">
        <v>952</v>
      </c>
      <c r="AE217">
        <v>0</v>
      </c>
      <c r="AF217" t="s">
        <v>952</v>
      </c>
      <c r="AG217" t="s">
        <v>613</v>
      </c>
      <c r="AH217" t="s">
        <v>952</v>
      </c>
      <c r="AI217"/>
      <c r="AJ217"/>
    </row>
    <row r="218" spans="1:36" x14ac:dyDescent="0.25">
      <c r="A218" t="s">
        <v>493</v>
      </c>
      <c r="B218" t="s">
        <v>734</v>
      </c>
      <c r="C218" t="s">
        <v>951</v>
      </c>
      <c r="D218" t="s">
        <v>257</v>
      </c>
      <c r="E218" t="s">
        <v>952</v>
      </c>
      <c r="F218" t="s">
        <v>528</v>
      </c>
      <c r="G218" t="s">
        <v>280</v>
      </c>
      <c r="H218" t="s">
        <v>1106</v>
      </c>
      <c r="I218" t="s">
        <v>41</v>
      </c>
      <c r="J218" t="s">
        <v>952</v>
      </c>
      <c r="K218">
        <v>1</v>
      </c>
      <c r="L218">
        <v>34</v>
      </c>
      <c r="M218" t="s">
        <v>33</v>
      </c>
      <c r="N218">
        <v>1</v>
      </c>
      <c r="O218">
        <v>34</v>
      </c>
      <c r="P218">
        <v>1</v>
      </c>
      <c r="Q218" t="s">
        <v>48</v>
      </c>
      <c r="R218">
        <v>34</v>
      </c>
      <c r="S218">
        <v>0</v>
      </c>
      <c r="T218" t="s">
        <v>952</v>
      </c>
      <c r="U218" t="s">
        <v>952</v>
      </c>
      <c r="V218" t="s">
        <v>952</v>
      </c>
      <c r="W218" t="s">
        <v>952</v>
      </c>
      <c r="X218">
        <v>0</v>
      </c>
      <c r="Y218" t="s">
        <v>952</v>
      </c>
      <c r="Z218">
        <v>0</v>
      </c>
      <c r="AA218" t="s">
        <v>952</v>
      </c>
      <c r="AB218" t="s">
        <v>952</v>
      </c>
      <c r="AC218" t="s">
        <v>952</v>
      </c>
      <c r="AD218" t="s">
        <v>952</v>
      </c>
      <c r="AE218">
        <v>0</v>
      </c>
      <c r="AF218" t="s">
        <v>952</v>
      </c>
      <c r="AG218" t="s">
        <v>613</v>
      </c>
      <c r="AH218" t="s">
        <v>952</v>
      </c>
      <c r="AI218"/>
      <c r="AJ218"/>
    </row>
    <row r="219" spans="1:36" x14ac:dyDescent="0.25">
      <c r="A219" t="s">
        <v>529</v>
      </c>
      <c r="B219" t="s">
        <v>750</v>
      </c>
      <c r="C219" t="s">
        <v>951</v>
      </c>
      <c r="D219" t="s">
        <v>257</v>
      </c>
      <c r="E219" t="s">
        <v>952</v>
      </c>
      <c r="F219" t="s">
        <v>530</v>
      </c>
      <c r="G219" t="s">
        <v>280</v>
      </c>
      <c r="H219" t="s">
        <v>1107</v>
      </c>
      <c r="I219" t="s">
        <v>41</v>
      </c>
      <c r="J219" t="s">
        <v>952</v>
      </c>
      <c r="K219">
        <v>1</v>
      </c>
      <c r="L219">
        <v>3</v>
      </c>
      <c r="M219" t="s">
        <v>33</v>
      </c>
      <c r="N219">
        <v>1</v>
      </c>
      <c r="O219">
        <v>3</v>
      </c>
      <c r="P219">
        <v>1</v>
      </c>
      <c r="Q219" t="s">
        <v>48</v>
      </c>
      <c r="R219">
        <v>3</v>
      </c>
      <c r="S219">
        <v>0</v>
      </c>
      <c r="T219" t="s">
        <v>952</v>
      </c>
      <c r="U219" t="s">
        <v>952</v>
      </c>
      <c r="V219" t="s">
        <v>952</v>
      </c>
      <c r="W219" t="s">
        <v>952</v>
      </c>
      <c r="X219">
        <v>0</v>
      </c>
      <c r="Y219" t="s">
        <v>952</v>
      </c>
      <c r="Z219">
        <v>0</v>
      </c>
      <c r="AA219" t="s">
        <v>952</v>
      </c>
      <c r="AB219" t="s">
        <v>952</v>
      </c>
      <c r="AC219" t="s">
        <v>952</v>
      </c>
      <c r="AD219" t="s">
        <v>952</v>
      </c>
      <c r="AE219">
        <v>0</v>
      </c>
      <c r="AF219" t="s">
        <v>952</v>
      </c>
      <c r="AG219" t="s">
        <v>613</v>
      </c>
      <c r="AH219" t="s">
        <v>952</v>
      </c>
      <c r="AI219"/>
      <c r="AJ219"/>
    </row>
    <row r="220" spans="1:36" x14ac:dyDescent="0.25">
      <c r="A220" t="s">
        <v>736</v>
      </c>
      <c r="B220" t="s">
        <v>737</v>
      </c>
      <c r="C220" t="s">
        <v>951</v>
      </c>
      <c r="D220" t="s">
        <v>257</v>
      </c>
      <c r="E220" t="s">
        <v>952</v>
      </c>
      <c r="F220" t="s">
        <v>496</v>
      </c>
      <c r="G220" t="s">
        <v>280</v>
      </c>
      <c r="H220" t="s">
        <v>497</v>
      </c>
      <c r="I220" t="s">
        <v>41</v>
      </c>
      <c r="J220" t="s">
        <v>952</v>
      </c>
      <c r="K220">
        <v>1</v>
      </c>
      <c r="L220">
        <v>1</v>
      </c>
      <c r="M220" t="s">
        <v>33</v>
      </c>
      <c r="N220">
        <v>1</v>
      </c>
      <c r="O220">
        <v>1</v>
      </c>
      <c r="P220">
        <v>1</v>
      </c>
      <c r="Q220" t="s">
        <v>48</v>
      </c>
      <c r="R220">
        <v>1</v>
      </c>
      <c r="S220">
        <v>0</v>
      </c>
      <c r="T220" t="s">
        <v>952</v>
      </c>
      <c r="U220" t="s">
        <v>952</v>
      </c>
      <c r="V220" t="s">
        <v>952</v>
      </c>
      <c r="W220" t="s">
        <v>952</v>
      </c>
      <c r="X220">
        <v>0</v>
      </c>
      <c r="Y220" t="s">
        <v>952</v>
      </c>
      <c r="Z220">
        <v>0</v>
      </c>
      <c r="AA220" t="s">
        <v>952</v>
      </c>
      <c r="AB220" t="s">
        <v>952</v>
      </c>
      <c r="AC220" t="s">
        <v>952</v>
      </c>
      <c r="AD220" t="s">
        <v>952</v>
      </c>
      <c r="AE220">
        <v>0</v>
      </c>
      <c r="AF220" t="s">
        <v>952</v>
      </c>
      <c r="AG220" t="s">
        <v>952</v>
      </c>
      <c r="AH220" t="s">
        <v>952</v>
      </c>
      <c r="AI220"/>
      <c r="AJ220"/>
    </row>
    <row r="221" spans="1:36" x14ac:dyDescent="0.25">
      <c r="A221" t="s">
        <v>329</v>
      </c>
      <c r="B221" t="s">
        <v>640</v>
      </c>
      <c r="C221" t="s">
        <v>951</v>
      </c>
      <c r="D221" t="s">
        <v>257</v>
      </c>
      <c r="E221" t="s">
        <v>952</v>
      </c>
      <c r="F221" t="s">
        <v>496</v>
      </c>
      <c r="G221" t="s">
        <v>280</v>
      </c>
      <c r="H221" t="s">
        <v>1080</v>
      </c>
      <c r="I221" t="s">
        <v>41</v>
      </c>
      <c r="J221" t="s">
        <v>952</v>
      </c>
      <c r="K221">
        <v>1</v>
      </c>
      <c r="L221">
        <v>1</v>
      </c>
      <c r="M221" t="s">
        <v>33</v>
      </c>
      <c r="N221">
        <v>1</v>
      </c>
      <c r="O221">
        <v>1</v>
      </c>
      <c r="P221">
        <v>1</v>
      </c>
      <c r="Q221" t="s">
        <v>48</v>
      </c>
      <c r="R221">
        <v>1</v>
      </c>
      <c r="S221">
        <v>0</v>
      </c>
      <c r="T221" t="s">
        <v>952</v>
      </c>
      <c r="U221" t="s">
        <v>952</v>
      </c>
      <c r="V221" t="s">
        <v>952</v>
      </c>
      <c r="W221" t="s">
        <v>952</v>
      </c>
      <c r="X221">
        <v>0</v>
      </c>
      <c r="Y221" t="s">
        <v>952</v>
      </c>
      <c r="Z221">
        <v>0</v>
      </c>
      <c r="AA221" t="s">
        <v>952</v>
      </c>
      <c r="AB221" t="s">
        <v>952</v>
      </c>
      <c r="AC221" t="s">
        <v>952</v>
      </c>
      <c r="AD221" t="s">
        <v>952</v>
      </c>
      <c r="AE221">
        <v>0</v>
      </c>
      <c r="AF221" t="s">
        <v>952</v>
      </c>
      <c r="AG221" t="s">
        <v>952</v>
      </c>
      <c r="AH221" t="s">
        <v>952</v>
      </c>
      <c r="AI221"/>
      <c r="AJ221"/>
    </row>
    <row r="222" spans="1:36" x14ac:dyDescent="0.25">
      <c r="A222" t="s">
        <v>327</v>
      </c>
      <c r="B222" t="s">
        <v>639</v>
      </c>
      <c r="C222" t="s">
        <v>951</v>
      </c>
      <c r="D222" t="s">
        <v>257</v>
      </c>
      <c r="E222" t="s">
        <v>952</v>
      </c>
      <c r="F222" t="s">
        <v>496</v>
      </c>
      <c r="G222" t="s">
        <v>280</v>
      </c>
      <c r="H222" t="s">
        <v>1080</v>
      </c>
      <c r="I222" t="s">
        <v>41</v>
      </c>
      <c r="J222" t="s">
        <v>952</v>
      </c>
      <c r="K222">
        <v>1</v>
      </c>
      <c r="L222">
        <v>1</v>
      </c>
      <c r="M222" t="s">
        <v>33</v>
      </c>
      <c r="N222">
        <v>1</v>
      </c>
      <c r="O222">
        <v>1</v>
      </c>
      <c r="P222">
        <v>1</v>
      </c>
      <c r="Q222" t="s">
        <v>48</v>
      </c>
      <c r="R222">
        <v>1</v>
      </c>
      <c r="S222">
        <v>0</v>
      </c>
      <c r="T222" t="s">
        <v>952</v>
      </c>
      <c r="U222" t="s">
        <v>952</v>
      </c>
      <c r="V222" t="s">
        <v>952</v>
      </c>
      <c r="W222" t="s">
        <v>952</v>
      </c>
      <c r="X222">
        <v>0</v>
      </c>
      <c r="Y222" t="s">
        <v>952</v>
      </c>
      <c r="Z222">
        <v>0</v>
      </c>
      <c r="AA222" t="s">
        <v>952</v>
      </c>
      <c r="AB222" t="s">
        <v>952</v>
      </c>
      <c r="AC222" t="s">
        <v>952</v>
      </c>
      <c r="AD222" t="s">
        <v>952</v>
      </c>
      <c r="AE222">
        <v>0</v>
      </c>
      <c r="AF222" t="s">
        <v>952</v>
      </c>
      <c r="AG222" t="s">
        <v>952</v>
      </c>
      <c r="AH222" t="s">
        <v>952</v>
      </c>
      <c r="AI222"/>
      <c r="AJ222"/>
    </row>
    <row r="223" spans="1:36" x14ac:dyDescent="0.25">
      <c r="A223" t="s">
        <v>493</v>
      </c>
      <c r="B223" t="s">
        <v>734</v>
      </c>
      <c r="C223" t="s">
        <v>951</v>
      </c>
      <c r="D223" t="s">
        <v>257</v>
      </c>
      <c r="E223" t="s">
        <v>952</v>
      </c>
      <c r="F223" t="s">
        <v>531</v>
      </c>
      <c r="G223" t="s">
        <v>280</v>
      </c>
      <c r="H223" t="s">
        <v>1108</v>
      </c>
      <c r="I223" t="s">
        <v>41</v>
      </c>
      <c r="J223" t="s">
        <v>952</v>
      </c>
      <c r="K223">
        <v>1</v>
      </c>
      <c r="L223">
        <v>12</v>
      </c>
      <c r="M223" t="s">
        <v>33</v>
      </c>
      <c r="N223">
        <v>1</v>
      </c>
      <c r="O223">
        <v>12</v>
      </c>
      <c r="P223">
        <v>1</v>
      </c>
      <c r="Q223" t="s">
        <v>48</v>
      </c>
      <c r="R223">
        <v>12</v>
      </c>
      <c r="S223">
        <v>0</v>
      </c>
      <c r="T223" t="s">
        <v>952</v>
      </c>
      <c r="U223" t="s">
        <v>952</v>
      </c>
      <c r="V223" t="s">
        <v>952</v>
      </c>
      <c r="W223" t="s">
        <v>952</v>
      </c>
      <c r="X223">
        <v>0</v>
      </c>
      <c r="Y223" t="s">
        <v>952</v>
      </c>
      <c r="Z223">
        <v>0</v>
      </c>
      <c r="AA223" t="s">
        <v>952</v>
      </c>
      <c r="AB223" t="s">
        <v>952</v>
      </c>
      <c r="AC223" t="s">
        <v>952</v>
      </c>
      <c r="AD223" t="s">
        <v>952</v>
      </c>
      <c r="AE223">
        <v>0</v>
      </c>
      <c r="AF223" t="s">
        <v>952</v>
      </c>
      <c r="AG223" t="s">
        <v>613</v>
      </c>
      <c r="AH223" t="s">
        <v>952</v>
      </c>
      <c r="AI223"/>
      <c r="AJ223"/>
    </row>
    <row r="224" spans="1:36" x14ac:dyDescent="0.25">
      <c r="A224" t="s">
        <v>779</v>
      </c>
      <c r="B224" t="s">
        <v>780</v>
      </c>
      <c r="C224" t="s">
        <v>951</v>
      </c>
      <c r="D224" t="s">
        <v>257</v>
      </c>
      <c r="E224" t="s">
        <v>952</v>
      </c>
      <c r="F224" t="s">
        <v>532</v>
      </c>
      <c r="G224" t="s">
        <v>280</v>
      </c>
      <c r="H224" t="s">
        <v>1109</v>
      </c>
      <c r="I224" t="s">
        <v>41</v>
      </c>
      <c r="J224" t="s">
        <v>952</v>
      </c>
      <c r="K224">
        <v>63</v>
      </c>
      <c r="L224">
        <v>63</v>
      </c>
      <c r="M224" t="s">
        <v>33</v>
      </c>
      <c r="N224">
        <v>1</v>
      </c>
      <c r="O224">
        <v>63</v>
      </c>
      <c r="P224">
        <v>1</v>
      </c>
      <c r="Q224" t="s">
        <v>48</v>
      </c>
      <c r="R224">
        <v>63</v>
      </c>
      <c r="S224">
        <v>0</v>
      </c>
      <c r="T224" t="s">
        <v>952</v>
      </c>
      <c r="U224" t="s">
        <v>952</v>
      </c>
      <c r="V224" t="s">
        <v>952</v>
      </c>
      <c r="W224" t="s">
        <v>952</v>
      </c>
      <c r="X224">
        <v>0</v>
      </c>
      <c r="Y224" t="s">
        <v>952</v>
      </c>
      <c r="Z224">
        <v>0</v>
      </c>
      <c r="AA224" t="s">
        <v>952</v>
      </c>
      <c r="AB224" t="s">
        <v>952</v>
      </c>
      <c r="AC224" t="s">
        <v>952</v>
      </c>
      <c r="AD224" t="s">
        <v>952</v>
      </c>
      <c r="AE224">
        <v>0</v>
      </c>
      <c r="AF224" t="s">
        <v>952</v>
      </c>
      <c r="AG224" t="s">
        <v>952</v>
      </c>
      <c r="AH224" t="s">
        <v>952</v>
      </c>
      <c r="AI224"/>
      <c r="AJ224"/>
    </row>
    <row r="225" spans="1:36" x14ac:dyDescent="0.25">
      <c r="A225" t="s">
        <v>729</v>
      </c>
      <c r="B225" t="s">
        <v>730</v>
      </c>
      <c r="C225" t="s">
        <v>951</v>
      </c>
      <c r="D225" t="s">
        <v>257</v>
      </c>
      <c r="E225" t="s">
        <v>952</v>
      </c>
      <c r="F225" t="s">
        <v>532</v>
      </c>
      <c r="G225" t="s">
        <v>280</v>
      </c>
      <c r="H225" t="s">
        <v>1109</v>
      </c>
      <c r="I225" t="s">
        <v>41</v>
      </c>
      <c r="J225" t="s">
        <v>952</v>
      </c>
      <c r="K225">
        <v>63</v>
      </c>
      <c r="L225">
        <v>63</v>
      </c>
      <c r="M225" t="s">
        <v>33</v>
      </c>
      <c r="N225">
        <v>1</v>
      </c>
      <c r="O225">
        <v>63</v>
      </c>
      <c r="P225">
        <v>1</v>
      </c>
      <c r="Q225" t="s">
        <v>48</v>
      </c>
      <c r="R225">
        <v>63</v>
      </c>
      <c r="S225">
        <v>0</v>
      </c>
      <c r="T225" t="s">
        <v>952</v>
      </c>
      <c r="U225" t="s">
        <v>952</v>
      </c>
      <c r="V225" t="s">
        <v>952</v>
      </c>
      <c r="W225" t="s">
        <v>952</v>
      </c>
      <c r="X225">
        <v>0</v>
      </c>
      <c r="Y225" t="s">
        <v>952</v>
      </c>
      <c r="Z225">
        <v>0</v>
      </c>
      <c r="AA225" t="s">
        <v>952</v>
      </c>
      <c r="AB225" t="s">
        <v>952</v>
      </c>
      <c r="AC225" t="s">
        <v>952</v>
      </c>
      <c r="AD225" t="s">
        <v>952</v>
      </c>
      <c r="AE225">
        <v>0</v>
      </c>
      <c r="AF225" t="s">
        <v>952</v>
      </c>
      <c r="AG225" t="s">
        <v>952</v>
      </c>
      <c r="AH225" t="s">
        <v>952</v>
      </c>
      <c r="AI225"/>
      <c r="AJ225"/>
    </row>
    <row r="226" spans="1:36" x14ac:dyDescent="0.25">
      <c r="A226" t="s">
        <v>533</v>
      </c>
      <c r="B226" t="s">
        <v>792</v>
      </c>
      <c r="C226" t="s">
        <v>951</v>
      </c>
      <c r="D226" t="s">
        <v>257</v>
      </c>
      <c r="E226" t="s">
        <v>952</v>
      </c>
      <c r="F226" t="s">
        <v>534</v>
      </c>
      <c r="G226" t="s">
        <v>280</v>
      </c>
      <c r="H226" t="s">
        <v>1110</v>
      </c>
      <c r="I226" t="s">
        <v>41</v>
      </c>
      <c r="J226" t="s">
        <v>952</v>
      </c>
      <c r="K226">
        <v>1</v>
      </c>
      <c r="L226">
        <v>7</v>
      </c>
      <c r="M226" t="s">
        <v>33</v>
      </c>
      <c r="N226">
        <v>1</v>
      </c>
      <c r="O226">
        <v>7</v>
      </c>
      <c r="P226">
        <v>1</v>
      </c>
      <c r="Q226" t="s">
        <v>48</v>
      </c>
      <c r="R226">
        <v>7</v>
      </c>
      <c r="S226">
        <v>0</v>
      </c>
      <c r="T226" t="s">
        <v>952</v>
      </c>
      <c r="U226" t="s">
        <v>952</v>
      </c>
      <c r="V226" t="s">
        <v>952</v>
      </c>
      <c r="W226" t="s">
        <v>952</v>
      </c>
      <c r="X226">
        <v>0</v>
      </c>
      <c r="Y226" t="s">
        <v>952</v>
      </c>
      <c r="Z226">
        <v>0</v>
      </c>
      <c r="AA226" t="s">
        <v>952</v>
      </c>
      <c r="AB226" t="s">
        <v>952</v>
      </c>
      <c r="AC226" t="s">
        <v>952</v>
      </c>
      <c r="AD226" t="s">
        <v>952</v>
      </c>
      <c r="AE226">
        <v>0</v>
      </c>
      <c r="AF226" t="s">
        <v>952</v>
      </c>
      <c r="AG226" t="s">
        <v>787</v>
      </c>
      <c r="AH226" t="s">
        <v>952</v>
      </c>
      <c r="AI226"/>
      <c r="AJ226"/>
    </row>
    <row r="227" spans="1:36" x14ac:dyDescent="0.25">
      <c r="A227" t="s">
        <v>533</v>
      </c>
      <c r="B227" t="s">
        <v>792</v>
      </c>
      <c r="C227" t="s">
        <v>951</v>
      </c>
      <c r="D227" t="s">
        <v>257</v>
      </c>
      <c r="E227" t="s">
        <v>952</v>
      </c>
      <c r="F227" t="s">
        <v>535</v>
      </c>
      <c r="G227" t="s">
        <v>280</v>
      </c>
      <c r="H227" t="s">
        <v>1111</v>
      </c>
      <c r="I227" t="s">
        <v>41</v>
      </c>
      <c r="J227" t="s">
        <v>952</v>
      </c>
      <c r="K227">
        <v>1</v>
      </c>
      <c r="L227">
        <v>7</v>
      </c>
      <c r="M227" t="s">
        <v>33</v>
      </c>
      <c r="N227">
        <v>1</v>
      </c>
      <c r="O227">
        <v>7</v>
      </c>
      <c r="P227">
        <v>1</v>
      </c>
      <c r="Q227" t="s">
        <v>48</v>
      </c>
      <c r="R227">
        <v>7</v>
      </c>
      <c r="S227">
        <v>0</v>
      </c>
      <c r="T227" t="s">
        <v>952</v>
      </c>
      <c r="U227" t="s">
        <v>952</v>
      </c>
      <c r="V227" t="s">
        <v>952</v>
      </c>
      <c r="W227" t="s">
        <v>952</v>
      </c>
      <c r="X227">
        <v>0</v>
      </c>
      <c r="Y227" t="s">
        <v>952</v>
      </c>
      <c r="Z227">
        <v>0</v>
      </c>
      <c r="AA227" t="s">
        <v>952</v>
      </c>
      <c r="AB227" t="s">
        <v>952</v>
      </c>
      <c r="AC227" t="s">
        <v>952</v>
      </c>
      <c r="AD227" t="s">
        <v>952</v>
      </c>
      <c r="AE227">
        <v>0</v>
      </c>
      <c r="AF227" t="s">
        <v>952</v>
      </c>
      <c r="AG227" t="s">
        <v>787</v>
      </c>
      <c r="AH227" t="s">
        <v>952</v>
      </c>
      <c r="AI227"/>
      <c r="AJ227"/>
    </row>
    <row r="228" spans="1:36" x14ac:dyDescent="0.25">
      <c r="A228" t="s">
        <v>533</v>
      </c>
      <c r="B228" t="s">
        <v>792</v>
      </c>
      <c r="C228" t="s">
        <v>951</v>
      </c>
      <c r="D228" t="s">
        <v>257</v>
      </c>
      <c r="E228" t="s">
        <v>952</v>
      </c>
      <c r="F228" t="s">
        <v>536</v>
      </c>
      <c r="G228" t="s">
        <v>280</v>
      </c>
      <c r="H228" t="s">
        <v>1112</v>
      </c>
      <c r="I228" t="s">
        <v>41</v>
      </c>
      <c r="J228" t="s">
        <v>952</v>
      </c>
      <c r="K228">
        <v>1</v>
      </c>
      <c r="L228">
        <v>1</v>
      </c>
      <c r="M228" t="s">
        <v>33</v>
      </c>
      <c r="N228">
        <v>1</v>
      </c>
      <c r="O228">
        <v>1</v>
      </c>
      <c r="P228">
        <v>1</v>
      </c>
      <c r="Q228" t="s">
        <v>48</v>
      </c>
      <c r="R228">
        <v>1</v>
      </c>
      <c r="S228">
        <v>0</v>
      </c>
      <c r="T228" t="s">
        <v>952</v>
      </c>
      <c r="U228" t="s">
        <v>952</v>
      </c>
      <c r="V228" t="s">
        <v>952</v>
      </c>
      <c r="W228" t="s">
        <v>952</v>
      </c>
      <c r="X228">
        <v>0</v>
      </c>
      <c r="Y228" t="s">
        <v>952</v>
      </c>
      <c r="Z228">
        <v>0</v>
      </c>
      <c r="AA228" t="s">
        <v>952</v>
      </c>
      <c r="AB228" t="s">
        <v>952</v>
      </c>
      <c r="AC228" t="s">
        <v>952</v>
      </c>
      <c r="AD228" t="s">
        <v>952</v>
      </c>
      <c r="AE228">
        <v>0</v>
      </c>
      <c r="AF228" t="s">
        <v>952</v>
      </c>
      <c r="AG228" t="s">
        <v>787</v>
      </c>
      <c r="AH228" t="s">
        <v>952</v>
      </c>
      <c r="AI228"/>
      <c r="AJ228"/>
    </row>
    <row r="229" spans="1:36" x14ac:dyDescent="0.25">
      <c r="A229" t="s">
        <v>537</v>
      </c>
      <c r="B229" t="s">
        <v>793</v>
      </c>
      <c r="C229" t="s">
        <v>951</v>
      </c>
      <c r="D229" t="s">
        <v>257</v>
      </c>
      <c r="E229" t="s">
        <v>952</v>
      </c>
      <c r="F229" t="s">
        <v>538</v>
      </c>
      <c r="G229" t="s">
        <v>280</v>
      </c>
      <c r="H229" t="s">
        <v>1113</v>
      </c>
      <c r="I229" t="s">
        <v>41</v>
      </c>
      <c r="J229" t="s">
        <v>952</v>
      </c>
      <c r="K229">
        <v>1</v>
      </c>
      <c r="L229">
        <v>1</v>
      </c>
      <c r="M229" t="s">
        <v>33</v>
      </c>
      <c r="N229">
        <v>1</v>
      </c>
      <c r="O229">
        <v>1</v>
      </c>
      <c r="P229">
        <v>1</v>
      </c>
      <c r="Q229" t="s">
        <v>48</v>
      </c>
      <c r="R229">
        <v>1</v>
      </c>
      <c r="S229">
        <v>0</v>
      </c>
      <c r="T229" t="s">
        <v>952</v>
      </c>
      <c r="U229" t="s">
        <v>952</v>
      </c>
      <c r="V229" t="s">
        <v>952</v>
      </c>
      <c r="W229" t="s">
        <v>952</v>
      </c>
      <c r="X229">
        <v>0</v>
      </c>
      <c r="Y229" t="s">
        <v>952</v>
      </c>
      <c r="Z229">
        <v>0</v>
      </c>
      <c r="AA229" t="s">
        <v>952</v>
      </c>
      <c r="AB229" t="s">
        <v>952</v>
      </c>
      <c r="AC229" t="s">
        <v>952</v>
      </c>
      <c r="AD229" t="s">
        <v>952</v>
      </c>
      <c r="AE229">
        <v>0</v>
      </c>
      <c r="AF229" t="s">
        <v>952</v>
      </c>
      <c r="AG229" t="s">
        <v>787</v>
      </c>
      <c r="AH229" t="s">
        <v>952</v>
      </c>
      <c r="AI229"/>
      <c r="AJ229"/>
    </row>
    <row r="230" spans="1:36" x14ac:dyDescent="0.25">
      <c r="A230" t="s">
        <v>539</v>
      </c>
      <c r="B230" t="s">
        <v>794</v>
      </c>
      <c r="C230" t="s">
        <v>951</v>
      </c>
      <c r="D230" t="s">
        <v>257</v>
      </c>
      <c r="E230" t="s">
        <v>952</v>
      </c>
      <c r="F230" t="s">
        <v>540</v>
      </c>
      <c r="G230" t="s">
        <v>280</v>
      </c>
      <c r="H230" t="s">
        <v>1114</v>
      </c>
      <c r="I230" t="s">
        <v>41</v>
      </c>
      <c r="J230" t="s">
        <v>952</v>
      </c>
      <c r="K230">
        <v>1</v>
      </c>
      <c r="L230">
        <v>2</v>
      </c>
      <c r="M230" t="s">
        <v>33</v>
      </c>
      <c r="N230">
        <v>1</v>
      </c>
      <c r="O230">
        <v>2</v>
      </c>
      <c r="P230">
        <v>1</v>
      </c>
      <c r="Q230" t="s">
        <v>48</v>
      </c>
      <c r="R230">
        <v>2</v>
      </c>
      <c r="S230">
        <v>0</v>
      </c>
      <c r="T230" t="s">
        <v>952</v>
      </c>
      <c r="U230" t="s">
        <v>952</v>
      </c>
      <c r="V230" t="s">
        <v>952</v>
      </c>
      <c r="W230" t="s">
        <v>952</v>
      </c>
      <c r="X230">
        <v>0</v>
      </c>
      <c r="Y230" t="s">
        <v>952</v>
      </c>
      <c r="Z230">
        <v>0</v>
      </c>
      <c r="AA230" t="s">
        <v>952</v>
      </c>
      <c r="AB230" t="s">
        <v>952</v>
      </c>
      <c r="AC230" t="s">
        <v>952</v>
      </c>
      <c r="AD230" t="s">
        <v>952</v>
      </c>
      <c r="AE230">
        <v>0</v>
      </c>
      <c r="AF230" t="s">
        <v>952</v>
      </c>
      <c r="AG230" t="s">
        <v>787</v>
      </c>
      <c r="AH230" t="s">
        <v>952</v>
      </c>
      <c r="AI230"/>
      <c r="AJ230"/>
    </row>
    <row r="231" spans="1:36" x14ac:dyDescent="0.25">
      <c r="A231" t="s">
        <v>539</v>
      </c>
      <c r="B231" t="s">
        <v>794</v>
      </c>
      <c r="C231" t="s">
        <v>951</v>
      </c>
      <c r="D231" t="s">
        <v>257</v>
      </c>
      <c r="E231" t="s">
        <v>952</v>
      </c>
      <c r="F231" t="s">
        <v>541</v>
      </c>
      <c r="G231" t="s">
        <v>280</v>
      </c>
      <c r="H231" t="s">
        <v>542</v>
      </c>
      <c r="I231" t="s">
        <v>41</v>
      </c>
      <c r="J231" t="s">
        <v>952</v>
      </c>
      <c r="K231">
        <v>1</v>
      </c>
      <c r="L231">
        <v>1</v>
      </c>
      <c r="M231" t="s">
        <v>33</v>
      </c>
      <c r="N231">
        <v>1</v>
      </c>
      <c r="O231">
        <v>1</v>
      </c>
      <c r="P231">
        <v>1</v>
      </c>
      <c r="Q231" t="s">
        <v>48</v>
      </c>
      <c r="R231">
        <v>1</v>
      </c>
      <c r="S231">
        <v>0</v>
      </c>
      <c r="T231" t="s">
        <v>952</v>
      </c>
      <c r="U231" t="s">
        <v>952</v>
      </c>
      <c r="V231" t="s">
        <v>952</v>
      </c>
      <c r="W231" t="s">
        <v>952</v>
      </c>
      <c r="X231">
        <v>0</v>
      </c>
      <c r="Y231" t="s">
        <v>952</v>
      </c>
      <c r="Z231">
        <v>0</v>
      </c>
      <c r="AA231" t="s">
        <v>952</v>
      </c>
      <c r="AB231" t="s">
        <v>952</v>
      </c>
      <c r="AC231" t="s">
        <v>952</v>
      </c>
      <c r="AD231" t="s">
        <v>952</v>
      </c>
      <c r="AE231">
        <v>0</v>
      </c>
      <c r="AF231" t="s">
        <v>952</v>
      </c>
      <c r="AG231" t="s">
        <v>787</v>
      </c>
      <c r="AH231" t="s">
        <v>952</v>
      </c>
      <c r="AI231"/>
      <c r="AJ231"/>
    </row>
    <row r="232" spans="1:36" x14ac:dyDescent="0.25">
      <c r="A232" t="s">
        <v>543</v>
      </c>
      <c r="B232" t="s">
        <v>795</v>
      </c>
      <c r="C232" t="s">
        <v>951</v>
      </c>
      <c r="D232" t="s">
        <v>257</v>
      </c>
      <c r="E232" t="s">
        <v>952</v>
      </c>
      <c r="F232" t="s">
        <v>544</v>
      </c>
      <c r="G232" t="s">
        <v>280</v>
      </c>
      <c r="H232" t="s">
        <v>545</v>
      </c>
      <c r="I232" t="s">
        <v>41</v>
      </c>
      <c r="J232" t="s">
        <v>952</v>
      </c>
      <c r="K232">
        <v>1</v>
      </c>
      <c r="L232">
        <v>1</v>
      </c>
      <c r="M232" t="s">
        <v>33</v>
      </c>
      <c r="N232">
        <v>1</v>
      </c>
      <c r="O232">
        <v>1</v>
      </c>
      <c r="P232">
        <v>1</v>
      </c>
      <c r="Q232" t="s">
        <v>48</v>
      </c>
      <c r="R232">
        <v>1</v>
      </c>
      <c r="S232">
        <v>0</v>
      </c>
      <c r="T232" t="s">
        <v>952</v>
      </c>
      <c r="U232" t="s">
        <v>952</v>
      </c>
      <c r="V232" t="s">
        <v>952</v>
      </c>
      <c r="W232" t="s">
        <v>952</v>
      </c>
      <c r="X232">
        <v>0</v>
      </c>
      <c r="Y232" t="s">
        <v>952</v>
      </c>
      <c r="Z232">
        <v>0</v>
      </c>
      <c r="AA232" t="s">
        <v>952</v>
      </c>
      <c r="AB232" t="s">
        <v>952</v>
      </c>
      <c r="AC232" t="s">
        <v>952</v>
      </c>
      <c r="AD232" t="s">
        <v>952</v>
      </c>
      <c r="AE232">
        <v>0</v>
      </c>
      <c r="AF232" t="s">
        <v>952</v>
      </c>
      <c r="AG232" t="s">
        <v>787</v>
      </c>
      <c r="AH232" t="s">
        <v>952</v>
      </c>
      <c r="AI232"/>
      <c r="AJ232"/>
    </row>
    <row r="233" spans="1:36" x14ac:dyDescent="0.25">
      <c r="A233" t="s">
        <v>546</v>
      </c>
      <c r="B233" t="s">
        <v>775</v>
      </c>
      <c r="C233" t="s">
        <v>951</v>
      </c>
      <c r="D233" t="s">
        <v>257</v>
      </c>
      <c r="E233" t="s">
        <v>952</v>
      </c>
      <c r="F233" t="s">
        <v>547</v>
      </c>
      <c r="G233" t="s">
        <v>280</v>
      </c>
      <c r="H233" t="s">
        <v>1115</v>
      </c>
      <c r="I233" t="s">
        <v>41</v>
      </c>
      <c r="J233" t="s">
        <v>952</v>
      </c>
      <c r="K233">
        <v>1</v>
      </c>
      <c r="L233">
        <v>31</v>
      </c>
      <c r="M233" t="s">
        <v>33</v>
      </c>
      <c r="N233">
        <v>1</v>
      </c>
      <c r="O233">
        <v>31</v>
      </c>
      <c r="P233">
        <v>1</v>
      </c>
      <c r="Q233" t="s">
        <v>48</v>
      </c>
      <c r="R233">
        <v>5</v>
      </c>
      <c r="S233">
        <v>0</v>
      </c>
      <c r="T233" t="s">
        <v>952</v>
      </c>
      <c r="U233" t="s">
        <v>952</v>
      </c>
      <c r="V233" t="s">
        <v>952</v>
      </c>
      <c r="W233" t="s">
        <v>952</v>
      </c>
      <c r="X233">
        <v>0</v>
      </c>
      <c r="Y233" t="s">
        <v>952</v>
      </c>
      <c r="Z233">
        <v>0</v>
      </c>
      <c r="AA233" t="s">
        <v>952</v>
      </c>
      <c r="AB233" t="s">
        <v>952</v>
      </c>
      <c r="AC233" t="s">
        <v>952</v>
      </c>
      <c r="AD233" t="s">
        <v>952</v>
      </c>
      <c r="AE233">
        <v>0</v>
      </c>
      <c r="AF233" t="s">
        <v>952</v>
      </c>
      <c r="AG233" t="s">
        <v>776</v>
      </c>
      <c r="AH233" t="s">
        <v>952</v>
      </c>
      <c r="AI233"/>
      <c r="AJ233"/>
    </row>
    <row r="234" spans="1:36" x14ac:dyDescent="0.25">
      <c r="A234" t="s">
        <v>546</v>
      </c>
      <c r="B234" t="s">
        <v>775</v>
      </c>
      <c r="C234" t="s">
        <v>951</v>
      </c>
      <c r="D234" t="s">
        <v>257</v>
      </c>
      <c r="E234" t="s">
        <v>952</v>
      </c>
      <c r="F234" t="s">
        <v>548</v>
      </c>
      <c r="G234" t="s">
        <v>280</v>
      </c>
      <c r="H234" t="s">
        <v>1116</v>
      </c>
      <c r="I234" t="s">
        <v>41</v>
      </c>
      <c r="J234" t="s">
        <v>952</v>
      </c>
      <c r="K234">
        <v>1</v>
      </c>
      <c r="L234">
        <v>31</v>
      </c>
      <c r="M234" t="s">
        <v>33</v>
      </c>
      <c r="N234">
        <v>1</v>
      </c>
      <c r="O234">
        <v>31</v>
      </c>
      <c r="P234">
        <v>1</v>
      </c>
      <c r="Q234" t="s">
        <v>48</v>
      </c>
      <c r="R234">
        <v>5</v>
      </c>
      <c r="S234">
        <v>0</v>
      </c>
      <c r="T234" t="s">
        <v>952</v>
      </c>
      <c r="U234" t="s">
        <v>952</v>
      </c>
      <c r="V234" t="s">
        <v>952</v>
      </c>
      <c r="W234" t="s">
        <v>952</v>
      </c>
      <c r="X234">
        <v>0</v>
      </c>
      <c r="Y234" t="s">
        <v>952</v>
      </c>
      <c r="Z234">
        <v>0</v>
      </c>
      <c r="AA234" t="s">
        <v>952</v>
      </c>
      <c r="AB234" t="s">
        <v>952</v>
      </c>
      <c r="AC234" t="s">
        <v>952</v>
      </c>
      <c r="AD234" t="s">
        <v>952</v>
      </c>
      <c r="AE234">
        <v>0</v>
      </c>
      <c r="AF234" t="s">
        <v>952</v>
      </c>
      <c r="AG234" t="s">
        <v>776</v>
      </c>
      <c r="AH234" t="s">
        <v>952</v>
      </c>
      <c r="AI234"/>
      <c r="AJ234"/>
    </row>
    <row r="235" spans="1:36" x14ac:dyDescent="0.25">
      <c r="A235" t="s">
        <v>546</v>
      </c>
      <c r="B235" t="s">
        <v>775</v>
      </c>
      <c r="C235" t="s">
        <v>951</v>
      </c>
      <c r="D235" t="s">
        <v>257</v>
      </c>
      <c r="E235" t="s">
        <v>952</v>
      </c>
      <c r="F235" t="s">
        <v>549</v>
      </c>
      <c r="G235" t="s">
        <v>280</v>
      </c>
      <c r="H235" t="s">
        <v>1117</v>
      </c>
      <c r="I235" t="s">
        <v>35</v>
      </c>
      <c r="J235" t="s">
        <v>952</v>
      </c>
      <c r="K235">
        <v>1</v>
      </c>
      <c r="L235">
        <v>100</v>
      </c>
      <c r="M235" t="s">
        <v>33</v>
      </c>
      <c r="N235">
        <v>1</v>
      </c>
      <c r="O235">
        <v>100</v>
      </c>
      <c r="P235">
        <v>1</v>
      </c>
      <c r="Q235" t="s">
        <v>48</v>
      </c>
      <c r="R235">
        <v>6</v>
      </c>
      <c r="S235">
        <v>0</v>
      </c>
      <c r="T235" t="s">
        <v>952</v>
      </c>
      <c r="U235" t="s">
        <v>952</v>
      </c>
      <c r="V235" t="s">
        <v>952</v>
      </c>
      <c r="W235" t="s">
        <v>952</v>
      </c>
      <c r="X235">
        <v>0</v>
      </c>
      <c r="Y235" t="s">
        <v>952</v>
      </c>
      <c r="Z235">
        <v>0</v>
      </c>
      <c r="AA235" t="s">
        <v>952</v>
      </c>
      <c r="AB235" t="s">
        <v>952</v>
      </c>
      <c r="AC235" t="s">
        <v>952</v>
      </c>
      <c r="AD235" t="s">
        <v>952</v>
      </c>
      <c r="AE235">
        <v>0</v>
      </c>
      <c r="AF235" t="s">
        <v>952</v>
      </c>
      <c r="AG235" t="s">
        <v>776</v>
      </c>
      <c r="AH235" t="s">
        <v>952</v>
      </c>
      <c r="AI235"/>
      <c r="AJ235"/>
    </row>
    <row r="236" spans="1:36" x14ac:dyDescent="0.25">
      <c r="A236" t="s">
        <v>546</v>
      </c>
      <c r="B236" t="s">
        <v>775</v>
      </c>
      <c r="C236" t="s">
        <v>951</v>
      </c>
      <c r="D236" t="s">
        <v>257</v>
      </c>
      <c r="E236" t="s">
        <v>952</v>
      </c>
      <c r="F236" t="s">
        <v>551</v>
      </c>
      <c r="G236" t="s">
        <v>280</v>
      </c>
      <c r="H236" t="s">
        <v>1118</v>
      </c>
      <c r="I236" t="s">
        <v>41</v>
      </c>
      <c r="J236" t="s">
        <v>952</v>
      </c>
      <c r="K236">
        <v>1</v>
      </c>
      <c r="L236">
        <v>31</v>
      </c>
      <c r="M236" t="s">
        <v>33</v>
      </c>
      <c r="N236">
        <v>1</v>
      </c>
      <c r="O236">
        <v>31</v>
      </c>
      <c r="P236">
        <v>1</v>
      </c>
      <c r="Q236" t="s">
        <v>48</v>
      </c>
      <c r="R236">
        <v>3</v>
      </c>
      <c r="S236">
        <v>0</v>
      </c>
      <c r="T236" t="s">
        <v>952</v>
      </c>
      <c r="U236" t="s">
        <v>952</v>
      </c>
      <c r="V236" t="s">
        <v>952</v>
      </c>
      <c r="W236" t="s">
        <v>952</v>
      </c>
      <c r="X236">
        <v>0</v>
      </c>
      <c r="Y236" t="s">
        <v>952</v>
      </c>
      <c r="Z236">
        <v>0</v>
      </c>
      <c r="AA236" t="s">
        <v>952</v>
      </c>
      <c r="AB236" t="s">
        <v>952</v>
      </c>
      <c r="AC236" t="s">
        <v>952</v>
      </c>
      <c r="AD236" t="s">
        <v>952</v>
      </c>
      <c r="AE236">
        <v>0</v>
      </c>
      <c r="AF236" t="s">
        <v>952</v>
      </c>
      <c r="AG236" t="s">
        <v>952</v>
      </c>
      <c r="AH236" t="s">
        <v>952</v>
      </c>
      <c r="AI236"/>
      <c r="AJ236"/>
    </row>
    <row r="237" spans="1:36" x14ac:dyDescent="0.25">
      <c r="A237" t="s">
        <v>1119</v>
      </c>
      <c r="B237" t="s">
        <v>550</v>
      </c>
      <c r="C237" t="s">
        <v>951</v>
      </c>
      <c r="D237" t="s">
        <v>257</v>
      </c>
      <c r="E237" t="s">
        <v>952</v>
      </c>
      <c r="F237" t="s">
        <v>551</v>
      </c>
      <c r="G237" t="s">
        <v>952</v>
      </c>
      <c r="H237" t="s">
        <v>1118</v>
      </c>
      <c r="I237" t="s">
        <v>41</v>
      </c>
      <c r="J237" t="s">
        <v>952</v>
      </c>
      <c r="K237">
        <v>1</v>
      </c>
      <c r="L237">
        <v>31</v>
      </c>
      <c r="M237" t="s">
        <v>33</v>
      </c>
      <c r="N237">
        <v>1</v>
      </c>
      <c r="O237">
        <v>31</v>
      </c>
      <c r="P237">
        <v>1</v>
      </c>
      <c r="Q237" t="s">
        <v>48</v>
      </c>
      <c r="R237">
        <v>3</v>
      </c>
      <c r="S237">
        <v>0</v>
      </c>
      <c r="T237" t="s">
        <v>952</v>
      </c>
      <c r="U237" t="s">
        <v>952</v>
      </c>
      <c r="V237" t="s">
        <v>952</v>
      </c>
      <c r="W237" t="s">
        <v>952</v>
      </c>
      <c r="X237">
        <v>0</v>
      </c>
      <c r="Y237" t="s">
        <v>952</v>
      </c>
      <c r="Z237">
        <v>0</v>
      </c>
      <c r="AA237" t="s">
        <v>952</v>
      </c>
      <c r="AB237" t="s">
        <v>952</v>
      </c>
      <c r="AC237" t="s">
        <v>952</v>
      </c>
      <c r="AD237" t="s">
        <v>952</v>
      </c>
      <c r="AE237">
        <v>0</v>
      </c>
      <c r="AF237" t="s">
        <v>952</v>
      </c>
      <c r="AG237" t="s">
        <v>952</v>
      </c>
      <c r="AH237" t="s">
        <v>952</v>
      </c>
      <c r="AI237"/>
      <c r="AJ237"/>
    </row>
    <row r="238" spans="1:36" x14ac:dyDescent="0.25">
      <c r="A238" t="s">
        <v>546</v>
      </c>
      <c r="B238" t="s">
        <v>775</v>
      </c>
      <c r="C238" t="s">
        <v>951</v>
      </c>
      <c r="D238" t="s">
        <v>257</v>
      </c>
      <c r="E238" t="s">
        <v>952</v>
      </c>
      <c r="F238" t="s">
        <v>551</v>
      </c>
      <c r="G238" t="s">
        <v>280</v>
      </c>
      <c r="H238" t="s">
        <v>1120</v>
      </c>
      <c r="I238" t="s">
        <v>41</v>
      </c>
      <c r="J238" t="s">
        <v>952</v>
      </c>
      <c r="K238">
        <v>1</v>
      </c>
      <c r="L238">
        <v>31</v>
      </c>
      <c r="M238" t="s">
        <v>33</v>
      </c>
      <c r="N238">
        <v>1</v>
      </c>
      <c r="O238">
        <v>31</v>
      </c>
      <c r="P238">
        <v>1</v>
      </c>
      <c r="Q238" t="s">
        <v>48</v>
      </c>
      <c r="R238">
        <v>3</v>
      </c>
      <c r="S238">
        <v>0</v>
      </c>
      <c r="T238" t="s">
        <v>952</v>
      </c>
      <c r="U238" t="s">
        <v>952</v>
      </c>
      <c r="V238" t="s">
        <v>952</v>
      </c>
      <c r="W238" t="s">
        <v>952</v>
      </c>
      <c r="X238">
        <v>0</v>
      </c>
      <c r="Y238" t="s">
        <v>952</v>
      </c>
      <c r="Z238">
        <v>0</v>
      </c>
      <c r="AA238" t="s">
        <v>952</v>
      </c>
      <c r="AB238" t="s">
        <v>952</v>
      </c>
      <c r="AC238" t="s">
        <v>952</v>
      </c>
      <c r="AD238" t="s">
        <v>952</v>
      </c>
      <c r="AE238">
        <v>0</v>
      </c>
      <c r="AF238" t="s">
        <v>952</v>
      </c>
      <c r="AG238" t="s">
        <v>952</v>
      </c>
      <c r="AH238" t="s">
        <v>952</v>
      </c>
      <c r="AI238"/>
      <c r="AJ238"/>
    </row>
    <row r="239" spans="1:36" x14ac:dyDescent="0.25">
      <c r="A239" t="s">
        <v>1119</v>
      </c>
      <c r="B239" t="s">
        <v>550</v>
      </c>
      <c r="C239" t="s">
        <v>951</v>
      </c>
      <c r="D239" t="s">
        <v>257</v>
      </c>
      <c r="E239" t="s">
        <v>952</v>
      </c>
      <c r="F239" t="s">
        <v>551</v>
      </c>
      <c r="G239" t="s">
        <v>952</v>
      </c>
      <c r="H239" t="s">
        <v>1120</v>
      </c>
      <c r="I239" t="s">
        <v>41</v>
      </c>
      <c r="J239" t="s">
        <v>952</v>
      </c>
      <c r="K239">
        <v>1</v>
      </c>
      <c r="L239">
        <v>31</v>
      </c>
      <c r="M239" t="s">
        <v>33</v>
      </c>
      <c r="N239">
        <v>1</v>
      </c>
      <c r="O239">
        <v>31</v>
      </c>
      <c r="P239">
        <v>1</v>
      </c>
      <c r="Q239" t="s">
        <v>48</v>
      </c>
      <c r="R239">
        <v>3</v>
      </c>
      <c r="S239">
        <v>0</v>
      </c>
      <c r="T239" t="s">
        <v>952</v>
      </c>
      <c r="U239" t="s">
        <v>952</v>
      </c>
      <c r="V239" t="s">
        <v>952</v>
      </c>
      <c r="W239" t="s">
        <v>952</v>
      </c>
      <c r="X239">
        <v>0</v>
      </c>
      <c r="Y239" t="s">
        <v>952</v>
      </c>
      <c r="Z239">
        <v>0</v>
      </c>
      <c r="AA239" t="s">
        <v>952</v>
      </c>
      <c r="AB239" t="s">
        <v>952</v>
      </c>
      <c r="AC239" t="s">
        <v>952</v>
      </c>
      <c r="AD239" t="s">
        <v>952</v>
      </c>
      <c r="AE239">
        <v>0</v>
      </c>
      <c r="AF239" t="s">
        <v>952</v>
      </c>
      <c r="AG239" t="s">
        <v>952</v>
      </c>
      <c r="AH239" t="s">
        <v>952</v>
      </c>
      <c r="AI239"/>
      <c r="AJ239"/>
    </row>
    <row r="240" spans="1:36" x14ac:dyDescent="0.25">
      <c r="A240" t="s">
        <v>546</v>
      </c>
      <c r="B240" t="s">
        <v>775</v>
      </c>
      <c r="C240" t="s">
        <v>951</v>
      </c>
      <c r="D240" t="s">
        <v>257</v>
      </c>
      <c r="E240" t="s">
        <v>952</v>
      </c>
      <c r="F240" t="s">
        <v>551</v>
      </c>
      <c r="G240" t="s">
        <v>280</v>
      </c>
      <c r="H240" t="s">
        <v>1121</v>
      </c>
      <c r="I240" t="s">
        <v>41</v>
      </c>
      <c r="J240" t="s">
        <v>952</v>
      </c>
      <c r="K240">
        <v>1</v>
      </c>
      <c r="L240">
        <v>100</v>
      </c>
      <c r="M240" t="s">
        <v>33</v>
      </c>
      <c r="N240">
        <v>1</v>
      </c>
      <c r="O240">
        <v>100</v>
      </c>
      <c r="P240">
        <v>1</v>
      </c>
      <c r="Q240" t="s">
        <v>48</v>
      </c>
      <c r="R240">
        <v>3</v>
      </c>
      <c r="S240">
        <v>0</v>
      </c>
      <c r="T240" t="s">
        <v>952</v>
      </c>
      <c r="U240" t="s">
        <v>952</v>
      </c>
      <c r="V240" t="s">
        <v>952</v>
      </c>
      <c r="W240" t="s">
        <v>952</v>
      </c>
      <c r="X240">
        <v>0</v>
      </c>
      <c r="Y240" t="s">
        <v>952</v>
      </c>
      <c r="Z240">
        <v>0</v>
      </c>
      <c r="AA240" t="s">
        <v>952</v>
      </c>
      <c r="AB240" t="s">
        <v>952</v>
      </c>
      <c r="AC240" t="s">
        <v>952</v>
      </c>
      <c r="AD240" t="s">
        <v>952</v>
      </c>
      <c r="AE240">
        <v>0</v>
      </c>
      <c r="AF240" t="s">
        <v>952</v>
      </c>
      <c r="AG240" t="s">
        <v>952</v>
      </c>
      <c r="AH240" t="s">
        <v>952</v>
      </c>
      <c r="AI240"/>
      <c r="AJ240"/>
    </row>
    <row r="241" spans="1:36" x14ac:dyDescent="0.25">
      <c r="A241" t="s">
        <v>1119</v>
      </c>
      <c r="B241" t="s">
        <v>550</v>
      </c>
      <c r="C241" t="s">
        <v>951</v>
      </c>
      <c r="D241" t="s">
        <v>257</v>
      </c>
      <c r="E241" t="s">
        <v>952</v>
      </c>
      <c r="F241" t="s">
        <v>551</v>
      </c>
      <c r="G241" t="s">
        <v>952</v>
      </c>
      <c r="H241" t="s">
        <v>1121</v>
      </c>
      <c r="I241" t="s">
        <v>41</v>
      </c>
      <c r="J241" t="s">
        <v>952</v>
      </c>
      <c r="K241">
        <v>1</v>
      </c>
      <c r="L241">
        <v>100</v>
      </c>
      <c r="M241" t="s">
        <v>33</v>
      </c>
      <c r="N241">
        <v>1</v>
      </c>
      <c r="O241">
        <v>100</v>
      </c>
      <c r="P241">
        <v>1</v>
      </c>
      <c r="Q241" t="s">
        <v>48</v>
      </c>
      <c r="R241">
        <v>3</v>
      </c>
      <c r="S241">
        <v>0</v>
      </c>
      <c r="T241" t="s">
        <v>952</v>
      </c>
      <c r="U241" t="s">
        <v>952</v>
      </c>
      <c r="V241" t="s">
        <v>952</v>
      </c>
      <c r="W241" t="s">
        <v>952</v>
      </c>
      <c r="X241">
        <v>0</v>
      </c>
      <c r="Y241" t="s">
        <v>952</v>
      </c>
      <c r="Z241">
        <v>0</v>
      </c>
      <c r="AA241" t="s">
        <v>952</v>
      </c>
      <c r="AB241" t="s">
        <v>952</v>
      </c>
      <c r="AC241" t="s">
        <v>952</v>
      </c>
      <c r="AD241" t="s">
        <v>952</v>
      </c>
      <c r="AE241">
        <v>0</v>
      </c>
      <c r="AF241" t="s">
        <v>952</v>
      </c>
      <c r="AG241" t="s">
        <v>952</v>
      </c>
      <c r="AH241" t="s">
        <v>952</v>
      </c>
      <c r="AI241"/>
      <c r="AJ241"/>
    </row>
    <row r="242" spans="1:36" x14ac:dyDescent="0.25">
      <c r="A242" t="s">
        <v>546</v>
      </c>
      <c r="B242" t="s">
        <v>775</v>
      </c>
      <c r="C242" t="s">
        <v>951</v>
      </c>
      <c r="D242" t="s">
        <v>257</v>
      </c>
      <c r="E242" t="s">
        <v>952</v>
      </c>
      <c r="F242" t="s">
        <v>552</v>
      </c>
      <c r="G242" t="s">
        <v>280</v>
      </c>
      <c r="H242" t="s">
        <v>1122</v>
      </c>
      <c r="I242" t="s">
        <v>41</v>
      </c>
      <c r="J242" t="s">
        <v>952</v>
      </c>
      <c r="K242">
        <v>1</v>
      </c>
      <c r="L242">
        <v>31</v>
      </c>
      <c r="M242" t="s">
        <v>33</v>
      </c>
      <c r="N242">
        <v>1</v>
      </c>
      <c r="O242">
        <v>31</v>
      </c>
      <c r="P242">
        <v>1</v>
      </c>
      <c r="Q242" t="s">
        <v>48</v>
      </c>
      <c r="R242">
        <v>3</v>
      </c>
      <c r="S242">
        <v>0</v>
      </c>
      <c r="T242" t="s">
        <v>952</v>
      </c>
      <c r="U242" t="s">
        <v>952</v>
      </c>
      <c r="V242" t="s">
        <v>952</v>
      </c>
      <c r="W242" t="s">
        <v>952</v>
      </c>
      <c r="X242">
        <v>0</v>
      </c>
      <c r="Y242" t="s">
        <v>952</v>
      </c>
      <c r="Z242">
        <v>0</v>
      </c>
      <c r="AA242" t="s">
        <v>952</v>
      </c>
      <c r="AB242" t="s">
        <v>952</v>
      </c>
      <c r="AC242" t="s">
        <v>952</v>
      </c>
      <c r="AD242" t="s">
        <v>952</v>
      </c>
      <c r="AE242">
        <v>0</v>
      </c>
      <c r="AF242" t="s">
        <v>952</v>
      </c>
      <c r="AG242" t="s">
        <v>952</v>
      </c>
      <c r="AH242" t="s">
        <v>952</v>
      </c>
      <c r="AI242"/>
      <c r="AJ242"/>
    </row>
    <row r="243" spans="1:36" x14ac:dyDescent="0.25">
      <c r="A243" t="s">
        <v>1119</v>
      </c>
      <c r="B243" t="s">
        <v>550</v>
      </c>
      <c r="C243" t="s">
        <v>951</v>
      </c>
      <c r="D243" t="s">
        <v>257</v>
      </c>
      <c r="E243" t="s">
        <v>952</v>
      </c>
      <c r="F243" t="s">
        <v>552</v>
      </c>
      <c r="G243" t="s">
        <v>952</v>
      </c>
      <c r="H243" t="s">
        <v>1122</v>
      </c>
      <c r="I243" t="s">
        <v>41</v>
      </c>
      <c r="J243" t="s">
        <v>952</v>
      </c>
      <c r="K243">
        <v>1</v>
      </c>
      <c r="L243">
        <v>31</v>
      </c>
      <c r="M243" t="s">
        <v>33</v>
      </c>
      <c r="N243">
        <v>1</v>
      </c>
      <c r="O243">
        <v>31</v>
      </c>
      <c r="P243">
        <v>1</v>
      </c>
      <c r="Q243" t="s">
        <v>48</v>
      </c>
      <c r="R243">
        <v>3</v>
      </c>
      <c r="S243">
        <v>0</v>
      </c>
      <c r="T243" t="s">
        <v>952</v>
      </c>
      <c r="U243" t="s">
        <v>952</v>
      </c>
      <c r="V243" t="s">
        <v>952</v>
      </c>
      <c r="W243" t="s">
        <v>952</v>
      </c>
      <c r="X243">
        <v>0</v>
      </c>
      <c r="Y243" t="s">
        <v>952</v>
      </c>
      <c r="Z243">
        <v>0</v>
      </c>
      <c r="AA243" t="s">
        <v>952</v>
      </c>
      <c r="AB243" t="s">
        <v>952</v>
      </c>
      <c r="AC243" t="s">
        <v>952</v>
      </c>
      <c r="AD243" t="s">
        <v>952</v>
      </c>
      <c r="AE243">
        <v>0</v>
      </c>
      <c r="AF243" t="s">
        <v>952</v>
      </c>
      <c r="AG243" t="s">
        <v>952</v>
      </c>
      <c r="AH243" t="s">
        <v>952</v>
      </c>
      <c r="AI243"/>
      <c r="AJ243"/>
    </row>
    <row r="244" spans="1:36" x14ac:dyDescent="0.25">
      <c r="A244" t="s">
        <v>546</v>
      </c>
      <c r="B244" t="s">
        <v>775</v>
      </c>
      <c r="C244" t="s">
        <v>951</v>
      </c>
      <c r="D244" t="s">
        <v>257</v>
      </c>
      <c r="E244" t="s">
        <v>952</v>
      </c>
      <c r="F244" t="s">
        <v>552</v>
      </c>
      <c r="G244" t="s">
        <v>280</v>
      </c>
      <c r="H244" t="s">
        <v>1123</v>
      </c>
      <c r="I244" t="s">
        <v>41</v>
      </c>
      <c r="J244" t="s">
        <v>952</v>
      </c>
      <c r="K244">
        <v>1</v>
      </c>
      <c r="L244">
        <v>31</v>
      </c>
      <c r="M244" t="s">
        <v>33</v>
      </c>
      <c r="N244">
        <v>1</v>
      </c>
      <c r="O244">
        <v>31</v>
      </c>
      <c r="P244">
        <v>1</v>
      </c>
      <c r="Q244" t="s">
        <v>48</v>
      </c>
      <c r="R244">
        <v>3</v>
      </c>
      <c r="S244">
        <v>0</v>
      </c>
      <c r="T244" t="s">
        <v>952</v>
      </c>
      <c r="U244" t="s">
        <v>952</v>
      </c>
      <c r="V244" t="s">
        <v>952</v>
      </c>
      <c r="W244" t="s">
        <v>952</v>
      </c>
      <c r="X244">
        <v>0</v>
      </c>
      <c r="Y244" t="s">
        <v>952</v>
      </c>
      <c r="Z244">
        <v>0</v>
      </c>
      <c r="AA244" t="s">
        <v>952</v>
      </c>
      <c r="AB244" t="s">
        <v>952</v>
      </c>
      <c r="AC244" t="s">
        <v>952</v>
      </c>
      <c r="AD244" t="s">
        <v>952</v>
      </c>
      <c r="AE244">
        <v>0</v>
      </c>
      <c r="AF244" t="s">
        <v>952</v>
      </c>
      <c r="AG244" t="s">
        <v>952</v>
      </c>
      <c r="AH244" t="s">
        <v>952</v>
      </c>
      <c r="AI244"/>
      <c r="AJ244"/>
    </row>
    <row r="245" spans="1:36" x14ac:dyDescent="0.25">
      <c r="A245" t="s">
        <v>1119</v>
      </c>
      <c r="B245" t="s">
        <v>550</v>
      </c>
      <c r="C245" t="s">
        <v>951</v>
      </c>
      <c r="D245" t="s">
        <v>257</v>
      </c>
      <c r="E245" t="s">
        <v>952</v>
      </c>
      <c r="F245" t="s">
        <v>552</v>
      </c>
      <c r="G245" t="s">
        <v>952</v>
      </c>
      <c r="H245" t="s">
        <v>1123</v>
      </c>
      <c r="I245" t="s">
        <v>41</v>
      </c>
      <c r="J245" t="s">
        <v>952</v>
      </c>
      <c r="K245">
        <v>1</v>
      </c>
      <c r="L245">
        <v>31</v>
      </c>
      <c r="M245" t="s">
        <v>33</v>
      </c>
      <c r="N245">
        <v>1</v>
      </c>
      <c r="O245">
        <v>31</v>
      </c>
      <c r="P245">
        <v>1</v>
      </c>
      <c r="Q245" t="s">
        <v>48</v>
      </c>
      <c r="R245">
        <v>3</v>
      </c>
      <c r="S245">
        <v>0</v>
      </c>
      <c r="T245" t="s">
        <v>952</v>
      </c>
      <c r="U245" t="s">
        <v>952</v>
      </c>
      <c r="V245" t="s">
        <v>952</v>
      </c>
      <c r="W245" t="s">
        <v>952</v>
      </c>
      <c r="X245">
        <v>0</v>
      </c>
      <c r="Y245" t="s">
        <v>952</v>
      </c>
      <c r="Z245">
        <v>0</v>
      </c>
      <c r="AA245" t="s">
        <v>952</v>
      </c>
      <c r="AB245" t="s">
        <v>952</v>
      </c>
      <c r="AC245" t="s">
        <v>952</v>
      </c>
      <c r="AD245" t="s">
        <v>952</v>
      </c>
      <c r="AE245">
        <v>0</v>
      </c>
      <c r="AF245" t="s">
        <v>952</v>
      </c>
      <c r="AG245" t="s">
        <v>952</v>
      </c>
      <c r="AH245" t="s">
        <v>952</v>
      </c>
      <c r="AI245"/>
      <c r="AJ245"/>
    </row>
    <row r="246" spans="1:36" x14ac:dyDescent="0.25">
      <c r="A246" t="s">
        <v>546</v>
      </c>
      <c r="B246" t="s">
        <v>775</v>
      </c>
      <c r="C246" t="s">
        <v>951</v>
      </c>
      <c r="D246" t="s">
        <v>257</v>
      </c>
      <c r="E246" t="s">
        <v>952</v>
      </c>
      <c r="F246" t="s">
        <v>552</v>
      </c>
      <c r="G246" t="s">
        <v>280</v>
      </c>
      <c r="H246" t="s">
        <v>1124</v>
      </c>
      <c r="I246" t="s">
        <v>41</v>
      </c>
      <c r="J246" t="s">
        <v>952</v>
      </c>
      <c r="K246">
        <v>1</v>
      </c>
      <c r="L246">
        <v>100</v>
      </c>
      <c r="M246" t="s">
        <v>33</v>
      </c>
      <c r="N246">
        <v>1</v>
      </c>
      <c r="O246">
        <v>100</v>
      </c>
      <c r="P246">
        <v>1</v>
      </c>
      <c r="Q246" t="s">
        <v>48</v>
      </c>
      <c r="R246">
        <v>3</v>
      </c>
      <c r="S246">
        <v>0</v>
      </c>
      <c r="T246" t="s">
        <v>952</v>
      </c>
      <c r="U246" t="s">
        <v>952</v>
      </c>
      <c r="V246" t="s">
        <v>952</v>
      </c>
      <c r="W246" t="s">
        <v>952</v>
      </c>
      <c r="X246">
        <v>0</v>
      </c>
      <c r="Y246" t="s">
        <v>952</v>
      </c>
      <c r="Z246">
        <v>0</v>
      </c>
      <c r="AA246" t="s">
        <v>952</v>
      </c>
      <c r="AB246" t="s">
        <v>952</v>
      </c>
      <c r="AC246" t="s">
        <v>952</v>
      </c>
      <c r="AD246" t="s">
        <v>952</v>
      </c>
      <c r="AE246">
        <v>0</v>
      </c>
      <c r="AF246" t="s">
        <v>952</v>
      </c>
      <c r="AG246" t="s">
        <v>952</v>
      </c>
      <c r="AH246" t="s">
        <v>952</v>
      </c>
      <c r="AI246"/>
      <c r="AJ246"/>
    </row>
    <row r="247" spans="1:36" x14ac:dyDescent="0.25">
      <c r="A247" t="s">
        <v>1119</v>
      </c>
      <c r="B247" t="s">
        <v>550</v>
      </c>
      <c r="C247" t="s">
        <v>951</v>
      </c>
      <c r="D247" t="s">
        <v>257</v>
      </c>
      <c r="E247" t="s">
        <v>952</v>
      </c>
      <c r="F247" t="s">
        <v>552</v>
      </c>
      <c r="G247" t="s">
        <v>952</v>
      </c>
      <c r="H247" t="s">
        <v>1124</v>
      </c>
      <c r="I247" t="s">
        <v>41</v>
      </c>
      <c r="J247" t="s">
        <v>952</v>
      </c>
      <c r="K247">
        <v>1</v>
      </c>
      <c r="L247">
        <v>100</v>
      </c>
      <c r="M247" t="s">
        <v>33</v>
      </c>
      <c r="N247">
        <v>1</v>
      </c>
      <c r="O247">
        <v>100</v>
      </c>
      <c r="P247">
        <v>1</v>
      </c>
      <c r="Q247" t="s">
        <v>48</v>
      </c>
      <c r="R247">
        <v>3</v>
      </c>
      <c r="S247">
        <v>0</v>
      </c>
      <c r="T247" t="s">
        <v>952</v>
      </c>
      <c r="U247" t="s">
        <v>952</v>
      </c>
      <c r="V247" t="s">
        <v>952</v>
      </c>
      <c r="W247" t="s">
        <v>952</v>
      </c>
      <c r="X247">
        <v>0</v>
      </c>
      <c r="Y247" t="s">
        <v>952</v>
      </c>
      <c r="Z247">
        <v>0</v>
      </c>
      <c r="AA247" t="s">
        <v>952</v>
      </c>
      <c r="AB247" t="s">
        <v>952</v>
      </c>
      <c r="AC247" t="s">
        <v>952</v>
      </c>
      <c r="AD247" t="s">
        <v>952</v>
      </c>
      <c r="AE247">
        <v>0</v>
      </c>
      <c r="AF247" t="s">
        <v>952</v>
      </c>
      <c r="AG247" t="s">
        <v>952</v>
      </c>
      <c r="AH247" t="s">
        <v>952</v>
      </c>
      <c r="AI247"/>
      <c r="AJ247"/>
    </row>
    <row r="248" spans="1:36" x14ac:dyDescent="0.25">
      <c r="A248" t="s">
        <v>546</v>
      </c>
      <c r="B248" t="s">
        <v>775</v>
      </c>
      <c r="C248" t="s">
        <v>951</v>
      </c>
      <c r="D248" t="s">
        <v>257</v>
      </c>
      <c r="E248" t="s">
        <v>952</v>
      </c>
      <c r="F248" t="s">
        <v>553</v>
      </c>
      <c r="G248" t="s">
        <v>280</v>
      </c>
      <c r="H248" t="s">
        <v>1125</v>
      </c>
      <c r="I248" t="s">
        <v>41</v>
      </c>
      <c r="J248" t="s">
        <v>952</v>
      </c>
      <c r="K248">
        <v>0</v>
      </c>
      <c r="L248">
        <v>1</v>
      </c>
      <c r="M248" t="s">
        <v>33</v>
      </c>
      <c r="N248">
        <v>1</v>
      </c>
      <c r="O248">
        <v>1</v>
      </c>
      <c r="P248">
        <v>1</v>
      </c>
      <c r="Q248" t="s">
        <v>48</v>
      </c>
      <c r="R248">
        <v>1</v>
      </c>
      <c r="S248">
        <v>0</v>
      </c>
      <c r="T248" t="s">
        <v>952</v>
      </c>
      <c r="U248" t="s">
        <v>952</v>
      </c>
      <c r="V248" t="s">
        <v>952</v>
      </c>
      <c r="W248" t="s">
        <v>952</v>
      </c>
      <c r="X248">
        <v>0</v>
      </c>
      <c r="Y248" t="s">
        <v>952</v>
      </c>
      <c r="Z248">
        <v>0</v>
      </c>
      <c r="AA248" t="s">
        <v>952</v>
      </c>
      <c r="AB248" t="s">
        <v>952</v>
      </c>
      <c r="AC248" t="s">
        <v>952</v>
      </c>
      <c r="AD248" t="s">
        <v>952</v>
      </c>
      <c r="AE248">
        <v>0</v>
      </c>
      <c r="AF248" t="s">
        <v>952</v>
      </c>
      <c r="AG248" t="s">
        <v>776</v>
      </c>
      <c r="AH248" t="s">
        <v>952</v>
      </c>
      <c r="AI248"/>
      <c r="AJ248"/>
    </row>
    <row r="249" spans="1:36" x14ac:dyDescent="0.25">
      <c r="A249" t="s">
        <v>546</v>
      </c>
      <c r="B249" t="s">
        <v>775</v>
      </c>
      <c r="C249" t="s">
        <v>951</v>
      </c>
      <c r="D249" t="s">
        <v>257</v>
      </c>
      <c r="E249" t="s">
        <v>952</v>
      </c>
      <c r="F249" t="s">
        <v>554</v>
      </c>
      <c r="G249" t="s">
        <v>280</v>
      </c>
      <c r="H249" t="s">
        <v>1126</v>
      </c>
      <c r="I249" t="s">
        <v>41</v>
      </c>
      <c r="J249" t="s">
        <v>952</v>
      </c>
      <c r="K249">
        <v>0</v>
      </c>
      <c r="L249">
        <v>7</v>
      </c>
      <c r="M249" t="s">
        <v>33</v>
      </c>
      <c r="N249">
        <v>1</v>
      </c>
      <c r="O249">
        <v>7</v>
      </c>
      <c r="P249">
        <v>1</v>
      </c>
      <c r="Q249" t="s">
        <v>48</v>
      </c>
      <c r="R249">
        <v>1</v>
      </c>
      <c r="S249">
        <v>0</v>
      </c>
      <c r="T249" t="s">
        <v>952</v>
      </c>
      <c r="U249" t="s">
        <v>952</v>
      </c>
      <c r="V249" t="s">
        <v>952</v>
      </c>
      <c r="W249" t="s">
        <v>952</v>
      </c>
      <c r="X249">
        <v>0</v>
      </c>
      <c r="Y249" t="s">
        <v>952</v>
      </c>
      <c r="Z249">
        <v>0</v>
      </c>
      <c r="AA249" t="s">
        <v>952</v>
      </c>
      <c r="AB249" t="s">
        <v>952</v>
      </c>
      <c r="AC249" t="s">
        <v>952</v>
      </c>
      <c r="AD249" t="s">
        <v>952</v>
      </c>
      <c r="AE249">
        <v>0</v>
      </c>
      <c r="AF249" t="s">
        <v>952</v>
      </c>
      <c r="AG249" t="s">
        <v>776</v>
      </c>
      <c r="AH249" t="s">
        <v>952</v>
      </c>
      <c r="AI249"/>
      <c r="AJ249"/>
    </row>
    <row r="250" spans="1:36" x14ac:dyDescent="0.25">
      <c r="A250" t="s">
        <v>546</v>
      </c>
      <c r="B250" t="s">
        <v>775</v>
      </c>
      <c r="C250" t="s">
        <v>951</v>
      </c>
      <c r="D250" t="s">
        <v>257</v>
      </c>
      <c r="E250" t="s">
        <v>952</v>
      </c>
      <c r="F250" t="s">
        <v>555</v>
      </c>
      <c r="G250" t="s">
        <v>280</v>
      </c>
      <c r="H250" t="s">
        <v>1127</v>
      </c>
      <c r="I250" t="s">
        <v>41</v>
      </c>
      <c r="J250" t="s">
        <v>952</v>
      </c>
      <c r="K250">
        <v>0</v>
      </c>
      <c r="L250">
        <v>7</v>
      </c>
      <c r="M250" t="s">
        <v>33</v>
      </c>
      <c r="N250">
        <v>1</v>
      </c>
      <c r="O250">
        <v>7</v>
      </c>
      <c r="P250">
        <v>1</v>
      </c>
      <c r="Q250" t="s">
        <v>48</v>
      </c>
      <c r="R250">
        <v>1</v>
      </c>
      <c r="S250">
        <v>0</v>
      </c>
      <c r="T250" t="s">
        <v>952</v>
      </c>
      <c r="U250" t="s">
        <v>952</v>
      </c>
      <c r="V250" t="s">
        <v>952</v>
      </c>
      <c r="W250" t="s">
        <v>952</v>
      </c>
      <c r="X250">
        <v>0</v>
      </c>
      <c r="Y250" t="s">
        <v>952</v>
      </c>
      <c r="Z250">
        <v>0</v>
      </c>
      <c r="AA250" t="s">
        <v>952</v>
      </c>
      <c r="AB250" t="s">
        <v>952</v>
      </c>
      <c r="AC250" t="s">
        <v>952</v>
      </c>
      <c r="AD250" t="s">
        <v>952</v>
      </c>
      <c r="AE250">
        <v>0</v>
      </c>
      <c r="AF250" t="s">
        <v>952</v>
      </c>
      <c r="AG250" t="s">
        <v>776</v>
      </c>
      <c r="AH250" t="s">
        <v>952</v>
      </c>
      <c r="AI250"/>
      <c r="AJ250"/>
    </row>
    <row r="251" spans="1:36" x14ac:dyDescent="0.25">
      <c r="A251" t="s">
        <v>546</v>
      </c>
      <c r="B251" t="s">
        <v>775</v>
      </c>
      <c r="C251" t="s">
        <v>951</v>
      </c>
      <c r="D251" t="s">
        <v>257</v>
      </c>
      <c r="E251" t="s">
        <v>952</v>
      </c>
      <c r="F251" t="s">
        <v>556</v>
      </c>
      <c r="G251" t="s">
        <v>280</v>
      </c>
      <c r="H251" t="s">
        <v>1128</v>
      </c>
      <c r="I251" t="s">
        <v>41</v>
      </c>
      <c r="J251" t="s">
        <v>952</v>
      </c>
      <c r="K251">
        <v>0</v>
      </c>
      <c r="L251">
        <v>1</v>
      </c>
      <c r="M251" t="s">
        <v>33</v>
      </c>
      <c r="N251">
        <v>1</v>
      </c>
      <c r="O251">
        <v>1</v>
      </c>
      <c r="P251">
        <v>1</v>
      </c>
      <c r="Q251" t="s">
        <v>48</v>
      </c>
      <c r="R251">
        <v>1</v>
      </c>
      <c r="S251">
        <v>0</v>
      </c>
      <c r="T251" t="s">
        <v>952</v>
      </c>
      <c r="U251" t="s">
        <v>952</v>
      </c>
      <c r="V251" t="s">
        <v>952</v>
      </c>
      <c r="W251" t="s">
        <v>952</v>
      </c>
      <c r="X251">
        <v>0</v>
      </c>
      <c r="Y251" t="s">
        <v>952</v>
      </c>
      <c r="Z251">
        <v>0</v>
      </c>
      <c r="AA251" t="s">
        <v>952</v>
      </c>
      <c r="AB251" t="s">
        <v>952</v>
      </c>
      <c r="AC251" t="s">
        <v>952</v>
      </c>
      <c r="AD251" t="s">
        <v>952</v>
      </c>
      <c r="AE251">
        <v>0</v>
      </c>
      <c r="AF251" t="s">
        <v>952</v>
      </c>
      <c r="AG251" t="s">
        <v>776</v>
      </c>
      <c r="AH251" t="s">
        <v>952</v>
      </c>
      <c r="AI251"/>
      <c r="AJ251"/>
    </row>
    <row r="252" spans="1:36" x14ac:dyDescent="0.25">
      <c r="A252" t="s">
        <v>557</v>
      </c>
      <c r="B252" t="s">
        <v>757</v>
      </c>
      <c r="C252" t="s">
        <v>951</v>
      </c>
      <c r="D252" t="s">
        <v>558</v>
      </c>
      <c r="E252" t="s">
        <v>952</v>
      </c>
      <c r="F252" t="s">
        <v>559</v>
      </c>
      <c r="G252" t="s">
        <v>280</v>
      </c>
      <c r="H252" t="s">
        <v>1129</v>
      </c>
      <c r="I252" t="s">
        <v>41</v>
      </c>
      <c r="J252" t="s">
        <v>952</v>
      </c>
      <c r="K252">
        <v>1</v>
      </c>
      <c r="L252">
        <v>2</v>
      </c>
      <c r="M252" t="s">
        <v>33</v>
      </c>
      <c r="N252">
        <v>1</v>
      </c>
      <c r="O252">
        <v>2</v>
      </c>
      <c r="P252">
        <v>1</v>
      </c>
      <c r="Q252" t="s">
        <v>48</v>
      </c>
      <c r="R252">
        <v>2</v>
      </c>
      <c r="S252">
        <v>0</v>
      </c>
      <c r="T252" t="s">
        <v>952</v>
      </c>
      <c r="U252" t="s">
        <v>952</v>
      </c>
      <c r="V252" t="s">
        <v>952</v>
      </c>
      <c r="W252" t="s">
        <v>952</v>
      </c>
      <c r="X252">
        <v>0</v>
      </c>
      <c r="Y252" t="s">
        <v>952</v>
      </c>
      <c r="Z252">
        <v>0</v>
      </c>
      <c r="AA252" t="s">
        <v>952</v>
      </c>
      <c r="AB252" t="s">
        <v>952</v>
      </c>
      <c r="AC252" t="s">
        <v>952</v>
      </c>
      <c r="AD252" t="s">
        <v>952</v>
      </c>
      <c r="AE252">
        <v>0</v>
      </c>
      <c r="AF252" t="s">
        <v>952</v>
      </c>
      <c r="AG252" t="s">
        <v>952</v>
      </c>
      <c r="AH252" t="s">
        <v>952</v>
      </c>
      <c r="AI252"/>
      <c r="AJ252"/>
    </row>
    <row r="253" spans="1:36" x14ac:dyDescent="0.25">
      <c r="A253" t="s">
        <v>557</v>
      </c>
      <c r="B253" t="s">
        <v>757</v>
      </c>
      <c r="C253" t="s">
        <v>951</v>
      </c>
      <c r="D253" t="s">
        <v>558</v>
      </c>
      <c r="E253" t="s">
        <v>952</v>
      </c>
      <c r="F253" t="s">
        <v>560</v>
      </c>
      <c r="G253" t="s">
        <v>280</v>
      </c>
      <c r="H253" t="s">
        <v>1130</v>
      </c>
      <c r="I253" t="s">
        <v>41</v>
      </c>
      <c r="J253" t="s">
        <v>952</v>
      </c>
      <c r="K253">
        <v>1</v>
      </c>
      <c r="L253">
        <v>2</v>
      </c>
      <c r="M253" t="s">
        <v>33</v>
      </c>
      <c r="N253">
        <v>1</v>
      </c>
      <c r="O253">
        <v>2</v>
      </c>
      <c r="P253">
        <v>1</v>
      </c>
      <c r="Q253" t="s">
        <v>48</v>
      </c>
      <c r="R253">
        <v>2</v>
      </c>
      <c r="S253">
        <v>0</v>
      </c>
      <c r="T253" t="s">
        <v>952</v>
      </c>
      <c r="U253" t="s">
        <v>952</v>
      </c>
      <c r="V253" t="s">
        <v>952</v>
      </c>
      <c r="W253" t="s">
        <v>952</v>
      </c>
      <c r="X253">
        <v>0</v>
      </c>
      <c r="Y253" t="s">
        <v>952</v>
      </c>
      <c r="Z253">
        <v>0</v>
      </c>
      <c r="AA253" t="s">
        <v>952</v>
      </c>
      <c r="AB253" t="s">
        <v>952</v>
      </c>
      <c r="AC253" t="s">
        <v>952</v>
      </c>
      <c r="AD253" t="s">
        <v>952</v>
      </c>
      <c r="AE253">
        <v>0</v>
      </c>
      <c r="AF253" t="s">
        <v>952</v>
      </c>
      <c r="AG253" t="s">
        <v>952</v>
      </c>
      <c r="AH253" t="s">
        <v>952</v>
      </c>
      <c r="AI253"/>
      <c r="AJ253"/>
    </row>
    <row r="254" spans="1:36" x14ac:dyDescent="0.25">
      <c r="A254" t="s">
        <v>631</v>
      </c>
      <c r="B254" t="s">
        <v>632</v>
      </c>
      <c r="C254" t="s">
        <v>951</v>
      </c>
      <c r="D254" t="s">
        <v>558</v>
      </c>
      <c r="E254" t="s">
        <v>952</v>
      </c>
      <c r="F254" t="s">
        <v>560</v>
      </c>
      <c r="G254" t="s">
        <v>280</v>
      </c>
      <c r="H254" t="s">
        <v>1130</v>
      </c>
      <c r="I254" t="s">
        <v>41</v>
      </c>
      <c r="J254" t="s">
        <v>952</v>
      </c>
      <c r="K254">
        <v>1</v>
      </c>
      <c r="L254">
        <v>2</v>
      </c>
      <c r="M254" t="s">
        <v>33</v>
      </c>
      <c r="N254">
        <v>1</v>
      </c>
      <c r="O254">
        <v>2</v>
      </c>
      <c r="P254">
        <v>1</v>
      </c>
      <c r="Q254" t="s">
        <v>48</v>
      </c>
      <c r="R254">
        <v>2</v>
      </c>
      <c r="S254">
        <v>0</v>
      </c>
      <c r="T254" t="s">
        <v>952</v>
      </c>
      <c r="U254" t="s">
        <v>952</v>
      </c>
      <c r="V254" t="s">
        <v>952</v>
      </c>
      <c r="W254" t="s">
        <v>952</v>
      </c>
      <c r="X254">
        <v>0</v>
      </c>
      <c r="Y254" t="s">
        <v>952</v>
      </c>
      <c r="Z254">
        <v>0</v>
      </c>
      <c r="AA254" t="s">
        <v>952</v>
      </c>
      <c r="AB254" t="s">
        <v>952</v>
      </c>
      <c r="AC254" t="s">
        <v>952</v>
      </c>
      <c r="AD254" t="s">
        <v>952</v>
      </c>
      <c r="AE254">
        <v>0</v>
      </c>
      <c r="AF254" t="s">
        <v>952</v>
      </c>
      <c r="AG254" t="s">
        <v>952</v>
      </c>
      <c r="AH254" t="s">
        <v>952</v>
      </c>
      <c r="AI254"/>
      <c r="AJ254"/>
    </row>
    <row r="255" spans="1:36" x14ac:dyDescent="0.25">
      <c r="A255" t="s">
        <v>561</v>
      </c>
      <c r="B255" t="s">
        <v>745</v>
      </c>
      <c r="C255" t="s">
        <v>951</v>
      </c>
      <c r="D255" t="s">
        <v>562</v>
      </c>
      <c r="E255" t="s">
        <v>952</v>
      </c>
      <c r="F255" t="s">
        <v>563</v>
      </c>
      <c r="G255" t="s">
        <v>280</v>
      </c>
      <c r="H255" t="s">
        <v>1131</v>
      </c>
      <c r="I255" t="s">
        <v>41</v>
      </c>
      <c r="J255" t="s">
        <v>952</v>
      </c>
      <c r="K255">
        <v>1</v>
      </c>
      <c r="L255">
        <v>19</v>
      </c>
      <c r="M255" t="s">
        <v>39</v>
      </c>
      <c r="N255">
        <v>1</v>
      </c>
      <c r="O255">
        <v>19</v>
      </c>
      <c r="P255">
        <v>1</v>
      </c>
      <c r="Q255" t="s">
        <v>38</v>
      </c>
      <c r="R255">
        <v>2</v>
      </c>
      <c r="S255">
        <v>0</v>
      </c>
      <c r="T255" t="s">
        <v>952</v>
      </c>
      <c r="U255" t="s">
        <v>952</v>
      </c>
      <c r="V255" t="s">
        <v>952</v>
      </c>
      <c r="W255" t="s">
        <v>952</v>
      </c>
      <c r="X255">
        <v>0</v>
      </c>
      <c r="Y255" t="s">
        <v>952</v>
      </c>
      <c r="Z255">
        <v>0</v>
      </c>
      <c r="AA255" t="s">
        <v>952</v>
      </c>
      <c r="AB255" t="s">
        <v>952</v>
      </c>
      <c r="AC255" t="s">
        <v>952</v>
      </c>
      <c r="AD255" t="s">
        <v>952</v>
      </c>
      <c r="AE255">
        <v>0</v>
      </c>
      <c r="AF255" t="s">
        <v>952</v>
      </c>
      <c r="AG255" t="s">
        <v>638</v>
      </c>
      <c r="AH255" t="s">
        <v>952</v>
      </c>
      <c r="AI255"/>
      <c r="AJ255"/>
    </row>
    <row r="256" spans="1:36" x14ac:dyDescent="0.25">
      <c r="A256" t="s">
        <v>561</v>
      </c>
      <c r="B256" t="s">
        <v>745</v>
      </c>
      <c r="C256" t="s">
        <v>951</v>
      </c>
      <c r="D256" t="s">
        <v>562</v>
      </c>
      <c r="E256" t="s">
        <v>952</v>
      </c>
      <c r="F256" t="s">
        <v>564</v>
      </c>
      <c r="G256" t="s">
        <v>280</v>
      </c>
      <c r="H256" t="s">
        <v>1132</v>
      </c>
      <c r="I256" t="s">
        <v>41</v>
      </c>
      <c r="J256" t="s">
        <v>952</v>
      </c>
      <c r="K256">
        <v>1</v>
      </c>
      <c r="L256">
        <v>5</v>
      </c>
      <c r="M256" t="s">
        <v>39</v>
      </c>
      <c r="N256">
        <v>1</v>
      </c>
      <c r="O256">
        <v>5</v>
      </c>
      <c r="P256">
        <v>1</v>
      </c>
      <c r="Q256" t="s">
        <v>38</v>
      </c>
      <c r="R256">
        <v>3</v>
      </c>
      <c r="S256">
        <v>0</v>
      </c>
      <c r="T256" t="s">
        <v>952</v>
      </c>
      <c r="U256" t="s">
        <v>952</v>
      </c>
      <c r="V256" t="s">
        <v>952</v>
      </c>
      <c r="W256" t="s">
        <v>952</v>
      </c>
      <c r="X256">
        <v>0</v>
      </c>
      <c r="Y256" t="s">
        <v>952</v>
      </c>
      <c r="Z256">
        <v>0</v>
      </c>
      <c r="AA256" t="s">
        <v>952</v>
      </c>
      <c r="AB256" t="s">
        <v>952</v>
      </c>
      <c r="AC256" t="s">
        <v>952</v>
      </c>
      <c r="AD256" t="s">
        <v>952</v>
      </c>
      <c r="AE256">
        <v>0</v>
      </c>
      <c r="AF256" t="s">
        <v>952</v>
      </c>
      <c r="AG256" t="s">
        <v>638</v>
      </c>
      <c r="AH256" t="s">
        <v>952</v>
      </c>
      <c r="AI256"/>
      <c r="AJ256"/>
    </row>
    <row r="257" spans="1:36" x14ac:dyDescent="0.25">
      <c r="A257" t="s">
        <v>561</v>
      </c>
      <c r="B257" t="s">
        <v>745</v>
      </c>
      <c r="C257" t="s">
        <v>951</v>
      </c>
      <c r="D257" t="s">
        <v>562</v>
      </c>
      <c r="E257" t="s">
        <v>952</v>
      </c>
      <c r="F257" t="s">
        <v>565</v>
      </c>
      <c r="G257" t="s">
        <v>280</v>
      </c>
      <c r="H257" t="s">
        <v>1133</v>
      </c>
      <c r="I257" t="s">
        <v>41</v>
      </c>
      <c r="J257" t="s">
        <v>952</v>
      </c>
      <c r="K257">
        <v>1</v>
      </c>
      <c r="L257">
        <v>4</v>
      </c>
      <c r="M257" t="s">
        <v>39</v>
      </c>
      <c r="N257">
        <v>1</v>
      </c>
      <c r="O257">
        <v>4</v>
      </c>
      <c r="P257">
        <v>1</v>
      </c>
      <c r="Q257" t="s">
        <v>38</v>
      </c>
      <c r="R257">
        <v>3</v>
      </c>
      <c r="S257">
        <v>0</v>
      </c>
      <c r="T257" t="s">
        <v>952</v>
      </c>
      <c r="U257" t="s">
        <v>952</v>
      </c>
      <c r="V257" t="s">
        <v>952</v>
      </c>
      <c r="W257" t="s">
        <v>952</v>
      </c>
      <c r="X257">
        <v>0</v>
      </c>
      <c r="Y257" t="s">
        <v>952</v>
      </c>
      <c r="Z257">
        <v>0</v>
      </c>
      <c r="AA257" t="s">
        <v>952</v>
      </c>
      <c r="AB257" t="s">
        <v>952</v>
      </c>
      <c r="AC257" t="s">
        <v>952</v>
      </c>
      <c r="AD257" t="s">
        <v>952</v>
      </c>
      <c r="AE257">
        <v>0</v>
      </c>
      <c r="AF257" t="s">
        <v>952</v>
      </c>
      <c r="AG257" t="s">
        <v>638</v>
      </c>
      <c r="AH257" t="s">
        <v>952</v>
      </c>
      <c r="AI257"/>
      <c r="AJ257"/>
    </row>
    <row r="258" spans="1:36" x14ac:dyDescent="0.25">
      <c r="A258" t="s">
        <v>561</v>
      </c>
      <c r="B258" t="s">
        <v>745</v>
      </c>
      <c r="C258" t="s">
        <v>951</v>
      </c>
      <c r="D258" t="s">
        <v>562</v>
      </c>
      <c r="E258" t="s">
        <v>952</v>
      </c>
      <c r="F258" t="s">
        <v>566</v>
      </c>
      <c r="G258" t="s">
        <v>280</v>
      </c>
      <c r="H258" t="s">
        <v>1134</v>
      </c>
      <c r="I258" t="s">
        <v>41</v>
      </c>
      <c r="J258" t="s">
        <v>952</v>
      </c>
      <c r="K258">
        <v>1</v>
      </c>
      <c r="L258">
        <v>6</v>
      </c>
      <c r="M258" t="s">
        <v>39</v>
      </c>
      <c r="N258">
        <v>1</v>
      </c>
      <c r="O258">
        <v>6</v>
      </c>
      <c r="P258">
        <v>1</v>
      </c>
      <c r="Q258" t="s">
        <v>38</v>
      </c>
      <c r="R258">
        <v>8</v>
      </c>
      <c r="S258">
        <v>0</v>
      </c>
      <c r="T258" t="s">
        <v>952</v>
      </c>
      <c r="U258" t="s">
        <v>952</v>
      </c>
      <c r="V258" t="s">
        <v>952</v>
      </c>
      <c r="W258" t="s">
        <v>952</v>
      </c>
      <c r="X258">
        <v>0</v>
      </c>
      <c r="Y258" t="s">
        <v>952</v>
      </c>
      <c r="Z258">
        <v>0</v>
      </c>
      <c r="AA258" t="s">
        <v>952</v>
      </c>
      <c r="AB258" t="s">
        <v>952</v>
      </c>
      <c r="AC258" t="s">
        <v>952</v>
      </c>
      <c r="AD258" t="s">
        <v>952</v>
      </c>
      <c r="AE258">
        <v>0</v>
      </c>
      <c r="AF258" t="s">
        <v>952</v>
      </c>
      <c r="AG258" t="s">
        <v>638</v>
      </c>
      <c r="AH258" t="s">
        <v>952</v>
      </c>
      <c r="AI258"/>
      <c r="AJ258"/>
    </row>
    <row r="259" spans="1:36" x14ac:dyDescent="0.25">
      <c r="A259" t="s">
        <v>486</v>
      </c>
      <c r="B259" t="s">
        <v>567</v>
      </c>
      <c r="C259" t="s">
        <v>951</v>
      </c>
      <c r="D259" t="s">
        <v>562</v>
      </c>
      <c r="E259" t="s">
        <v>952</v>
      </c>
      <c r="F259" t="s">
        <v>568</v>
      </c>
      <c r="G259" t="s">
        <v>952</v>
      </c>
      <c r="H259" t="s">
        <v>1135</v>
      </c>
      <c r="I259" t="s">
        <v>41</v>
      </c>
      <c r="J259" t="s">
        <v>952</v>
      </c>
      <c r="K259">
        <v>1</v>
      </c>
      <c r="L259">
        <v>42</v>
      </c>
      <c r="M259" t="s">
        <v>39</v>
      </c>
      <c r="N259">
        <v>1</v>
      </c>
      <c r="O259">
        <v>42</v>
      </c>
      <c r="P259">
        <v>1</v>
      </c>
      <c r="Q259" t="s">
        <v>38</v>
      </c>
      <c r="R259">
        <v>1</v>
      </c>
      <c r="S259">
        <v>0</v>
      </c>
      <c r="T259" t="s">
        <v>952</v>
      </c>
      <c r="U259" t="s">
        <v>952</v>
      </c>
      <c r="V259" t="s">
        <v>952</v>
      </c>
      <c r="W259" t="s">
        <v>952</v>
      </c>
      <c r="X259">
        <v>0</v>
      </c>
      <c r="Y259" t="s">
        <v>952</v>
      </c>
      <c r="Z259">
        <v>0</v>
      </c>
      <c r="AA259" t="s">
        <v>952</v>
      </c>
      <c r="AB259" t="s">
        <v>952</v>
      </c>
      <c r="AC259" t="s">
        <v>952</v>
      </c>
      <c r="AD259" t="s">
        <v>952</v>
      </c>
      <c r="AE259">
        <v>0</v>
      </c>
      <c r="AF259" t="s">
        <v>952</v>
      </c>
      <c r="AG259" t="s">
        <v>952</v>
      </c>
      <c r="AH259" t="s">
        <v>952</v>
      </c>
      <c r="AI259"/>
      <c r="AJ259"/>
    </row>
    <row r="260" spans="1:36" x14ac:dyDescent="0.25">
      <c r="A260" t="s">
        <v>569</v>
      </c>
      <c r="B260" t="s">
        <v>746</v>
      </c>
      <c r="C260" t="s">
        <v>951</v>
      </c>
      <c r="D260" t="s">
        <v>562</v>
      </c>
      <c r="E260" t="s">
        <v>952</v>
      </c>
      <c r="F260" t="s">
        <v>570</v>
      </c>
      <c r="G260" t="s">
        <v>280</v>
      </c>
      <c r="H260" t="s">
        <v>1136</v>
      </c>
      <c r="I260" t="s">
        <v>41</v>
      </c>
      <c r="J260" t="s">
        <v>952</v>
      </c>
      <c r="K260">
        <v>1</v>
      </c>
      <c r="L260">
        <v>31</v>
      </c>
      <c r="M260" t="s">
        <v>39</v>
      </c>
      <c r="N260">
        <v>1</v>
      </c>
      <c r="O260">
        <v>31</v>
      </c>
      <c r="P260">
        <v>1</v>
      </c>
      <c r="Q260" t="s">
        <v>38</v>
      </c>
      <c r="R260">
        <v>4</v>
      </c>
      <c r="S260">
        <v>0</v>
      </c>
      <c r="T260" t="s">
        <v>952</v>
      </c>
      <c r="U260" t="s">
        <v>952</v>
      </c>
      <c r="V260" t="s">
        <v>952</v>
      </c>
      <c r="W260" t="s">
        <v>952</v>
      </c>
      <c r="X260">
        <v>0</v>
      </c>
      <c r="Y260" t="s">
        <v>952</v>
      </c>
      <c r="Z260">
        <v>0</v>
      </c>
      <c r="AA260" t="s">
        <v>952</v>
      </c>
      <c r="AB260" t="s">
        <v>952</v>
      </c>
      <c r="AC260" t="s">
        <v>952</v>
      </c>
      <c r="AD260" t="s">
        <v>952</v>
      </c>
      <c r="AE260">
        <v>0</v>
      </c>
      <c r="AF260" t="s">
        <v>952</v>
      </c>
      <c r="AG260" t="s">
        <v>638</v>
      </c>
      <c r="AH260" t="s">
        <v>952</v>
      </c>
      <c r="AI260"/>
      <c r="AJ260"/>
    </row>
    <row r="261" spans="1:36" x14ac:dyDescent="0.25">
      <c r="A261" t="s">
        <v>571</v>
      </c>
      <c r="B261" t="s">
        <v>749</v>
      </c>
      <c r="C261" t="s">
        <v>951</v>
      </c>
      <c r="D261" t="s">
        <v>572</v>
      </c>
      <c r="E261" t="s">
        <v>952</v>
      </c>
      <c r="F261" t="s">
        <v>573</v>
      </c>
      <c r="G261" t="s">
        <v>280</v>
      </c>
      <c r="H261" t="s">
        <v>1137</v>
      </c>
      <c r="I261" t="s">
        <v>41</v>
      </c>
      <c r="J261" t="s">
        <v>952</v>
      </c>
      <c r="K261">
        <v>1</v>
      </c>
      <c r="L261">
        <v>2</v>
      </c>
      <c r="M261" t="s">
        <v>33</v>
      </c>
      <c r="N261">
        <v>1</v>
      </c>
      <c r="O261">
        <v>2</v>
      </c>
      <c r="P261">
        <v>1</v>
      </c>
      <c r="Q261" t="s">
        <v>48</v>
      </c>
      <c r="R261">
        <v>4</v>
      </c>
      <c r="S261">
        <v>0</v>
      </c>
      <c r="T261" t="s">
        <v>952</v>
      </c>
      <c r="U261" t="s">
        <v>952</v>
      </c>
      <c r="V261" t="s">
        <v>952</v>
      </c>
      <c r="W261" t="s">
        <v>952</v>
      </c>
      <c r="X261">
        <v>0</v>
      </c>
      <c r="Y261" t="s">
        <v>952</v>
      </c>
      <c r="Z261">
        <v>0</v>
      </c>
      <c r="AA261" t="s">
        <v>952</v>
      </c>
      <c r="AB261" t="s">
        <v>952</v>
      </c>
      <c r="AC261" t="s">
        <v>952</v>
      </c>
      <c r="AD261" t="s">
        <v>952</v>
      </c>
      <c r="AE261">
        <v>0</v>
      </c>
      <c r="AF261" t="s">
        <v>952</v>
      </c>
      <c r="AG261" t="s">
        <v>613</v>
      </c>
      <c r="AH261" t="s">
        <v>952</v>
      </c>
      <c r="AI261"/>
      <c r="AJ261"/>
    </row>
    <row r="262" spans="1:36" x14ac:dyDescent="0.25">
      <c r="A262" t="s">
        <v>574</v>
      </c>
      <c r="B262" t="s">
        <v>755</v>
      </c>
      <c r="C262" t="s">
        <v>951</v>
      </c>
      <c r="D262" t="s">
        <v>572</v>
      </c>
      <c r="E262" t="s">
        <v>952</v>
      </c>
      <c r="F262" t="s">
        <v>575</v>
      </c>
      <c r="G262" t="s">
        <v>280</v>
      </c>
      <c r="H262" t="s">
        <v>1138</v>
      </c>
      <c r="I262" t="s">
        <v>41</v>
      </c>
      <c r="J262" t="s">
        <v>952</v>
      </c>
      <c r="K262">
        <v>1</v>
      </c>
      <c r="L262">
        <v>1</v>
      </c>
      <c r="M262" t="s">
        <v>33</v>
      </c>
      <c r="N262">
        <v>1</v>
      </c>
      <c r="O262">
        <v>1</v>
      </c>
      <c r="P262">
        <v>1</v>
      </c>
      <c r="Q262" t="s">
        <v>48</v>
      </c>
      <c r="R262">
        <v>2</v>
      </c>
      <c r="S262">
        <v>0</v>
      </c>
      <c r="T262" t="s">
        <v>952</v>
      </c>
      <c r="U262" t="s">
        <v>952</v>
      </c>
      <c r="V262" t="s">
        <v>952</v>
      </c>
      <c r="W262" t="s">
        <v>952</v>
      </c>
      <c r="X262">
        <v>0</v>
      </c>
      <c r="Y262" t="s">
        <v>952</v>
      </c>
      <c r="Z262">
        <v>0</v>
      </c>
      <c r="AA262" t="s">
        <v>952</v>
      </c>
      <c r="AB262" t="s">
        <v>952</v>
      </c>
      <c r="AC262" t="s">
        <v>952</v>
      </c>
      <c r="AD262" t="s">
        <v>952</v>
      </c>
      <c r="AE262">
        <v>0</v>
      </c>
      <c r="AF262" t="s">
        <v>952</v>
      </c>
      <c r="AG262" t="s">
        <v>613</v>
      </c>
      <c r="AH262" t="s">
        <v>952</v>
      </c>
      <c r="AI262"/>
      <c r="AJ262"/>
    </row>
    <row r="263" spans="1:36" x14ac:dyDescent="0.25">
      <c r="A263" t="s">
        <v>576</v>
      </c>
      <c r="B263" t="s">
        <v>756</v>
      </c>
      <c r="C263" t="s">
        <v>951</v>
      </c>
      <c r="D263" t="s">
        <v>572</v>
      </c>
      <c r="E263" t="s">
        <v>952</v>
      </c>
      <c r="F263" t="s">
        <v>577</v>
      </c>
      <c r="G263" t="s">
        <v>280</v>
      </c>
      <c r="H263" t="s">
        <v>1139</v>
      </c>
      <c r="I263" t="s">
        <v>41</v>
      </c>
      <c r="J263" t="s">
        <v>952</v>
      </c>
      <c r="K263">
        <v>1</v>
      </c>
      <c r="L263">
        <v>3</v>
      </c>
      <c r="M263" t="s">
        <v>33</v>
      </c>
      <c r="N263">
        <v>1</v>
      </c>
      <c r="O263">
        <v>3</v>
      </c>
      <c r="P263">
        <v>1</v>
      </c>
      <c r="Q263" t="s">
        <v>48</v>
      </c>
      <c r="R263">
        <v>4</v>
      </c>
      <c r="S263">
        <v>0</v>
      </c>
      <c r="T263" t="s">
        <v>952</v>
      </c>
      <c r="U263" t="s">
        <v>952</v>
      </c>
      <c r="V263" t="s">
        <v>952</v>
      </c>
      <c r="W263" t="s">
        <v>952</v>
      </c>
      <c r="X263">
        <v>0</v>
      </c>
      <c r="Y263" t="s">
        <v>952</v>
      </c>
      <c r="Z263">
        <v>0</v>
      </c>
      <c r="AA263" t="s">
        <v>952</v>
      </c>
      <c r="AB263" t="s">
        <v>952</v>
      </c>
      <c r="AC263" t="s">
        <v>952</v>
      </c>
      <c r="AD263" t="s">
        <v>952</v>
      </c>
      <c r="AE263">
        <v>0</v>
      </c>
      <c r="AF263" t="s">
        <v>952</v>
      </c>
      <c r="AG263" t="s">
        <v>952</v>
      </c>
      <c r="AH263" t="s">
        <v>952</v>
      </c>
      <c r="AI263"/>
      <c r="AJ263"/>
    </row>
    <row r="264" spans="1:36" x14ac:dyDescent="0.25">
      <c r="A264" t="s">
        <v>788</v>
      </c>
      <c r="B264" t="s">
        <v>789</v>
      </c>
      <c r="C264" t="s">
        <v>951</v>
      </c>
      <c r="D264" t="s">
        <v>578</v>
      </c>
      <c r="E264" t="s">
        <v>952</v>
      </c>
      <c r="F264" t="s">
        <v>579</v>
      </c>
      <c r="G264" t="s">
        <v>280</v>
      </c>
      <c r="H264" t="s">
        <v>1140</v>
      </c>
      <c r="I264" t="s">
        <v>41</v>
      </c>
      <c r="J264" t="s">
        <v>952</v>
      </c>
      <c r="K264">
        <v>1</v>
      </c>
      <c r="L264">
        <v>3</v>
      </c>
      <c r="M264" t="s">
        <v>33</v>
      </c>
      <c r="N264">
        <v>1</v>
      </c>
      <c r="O264">
        <v>3</v>
      </c>
      <c r="P264">
        <v>1</v>
      </c>
      <c r="Q264" t="s">
        <v>48</v>
      </c>
      <c r="R264">
        <v>1</v>
      </c>
      <c r="S264">
        <v>0</v>
      </c>
      <c r="T264" t="s">
        <v>952</v>
      </c>
      <c r="U264" t="s">
        <v>952</v>
      </c>
      <c r="V264" t="s">
        <v>952</v>
      </c>
      <c r="W264" t="s">
        <v>952</v>
      </c>
      <c r="X264">
        <v>0</v>
      </c>
      <c r="Y264" t="s">
        <v>952</v>
      </c>
      <c r="Z264">
        <v>0</v>
      </c>
      <c r="AA264" t="s">
        <v>952</v>
      </c>
      <c r="AB264" t="s">
        <v>952</v>
      </c>
      <c r="AC264" t="s">
        <v>952</v>
      </c>
      <c r="AD264" t="s">
        <v>952</v>
      </c>
      <c r="AE264">
        <v>0</v>
      </c>
      <c r="AF264" t="s">
        <v>952</v>
      </c>
      <c r="AG264" t="s">
        <v>952</v>
      </c>
      <c r="AH264" t="s">
        <v>952</v>
      </c>
      <c r="AI264"/>
      <c r="AJ264"/>
    </row>
    <row r="265" spans="1:36" x14ac:dyDescent="0.25">
      <c r="A265" t="s">
        <v>760</v>
      </c>
      <c r="B265" t="s">
        <v>761</v>
      </c>
      <c r="C265" t="s">
        <v>951</v>
      </c>
      <c r="D265" t="s">
        <v>578</v>
      </c>
      <c r="E265" t="s">
        <v>952</v>
      </c>
      <c r="F265" t="s">
        <v>579</v>
      </c>
      <c r="G265" t="s">
        <v>280</v>
      </c>
      <c r="H265" t="s">
        <v>1140</v>
      </c>
      <c r="I265" t="s">
        <v>41</v>
      </c>
      <c r="J265" t="s">
        <v>952</v>
      </c>
      <c r="K265">
        <v>1</v>
      </c>
      <c r="L265">
        <v>3</v>
      </c>
      <c r="M265" t="s">
        <v>33</v>
      </c>
      <c r="N265">
        <v>1</v>
      </c>
      <c r="O265">
        <v>3</v>
      </c>
      <c r="P265">
        <v>1</v>
      </c>
      <c r="Q265" t="s">
        <v>48</v>
      </c>
      <c r="R265">
        <v>1</v>
      </c>
      <c r="S265">
        <v>0</v>
      </c>
      <c r="T265" t="s">
        <v>952</v>
      </c>
      <c r="U265" t="s">
        <v>952</v>
      </c>
      <c r="V265" t="s">
        <v>952</v>
      </c>
      <c r="W265" t="s">
        <v>952</v>
      </c>
      <c r="X265">
        <v>0</v>
      </c>
      <c r="Y265" t="s">
        <v>952</v>
      </c>
      <c r="Z265">
        <v>0</v>
      </c>
      <c r="AA265" t="s">
        <v>952</v>
      </c>
      <c r="AB265" t="s">
        <v>952</v>
      </c>
      <c r="AC265" t="s">
        <v>952</v>
      </c>
      <c r="AD265" t="s">
        <v>952</v>
      </c>
      <c r="AE265">
        <v>0</v>
      </c>
      <c r="AF265" t="s">
        <v>952</v>
      </c>
      <c r="AG265" t="s">
        <v>952</v>
      </c>
      <c r="AH265" t="s">
        <v>952</v>
      </c>
      <c r="AI265"/>
      <c r="AJ265"/>
    </row>
    <row r="266" spans="1:36" x14ac:dyDescent="0.25">
      <c r="A266" t="s">
        <v>580</v>
      </c>
      <c r="B266" t="s">
        <v>766</v>
      </c>
      <c r="C266" t="s">
        <v>951</v>
      </c>
      <c r="D266" t="s">
        <v>578</v>
      </c>
      <c r="E266" t="s">
        <v>952</v>
      </c>
      <c r="F266" t="s">
        <v>581</v>
      </c>
      <c r="G266" t="s">
        <v>280</v>
      </c>
      <c r="H266" t="s">
        <v>1141</v>
      </c>
      <c r="I266" t="s">
        <v>41</v>
      </c>
      <c r="J266" t="s">
        <v>952</v>
      </c>
      <c r="K266">
        <v>1</v>
      </c>
      <c r="L266">
        <v>1</v>
      </c>
      <c r="M266" t="s">
        <v>33</v>
      </c>
      <c r="N266">
        <v>1</v>
      </c>
      <c r="O266">
        <v>1</v>
      </c>
      <c r="P266">
        <v>1</v>
      </c>
      <c r="Q266" t="s">
        <v>48</v>
      </c>
      <c r="R266">
        <v>1</v>
      </c>
      <c r="S266">
        <v>0</v>
      </c>
      <c r="T266" t="s">
        <v>952</v>
      </c>
      <c r="U266" t="s">
        <v>952</v>
      </c>
      <c r="V266" t="s">
        <v>952</v>
      </c>
      <c r="W266" t="s">
        <v>952</v>
      </c>
      <c r="X266">
        <v>0</v>
      </c>
      <c r="Y266" t="s">
        <v>952</v>
      </c>
      <c r="Z266">
        <v>0</v>
      </c>
      <c r="AA266" t="s">
        <v>952</v>
      </c>
      <c r="AB266" t="s">
        <v>952</v>
      </c>
      <c r="AC266" t="s">
        <v>952</v>
      </c>
      <c r="AD266" t="s">
        <v>952</v>
      </c>
      <c r="AE266">
        <v>0</v>
      </c>
      <c r="AF266" t="s">
        <v>952</v>
      </c>
      <c r="AG266" t="s">
        <v>952</v>
      </c>
      <c r="AH266" t="s">
        <v>952</v>
      </c>
      <c r="AI266"/>
      <c r="AJ266"/>
    </row>
    <row r="267" spans="1:36" x14ac:dyDescent="0.25">
      <c r="A267" t="s">
        <v>760</v>
      </c>
      <c r="B267" t="s">
        <v>761</v>
      </c>
      <c r="C267" t="s">
        <v>951</v>
      </c>
      <c r="D267" t="s">
        <v>578</v>
      </c>
      <c r="E267" t="s">
        <v>952</v>
      </c>
      <c r="F267" t="s">
        <v>582</v>
      </c>
      <c r="G267" t="s">
        <v>280</v>
      </c>
      <c r="H267" t="s">
        <v>1142</v>
      </c>
      <c r="I267" t="s">
        <v>41</v>
      </c>
      <c r="J267" t="s">
        <v>952</v>
      </c>
      <c r="K267">
        <v>1</v>
      </c>
      <c r="L267">
        <v>1</v>
      </c>
      <c r="M267" t="s">
        <v>33</v>
      </c>
      <c r="N267">
        <v>1</v>
      </c>
      <c r="O267">
        <v>1</v>
      </c>
      <c r="P267">
        <v>1</v>
      </c>
      <c r="Q267" t="s">
        <v>48</v>
      </c>
      <c r="R267">
        <v>1</v>
      </c>
      <c r="S267">
        <v>0</v>
      </c>
      <c r="T267" t="s">
        <v>952</v>
      </c>
      <c r="U267" t="s">
        <v>952</v>
      </c>
      <c r="V267" t="s">
        <v>952</v>
      </c>
      <c r="W267" t="s">
        <v>952</v>
      </c>
      <c r="X267">
        <v>0</v>
      </c>
      <c r="Y267" t="s">
        <v>952</v>
      </c>
      <c r="Z267">
        <v>0</v>
      </c>
      <c r="AA267" t="s">
        <v>952</v>
      </c>
      <c r="AB267" t="s">
        <v>952</v>
      </c>
      <c r="AC267" t="s">
        <v>952</v>
      </c>
      <c r="AD267" t="s">
        <v>952</v>
      </c>
      <c r="AE267">
        <v>0</v>
      </c>
      <c r="AF267" t="s">
        <v>952</v>
      </c>
      <c r="AG267" t="s">
        <v>952</v>
      </c>
      <c r="AH267" t="s">
        <v>952</v>
      </c>
      <c r="AI267"/>
      <c r="AJ267"/>
    </row>
    <row r="268" spans="1:36" x14ac:dyDescent="0.25">
      <c r="A268" t="s">
        <v>785</v>
      </c>
      <c r="B268" t="s">
        <v>786</v>
      </c>
      <c r="C268" t="s">
        <v>951</v>
      </c>
      <c r="D268" t="s">
        <v>578</v>
      </c>
      <c r="E268" t="s">
        <v>952</v>
      </c>
      <c r="F268" t="s">
        <v>582</v>
      </c>
      <c r="G268" t="s">
        <v>280</v>
      </c>
      <c r="H268" t="s">
        <v>1142</v>
      </c>
      <c r="I268" t="s">
        <v>41</v>
      </c>
      <c r="J268" t="s">
        <v>952</v>
      </c>
      <c r="K268">
        <v>1</v>
      </c>
      <c r="L268">
        <v>1</v>
      </c>
      <c r="M268" t="s">
        <v>33</v>
      </c>
      <c r="N268">
        <v>1</v>
      </c>
      <c r="O268">
        <v>1</v>
      </c>
      <c r="P268">
        <v>1</v>
      </c>
      <c r="Q268" t="s">
        <v>48</v>
      </c>
      <c r="R268">
        <v>1</v>
      </c>
      <c r="S268">
        <v>0</v>
      </c>
      <c r="T268" t="s">
        <v>952</v>
      </c>
      <c r="U268" t="s">
        <v>952</v>
      </c>
      <c r="V268" t="s">
        <v>952</v>
      </c>
      <c r="W268" t="s">
        <v>952</v>
      </c>
      <c r="X268">
        <v>0</v>
      </c>
      <c r="Y268" t="s">
        <v>952</v>
      </c>
      <c r="Z268">
        <v>0</v>
      </c>
      <c r="AA268" t="s">
        <v>952</v>
      </c>
      <c r="AB268" t="s">
        <v>952</v>
      </c>
      <c r="AC268" t="s">
        <v>952</v>
      </c>
      <c r="AD268" t="s">
        <v>952</v>
      </c>
      <c r="AE268">
        <v>0</v>
      </c>
      <c r="AF268" t="s">
        <v>952</v>
      </c>
      <c r="AG268" t="s">
        <v>952</v>
      </c>
      <c r="AH268" t="s">
        <v>952</v>
      </c>
      <c r="AI268"/>
      <c r="AJ268"/>
    </row>
    <row r="269" spans="1:36" x14ac:dyDescent="0.25">
      <c r="A269" t="s">
        <v>769</v>
      </c>
      <c r="B269" t="s">
        <v>770</v>
      </c>
      <c r="C269" t="s">
        <v>951</v>
      </c>
      <c r="D269" t="s">
        <v>583</v>
      </c>
      <c r="E269" t="s">
        <v>952</v>
      </c>
      <c r="F269" t="s">
        <v>584</v>
      </c>
      <c r="G269" t="s">
        <v>280</v>
      </c>
      <c r="H269" t="s">
        <v>1143</v>
      </c>
      <c r="I269" t="s">
        <v>41</v>
      </c>
      <c r="J269" t="s">
        <v>952</v>
      </c>
      <c r="K269">
        <v>1</v>
      </c>
      <c r="L269">
        <v>4</v>
      </c>
      <c r="M269" t="s">
        <v>33</v>
      </c>
      <c r="N269">
        <v>1</v>
      </c>
      <c r="O269">
        <v>4</v>
      </c>
      <c r="P269">
        <v>1</v>
      </c>
      <c r="Q269" t="s">
        <v>48</v>
      </c>
      <c r="R269">
        <v>1</v>
      </c>
      <c r="S269">
        <v>0</v>
      </c>
      <c r="T269" t="s">
        <v>952</v>
      </c>
      <c r="U269" t="s">
        <v>952</v>
      </c>
      <c r="V269" t="s">
        <v>952</v>
      </c>
      <c r="W269" t="s">
        <v>952</v>
      </c>
      <c r="X269">
        <v>0</v>
      </c>
      <c r="Y269" t="s">
        <v>952</v>
      </c>
      <c r="Z269">
        <v>0</v>
      </c>
      <c r="AA269" t="s">
        <v>952</v>
      </c>
      <c r="AB269" t="s">
        <v>952</v>
      </c>
      <c r="AC269" t="s">
        <v>952</v>
      </c>
      <c r="AD269" t="s">
        <v>952</v>
      </c>
      <c r="AE269">
        <v>0</v>
      </c>
      <c r="AF269" t="s">
        <v>952</v>
      </c>
      <c r="AG269" t="s">
        <v>952</v>
      </c>
      <c r="AH269" t="s">
        <v>952</v>
      </c>
      <c r="AI269"/>
      <c r="AJ269"/>
    </row>
    <row r="270" spans="1:36" x14ac:dyDescent="0.25">
      <c r="A270" t="s">
        <v>681</v>
      </c>
      <c r="B270" t="s">
        <v>682</v>
      </c>
      <c r="C270" t="s">
        <v>951</v>
      </c>
      <c r="D270" t="s">
        <v>583</v>
      </c>
      <c r="E270" t="s">
        <v>952</v>
      </c>
      <c r="F270" t="s">
        <v>584</v>
      </c>
      <c r="G270" t="s">
        <v>280</v>
      </c>
      <c r="H270" t="s">
        <v>1143</v>
      </c>
      <c r="I270" t="s">
        <v>41</v>
      </c>
      <c r="J270" t="s">
        <v>952</v>
      </c>
      <c r="K270">
        <v>1</v>
      </c>
      <c r="L270">
        <v>4</v>
      </c>
      <c r="M270" t="s">
        <v>33</v>
      </c>
      <c r="N270">
        <v>1</v>
      </c>
      <c r="O270">
        <v>4</v>
      </c>
      <c r="P270">
        <v>1</v>
      </c>
      <c r="Q270" t="s">
        <v>48</v>
      </c>
      <c r="R270">
        <v>1</v>
      </c>
      <c r="S270">
        <v>0</v>
      </c>
      <c r="T270" t="s">
        <v>952</v>
      </c>
      <c r="U270" t="s">
        <v>952</v>
      </c>
      <c r="V270" t="s">
        <v>952</v>
      </c>
      <c r="W270" t="s">
        <v>952</v>
      </c>
      <c r="X270">
        <v>0</v>
      </c>
      <c r="Y270" t="s">
        <v>952</v>
      </c>
      <c r="Z270">
        <v>0</v>
      </c>
      <c r="AA270" t="s">
        <v>952</v>
      </c>
      <c r="AB270" t="s">
        <v>952</v>
      </c>
      <c r="AC270" t="s">
        <v>952</v>
      </c>
      <c r="AD270" t="s">
        <v>952</v>
      </c>
      <c r="AE270">
        <v>0</v>
      </c>
      <c r="AF270" t="s">
        <v>952</v>
      </c>
      <c r="AG270" t="s">
        <v>952</v>
      </c>
      <c r="AH270" t="s">
        <v>952</v>
      </c>
      <c r="AI270"/>
      <c r="AJ270"/>
    </row>
    <row r="271" spans="1:36" x14ac:dyDescent="0.25">
      <c r="A271" t="s">
        <v>585</v>
      </c>
      <c r="B271" t="s">
        <v>767</v>
      </c>
      <c r="C271" t="s">
        <v>951</v>
      </c>
      <c r="D271" t="s">
        <v>583</v>
      </c>
      <c r="E271" t="s">
        <v>952</v>
      </c>
      <c r="F271" t="s">
        <v>586</v>
      </c>
      <c r="G271" t="s">
        <v>280</v>
      </c>
      <c r="H271" t="s">
        <v>1144</v>
      </c>
      <c r="I271" t="s">
        <v>41</v>
      </c>
      <c r="J271" t="s">
        <v>952</v>
      </c>
      <c r="K271">
        <v>1</v>
      </c>
      <c r="L271">
        <v>4</v>
      </c>
      <c r="M271" t="s">
        <v>33</v>
      </c>
      <c r="N271">
        <v>1</v>
      </c>
      <c r="O271">
        <v>4</v>
      </c>
      <c r="P271">
        <v>1</v>
      </c>
      <c r="Q271" t="s">
        <v>48</v>
      </c>
      <c r="R271">
        <v>1</v>
      </c>
      <c r="S271">
        <v>0</v>
      </c>
      <c r="T271" t="s">
        <v>952</v>
      </c>
      <c r="U271" t="s">
        <v>952</v>
      </c>
      <c r="V271" t="s">
        <v>952</v>
      </c>
      <c r="W271" t="s">
        <v>952</v>
      </c>
      <c r="X271">
        <v>0</v>
      </c>
      <c r="Y271" t="s">
        <v>952</v>
      </c>
      <c r="Z271">
        <v>0</v>
      </c>
      <c r="AA271" t="s">
        <v>952</v>
      </c>
      <c r="AB271" t="s">
        <v>952</v>
      </c>
      <c r="AC271" t="s">
        <v>952</v>
      </c>
      <c r="AD271" t="s">
        <v>952</v>
      </c>
      <c r="AE271">
        <v>0</v>
      </c>
      <c r="AF271" t="s">
        <v>952</v>
      </c>
      <c r="AG271" t="s">
        <v>952</v>
      </c>
      <c r="AH271" t="s">
        <v>952</v>
      </c>
      <c r="AI271"/>
      <c r="AJ271"/>
    </row>
    <row r="272" spans="1:36" x14ac:dyDescent="0.25">
      <c r="A272" t="s">
        <v>587</v>
      </c>
      <c r="B272" t="s">
        <v>768</v>
      </c>
      <c r="C272" t="s">
        <v>951</v>
      </c>
      <c r="D272" t="s">
        <v>583</v>
      </c>
      <c r="E272" t="s">
        <v>952</v>
      </c>
      <c r="F272" t="s">
        <v>588</v>
      </c>
      <c r="G272" t="s">
        <v>280</v>
      </c>
      <c r="H272" t="s">
        <v>1145</v>
      </c>
      <c r="I272" t="s">
        <v>41</v>
      </c>
      <c r="J272" t="s">
        <v>952</v>
      </c>
      <c r="K272">
        <v>1</v>
      </c>
      <c r="L272">
        <v>2</v>
      </c>
      <c r="M272" t="s">
        <v>33</v>
      </c>
      <c r="N272">
        <v>1</v>
      </c>
      <c r="O272">
        <v>2</v>
      </c>
      <c r="P272">
        <v>1</v>
      </c>
      <c r="Q272" t="s">
        <v>48</v>
      </c>
      <c r="R272">
        <v>1</v>
      </c>
      <c r="S272">
        <v>0</v>
      </c>
      <c r="T272" t="s">
        <v>952</v>
      </c>
      <c r="U272" t="s">
        <v>952</v>
      </c>
      <c r="V272" t="s">
        <v>952</v>
      </c>
      <c r="W272" t="s">
        <v>952</v>
      </c>
      <c r="X272">
        <v>0</v>
      </c>
      <c r="Y272" t="s">
        <v>952</v>
      </c>
      <c r="Z272">
        <v>0</v>
      </c>
      <c r="AA272" t="s">
        <v>952</v>
      </c>
      <c r="AB272" t="s">
        <v>952</v>
      </c>
      <c r="AC272" t="s">
        <v>952</v>
      </c>
      <c r="AD272" t="s">
        <v>952</v>
      </c>
      <c r="AE272">
        <v>0</v>
      </c>
      <c r="AF272" t="s">
        <v>952</v>
      </c>
      <c r="AG272" t="s">
        <v>952</v>
      </c>
      <c r="AH272" t="s">
        <v>952</v>
      </c>
      <c r="AI272"/>
      <c r="AJ272"/>
    </row>
    <row r="273" spans="1:36" x14ac:dyDescent="0.25">
      <c r="A273" t="s">
        <v>589</v>
      </c>
      <c r="B273" t="s">
        <v>590</v>
      </c>
      <c r="C273" t="s">
        <v>951</v>
      </c>
      <c r="D273" t="s">
        <v>583</v>
      </c>
      <c r="E273" t="s">
        <v>952</v>
      </c>
      <c r="F273" t="s">
        <v>591</v>
      </c>
      <c r="G273" t="s">
        <v>952</v>
      </c>
      <c r="H273" t="s">
        <v>1146</v>
      </c>
      <c r="I273" t="s">
        <v>41</v>
      </c>
      <c r="J273" t="s">
        <v>952</v>
      </c>
      <c r="K273">
        <v>1</v>
      </c>
      <c r="L273">
        <v>1</v>
      </c>
      <c r="M273" t="s">
        <v>33</v>
      </c>
      <c r="N273">
        <v>1</v>
      </c>
      <c r="O273">
        <v>1</v>
      </c>
      <c r="P273">
        <v>1</v>
      </c>
      <c r="Q273" t="s">
        <v>48</v>
      </c>
      <c r="R273">
        <v>1</v>
      </c>
      <c r="S273">
        <v>0</v>
      </c>
      <c r="T273" t="s">
        <v>952</v>
      </c>
      <c r="U273" t="s">
        <v>952</v>
      </c>
      <c r="V273" t="s">
        <v>952</v>
      </c>
      <c r="W273" t="s">
        <v>952</v>
      </c>
      <c r="X273">
        <v>0</v>
      </c>
      <c r="Y273" t="s">
        <v>952</v>
      </c>
      <c r="Z273">
        <v>0</v>
      </c>
      <c r="AA273" t="s">
        <v>952</v>
      </c>
      <c r="AB273" t="s">
        <v>952</v>
      </c>
      <c r="AC273" t="s">
        <v>952</v>
      </c>
      <c r="AD273" t="s">
        <v>952</v>
      </c>
      <c r="AE273">
        <v>0</v>
      </c>
      <c r="AF273" t="s">
        <v>952</v>
      </c>
      <c r="AG273" t="s">
        <v>952</v>
      </c>
      <c r="AH273" t="s">
        <v>952</v>
      </c>
      <c r="AI273"/>
      <c r="AJ273"/>
    </row>
    <row r="274" spans="1:36" x14ac:dyDescent="0.25">
      <c r="A274" t="s">
        <v>629</v>
      </c>
      <c r="B274" t="s">
        <v>630</v>
      </c>
      <c r="C274" t="s">
        <v>951</v>
      </c>
      <c r="D274" t="s">
        <v>583</v>
      </c>
      <c r="E274" t="s">
        <v>952</v>
      </c>
      <c r="F274" t="s">
        <v>592</v>
      </c>
      <c r="G274" t="s">
        <v>280</v>
      </c>
      <c r="H274" t="s">
        <v>1147</v>
      </c>
      <c r="I274" t="s">
        <v>41</v>
      </c>
      <c r="J274" t="s">
        <v>952</v>
      </c>
      <c r="K274">
        <v>1</v>
      </c>
      <c r="L274">
        <v>1</v>
      </c>
      <c r="M274" t="s">
        <v>33</v>
      </c>
      <c r="N274">
        <v>1</v>
      </c>
      <c r="O274">
        <v>1</v>
      </c>
      <c r="P274">
        <v>1</v>
      </c>
      <c r="Q274" t="s">
        <v>48</v>
      </c>
      <c r="R274">
        <v>1</v>
      </c>
      <c r="S274">
        <v>0</v>
      </c>
      <c r="T274" t="s">
        <v>952</v>
      </c>
      <c r="U274" t="s">
        <v>952</v>
      </c>
      <c r="V274" t="s">
        <v>952</v>
      </c>
      <c r="W274" t="s">
        <v>952</v>
      </c>
      <c r="X274">
        <v>0</v>
      </c>
      <c r="Y274" t="s">
        <v>952</v>
      </c>
      <c r="Z274">
        <v>0</v>
      </c>
      <c r="AA274" t="s">
        <v>952</v>
      </c>
      <c r="AB274" t="s">
        <v>952</v>
      </c>
      <c r="AC274" t="s">
        <v>952</v>
      </c>
      <c r="AD274" t="s">
        <v>952</v>
      </c>
      <c r="AE274">
        <v>0</v>
      </c>
      <c r="AF274" t="s">
        <v>952</v>
      </c>
      <c r="AG274" t="s">
        <v>952</v>
      </c>
      <c r="AH274" t="s">
        <v>952</v>
      </c>
      <c r="AI274"/>
      <c r="AJ274"/>
    </row>
    <row r="275" spans="1:36" x14ac:dyDescent="0.25">
      <c r="A275" t="s">
        <v>633</v>
      </c>
      <c r="B275" t="s">
        <v>634</v>
      </c>
      <c r="C275" t="s">
        <v>951</v>
      </c>
      <c r="D275" t="s">
        <v>583</v>
      </c>
      <c r="E275" t="s">
        <v>952</v>
      </c>
      <c r="F275" t="s">
        <v>592</v>
      </c>
      <c r="G275" t="s">
        <v>280</v>
      </c>
      <c r="H275" t="s">
        <v>1147</v>
      </c>
      <c r="I275" t="s">
        <v>41</v>
      </c>
      <c r="J275" t="s">
        <v>952</v>
      </c>
      <c r="K275">
        <v>1</v>
      </c>
      <c r="L275">
        <v>1</v>
      </c>
      <c r="M275" t="s">
        <v>33</v>
      </c>
      <c r="N275">
        <v>1</v>
      </c>
      <c r="O275">
        <v>1</v>
      </c>
      <c r="P275">
        <v>1</v>
      </c>
      <c r="Q275" t="s">
        <v>48</v>
      </c>
      <c r="R275">
        <v>1</v>
      </c>
      <c r="S275">
        <v>0</v>
      </c>
      <c r="T275" t="s">
        <v>952</v>
      </c>
      <c r="U275" t="s">
        <v>952</v>
      </c>
      <c r="V275" t="s">
        <v>952</v>
      </c>
      <c r="W275" t="s">
        <v>952</v>
      </c>
      <c r="X275">
        <v>0</v>
      </c>
      <c r="Y275" t="s">
        <v>952</v>
      </c>
      <c r="Z275">
        <v>0</v>
      </c>
      <c r="AA275" t="s">
        <v>952</v>
      </c>
      <c r="AB275" t="s">
        <v>952</v>
      </c>
      <c r="AC275" t="s">
        <v>952</v>
      </c>
      <c r="AD275" t="s">
        <v>952</v>
      </c>
      <c r="AE275">
        <v>0</v>
      </c>
      <c r="AF275" t="s">
        <v>952</v>
      </c>
      <c r="AG275" t="s">
        <v>952</v>
      </c>
      <c r="AH275" t="s">
        <v>952</v>
      </c>
      <c r="AI275"/>
      <c r="AJ275"/>
    </row>
    <row r="276" spans="1:36" x14ac:dyDescent="0.25">
      <c r="A276" t="s">
        <v>601</v>
      </c>
      <c r="B276" t="s">
        <v>602</v>
      </c>
      <c r="C276" t="s">
        <v>951</v>
      </c>
      <c r="D276" t="s">
        <v>593</v>
      </c>
      <c r="E276" t="s">
        <v>952</v>
      </c>
      <c r="F276" t="s">
        <v>594</v>
      </c>
      <c r="G276" t="s">
        <v>280</v>
      </c>
      <c r="H276" t="s">
        <v>1148</v>
      </c>
      <c r="I276" t="s">
        <v>35</v>
      </c>
      <c r="J276" t="s">
        <v>952</v>
      </c>
      <c r="K276">
        <v>80</v>
      </c>
      <c r="L276">
        <v>2</v>
      </c>
      <c r="M276" t="s">
        <v>44</v>
      </c>
      <c r="N276">
        <v>1</v>
      </c>
      <c r="O276">
        <v>2</v>
      </c>
      <c r="P276">
        <v>1</v>
      </c>
      <c r="Q276" t="s">
        <v>38</v>
      </c>
      <c r="R276" t="s">
        <v>952</v>
      </c>
      <c r="S276">
        <v>0</v>
      </c>
      <c r="T276" t="s">
        <v>952</v>
      </c>
      <c r="U276" t="s">
        <v>952</v>
      </c>
      <c r="V276" t="s">
        <v>952</v>
      </c>
      <c r="W276" t="s">
        <v>952</v>
      </c>
      <c r="X276" t="s">
        <v>952</v>
      </c>
      <c r="Y276" t="s">
        <v>952</v>
      </c>
      <c r="Z276">
        <v>0</v>
      </c>
      <c r="AA276" t="s">
        <v>952</v>
      </c>
      <c r="AB276" t="s">
        <v>952</v>
      </c>
      <c r="AC276" t="s">
        <v>952</v>
      </c>
      <c r="AD276" t="s">
        <v>952</v>
      </c>
      <c r="AE276">
        <v>0</v>
      </c>
      <c r="AF276" t="s">
        <v>952</v>
      </c>
      <c r="AG276" t="s">
        <v>952</v>
      </c>
      <c r="AH276" t="s">
        <v>952</v>
      </c>
      <c r="AI276"/>
      <c r="AJ276"/>
    </row>
    <row r="277" spans="1:36" x14ac:dyDescent="0.25">
      <c r="A277" t="s">
        <v>604</v>
      </c>
      <c r="B277" t="s">
        <v>605</v>
      </c>
      <c r="C277" t="s">
        <v>951</v>
      </c>
      <c r="D277" t="s">
        <v>593</v>
      </c>
      <c r="E277" t="s">
        <v>952</v>
      </c>
      <c r="F277" t="s">
        <v>594</v>
      </c>
      <c r="G277" t="s">
        <v>280</v>
      </c>
      <c r="H277" t="s">
        <v>1148</v>
      </c>
      <c r="I277" t="s">
        <v>35</v>
      </c>
      <c r="J277" t="s">
        <v>952</v>
      </c>
      <c r="K277">
        <v>80</v>
      </c>
      <c r="L277">
        <v>2</v>
      </c>
      <c r="M277" t="s">
        <v>44</v>
      </c>
      <c r="N277">
        <v>1</v>
      </c>
      <c r="O277">
        <v>2</v>
      </c>
      <c r="P277">
        <v>1</v>
      </c>
      <c r="Q277" t="s">
        <v>38</v>
      </c>
      <c r="R277" t="s">
        <v>952</v>
      </c>
      <c r="S277">
        <v>0</v>
      </c>
      <c r="T277" t="s">
        <v>952</v>
      </c>
      <c r="U277" t="s">
        <v>952</v>
      </c>
      <c r="V277" t="s">
        <v>952</v>
      </c>
      <c r="W277" t="s">
        <v>952</v>
      </c>
      <c r="X277" t="s">
        <v>952</v>
      </c>
      <c r="Y277" t="s">
        <v>952</v>
      </c>
      <c r="Z277">
        <v>0</v>
      </c>
      <c r="AA277" t="s">
        <v>952</v>
      </c>
      <c r="AB277" t="s">
        <v>952</v>
      </c>
      <c r="AC277" t="s">
        <v>952</v>
      </c>
      <c r="AD277" t="s">
        <v>952</v>
      </c>
      <c r="AE277">
        <v>0</v>
      </c>
      <c r="AF277" t="s">
        <v>952</v>
      </c>
      <c r="AG277" t="s">
        <v>952</v>
      </c>
      <c r="AH277" t="s">
        <v>952</v>
      </c>
      <c r="AI277"/>
      <c r="AJ277"/>
    </row>
    <row r="278" spans="1:36" x14ac:dyDescent="0.25">
      <c r="A278" t="s">
        <v>611</v>
      </c>
      <c r="B278" t="s">
        <v>612</v>
      </c>
      <c r="C278" t="s">
        <v>951</v>
      </c>
      <c r="D278" t="s">
        <v>593</v>
      </c>
      <c r="E278" t="s">
        <v>952</v>
      </c>
      <c r="F278" t="s">
        <v>1149</v>
      </c>
      <c r="G278" t="s">
        <v>280</v>
      </c>
      <c r="H278" t="s">
        <v>1150</v>
      </c>
      <c r="I278" t="s">
        <v>35</v>
      </c>
      <c r="J278" t="s">
        <v>952</v>
      </c>
      <c r="K278">
        <v>40</v>
      </c>
      <c r="L278">
        <v>2</v>
      </c>
      <c r="M278" t="s">
        <v>44</v>
      </c>
      <c r="N278">
        <v>1</v>
      </c>
      <c r="O278">
        <v>2</v>
      </c>
      <c r="P278">
        <v>1</v>
      </c>
      <c r="Q278" t="s">
        <v>38</v>
      </c>
      <c r="R278" t="s">
        <v>952</v>
      </c>
      <c r="S278">
        <v>0</v>
      </c>
      <c r="T278" t="s">
        <v>952</v>
      </c>
      <c r="U278" t="s">
        <v>952</v>
      </c>
      <c r="V278" t="s">
        <v>952</v>
      </c>
      <c r="W278" t="s">
        <v>952</v>
      </c>
      <c r="X278" t="s">
        <v>952</v>
      </c>
      <c r="Y278" t="s">
        <v>952</v>
      </c>
      <c r="Z278">
        <v>0</v>
      </c>
      <c r="AA278" t="s">
        <v>952</v>
      </c>
      <c r="AB278" t="s">
        <v>952</v>
      </c>
      <c r="AC278" t="s">
        <v>952</v>
      </c>
      <c r="AD278" t="s">
        <v>952</v>
      </c>
      <c r="AE278">
        <v>0</v>
      </c>
      <c r="AF278" t="s">
        <v>952</v>
      </c>
      <c r="AG278" t="s">
        <v>952</v>
      </c>
      <c r="AH278" t="s">
        <v>952</v>
      </c>
      <c r="AI278"/>
      <c r="AJ278"/>
    </row>
    <row r="279" spans="1:36" x14ac:dyDescent="0.25">
      <c r="A279" t="s">
        <v>614</v>
      </c>
      <c r="B279" t="s">
        <v>615</v>
      </c>
      <c r="C279" t="s">
        <v>951</v>
      </c>
      <c r="D279" t="s">
        <v>593</v>
      </c>
      <c r="E279" t="s">
        <v>952</v>
      </c>
      <c r="F279" t="s">
        <v>1151</v>
      </c>
      <c r="G279" t="s">
        <v>280</v>
      </c>
      <c r="H279" t="s">
        <v>1152</v>
      </c>
      <c r="I279" t="s">
        <v>35</v>
      </c>
      <c r="J279" t="s">
        <v>952</v>
      </c>
      <c r="K279">
        <v>40</v>
      </c>
      <c r="L279">
        <v>2</v>
      </c>
      <c r="M279" t="s">
        <v>44</v>
      </c>
      <c r="N279">
        <v>1</v>
      </c>
      <c r="O279">
        <v>2</v>
      </c>
      <c r="P279">
        <v>1</v>
      </c>
      <c r="Q279" t="s">
        <v>38</v>
      </c>
      <c r="R279" t="s">
        <v>952</v>
      </c>
      <c r="S279">
        <v>0</v>
      </c>
      <c r="T279" t="s">
        <v>952</v>
      </c>
      <c r="U279" t="s">
        <v>952</v>
      </c>
      <c r="V279" t="s">
        <v>952</v>
      </c>
      <c r="W279" t="s">
        <v>952</v>
      </c>
      <c r="X279" t="s">
        <v>952</v>
      </c>
      <c r="Y279" t="s">
        <v>952</v>
      </c>
      <c r="Z279">
        <v>0</v>
      </c>
      <c r="AA279" t="s">
        <v>952</v>
      </c>
      <c r="AB279" t="s">
        <v>952</v>
      </c>
      <c r="AC279" t="s">
        <v>952</v>
      </c>
      <c r="AD279" t="s">
        <v>952</v>
      </c>
      <c r="AE279">
        <v>0</v>
      </c>
      <c r="AF279" t="s">
        <v>952</v>
      </c>
      <c r="AG279" t="s">
        <v>952</v>
      </c>
      <c r="AH279" t="s">
        <v>952</v>
      </c>
      <c r="AI279"/>
      <c r="AJ279"/>
    </row>
    <row r="280" spans="1:36" x14ac:dyDescent="0.25">
      <c r="A280" t="s">
        <v>595</v>
      </c>
      <c r="B280" t="s">
        <v>596</v>
      </c>
      <c r="C280" t="s">
        <v>951</v>
      </c>
      <c r="D280" t="s">
        <v>583</v>
      </c>
      <c r="E280" t="s">
        <v>952</v>
      </c>
      <c r="F280" t="s">
        <v>597</v>
      </c>
      <c r="G280" t="s">
        <v>952</v>
      </c>
      <c r="H280" t="s">
        <v>1153</v>
      </c>
      <c r="I280" t="s">
        <v>35</v>
      </c>
      <c r="J280" t="s">
        <v>952</v>
      </c>
      <c r="K280">
        <v>1</v>
      </c>
      <c r="L280">
        <v>1</v>
      </c>
      <c r="M280" t="s">
        <v>33</v>
      </c>
      <c r="N280">
        <v>1</v>
      </c>
      <c r="O280">
        <v>1</v>
      </c>
      <c r="P280">
        <v>1</v>
      </c>
      <c r="Q280" t="s">
        <v>48</v>
      </c>
      <c r="R280">
        <v>0</v>
      </c>
      <c r="S280">
        <v>0</v>
      </c>
      <c r="T280" t="s">
        <v>952</v>
      </c>
      <c r="U280" t="s">
        <v>952</v>
      </c>
      <c r="V280" t="s">
        <v>952</v>
      </c>
      <c r="W280" t="s">
        <v>952</v>
      </c>
      <c r="X280">
        <v>0</v>
      </c>
      <c r="Y280" t="s">
        <v>952</v>
      </c>
      <c r="Z280">
        <v>0</v>
      </c>
      <c r="AA280" t="s">
        <v>952</v>
      </c>
      <c r="AB280" t="s">
        <v>952</v>
      </c>
      <c r="AC280" t="s">
        <v>952</v>
      </c>
      <c r="AD280" t="s">
        <v>952</v>
      </c>
      <c r="AE280">
        <v>0</v>
      </c>
      <c r="AF280" t="s">
        <v>952</v>
      </c>
      <c r="AG280" t="s">
        <v>952</v>
      </c>
      <c r="AH280" t="s">
        <v>952</v>
      </c>
      <c r="AI280"/>
      <c r="AJ280"/>
    </row>
  </sheetData>
  <sheetProtection insertColumns="0" insertRows="0" deleteRows="0" sort="0"/>
  <autoFilter ref="A5:AH211" xr:uid="{00000000-0009-0000-0000-000002000000}"/>
  <mergeCells count="7">
    <mergeCell ref="A1:AH1"/>
    <mergeCell ref="A3:AH3"/>
    <mergeCell ref="A2:J2"/>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5513F172-4253-4807-A8CE-34D720193895}">
          <x14:formula1>
            <xm:f>'List Options'!$G$1:$G$3</xm:f>
          </x14:formula1>
          <xm:sqref>M206:M208</xm:sqref>
        </x14:dataValidation>
        <x14:dataValidation type="list" allowBlank="1" showInputMessage="1" showErrorMessage="1" xr:uid="{F3EA239A-476E-4590-924A-7BA0D177C467}">
          <x14:formula1>
            <xm:f>'List Options'!$E$1:$E$6</xm:f>
          </x14:formula1>
          <xm:sqref>Q206:Q208</xm:sqref>
        </x14:dataValidation>
        <x14:dataValidation type="list" allowBlank="1" showInputMessage="1" showErrorMessage="1" xr:uid="{237AC15D-702E-46B4-89E7-DAB1EF5DAEB1}">
          <x14:formula1>
            <xm:f>'List Options'!$E$1:$E$7</xm:f>
          </x14:formula1>
          <xm:sqref>Q6:Q205</xm:sqref>
        </x14:dataValidation>
        <x14:dataValidation type="list" allowBlank="1" showInputMessage="1" showErrorMessage="1" xr:uid="{8B92A7F6-7ABF-446A-A0A1-23D59ABEAA7C}">
          <x14:formula1>
            <xm:f>'List Options'!$K$1:$K$6</xm:f>
          </x14:formula1>
          <xm:sqref>I6:I208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W153"/>
  <sheetViews>
    <sheetView workbookViewId="0">
      <pane xSplit="4" ySplit="6" topLeftCell="L63" activePane="bottomRight" state="frozen"/>
      <selection pane="topRight" activeCell="D1" sqref="D1"/>
      <selection pane="bottomLeft" activeCell="A3" sqref="A3"/>
      <selection pane="bottomRight" activeCell="D75" sqref="D75"/>
    </sheetView>
  </sheetViews>
  <sheetFormatPr defaultColWidth="8.5703125" defaultRowHeight="15" x14ac:dyDescent="0.25"/>
  <cols>
    <col min="1" max="1" width="16.85546875" style="183" bestFit="1" customWidth="1"/>
    <col min="2" max="2" width="60.7109375" style="192" customWidth="1"/>
    <col min="3" max="3" width="9.85546875" style="192" bestFit="1" customWidth="1"/>
    <col min="4" max="4" width="27.28515625" style="183" customWidth="1"/>
    <col min="5" max="5" width="14.140625" style="192" bestFit="1" customWidth="1"/>
    <col min="6" max="6" width="11.140625" style="192" bestFit="1" customWidth="1"/>
    <col min="7" max="7" width="11.28515625" style="192" bestFit="1" customWidth="1"/>
    <col min="8" max="8" width="14.28515625" style="192" bestFit="1" customWidth="1"/>
    <col min="9" max="9" width="8.28515625" style="194" bestFit="1" customWidth="1"/>
    <col min="10" max="10" width="20" style="194" bestFit="1" customWidth="1"/>
    <col min="11" max="11" width="13.140625" style="198" customWidth="1"/>
    <col min="12" max="12" width="15.140625" style="198" customWidth="1"/>
    <col min="13" max="13" width="12" style="199" bestFit="1" customWidth="1"/>
    <col min="14" max="14" width="10.85546875" style="199" bestFit="1" customWidth="1"/>
    <col min="15" max="15" width="13.5703125" style="198" bestFit="1" customWidth="1"/>
    <col min="16" max="16" width="12.85546875" style="80" bestFit="1" customWidth="1"/>
    <col min="17" max="17" width="10.85546875" style="80" bestFit="1" customWidth="1"/>
    <col min="18" max="19" width="13.5703125" style="202" bestFit="1" customWidth="1"/>
    <col min="20" max="20" width="13.85546875" style="203" bestFit="1" customWidth="1"/>
    <col min="21" max="21" width="6.5703125" style="183" bestFit="1" customWidth="1"/>
    <col min="22" max="22" width="45.7109375" style="183" customWidth="1"/>
    <col min="23" max="16384" width="8.5703125" style="183"/>
  </cols>
  <sheetData>
    <row r="1" spans="1:23" s="178" customFormat="1" ht="19.5" thickBot="1" x14ac:dyDescent="0.3">
      <c r="A1" s="591" t="s">
        <v>598</v>
      </c>
      <c r="B1" s="567"/>
      <c r="C1" s="567"/>
      <c r="D1" s="567"/>
      <c r="E1" s="567"/>
      <c r="F1" s="567"/>
      <c r="G1" s="567"/>
      <c r="H1" s="567"/>
      <c r="I1" s="567"/>
      <c r="J1" s="567"/>
      <c r="K1" s="567"/>
      <c r="L1" s="567"/>
      <c r="M1" s="567"/>
      <c r="N1" s="567"/>
      <c r="O1" s="567"/>
      <c r="P1" s="567"/>
      <c r="Q1" s="567"/>
      <c r="R1" s="567"/>
      <c r="S1" s="567"/>
      <c r="T1" s="567"/>
      <c r="U1" s="568"/>
      <c r="V1" s="505"/>
    </row>
    <row r="2" spans="1:23" s="189" customFormat="1" ht="18.75" x14ac:dyDescent="0.25">
      <c r="A2" s="594" t="s">
        <v>302</v>
      </c>
      <c r="B2" s="595"/>
      <c r="C2" s="595"/>
      <c r="D2" s="595"/>
      <c r="E2" s="595"/>
      <c r="F2" s="596"/>
      <c r="G2" s="387">
        <f>COUNTIF(G7:G148,"Yes")</f>
        <v>109</v>
      </c>
      <c r="H2" s="387">
        <f>COUNTIF(H7:H148,"Yes")</f>
        <v>109</v>
      </c>
      <c r="I2" s="592">
        <f>'Diags Raw Data'!K211</f>
        <v>1</v>
      </c>
      <c r="J2" s="606">
        <f>'Diags Raw Data'!L211</f>
        <v>15</v>
      </c>
      <c r="K2" s="608">
        <f>'Diags Raw Data'!N211</f>
        <v>1</v>
      </c>
      <c r="L2" s="610">
        <f>'Diags Raw Data'!P211</f>
        <v>1</v>
      </c>
      <c r="M2" s="612">
        <f>'Diags Raw Data'!R211</f>
        <v>15</v>
      </c>
      <c r="N2" s="614" t="e">
        <f>SUM('Diags Raw Data'!T211+'Diags Raw Data'!U211)</f>
        <v>#VALUE!</v>
      </c>
      <c r="O2" s="600" t="e">
        <f>IF((M151=0),0,N151/M151)</f>
        <v>#VALUE!</v>
      </c>
      <c r="P2" s="602">
        <v>0</v>
      </c>
      <c r="Q2" s="604" t="e">
        <f>SUM('Diags Raw Data'!AA211+'Diags Raw Data'!AB211)</f>
        <v>#VALUE!</v>
      </c>
      <c r="R2" s="624">
        <f>IF((J151=0),0,P151/J151)</f>
        <v>0</v>
      </c>
      <c r="S2" s="624">
        <f>IF((P151=0),0,Q151/P151)</f>
        <v>0</v>
      </c>
      <c r="T2" s="624">
        <f>R151*S151</f>
        <v>0</v>
      </c>
      <c r="U2" s="626"/>
      <c r="V2" s="616" t="s">
        <v>599</v>
      </c>
      <c r="W2" s="188"/>
    </row>
    <row r="3" spans="1:23" ht="19.5" thickBot="1" x14ac:dyDescent="0.3">
      <c r="A3" s="597"/>
      <c r="B3" s="598"/>
      <c r="C3" s="598"/>
      <c r="D3" s="598"/>
      <c r="E3" s="598"/>
      <c r="F3" s="599"/>
      <c r="G3" s="388">
        <f>COUNTIF(G7:G148,"Yes")/COUNTA(A7:A148)</f>
        <v>0.78417266187050361</v>
      </c>
      <c r="H3" s="388">
        <f>(COUNTIF(H7:H148,"Yes")/G151)</f>
        <v>1</v>
      </c>
      <c r="I3" s="593"/>
      <c r="J3" s="607"/>
      <c r="K3" s="609"/>
      <c r="L3" s="611"/>
      <c r="M3" s="613"/>
      <c r="N3" s="615"/>
      <c r="O3" s="601"/>
      <c r="P3" s="603"/>
      <c r="Q3" s="605"/>
      <c r="R3" s="625"/>
      <c r="S3" s="625"/>
      <c r="T3" s="625"/>
      <c r="U3" s="627"/>
      <c r="V3" s="617"/>
      <c r="W3" s="182"/>
    </row>
    <row r="4" spans="1:23" ht="19.5" thickBot="1" x14ac:dyDescent="0.3">
      <c r="A4" s="569" t="s">
        <v>600</v>
      </c>
      <c r="B4" s="570"/>
      <c r="C4" s="570"/>
      <c r="D4" s="570"/>
      <c r="E4" s="570"/>
      <c r="F4" s="570"/>
      <c r="G4" s="570"/>
      <c r="H4" s="570"/>
      <c r="I4" s="570"/>
      <c r="J4" s="570"/>
      <c r="K4" s="570"/>
      <c r="L4" s="570"/>
      <c r="M4" s="570"/>
      <c r="N4" s="570"/>
      <c r="O4" s="570"/>
      <c r="P4" s="570"/>
      <c r="Q4" s="570"/>
      <c r="R4" s="570"/>
      <c r="S4" s="570"/>
      <c r="T4" s="570"/>
      <c r="U4" s="571"/>
      <c r="V4" s="506"/>
    </row>
    <row r="5" spans="1:23" s="178" customFormat="1" ht="31.5" customHeight="1" thickBot="1" x14ac:dyDescent="0.3">
      <c r="A5" s="632" t="s">
        <v>76</v>
      </c>
      <c r="B5" s="633"/>
      <c r="C5" s="633"/>
      <c r="D5" s="633"/>
      <c r="E5" s="633"/>
      <c r="F5" s="633"/>
      <c r="G5" s="633"/>
      <c r="H5" s="633"/>
      <c r="I5" s="633"/>
      <c r="J5" s="634"/>
      <c r="K5" s="630" t="s">
        <v>113</v>
      </c>
      <c r="L5" s="631"/>
      <c r="M5" s="635" t="s">
        <v>124</v>
      </c>
      <c r="N5" s="636"/>
      <c r="O5" s="637"/>
      <c r="P5" s="638" t="s">
        <v>144</v>
      </c>
      <c r="Q5" s="639"/>
      <c r="R5" s="639"/>
      <c r="S5" s="639"/>
      <c r="T5" s="639"/>
      <c r="U5" s="640"/>
      <c r="V5" s="177"/>
    </row>
    <row r="6" spans="1:23" s="180" customFormat="1" ht="15.75" thickBot="1" x14ac:dyDescent="0.3">
      <c r="A6" s="351" t="s">
        <v>77</v>
      </c>
      <c r="B6" s="370" t="s">
        <v>81</v>
      </c>
      <c r="C6" s="370" t="s">
        <v>96</v>
      </c>
      <c r="D6" s="370" t="s">
        <v>212</v>
      </c>
      <c r="E6" s="370" t="s">
        <v>88</v>
      </c>
      <c r="F6" s="370" t="s">
        <v>1</v>
      </c>
      <c r="G6" s="371" t="s">
        <v>215</v>
      </c>
      <c r="H6" s="371" t="s">
        <v>218</v>
      </c>
      <c r="I6" s="372" t="s">
        <v>105</v>
      </c>
      <c r="J6" s="372" t="s">
        <v>221</v>
      </c>
      <c r="K6" s="364" t="s">
        <v>114</v>
      </c>
      <c r="L6" s="365" t="s">
        <v>121</v>
      </c>
      <c r="M6" s="344" t="s">
        <v>227</v>
      </c>
      <c r="N6" s="345" t="s">
        <v>229</v>
      </c>
      <c r="O6" s="343" t="s">
        <v>187</v>
      </c>
      <c r="P6" s="366" t="s">
        <v>232</v>
      </c>
      <c r="Q6" s="346" t="s">
        <v>229</v>
      </c>
      <c r="R6" s="347" t="s">
        <v>184</v>
      </c>
      <c r="S6" s="347" t="s">
        <v>140</v>
      </c>
      <c r="T6" s="348" t="s">
        <v>187</v>
      </c>
      <c r="U6" s="349" t="s">
        <v>157</v>
      </c>
      <c r="V6" s="179"/>
    </row>
    <row r="7" spans="1:23" ht="15.75" thickBot="1" x14ac:dyDescent="0.3">
      <c r="A7" s="334" t="s">
        <v>601</v>
      </c>
      <c r="B7" s="417" t="s">
        <v>602</v>
      </c>
      <c r="C7" s="418" t="s">
        <v>280</v>
      </c>
      <c r="D7" s="419" t="str" cm="1">
        <f t="array" ref="D7">_xlfn.TEXTJOIN("",TRUE,IF(ISNUMBER(SEARCH($A7,'Diags Raw Data'!$A$6:$A$3821)),CONCATENATE('Diags Raw Data'!$H$6:$H$3821,", "),""))</f>
        <v xml:space="preserve">DLPC001.1-2, </v>
      </c>
      <c r="E7" s="420" t="str">
        <f>VLOOKUP(A7,'Diags Raw Data'!$A$6:$D$3821,4,FALSE)</f>
        <v>DLPC</v>
      </c>
      <c r="F7" s="420" t="str">
        <f>VLOOKUP(A7,'Feature Raw Data'!$A$3:$E$3998,5,FALSE)</f>
        <v>New</v>
      </c>
      <c r="G7" s="420" t="str">
        <f t="shared" ref="G7:G109" si="0">IF(D7="","No","Yes")</f>
        <v>Yes</v>
      </c>
      <c r="H7" s="420" t="str">
        <f t="shared" ref="H7:H109" si="1">IF(D7="","No","Yes")</f>
        <v>Yes</v>
      </c>
      <c r="I7" s="418">
        <f>SUMIF('Diags Raw Data'!$A$6:$A$3821,"*"&amp;$A7&amp;"*",'Diags Raw Data'!$K$6:$K$3821)</f>
        <v>80</v>
      </c>
      <c r="J7" s="421">
        <f>SUMIF('Diags Raw Data'!$A$6:$A$3821,"*"&amp;$A7&amp;"*",'Diags Raw Data'!$L$6:$L$3821)</f>
        <v>2</v>
      </c>
      <c r="K7" s="436" cm="1">
        <f t="array" ref="K7">IF(D7="",0, SUMPRODUCT(--(ISNUMBER(SEARCH($A7,'Diags Raw Data'!$A$6:$A$3821))),'Diags Raw Data'!$L$6:$L$3821,'Diags Raw Data'!$N$6:$N$3821)/J7)</f>
        <v>1</v>
      </c>
      <c r="L7" s="437" cm="1">
        <f t="array" ref="L7">IF(D7="",0, SUMPRODUCT(--(ISNUMBER(SEARCH($A7,'Diags Raw Data'!$A$6:$A$3821))),'Diags Raw Data'!$L$6:$L$3821,'Diags Raw Data'!$P$6:$P$3821)/J7)</f>
        <v>1</v>
      </c>
      <c r="M7" s="438" cm="1">
        <f t="array" ref="M7">SUMPRODUCT(--(ISNUMBER(SEARCH($A7,'Diags Raw Data'!$A$6:$A$3821))),--('Diags Raw Data'!$Q$6:$Q$3821&lt;&gt;"N/A"),'Diags Raw Data'!$R$6:$R$3821)</f>
        <v>0</v>
      </c>
      <c r="N7" s="439" cm="1">
        <f t="array" ref="N7">SUMPRODUCT(--(ISNUMBER(SEARCH($A7,'Diags Raw Data'!$A$6:$A$3821))),--('Diags Raw Data'!$Q$6:$Q$3821&lt;&gt;"N/A"),'Diags Raw Data'!$T$6:$T$3821)+SUMPRODUCT(--(ISNUMBER(SEARCH($A7,'Diags Raw Data'!$A$6:$A$3821))),--('Diags Raw Data'!$Q$6:$Q$3821&lt;&gt;"N/A"),'Diags Raw Data'!$U$6:$U$3821)</f>
        <v>0</v>
      </c>
      <c r="O7" s="440">
        <f>IF((M7=0),0,N7/M7)</f>
        <v>0</v>
      </c>
      <c r="P7" s="441">
        <v>0</v>
      </c>
      <c r="Q7" s="442">
        <f>SUM(SUMIF('Diags Raw Data'!$A$6:$A$3821,"*"&amp;$A7&amp;"*",'Diags Raw Data'!$AA$6:$AA$3821),SUMIF('Diags Raw Data'!$A$6:$A$3821,"*"&amp;$A7&amp;"*",'Diags Raw Data'!$AB$6:$AB$3821))</f>
        <v>0</v>
      </c>
      <c r="R7" s="443">
        <f>IF((J7=0),0,P7/J7)</f>
        <v>0</v>
      </c>
      <c r="S7" s="443">
        <f>IF((P7=0),0,Q7/P7)</f>
        <v>0</v>
      </c>
      <c r="T7" s="444">
        <f>R7*S7</f>
        <v>0</v>
      </c>
      <c r="U7" s="422" t="s">
        <v>603</v>
      </c>
      <c r="V7" s="182"/>
    </row>
    <row r="8" spans="1:23" x14ac:dyDescent="0.25">
      <c r="A8" s="336" t="s">
        <v>604</v>
      </c>
      <c r="B8" s="423" t="s">
        <v>605</v>
      </c>
      <c r="C8" s="424" t="s">
        <v>280</v>
      </c>
      <c r="D8" s="425" t="str" cm="1">
        <f t="array" ref="D8">_xlfn.TEXTJOIN("",TRUE,IF(ISNUMBER(SEARCH($A8,'Diags Raw Data'!$A$6:$A$3821)),CONCATENATE('Diags Raw Data'!$H$6:$H$3821,", "),""))</f>
        <v xml:space="preserve">DLPC001.1-2, </v>
      </c>
      <c r="E8" s="341" t="str">
        <f>VLOOKUP(A8,'Diags Raw Data'!$A$6:$D$3821,4,FALSE)</f>
        <v>DLPC</v>
      </c>
      <c r="F8" s="341" t="str">
        <f>VLOOKUP(A8,'Feature Raw Data'!$A$3:$E$3998,5,FALSE)</f>
        <v>New</v>
      </c>
      <c r="G8" s="341" t="str">
        <f t="shared" si="0"/>
        <v>Yes</v>
      </c>
      <c r="H8" s="341" t="str">
        <f t="shared" si="1"/>
        <v>Yes</v>
      </c>
      <c r="I8" s="424">
        <f>SUMIF('Diags Raw Data'!$A$6:$A$3821,"*"&amp;$A8&amp;"*",'Diags Raw Data'!$K$6:$K$3821)</f>
        <v>80</v>
      </c>
      <c r="J8" s="426">
        <f>SUMIF('Diags Raw Data'!$A$6:$A$3821,"*"&amp;$A8&amp;"*",'Diags Raw Data'!$L$6:$L$3821)</f>
        <v>2</v>
      </c>
      <c r="K8" s="445" cm="1">
        <f t="array" ref="K8">IF(D8="",0, SUMPRODUCT(--(ISNUMBER(SEARCH($A8,'Diags Raw Data'!$A$6:$A$3821))),'Diags Raw Data'!$L$6:$L$3821,'Diags Raw Data'!$N$6:$N$3821)/J8)</f>
        <v>1</v>
      </c>
      <c r="L8" s="446" cm="1">
        <f t="array" ref="L8">IF(D8="",0, SUMPRODUCT(--(ISNUMBER(SEARCH($A8,'Diags Raw Data'!$A$6:$A$3821))),'Diags Raw Data'!$L$6:$L$3821,'Diags Raw Data'!$P$6:$P$3821)/J8)</f>
        <v>1</v>
      </c>
      <c r="M8" s="447" cm="1">
        <f t="array" ref="M8">SUMPRODUCT(--(ISNUMBER(SEARCH($A8,'Diags Raw Data'!$A$6:$A$3821))),--('Diags Raw Data'!$Q$6:$Q$3821&lt;&gt;"N/A"),'Diags Raw Data'!$R$6:$R$3821)</f>
        <v>0</v>
      </c>
      <c r="N8" s="448" cm="1">
        <f t="array" ref="N8">SUMPRODUCT(--(ISNUMBER(SEARCH($A8,'Diags Raw Data'!$A$6:$A$3821))),--('Diags Raw Data'!$Q$6:$Q$3821&lt;&gt;"N/A"),'Diags Raw Data'!$T$6:$T$3821)+SUMPRODUCT(--(ISNUMBER(SEARCH($A8,'Diags Raw Data'!$A$6:$A$3821))),--('Diags Raw Data'!$Q$6:$Q$3821&lt;&gt;"N/A"),'Diags Raw Data'!$U$6:$U$3821)</f>
        <v>0</v>
      </c>
      <c r="O8" s="449">
        <f t="shared" ref="O8:O142" si="2">IF((M8=0),0,N8/M8)</f>
        <v>0</v>
      </c>
      <c r="P8" s="450">
        <f>SUMIF('Diags Raw Data'!$A$6:$A$3821,"*"&amp;$A8&amp;"*",'Diags Raw Data'!$Z$6:$Z$3821)</f>
        <v>0</v>
      </c>
      <c r="Q8" s="451">
        <f>SUM(SUMIF('Diags Raw Data'!$A$6:$A$3821,"*"&amp;$A8&amp;"*",'Diags Raw Data'!$AA$6:$AA$3821),SUMIF('Diags Raw Data'!$A$6:$A$3821,"*"&amp;$A8&amp;"*",'Diags Raw Data'!$AB$6:$AB$3821))</f>
        <v>0</v>
      </c>
      <c r="R8" s="452">
        <f t="shared" ref="R8:R141" si="3">IF((J8=0),0,P8/J8)</f>
        <v>0</v>
      </c>
      <c r="S8" s="452">
        <f t="shared" ref="S8:S141" si="4">IF((P8=0),0,Q8/P8)</f>
        <v>0</v>
      </c>
      <c r="T8" s="453">
        <f t="shared" ref="T8:T141" si="5">R8*S8</f>
        <v>0</v>
      </c>
      <c r="U8" s="422" t="s">
        <v>603</v>
      </c>
      <c r="V8" s="182"/>
    </row>
    <row r="9" spans="1:23" x14ac:dyDescent="0.25">
      <c r="A9" s="336" t="s">
        <v>606</v>
      </c>
      <c r="B9" s="423" t="s">
        <v>607</v>
      </c>
      <c r="C9" s="424" t="s">
        <v>280</v>
      </c>
      <c r="D9" s="425" t="str" cm="1">
        <f t="array" ref="D9">_xlfn.TEXTJOIN("",TRUE,IF(ISNUMBER(SEARCH($A9,'Diags Raw Data'!$A$6:$A$3821)),CONCATENATE('Diags Raw Data'!$H$6:$H$3821,", "),""))</f>
        <v/>
      </c>
      <c r="E9" s="341" t="e">
        <f>VLOOKUP(A9,'Diags Raw Data'!$A$6:$D$3821,4,FALSE)</f>
        <v>#N/A</v>
      </c>
      <c r="F9" s="341" t="str">
        <f>VLOOKUP(A9,'Feature Raw Data'!$A$3:$E$3998,5,FALSE)</f>
        <v>Delta</v>
      </c>
      <c r="G9" s="341" t="str">
        <f t="shared" si="0"/>
        <v>No</v>
      </c>
      <c r="H9" s="341" t="str">
        <f t="shared" si="1"/>
        <v>No</v>
      </c>
      <c r="I9" s="424">
        <f>SUMIF('Diags Raw Data'!$A$6:$A$3821,"*"&amp;$A9&amp;"*",'Diags Raw Data'!$K$6:$K$3821)</f>
        <v>0</v>
      </c>
      <c r="J9" s="426">
        <f>SUMIF('Diags Raw Data'!$A$6:$A$3821,"*"&amp;$A9&amp;"*",'Diags Raw Data'!$L$6:$L$3821)</f>
        <v>0</v>
      </c>
      <c r="K9" s="445" cm="1">
        <f t="array" ref="K9">IF(D9="",0, SUMPRODUCT(--(ISNUMBER(SEARCH($A9,'Diags Raw Data'!$A$6:$A$3821))),'Diags Raw Data'!$L$6:$L$3821,'Diags Raw Data'!$N$6:$N$3821)/J9)</f>
        <v>0</v>
      </c>
      <c r="L9" s="446" cm="1">
        <f t="array" ref="L9">IF(D9="",0, SUMPRODUCT(--(ISNUMBER(SEARCH($A9,'Diags Raw Data'!$A$6:$A$3821))),'Diags Raw Data'!$L$6:$L$3821,'Diags Raw Data'!$P$6:$P$3821)/J9)</f>
        <v>0</v>
      </c>
      <c r="M9" s="447" cm="1">
        <f t="array" ref="M9">SUMPRODUCT(--(ISNUMBER(SEARCH($A9,'Diags Raw Data'!$A$6:$A$3821))),--('Diags Raw Data'!$Q$6:$Q$3821&lt;&gt;"N/A"),'Diags Raw Data'!$R$6:$R$3821)</f>
        <v>0</v>
      </c>
      <c r="N9" s="448" cm="1">
        <f t="array" ref="N9">SUMPRODUCT(--(ISNUMBER(SEARCH($A9,'Diags Raw Data'!$A$6:$A$3821))),--('Diags Raw Data'!$Q$6:$Q$3821&lt;&gt;"N/A"),'Diags Raw Data'!$T$6:$T$3821)+SUMPRODUCT(--(ISNUMBER(SEARCH($A9,'Diags Raw Data'!$A$6:$A$3821))),--('Diags Raw Data'!$Q$6:$Q$3821&lt;&gt;"N/A"),'Diags Raw Data'!$U$6:$U$3821)</f>
        <v>0</v>
      </c>
      <c r="O9" s="449">
        <f t="shared" si="2"/>
        <v>0</v>
      </c>
      <c r="P9" s="450">
        <f>SUMIF('Diags Raw Data'!$A$6:$A$3821,"*"&amp;$A9&amp;"*",'Diags Raw Data'!$Z$6:$Z$3821)</f>
        <v>0</v>
      </c>
      <c r="Q9" s="451">
        <f>SUM(SUMIF('Diags Raw Data'!$A$6:$A$3821,"*"&amp;$A9&amp;"*",'Diags Raw Data'!$AA$6:$AA$3821),SUMIF('Diags Raw Data'!$A$6:$A$3821,"*"&amp;$A9&amp;"*",'Diags Raw Data'!$AB$6:$AB$3821))</f>
        <v>0</v>
      </c>
      <c r="R9" s="452">
        <f t="shared" si="3"/>
        <v>0</v>
      </c>
      <c r="S9" s="452">
        <f t="shared" si="4"/>
        <v>0</v>
      </c>
      <c r="T9" s="453">
        <f t="shared" si="5"/>
        <v>0</v>
      </c>
      <c r="U9" s="427" t="s">
        <v>608</v>
      </c>
      <c r="V9" s="182"/>
    </row>
    <row r="10" spans="1:23" ht="15.75" thickBot="1" x14ac:dyDescent="0.3">
      <c r="A10" s="336" t="s">
        <v>609</v>
      </c>
      <c r="B10" s="423" t="s">
        <v>610</v>
      </c>
      <c r="C10" s="424" t="s">
        <v>280</v>
      </c>
      <c r="D10" s="425" t="str" cm="1">
        <f t="array" ref="D10">_xlfn.TEXTJOIN("",TRUE,IF(ISNUMBER(SEARCH($A10,'Diags Raw Data'!$A$6:$A$3821)),CONCATENATE('Diags Raw Data'!$H$6:$H$3821,", "),""))</f>
        <v/>
      </c>
      <c r="E10" s="341" t="e">
        <f>VLOOKUP(A10,'Diags Raw Data'!$A$6:$D$3821,4,FALSE)</f>
        <v>#N/A</v>
      </c>
      <c r="F10" s="341" t="str">
        <f>VLOOKUP(A10,'Feature Raw Data'!$A$3:$E$3998,5,FALSE)</f>
        <v>Delta</v>
      </c>
      <c r="G10" s="341" t="str">
        <f t="shared" si="0"/>
        <v>No</v>
      </c>
      <c r="H10" s="341" t="str">
        <f t="shared" si="1"/>
        <v>No</v>
      </c>
      <c r="I10" s="424">
        <f>SUMIF('Diags Raw Data'!$A$6:$A$3821,"*"&amp;$A10&amp;"*",'Diags Raw Data'!$K$6:$K$3821)</f>
        <v>0</v>
      </c>
      <c r="J10" s="426">
        <f>SUMIF('Diags Raw Data'!$A$6:$A$3821,"*"&amp;$A10&amp;"*",'Diags Raw Data'!$L$6:$L$3821)</f>
        <v>0</v>
      </c>
      <c r="K10" s="445" cm="1">
        <f t="array" ref="K10">IF(D10="",0, SUMPRODUCT(--(ISNUMBER(SEARCH($A10,'Diags Raw Data'!$A$6:$A$3821))),'Diags Raw Data'!$L$6:$L$3821,'Diags Raw Data'!$N$6:$N$3821)/J10)</f>
        <v>0</v>
      </c>
      <c r="L10" s="446" cm="1">
        <f t="array" ref="L10">IF(D10="",0, SUMPRODUCT(--(ISNUMBER(SEARCH($A10,'Diags Raw Data'!$A$6:$A$3821))),'Diags Raw Data'!$L$6:$L$3821,'Diags Raw Data'!$P$6:$P$3821)/J10)</f>
        <v>0</v>
      </c>
      <c r="M10" s="447" cm="1">
        <f t="array" ref="M10">SUMPRODUCT(--(ISNUMBER(SEARCH($A10,'Diags Raw Data'!$A$6:$A$3821))),--('Diags Raw Data'!$Q$6:$Q$3821&lt;&gt;"N/A"),'Diags Raw Data'!$R$6:$R$3821)</f>
        <v>0</v>
      </c>
      <c r="N10" s="448" cm="1">
        <f t="array" ref="N10">SUMPRODUCT(--(ISNUMBER(SEARCH($A10,'Diags Raw Data'!$A$6:$A$3821))),--('Diags Raw Data'!$Q$6:$Q$3821&lt;&gt;"N/A"),'Diags Raw Data'!$T$6:$T$3821)+SUMPRODUCT(--(ISNUMBER(SEARCH($A10,'Diags Raw Data'!$A$6:$A$3821))),--('Diags Raw Data'!$Q$6:$Q$3821&lt;&gt;"N/A"),'Diags Raw Data'!$U$6:$U$3821)</f>
        <v>0</v>
      </c>
      <c r="O10" s="449">
        <f t="shared" si="2"/>
        <v>0</v>
      </c>
      <c r="P10" s="450">
        <f>SUMIF('Diags Raw Data'!$A$6:$A$3821,"*"&amp;$A10&amp;"*",'Diags Raw Data'!$Z$6:$Z$3821)</f>
        <v>0</v>
      </c>
      <c r="Q10" s="451">
        <f>SUM(SUMIF('Diags Raw Data'!$A$6:$A$3821,"*"&amp;$A10&amp;"*",'Diags Raw Data'!$AA$6:$AA$3821),SUMIF('Diags Raw Data'!$A$6:$A$3821,"*"&amp;$A10&amp;"*",'Diags Raw Data'!$AB$6:$AB$3821))</f>
        <v>0</v>
      </c>
      <c r="R10" s="452">
        <f t="shared" si="3"/>
        <v>0</v>
      </c>
      <c r="S10" s="452">
        <f t="shared" si="4"/>
        <v>0</v>
      </c>
      <c r="T10" s="453">
        <f t="shared" si="5"/>
        <v>0</v>
      </c>
      <c r="U10" s="427" t="s">
        <v>608</v>
      </c>
      <c r="V10" s="182"/>
    </row>
    <row r="11" spans="1:23" ht="30.75" thickBot="1" x14ac:dyDescent="0.3">
      <c r="A11" s="336" t="s">
        <v>611</v>
      </c>
      <c r="B11" s="423" t="s">
        <v>612</v>
      </c>
      <c r="C11" s="424" t="s">
        <v>280</v>
      </c>
      <c r="D11" s="425" t="str" cm="1">
        <f t="array" ref="D11">_xlfn.TEXTJOIN("",TRUE,IF(ISNUMBER(SEARCH($A11,'Diags Raw Data'!$A$6:$A$3821)),CONCATENATE('Diags Raw Data'!$H$6:$H$3821,", "),""))</f>
        <v xml:space="preserve">DLPC002.1-2, </v>
      </c>
      <c r="E11" s="341" t="str">
        <f>VLOOKUP(A11,'Diags Raw Data'!$A$6:$D$3821,4,FALSE)</f>
        <v>DLPC</v>
      </c>
      <c r="F11" s="341" t="str">
        <f>VLOOKUP(A11,'Feature Raw Data'!$A$3:$E$3998,5,FALSE)</f>
        <v>Delta</v>
      </c>
      <c r="G11" s="341" t="str">
        <f t="shared" si="0"/>
        <v>Yes</v>
      </c>
      <c r="H11" s="341" t="str">
        <f t="shared" si="1"/>
        <v>Yes</v>
      </c>
      <c r="I11" s="424">
        <f>SUMIF('Diags Raw Data'!$A$6:$A$3821,"*"&amp;$A11&amp;"*",'Diags Raw Data'!$K$6:$K$3821)</f>
        <v>40</v>
      </c>
      <c r="J11" s="426">
        <f>SUMIF('Diags Raw Data'!$A$6:$A$3821,"*"&amp;$A11&amp;"*",'Diags Raw Data'!$L$6:$L$3821)</f>
        <v>2</v>
      </c>
      <c r="K11" s="445" cm="1">
        <f t="array" ref="K11">IF(D11="",0, SUMPRODUCT(--(ISNUMBER(SEARCH($A11,'Diags Raw Data'!$A$6:$A$3821))),'Diags Raw Data'!$L$6:$L$3821,'Diags Raw Data'!$N$6:$N$3821)/J11)</f>
        <v>1</v>
      </c>
      <c r="L11" s="446" cm="1">
        <f t="array" ref="L11">IF(D11="",0, SUMPRODUCT(--(ISNUMBER(SEARCH($A11,'Diags Raw Data'!$A$6:$A$3821))),'Diags Raw Data'!$L$6:$L$3821,'Diags Raw Data'!$P$6:$P$3821)/J11)</f>
        <v>1</v>
      </c>
      <c r="M11" s="447" cm="1">
        <f t="array" ref="M11">SUMPRODUCT(--(ISNUMBER(SEARCH($A11,'Diags Raw Data'!$A$6:$A$3821))),--('Diags Raw Data'!$Q$6:$Q$3821&lt;&gt;"N/A"),'Diags Raw Data'!$R$6:$R$3821)</f>
        <v>0</v>
      </c>
      <c r="N11" s="448" cm="1">
        <f t="array" ref="N11">SUMPRODUCT(--(ISNUMBER(SEARCH($A11,'Diags Raw Data'!$A$6:$A$3821))),--('Diags Raw Data'!$Q$6:$Q$3821&lt;&gt;"N/A"),'Diags Raw Data'!$T$6:$T$3821)+SUMPRODUCT(--(ISNUMBER(SEARCH($A11,'Diags Raw Data'!$A$6:$A$3821))),--('Diags Raw Data'!$Q$6:$Q$3821&lt;&gt;"N/A"),'Diags Raw Data'!$U$6:$U$3821)</f>
        <v>0</v>
      </c>
      <c r="O11" s="449">
        <f t="shared" si="2"/>
        <v>0</v>
      </c>
      <c r="P11" s="450">
        <f>SUMIF('Diags Raw Data'!$A$6:$A$3821,"*"&amp;$A11&amp;"*",'Diags Raw Data'!$Z$6:$Z$3821)</f>
        <v>0</v>
      </c>
      <c r="Q11" s="451">
        <f>SUM(SUMIF('Diags Raw Data'!$A$6:$A$3821,"*"&amp;$A11&amp;"*",'Diags Raw Data'!$AA$6:$AA$3821),SUMIF('Diags Raw Data'!$A$6:$A$3821,"*"&amp;$A11&amp;"*",'Diags Raw Data'!$AB$6:$AB$3821))</f>
        <v>0</v>
      </c>
      <c r="R11" s="452">
        <f t="shared" si="3"/>
        <v>0</v>
      </c>
      <c r="S11" s="452">
        <f t="shared" si="4"/>
        <v>0</v>
      </c>
      <c r="T11" s="453">
        <f t="shared" si="5"/>
        <v>0</v>
      </c>
      <c r="U11" s="422" t="s">
        <v>613</v>
      </c>
      <c r="V11" s="182"/>
    </row>
    <row r="12" spans="1:23" ht="30" x14ac:dyDescent="0.25">
      <c r="A12" s="336" t="s">
        <v>614</v>
      </c>
      <c r="B12" s="423" t="s">
        <v>615</v>
      </c>
      <c r="C12" s="424" t="s">
        <v>280</v>
      </c>
      <c r="D12" s="425" t="str" cm="1">
        <f t="array" ref="D12">_xlfn.TEXTJOIN("",TRUE,IF(ISNUMBER(SEARCH($A12,'Diags Raw Data'!$A$6:$A$3821)),CONCATENATE('Diags Raw Data'!$H$6:$H$3821,", "),""))</f>
        <v xml:space="preserve">DLPC003.1-2, </v>
      </c>
      <c r="E12" s="341" t="str">
        <f>VLOOKUP(A12,'Diags Raw Data'!$A$6:$D$3821,4,FALSE)</f>
        <v>DLPC</v>
      </c>
      <c r="F12" s="341" t="str">
        <f>VLOOKUP(A12,'Feature Raw Data'!$A$3:$E$3998,5,FALSE)</f>
        <v>New</v>
      </c>
      <c r="G12" s="341" t="str">
        <f t="shared" si="0"/>
        <v>Yes</v>
      </c>
      <c r="H12" s="341" t="str">
        <f t="shared" si="1"/>
        <v>Yes</v>
      </c>
      <c r="I12" s="424">
        <f>SUMIF('Diags Raw Data'!$A$6:$A$3821,"*"&amp;$A12&amp;"*",'Diags Raw Data'!$K$6:$K$3821)</f>
        <v>40</v>
      </c>
      <c r="J12" s="426">
        <f>SUMIF('Diags Raw Data'!$A$6:$A$3821,"*"&amp;$A12&amp;"*",'Diags Raw Data'!$L$6:$L$3821)</f>
        <v>2</v>
      </c>
      <c r="K12" s="445" cm="1">
        <f t="array" ref="K12">IF(D12="",0, SUMPRODUCT(--(ISNUMBER(SEARCH($A12,'Diags Raw Data'!$A$6:$A$3821))),'Diags Raw Data'!$L$6:$L$3821,'Diags Raw Data'!$N$6:$N$3821)/J12)</f>
        <v>1</v>
      </c>
      <c r="L12" s="446" cm="1">
        <f t="array" ref="L12">IF(D12="",0, SUMPRODUCT(--(ISNUMBER(SEARCH($A12,'Diags Raw Data'!$A$6:$A$3821))),'Diags Raw Data'!$L$6:$L$3821,'Diags Raw Data'!$P$6:$P$3821)/J12)</f>
        <v>1</v>
      </c>
      <c r="M12" s="447" cm="1">
        <f t="array" ref="M12">SUMPRODUCT(--(ISNUMBER(SEARCH($A12,'Diags Raw Data'!$A$6:$A$3821))),--('Diags Raw Data'!$Q$6:$Q$3821&lt;&gt;"N/A"),'Diags Raw Data'!$R$6:$R$3821)</f>
        <v>0</v>
      </c>
      <c r="N12" s="448" cm="1">
        <f t="array" ref="N12">SUMPRODUCT(--(ISNUMBER(SEARCH($A12,'Diags Raw Data'!$A$6:$A$3821))),--('Diags Raw Data'!$Q$6:$Q$3821&lt;&gt;"N/A"),'Diags Raw Data'!$T$6:$T$3821)+SUMPRODUCT(--(ISNUMBER(SEARCH($A12,'Diags Raw Data'!$A$6:$A$3821))),--('Diags Raw Data'!$Q$6:$Q$3821&lt;&gt;"N/A"),'Diags Raw Data'!$U$6:$U$3821)</f>
        <v>0</v>
      </c>
      <c r="O12" s="449">
        <f t="shared" si="2"/>
        <v>0</v>
      </c>
      <c r="P12" s="450">
        <f>SUMIF('Diags Raw Data'!$A$6:$A$3821,"*"&amp;$A12&amp;"*",'Diags Raw Data'!$Z$6:$Z$3821)</f>
        <v>0</v>
      </c>
      <c r="Q12" s="451">
        <f>SUM(SUMIF('Diags Raw Data'!$A$6:$A$3821,"*"&amp;$A12&amp;"*",'Diags Raw Data'!$AA$6:$AA$3821),SUMIF('Diags Raw Data'!$A$6:$A$3821,"*"&amp;$A12&amp;"*",'Diags Raw Data'!$AB$6:$AB$3821))</f>
        <v>0</v>
      </c>
      <c r="R12" s="452">
        <f t="shared" si="3"/>
        <v>0</v>
      </c>
      <c r="S12" s="452">
        <f t="shared" si="4"/>
        <v>0</v>
      </c>
      <c r="T12" s="453">
        <f t="shared" si="5"/>
        <v>0</v>
      </c>
      <c r="U12" s="422" t="s">
        <v>613</v>
      </c>
      <c r="V12" s="182"/>
    </row>
    <row r="13" spans="1:23" x14ac:dyDescent="0.25">
      <c r="A13" s="336" t="s">
        <v>616</v>
      </c>
      <c r="B13" s="423" t="s">
        <v>617</v>
      </c>
      <c r="C13" s="424" t="s">
        <v>280</v>
      </c>
      <c r="D13" s="425" t="str" cm="1">
        <f t="array" ref="D13">_xlfn.TEXTJOIN("",TRUE,IF(ISNUMBER(SEARCH($A13,'Diags Raw Data'!$A$6:$A$3821)),CONCATENATE('Diags Raw Data'!$H$6:$H$3821,", "),""))</f>
        <v/>
      </c>
      <c r="E13" s="341" t="e">
        <f>VLOOKUP(A13,'Diags Raw Data'!$A$6:$D$3821,4,FALSE)</f>
        <v>#N/A</v>
      </c>
      <c r="F13" s="341" t="str">
        <f>VLOOKUP(A13,'Feature Raw Data'!$A$3:$E$3998,5,FALSE)</f>
        <v>Legacy</v>
      </c>
      <c r="G13" s="341" t="str">
        <f t="shared" si="0"/>
        <v>No</v>
      </c>
      <c r="H13" s="341" t="str">
        <f t="shared" si="1"/>
        <v>No</v>
      </c>
      <c r="I13" s="424">
        <f>SUMIF('Diags Raw Data'!$A$6:$A$3821,"*"&amp;$A13&amp;"*",'Diags Raw Data'!$K$6:$K$3821)</f>
        <v>0</v>
      </c>
      <c r="J13" s="426">
        <f>SUMIF('Diags Raw Data'!$A$6:$A$3821,"*"&amp;$A13&amp;"*",'Diags Raw Data'!$L$6:$L$3821)</f>
        <v>0</v>
      </c>
      <c r="K13" s="445" cm="1">
        <f t="array" ref="K13">IF(D13="",0, SUMPRODUCT(--(ISNUMBER(SEARCH($A13,'Diags Raw Data'!$A$6:$A$3821))),'Diags Raw Data'!$L$6:$L$3821,'Diags Raw Data'!$N$6:$N$3821)/J13)</f>
        <v>0</v>
      </c>
      <c r="L13" s="446" cm="1">
        <f t="array" ref="L13">IF(D13="",0, SUMPRODUCT(--(ISNUMBER(SEARCH($A13,'Diags Raw Data'!$A$6:$A$3821))),'Diags Raw Data'!$L$6:$L$3821,'Diags Raw Data'!$P$6:$P$3821)/J13)</f>
        <v>0</v>
      </c>
      <c r="M13" s="447" cm="1">
        <f t="array" ref="M13">SUMPRODUCT(--(ISNUMBER(SEARCH($A13,'Diags Raw Data'!$A$6:$A$3821))),--('Diags Raw Data'!$Q$6:$Q$3821&lt;&gt;"N/A"),'Diags Raw Data'!$R$6:$R$3821)</f>
        <v>0</v>
      </c>
      <c r="N13" s="448" cm="1">
        <f t="array" ref="N13">SUMPRODUCT(--(ISNUMBER(SEARCH($A13,'Diags Raw Data'!$A$6:$A$3821))),--('Diags Raw Data'!$Q$6:$Q$3821&lt;&gt;"N/A"),'Diags Raw Data'!$T$6:$T$3821)+SUMPRODUCT(--(ISNUMBER(SEARCH($A13,'Diags Raw Data'!$A$6:$A$3821))),--('Diags Raw Data'!$Q$6:$Q$3821&lt;&gt;"N/A"),'Diags Raw Data'!$U$6:$U$3821)</f>
        <v>0</v>
      </c>
      <c r="O13" s="449">
        <f>IF((M13=0),0,N13/M13)</f>
        <v>0</v>
      </c>
      <c r="P13" s="450">
        <f>SUMIF('Diags Raw Data'!$A$6:$A$3821,"*"&amp;$A13&amp;"*",'Diags Raw Data'!$Z$6:$Z$3821)</f>
        <v>0</v>
      </c>
      <c r="Q13" s="451">
        <f>SUM(SUMIF('Diags Raw Data'!$A$6:$A$3821,"*"&amp;$A13&amp;"*",'Diags Raw Data'!$AA$6:$AA$3821),SUMIF('Diags Raw Data'!$A$6:$A$3821,"*"&amp;$A13&amp;"*",'Diags Raw Data'!$AB$6:$AB$3821))</f>
        <v>0</v>
      </c>
      <c r="R13" s="452">
        <f t="shared" si="3"/>
        <v>0</v>
      </c>
      <c r="S13" s="452">
        <f t="shared" si="4"/>
        <v>0</v>
      </c>
      <c r="T13" s="453">
        <f t="shared" si="5"/>
        <v>0</v>
      </c>
      <c r="U13" s="427" t="s">
        <v>618</v>
      </c>
      <c r="V13" s="182"/>
    </row>
    <row r="14" spans="1:23" x14ac:dyDescent="0.25">
      <c r="A14" s="336" t="s">
        <v>619</v>
      </c>
      <c r="B14" s="423" t="s">
        <v>620</v>
      </c>
      <c r="C14" s="424" t="s">
        <v>280</v>
      </c>
      <c r="D14" s="425" t="str" cm="1">
        <f t="array" ref="D14">_xlfn.TEXTJOIN("",TRUE,IF(ISNUMBER(SEARCH($A14,'Diags Raw Data'!$A$6:$A$3821)),CONCATENATE('Diags Raw Data'!$H$6:$H$3821,", "),""))</f>
        <v/>
      </c>
      <c r="E14" s="341" t="e">
        <f>VLOOKUP(A14,'Diags Raw Data'!$A$6:$D$3821,4,FALSE)</f>
        <v>#N/A</v>
      </c>
      <c r="F14" s="341" t="str">
        <f>VLOOKUP(A14,'Feature Raw Data'!$A$3:$E$3998,5,FALSE)</f>
        <v>Legacy</v>
      </c>
      <c r="G14" s="341" t="str">
        <f t="shared" si="0"/>
        <v>No</v>
      </c>
      <c r="H14" s="341" t="str">
        <f t="shared" si="1"/>
        <v>No</v>
      </c>
      <c r="I14" s="424">
        <f>SUMIF('Diags Raw Data'!$A$6:$A$3821,"*"&amp;$A14&amp;"*",'Diags Raw Data'!$K$6:$K$3821)</f>
        <v>0</v>
      </c>
      <c r="J14" s="426">
        <f>SUMIF('Diags Raw Data'!$A$6:$A$3821,"*"&amp;$A14&amp;"*",'Diags Raw Data'!$L$6:$L$3821)</f>
        <v>0</v>
      </c>
      <c r="K14" s="445" cm="1">
        <f t="array" ref="K14">IF(D14="",0, SUMPRODUCT(--(ISNUMBER(SEARCH($A14,'Diags Raw Data'!$A$6:$A$3821))),'Diags Raw Data'!$L$6:$L$3821,'Diags Raw Data'!$N$6:$N$3821)/J14)</f>
        <v>0</v>
      </c>
      <c r="L14" s="446" cm="1">
        <f t="array" ref="L14">IF(D14="",0, SUMPRODUCT(--(ISNUMBER(SEARCH($A14,'Diags Raw Data'!$A$6:$A$3821))),'Diags Raw Data'!$L$6:$L$3821,'Diags Raw Data'!$P$6:$P$3821)/J14)</f>
        <v>0</v>
      </c>
      <c r="M14" s="447" cm="1">
        <f t="array" ref="M14">SUMPRODUCT(--(ISNUMBER(SEARCH($A14,'Diags Raw Data'!$A$6:$A$3821))),--('Diags Raw Data'!$Q$6:$Q$3821&lt;&gt;"N/A"),'Diags Raw Data'!$R$6:$R$3821)</f>
        <v>0</v>
      </c>
      <c r="N14" s="448" cm="1">
        <f t="array" ref="N14">SUMPRODUCT(--(ISNUMBER(SEARCH($A14,'Diags Raw Data'!$A$6:$A$3821))),--('Diags Raw Data'!$Q$6:$Q$3821&lt;&gt;"N/A"),'Diags Raw Data'!$T$6:$T$3821)+SUMPRODUCT(--(ISNUMBER(SEARCH($A14,'Diags Raw Data'!$A$6:$A$3821))),--('Diags Raw Data'!$Q$6:$Q$3821&lt;&gt;"N/A"),'Diags Raw Data'!$U$6:$U$3821)</f>
        <v>0</v>
      </c>
      <c r="O14" s="449">
        <f t="shared" si="2"/>
        <v>0</v>
      </c>
      <c r="P14" s="450">
        <f>SUMIF('Diags Raw Data'!$A$6:$A$3821,"*"&amp;$A14&amp;"*",'Diags Raw Data'!$Z$6:$Z$3821)</f>
        <v>0</v>
      </c>
      <c r="Q14" s="451">
        <f>SUM(SUMIF('Diags Raw Data'!$A$6:$A$3821,"*"&amp;$A14&amp;"*",'Diags Raw Data'!$AA$6:$AA$3821),SUMIF('Diags Raw Data'!$A$6:$A$3821,"*"&amp;$A14&amp;"*",'Diags Raw Data'!$AB$6:$AB$3821))</f>
        <v>0</v>
      </c>
      <c r="R14" s="452">
        <f t="shared" si="3"/>
        <v>0</v>
      </c>
      <c r="S14" s="452">
        <f t="shared" si="4"/>
        <v>0</v>
      </c>
      <c r="T14" s="453">
        <f t="shared" si="5"/>
        <v>0</v>
      </c>
      <c r="U14" s="427" t="s">
        <v>621</v>
      </c>
      <c r="V14" s="182"/>
    </row>
    <row r="15" spans="1:23" ht="30" x14ac:dyDescent="0.25">
      <c r="A15" s="336" t="s">
        <v>319</v>
      </c>
      <c r="B15" s="423" t="s">
        <v>622</v>
      </c>
      <c r="C15" s="424" t="s">
        <v>280</v>
      </c>
      <c r="D15" s="425" t="str" cm="1">
        <f t="array" ref="D15">_xlfn.TEXTJOIN("",TRUE,IF(ISNUMBER(SEARCH($A15,'Diags Raw Data'!$A$6:$A$3821)),CONCATENATE('Diags Raw Data'!$H$6:$H$3821,", "),""))</f>
        <v xml:space="preserve">DCHB002.101-160,170-173, DCHB012.101-109, DCHB013.101-103, </v>
      </c>
      <c r="E15" s="341" t="str">
        <f>VLOOKUP(A15,'Diags Raw Data'!$A$6:$D$3821,4,FALSE)</f>
        <v>DCHB</v>
      </c>
      <c r="F15" s="341" t="str">
        <f>VLOOKUP(A15,'Feature Raw Data'!$A$3:$E$3998,5,FALSE)</f>
        <v>Legacy</v>
      </c>
      <c r="G15" s="341" t="str">
        <f t="shared" si="0"/>
        <v>Yes</v>
      </c>
      <c r="H15" s="341" t="str">
        <f t="shared" si="1"/>
        <v>Yes</v>
      </c>
      <c r="I15" s="424">
        <f>SUMIF('Diags Raw Data'!$A$6:$A$3821,"*"&amp;$A15&amp;"*",'Diags Raw Data'!$K$6:$K$3821)</f>
        <v>3</v>
      </c>
      <c r="J15" s="426">
        <f>SUMIF('Diags Raw Data'!$A$6:$A$3821,"*"&amp;$A15&amp;"*",'Diags Raw Data'!$L$6:$L$3821)</f>
        <v>75</v>
      </c>
      <c r="K15" s="445" cm="1">
        <f t="array" ref="K15">IF(D15="",0, SUMPRODUCT(--(ISNUMBER(SEARCH($A15,'Diags Raw Data'!$A$6:$A$3821))),'Diags Raw Data'!$L$6:$L$3821,'Diags Raw Data'!$N$6:$N$3821)/J15)</f>
        <v>1</v>
      </c>
      <c r="L15" s="446" cm="1">
        <f t="array" ref="L15">IF(D15="",0, SUMPRODUCT(--(ISNUMBER(SEARCH($A15,'Diags Raw Data'!$A$6:$A$3821))),'Diags Raw Data'!$L$6:$L$3821,'Diags Raw Data'!$P$6:$P$3821)/J15)</f>
        <v>1</v>
      </c>
      <c r="M15" s="447" cm="1">
        <f t="array" ref="M15">SUMPRODUCT(--(ISNUMBER(SEARCH($A15,'Diags Raw Data'!$A$6:$A$3821))),--('Diags Raw Data'!$Q$6:$Q$3821&lt;&gt;"N/A"),'Diags Raw Data'!$R$6:$R$3821)</f>
        <v>75</v>
      </c>
      <c r="N15" s="448" cm="1">
        <f t="array" ref="N15">SUMPRODUCT(--(ISNUMBER(SEARCH($A15,'Diags Raw Data'!$A$6:$A$3821))),--('Diags Raw Data'!$Q$6:$Q$3821&lt;&gt;"N/A"),'Diags Raw Data'!$T$6:$T$3821)+SUMPRODUCT(--(ISNUMBER(SEARCH($A15,'Diags Raw Data'!$A$6:$A$3821))),--('Diags Raw Data'!$Q$6:$Q$3821&lt;&gt;"N/A"),'Diags Raw Data'!$U$6:$U$3821)</f>
        <v>0</v>
      </c>
      <c r="O15" s="449">
        <f t="shared" si="2"/>
        <v>0</v>
      </c>
      <c r="P15" s="450">
        <f>SUMIF('Diags Raw Data'!$A$6:$A$3821,"*"&amp;$A15&amp;"*",'Diags Raw Data'!$Z$6:$Z$3821)</f>
        <v>0</v>
      </c>
      <c r="Q15" s="451">
        <f>SUM(SUMIF('Diags Raw Data'!$A$6:$A$3821,"*"&amp;$A15&amp;"*",'Diags Raw Data'!$AA$6:$AA$3821),SUMIF('Diags Raw Data'!$A$6:$A$3821,"*"&amp;$A15&amp;"*",'Diags Raw Data'!$AB$6:$AB$3821))</f>
        <v>0</v>
      </c>
      <c r="R15" s="452">
        <f t="shared" si="3"/>
        <v>0</v>
      </c>
      <c r="S15" s="452">
        <f t="shared" si="4"/>
        <v>0</v>
      </c>
      <c r="T15" s="453">
        <f t="shared" si="5"/>
        <v>0</v>
      </c>
      <c r="U15" s="427" t="s">
        <v>608</v>
      </c>
      <c r="V15" s="182"/>
    </row>
    <row r="16" spans="1:23" x14ac:dyDescent="0.25">
      <c r="A16" s="336" t="s">
        <v>393</v>
      </c>
      <c r="B16" s="423" t="s">
        <v>394</v>
      </c>
      <c r="C16" s="424" t="s">
        <v>280</v>
      </c>
      <c r="D16" s="425" t="str" cm="1">
        <f t="array" ref="D16">_xlfn.TEXTJOIN("",TRUE,IF(ISNUMBER(SEARCH($A16,'Diags Raw Data'!$A$6:$A$3821)),CONCATENATE('Diags Raw Data'!$H$6:$H$3821,", "),""))</f>
        <v xml:space="preserve">ABM066.1-12, ABM067.1, </v>
      </c>
      <c r="E16" s="341" t="str">
        <f>VLOOKUP(A16,'Diags Raw Data'!$A$6:$D$3821,4,FALSE)</f>
        <v>ABM</v>
      </c>
      <c r="F16" s="341" t="str">
        <f>VLOOKUP(A16,'Feature Raw Data'!$A$3:$E$3998,5,FALSE)</f>
        <v>Legacy</v>
      </c>
      <c r="G16" s="341" t="str">
        <f t="shared" si="0"/>
        <v>Yes</v>
      </c>
      <c r="H16" s="341" t="str">
        <f t="shared" si="1"/>
        <v>Yes</v>
      </c>
      <c r="I16" s="424">
        <f>SUMIF('Diags Raw Data'!$A$6:$A$3821,"*"&amp;$A16&amp;"*",'Diags Raw Data'!$K$6:$K$3821)</f>
        <v>2</v>
      </c>
      <c r="J16" s="426">
        <f>SUMIF('Diags Raw Data'!$A$6:$A$3821,"*"&amp;$A16&amp;"*",'Diags Raw Data'!$L$6:$L$3821)</f>
        <v>13</v>
      </c>
      <c r="K16" s="445" cm="1">
        <f t="array" ref="K16">IF(D16="",0, SUMPRODUCT(--(ISNUMBER(SEARCH($A16,'Diags Raw Data'!$A$6:$A$3821))),'Diags Raw Data'!$L$6:$L$3821,'Diags Raw Data'!$N$6:$N$3821)/J16)</f>
        <v>1</v>
      </c>
      <c r="L16" s="446" cm="1">
        <f t="array" ref="L16">IF(D16="",0, SUMPRODUCT(--(ISNUMBER(SEARCH($A16,'Diags Raw Data'!$A$6:$A$3821))),'Diags Raw Data'!$L$6:$L$3821,'Diags Raw Data'!$P$6:$P$3821)/J16)</f>
        <v>1</v>
      </c>
      <c r="M16" s="447" cm="1">
        <f t="array" ref="M16">SUMPRODUCT(--(ISNUMBER(SEARCH($A16,'Diags Raw Data'!$A$6:$A$3821))),--('Diags Raw Data'!$Q$6:$Q$3821&lt;&gt;"N/A"),'Diags Raw Data'!$R$6:$R$3821)</f>
        <v>13</v>
      </c>
      <c r="N16" s="448" cm="1">
        <f t="array" ref="N16">SUMPRODUCT(--(ISNUMBER(SEARCH($A16,'Diags Raw Data'!$A$6:$A$3821))),--('Diags Raw Data'!$Q$6:$Q$3821&lt;&gt;"N/A"),'Diags Raw Data'!$T$6:$T$3821)+SUMPRODUCT(--(ISNUMBER(SEARCH($A16,'Diags Raw Data'!$A$6:$A$3821))),--('Diags Raw Data'!$Q$6:$Q$3821&lt;&gt;"N/A"),'Diags Raw Data'!$U$6:$U$3821)</f>
        <v>0</v>
      </c>
      <c r="O16" s="449">
        <f t="shared" si="2"/>
        <v>0</v>
      </c>
      <c r="P16" s="450">
        <v>0</v>
      </c>
      <c r="Q16" s="451">
        <f>SUM(SUMIF('Diags Raw Data'!$A$6:$A$3821,"*"&amp;$A16&amp;"*",'Diags Raw Data'!$AA$6:$AA$3821),SUMIF('Diags Raw Data'!$A$6:$A$3821,"*"&amp;$A16&amp;"*",'Diags Raw Data'!$AB$6:$AB$3821))</f>
        <v>0</v>
      </c>
      <c r="R16" s="452">
        <f t="shared" si="3"/>
        <v>0</v>
      </c>
      <c r="S16" s="452">
        <f t="shared" si="4"/>
        <v>0</v>
      </c>
      <c r="T16" s="453">
        <f t="shared" si="5"/>
        <v>0</v>
      </c>
      <c r="U16" s="427" t="s">
        <v>618</v>
      </c>
      <c r="V16" s="182"/>
    </row>
    <row r="17" spans="1:22" s="185" customFormat="1" x14ac:dyDescent="0.25">
      <c r="A17" s="336" t="s">
        <v>623</v>
      </c>
      <c r="B17" s="423" t="s">
        <v>624</v>
      </c>
      <c r="C17" s="424" t="s">
        <v>280</v>
      </c>
      <c r="D17" s="425" t="str" cm="1">
        <f t="array" ref="D17">_xlfn.TEXTJOIN("",TRUE,IF(ISNUMBER(SEARCH($A17,'Diags Raw Data'!$A$6:$A$3821)),CONCATENATE('Diags Raw Data'!$H$6:$H$3821,", "),""))</f>
        <v/>
      </c>
      <c r="E17" s="341" t="e">
        <f>VLOOKUP(A17,'Diags Raw Data'!$A$6:$D$3821,4,FALSE)</f>
        <v>#N/A</v>
      </c>
      <c r="F17" s="341" t="str">
        <f>VLOOKUP(A17,'Feature Raw Data'!$A$3:$E$3998,5,FALSE)</f>
        <v>Legacy</v>
      </c>
      <c r="G17" s="341" t="str">
        <f t="shared" si="0"/>
        <v>No</v>
      </c>
      <c r="H17" s="341" t="str">
        <f t="shared" si="1"/>
        <v>No</v>
      </c>
      <c r="I17" s="424">
        <f>SUMIF('Diags Raw Data'!$A$6:$A$3821,"*"&amp;$A17&amp;"*",'Diags Raw Data'!$K$6:$K$3821)</f>
        <v>0</v>
      </c>
      <c r="J17" s="426">
        <f>SUMIF('Diags Raw Data'!$A$6:$A$3821,"*"&amp;$A17&amp;"*",'Diags Raw Data'!$L$6:$L$3821)</f>
        <v>0</v>
      </c>
      <c r="K17" s="445" cm="1">
        <f t="array" ref="K17">IF(D17="",0, SUMPRODUCT(--(ISNUMBER(SEARCH($A17,'Diags Raw Data'!$A$6:$A$3821))),'Diags Raw Data'!$L$6:$L$3821,'Diags Raw Data'!$N$6:$N$3821)/J17)</f>
        <v>0</v>
      </c>
      <c r="L17" s="446" cm="1">
        <f t="array" ref="L17">IF(D17="",0, SUMPRODUCT(--(ISNUMBER(SEARCH($A17,'Diags Raw Data'!$A$6:$A$3821))),'Diags Raw Data'!$L$6:$L$3821,'Diags Raw Data'!$P$6:$P$3821)/J17)</f>
        <v>0</v>
      </c>
      <c r="M17" s="447" cm="1">
        <f t="array" ref="M17">SUMPRODUCT(--(ISNUMBER(SEARCH($A17,'Diags Raw Data'!$A$6:$A$3821))),--('Diags Raw Data'!$Q$6:$Q$3821&lt;&gt;"N/A"),'Diags Raw Data'!$R$6:$R$3821)</f>
        <v>0</v>
      </c>
      <c r="N17" s="448" cm="1">
        <f t="array" ref="N17">SUMPRODUCT(--(ISNUMBER(SEARCH($A17,'Diags Raw Data'!$A$6:$A$3821))),--('Diags Raw Data'!$Q$6:$Q$3821&lt;&gt;"N/A"),'Diags Raw Data'!$T$6:$T$3821)+SUMPRODUCT(--(ISNUMBER(SEARCH($A17,'Diags Raw Data'!$A$6:$A$3821))),--('Diags Raw Data'!$Q$6:$Q$3821&lt;&gt;"N/A"),'Diags Raw Data'!$U$6:$U$3821)</f>
        <v>0</v>
      </c>
      <c r="O17" s="449">
        <f t="shared" si="2"/>
        <v>0</v>
      </c>
      <c r="P17" s="450">
        <f>SUMIF('Diags Raw Data'!$A$6:$A$3821,"*"&amp;$A17&amp;"*",'Diags Raw Data'!$Z$6:$Z$3821)</f>
        <v>0</v>
      </c>
      <c r="Q17" s="451">
        <f>SUM(SUMIF('Diags Raw Data'!$A$6:$A$3821,"*"&amp;$A17&amp;"*",'Diags Raw Data'!$AA$6:$AA$3821),SUMIF('Diags Raw Data'!$A$6:$A$3821,"*"&amp;$A17&amp;"*",'Diags Raw Data'!$AB$6:$AB$3821))</f>
        <v>0</v>
      </c>
      <c r="R17" s="452">
        <f t="shared" si="3"/>
        <v>0</v>
      </c>
      <c r="S17" s="452">
        <f t="shared" si="4"/>
        <v>0</v>
      </c>
      <c r="T17" s="453">
        <f t="shared" si="5"/>
        <v>0</v>
      </c>
      <c r="U17" s="427" t="s">
        <v>618</v>
      </c>
      <c r="V17" s="184"/>
    </row>
    <row r="18" spans="1:22" x14ac:dyDescent="0.25">
      <c r="A18" s="336" t="s">
        <v>625</v>
      </c>
      <c r="B18" s="423" t="s">
        <v>626</v>
      </c>
      <c r="C18" s="424" t="s">
        <v>280</v>
      </c>
      <c r="D18" s="425" t="str" cm="1">
        <f t="array" ref="D18">_xlfn.TEXTJOIN("",TRUE,IF(ISNUMBER(SEARCH($A18,'Diags Raw Data'!$A$6:$A$3821)),CONCATENATE('Diags Raw Data'!$H$6:$H$3821,", "),""))</f>
        <v/>
      </c>
      <c r="E18" s="341" t="e">
        <f>VLOOKUP(A18,'Diags Raw Data'!$A$6:$D$3821,4,FALSE)</f>
        <v>#N/A</v>
      </c>
      <c r="F18" s="341" t="str">
        <f>VLOOKUP(A18,'Feature Raw Data'!$A$3:$E$3998,5,FALSE)</f>
        <v>Legacy</v>
      </c>
      <c r="G18" s="341" t="str">
        <f t="shared" si="0"/>
        <v>No</v>
      </c>
      <c r="H18" s="341" t="str">
        <f t="shared" si="1"/>
        <v>No</v>
      </c>
      <c r="I18" s="424">
        <f>SUMIF('Diags Raw Data'!$A$6:$A$3821,"*"&amp;$A18&amp;"*",'Diags Raw Data'!$K$6:$K$3821)</f>
        <v>0</v>
      </c>
      <c r="J18" s="426">
        <f>SUMIF('Diags Raw Data'!$A$6:$A$3821,"*"&amp;$A18&amp;"*",'Diags Raw Data'!$L$6:$L$3821)</f>
        <v>0</v>
      </c>
      <c r="K18" s="445" cm="1">
        <f t="array" ref="K18">IF(D18="",0, SUMPRODUCT(--(ISNUMBER(SEARCH($A18,'Diags Raw Data'!$A$6:$A$3821))),'Diags Raw Data'!$L$6:$L$3821,'Diags Raw Data'!$N$6:$N$3821)/J18)</f>
        <v>0</v>
      </c>
      <c r="L18" s="446" cm="1">
        <f t="array" ref="L18">IF(D18="",0, SUMPRODUCT(--(ISNUMBER(SEARCH($A18,'Diags Raw Data'!$A$6:$A$3821))),'Diags Raw Data'!$L$6:$L$3821,'Diags Raw Data'!$P$6:$P$3821)/J18)</f>
        <v>0</v>
      </c>
      <c r="M18" s="447" cm="1">
        <f t="array" ref="M18">SUMPRODUCT(--(ISNUMBER(SEARCH($A18,'Diags Raw Data'!$A$6:$A$3821))),--('Diags Raw Data'!$Q$6:$Q$3821&lt;&gt;"N/A"),'Diags Raw Data'!$R$6:$R$3821)</f>
        <v>0</v>
      </c>
      <c r="N18" s="448" cm="1">
        <f t="array" ref="N18">SUMPRODUCT(--(ISNUMBER(SEARCH($A18,'Diags Raw Data'!$A$6:$A$3821))),--('Diags Raw Data'!$Q$6:$Q$3821&lt;&gt;"N/A"),'Diags Raw Data'!$T$6:$T$3821)+SUMPRODUCT(--(ISNUMBER(SEARCH($A18,'Diags Raw Data'!$A$6:$A$3821))),--('Diags Raw Data'!$Q$6:$Q$3821&lt;&gt;"N/A"),'Diags Raw Data'!$U$6:$U$3821)</f>
        <v>0</v>
      </c>
      <c r="O18" s="449">
        <f t="shared" si="2"/>
        <v>0</v>
      </c>
      <c r="P18" s="450">
        <f>SUMIF('Diags Raw Data'!$A$6:$A$3821,"*"&amp;$A18&amp;"*",'Diags Raw Data'!$Z$6:$Z$3821)</f>
        <v>0</v>
      </c>
      <c r="Q18" s="451">
        <f>SUM(SUMIF('Diags Raw Data'!$A$6:$A$3821,"*"&amp;$A18&amp;"*",'Diags Raw Data'!$AA$6:$AA$3821),SUMIF('Diags Raw Data'!$A$6:$A$3821,"*"&amp;$A18&amp;"*",'Diags Raw Data'!$AB$6:$AB$3821))</f>
        <v>0</v>
      </c>
      <c r="R18" s="452">
        <f t="shared" si="3"/>
        <v>0</v>
      </c>
      <c r="S18" s="452">
        <f t="shared" si="4"/>
        <v>0</v>
      </c>
      <c r="T18" s="453">
        <f t="shared" si="5"/>
        <v>0</v>
      </c>
      <c r="U18" s="427" t="s">
        <v>618</v>
      </c>
      <c r="V18" s="182"/>
    </row>
    <row r="19" spans="1:22" x14ac:dyDescent="0.25">
      <c r="A19" s="336" t="s">
        <v>627</v>
      </c>
      <c r="B19" s="423" t="s">
        <v>628</v>
      </c>
      <c r="C19" s="424" t="s">
        <v>280</v>
      </c>
      <c r="D19" s="425" t="str" cm="1">
        <f t="array" ref="D19">_xlfn.TEXTJOIN("",TRUE,IF(ISNUMBER(SEARCH($A19,'Diags Raw Data'!$A$6:$A$3821)),CONCATENATE('Diags Raw Data'!$H$6:$H$3821,", "),""))</f>
        <v/>
      </c>
      <c r="E19" s="341" t="e">
        <f>VLOOKUP(A19,'Diags Raw Data'!$A$6:$D$3821,4,FALSE)</f>
        <v>#N/A</v>
      </c>
      <c r="F19" s="341" t="str">
        <f>VLOOKUP(A19,'Feature Raw Data'!$A$3:$E$3998,5,FALSE)</f>
        <v>Legacy</v>
      </c>
      <c r="G19" s="341" t="str">
        <f t="shared" si="0"/>
        <v>No</v>
      </c>
      <c r="H19" s="341" t="str">
        <f t="shared" si="1"/>
        <v>No</v>
      </c>
      <c r="I19" s="424">
        <f>SUMIF('Diags Raw Data'!$A$6:$A$3821,"*"&amp;$A19&amp;"*",'Diags Raw Data'!$K$6:$K$3821)</f>
        <v>0</v>
      </c>
      <c r="J19" s="426">
        <f>SUMIF('Diags Raw Data'!$A$6:$A$3821,"*"&amp;$A19&amp;"*",'Diags Raw Data'!$L$6:$L$3821)</f>
        <v>0</v>
      </c>
      <c r="K19" s="445" cm="1">
        <f t="array" ref="K19">IF(D19="",0, SUMPRODUCT(--(ISNUMBER(SEARCH($A19,'Diags Raw Data'!$A$6:$A$3821))),'Diags Raw Data'!$L$6:$L$3821,'Diags Raw Data'!$N$6:$N$3821)/J19)</f>
        <v>0</v>
      </c>
      <c r="L19" s="446" cm="1">
        <f t="array" ref="L19">IF(D19="",0, SUMPRODUCT(--(ISNUMBER(SEARCH($A19,'Diags Raw Data'!$A$6:$A$3821))),'Diags Raw Data'!$L$6:$L$3821,'Diags Raw Data'!$P$6:$P$3821)/J19)</f>
        <v>0</v>
      </c>
      <c r="M19" s="447" cm="1">
        <f t="array" ref="M19">SUMPRODUCT(--(ISNUMBER(SEARCH($A19,'Diags Raw Data'!$A$6:$A$3821))),--('Diags Raw Data'!$Q$6:$Q$3821&lt;&gt;"N/A"),'Diags Raw Data'!$R$6:$R$3821)</f>
        <v>0</v>
      </c>
      <c r="N19" s="448" cm="1">
        <f t="array" ref="N19">SUMPRODUCT(--(ISNUMBER(SEARCH($A19,'Diags Raw Data'!$A$6:$A$3821))),--('Diags Raw Data'!$Q$6:$Q$3821&lt;&gt;"N/A"),'Diags Raw Data'!$T$6:$T$3821)+SUMPRODUCT(--(ISNUMBER(SEARCH($A19,'Diags Raw Data'!$A$6:$A$3821))),--('Diags Raw Data'!$Q$6:$Q$3821&lt;&gt;"N/A"),'Diags Raw Data'!$U$6:$U$3821)</f>
        <v>0</v>
      </c>
      <c r="O19" s="449">
        <f t="shared" si="2"/>
        <v>0</v>
      </c>
      <c r="P19" s="450">
        <f>SUMIF('Diags Raw Data'!$A$6:$A$3821,"*"&amp;$A19&amp;"*",'Diags Raw Data'!$Z$6:$Z$3821)</f>
        <v>0</v>
      </c>
      <c r="Q19" s="451">
        <f>SUM(SUMIF('Diags Raw Data'!$A$6:$A$3821,"*"&amp;$A19&amp;"*",'Diags Raw Data'!$AA$6:$AA$3821),SUMIF('Diags Raw Data'!$A$6:$A$3821,"*"&amp;$A19&amp;"*",'Diags Raw Data'!$AB$6:$AB$3821))</f>
        <v>0</v>
      </c>
      <c r="R19" s="452">
        <f t="shared" si="3"/>
        <v>0</v>
      </c>
      <c r="S19" s="452">
        <f t="shared" si="4"/>
        <v>0</v>
      </c>
      <c r="T19" s="453">
        <f t="shared" si="5"/>
        <v>0</v>
      </c>
      <c r="U19" s="427" t="s">
        <v>621</v>
      </c>
      <c r="V19" s="182"/>
    </row>
    <row r="20" spans="1:22" x14ac:dyDescent="0.25">
      <c r="A20" s="336" t="s">
        <v>629</v>
      </c>
      <c r="B20" s="423" t="s">
        <v>630</v>
      </c>
      <c r="C20" s="424" t="s">
        <v>280</v>
      </c>
      <c r="D20" s="425" t="str" cm="1">
        <f t="array" ref="D20">_xlfn.TEXTJOIN("",TRUE,IF(ISNUMBER(SEARCH($A20,'Diags Raw Data'!$A$6:$A$3821)),CONCATENATE('Diags Raw Data'!$H$6:$H$3821,", "),""))</f>
        <v xml:space="preserve">DISP014.1, </v>
      </c>
      <c r="E20" s="341" t="str">
        <f>VLOOKUP(A20,'Diags Raw Data'!$A$6:$D$3821,4,FALSE)</f>
        <v>DISP</v>
      </c>
      <c r="F20" s="341" t="str">
        <f>VLOOKUP(A20,'Feature Raw Data'!$A$3:$E$3998,5,FALSE)</f>
        <v>Legacy</v>
      </c>
      <c r="G20" s="341" t="str">
        <f t="shared" si="0"/>
        <v>Yes</v>
      </c>
      <c r="H20" s="341" t="str">
        <f t="shared" si="1"/>
        <v>Yes</v>
      </c>
      <c r="I20" s="424">
        <f>SUMIF('Diags Raw Data'!$A$6:$A$3821,"*"&amp;$A20&amp;"*",'Diags Raw Data'!$K$6:$K$3821)</f>
        <v>1</v>
      </c>
      <c r="J20" s="426">
        <f>SUMIF('Diags Raw Data'!$A$6:$A$3821,"*"&amp;$A20&amp;"*",'Diags Raw Data'!$L$6:$L$3821)</f>
        <v>1</v>
      </c>
      <c r="K20" s="445" cm="1">
        <f t="array" ref="K20">IF(D20="",0, SUMPRODUCT(--(ISNUMBER(SEARCH($A20,'Diags Raw Data'!$A$6:$A$3821))),'Diags Raw Data'!$L$6:$L$3821,'Diags Raw Data'!$N$6:$N$3821)/J20)</f>
        <v>1</v>
      </c>
      <c r="L20" s="446" cm="1">
        <f t="array" ref="L20">IF(D20="",0, SUMPRODUCT(--(ISNUMBER(SEARCH($A20,'Diags Raw Data'!$A$6:$A$3821))),'Diags Raw Data'!$L$6:$L$3821,'Diags Raw Data'!$P$6:$P$3821)/J20)</f>
        <v>1</v>
      </c>
      <c r="M20" s="447" cm="1">
        <f t="array" ref="M20">SUMPRODUCT(--(ISNUMBER(SEARCH($A20,'Diags Raw Data'!$A$6:$A$3821))),--('Diags Raw Data'!$Q$6:$Q$3821&lt;&gt;"N/A"),'Diags Raw Data'!$R$6:$R$3821)</f>
        <v>1</v>
      </c>
      <c r="N20" s="448" cm="1">
        <f t="array" ref="N20">SUMPRODUCT(--(ISNUMBER(SEARCH($A20,'Diags Raw Data'!$A$6:$A$3821))),--('Diags Raw Data'!$Q$6:$Q$3821&lt;&gt;"N/A"),'Diags Raw Data'!$T$6:$T$3821)+SUMPRODUCT(--(ISNUMBER(SEARCH($A20,'Diags Raw Data'!$A$6:$A$3821))),--('Diags Raw Data'!$Q$6:$Q$3821&lt;&gt;"N/A"),'Diags Raw Data'!$U$6:$U$3821)</f>
        <v>0</v>
      </c>
      <c r="O20" s="449">
        <f t="shared" si="2"/>
        <v>0</v>
      </c>
      <c r="P20" s="450">
        <f>SUMIF('Diags Raw Data'!$A$6:$A$3821,"*"&amp;$A20&amp;"*",'Diags Raw Data'!$Z$6:$Z$3821)</f>
        <v>0</v>
      </c>
      <c r="Q20" s="451">
        <f>SUM(SUMIF('Diags Raw Data'!$A$6:$A$3821,"*"&amp;$A20&amp;"*",'Diags Raw Data'!$AA$6:$AA$3821),SUMIF('Diags Raw Data'!$A$6:$A$3821,"*"&amp;$A20&amp;"*",'Diags Raw Data'!$AB$6:$AB$3821))</f>
        <v>0</v>
      </c>
      <c r="R20" s="452">
        <f t="shared" si="3"/>
        <v>0</v>
      </c>
      <c r="S20" s="452">
        <f t="shared" si="4"/>
        <v>0</v>
      </c>
      <c r="T20" s="453">
        <f t="shared" si="5"/>
        <v>0</v>
      </c>
      <c r="U20" s="427" t="s">
        <v>47</v>
      </c>
      <c r="V20" s="182"/>
    </row>
    <row r="21" spans="1:22" ht="28.9" customHeight="1" x14ac:dyDescent="0.25">
      <c r="A21" s="336" t="s">
        <v>631</v>
      </c>
      <c r="B21" s="423" t="s">
        <v>632</v>
      </c>
      <c r="C21" s="424" t="s">
        <v>280</v>
      </c>
      <c r="D21" s="425" t="str" cm="1">
        <f t="array" ref="D21">_xlfn.TEXTJOIN("",TRUE,IF(ISNUMBER(SEARCH($A21,'Diags Raw Data'!$A$6:$A$3821)),CONCATENATE('Diags Raw Data'!$H$6:$H$3821,", "),""))</f>
        <v xml:space="preserve">DCHB004.1,2,4,7,9,10,12,13,15,16,18-19,22,25,28, DWB018.201-202, </v>
      </c>
      <c r="E21" s="341" t="str">
        <f>VLOOKUP(A21,'Diags Raw Data'!$A$6:$D$3821,4,FALSE)</f>
        <v>DCHB</v>
      </c>
      <c r="F21" s="341" t="str">
        <f>VLOOKUP(A21,'Feature Raw Data'!$A$3:$E$3998,5,FALSE)</f>
        <v>Legacy</v>
      </c>
      <c r="G21" s="341" t="str">
        <f t="shared" si="0"/>
        <v>Yes</v>
      </c>
      <c r="H21" s="341" t="str">
        <f t="shared" si="1"/>
        <v>Yes</v>
      </c>
      <c r="I21" s="424">
        <f>SUMIF('Diags Raw Data'!$A$6:$A$3821,"*"&amp;$A21&amp;"*",'Diags Raw Data'!$K$6:$K$3821)</f>
        <v>2</v>
      </c>
      <c r="J21" s="426">
        <f>SUMIF('Diags Raw Data'!$A$6:$A$3821,"*"&amp;$A21&amp;"*",'Diags Raw Data'!$L$6:$L$3821)</f>
        <v>17</v>
      </c>
      <c r="K21" s="445" cm="1">
        <f t="array" ref="K21">IF(D21="",0, SUMPRODUCT(--(ISNUMBER(SEARCH($A21,'Diags Raw Data'!$A$6:$A$3821))),'Diags Raw Data'!$L$6:$L$3821,'Diags Raw Data'!$N$6:$N$3821)/J21)</f>
        <v>1</v>
      </c>
      <c r="L21" s="446" cm="1">
        <f t="array" ref="L21">IF(D21="",0, SUMPRODUCT(--(ISNUMBER(SEARCH($A21,'Diags Raw Data'!$A$6:$A$3821))),'Diags Raw Data'!$L$6:$L$3821,'Diags Raw Data'!$P$6:$P$3821)/J21)</f>
        <v>1</v>
      </c>
      <c r="M21" s="447" cm="1">
        <f t="array" ref="M21">SUMPRODUCT(--(ISNUMBER(SEARCH($A21,'Diags Raw Data'!$A$6:$A$3821))),--('Diags Raw Data'!$Q$6:$Q$3821&lt;&gt;"N/A"),'Diags Raw Data'!$R$6:$R$3821)</f>
        <v>26</v>
      </c>
      <c r="N21" s="448" cm="1">
        <f t="array" ref="N21">SUMPRODUCT(--(ISNUMBER(SEARCH($A21,'Diags Raw Data'!$A$6:$A$3821))),--('Diags Raw Data'!$Q$6:$Q$3821&lt;&gt;"N/A"),'Diags Raw Data'!$T$6:$T$3821)+SUMPRODUCT(--(ISNUMBER(SEARCH($A21,'Diags Raw Data'!$A$6:$A$3821))),--('Diags Raw Data'!$Q$6:$Q$3821&lt;&gt;"N/A"),'Diags Raw Data'!$U$6:$U$3821)</f>
        <v>0</v>
      </c>
      <c r="O21" s="449">
        <f t="shared" si="2"/>
        <v>0</v>
      </c>
      <c r="P21" s="450">
        <v>0</v>
      </c>
      <c r="Q21" s="451">
        <f>SUM(SUMIF('Diags Raw Data'!$A$6:$A$3821,"*"&amp;$A21&amp;"*",'Diags Raw Data'!$AA$6:$AA$3821),SUMIF('Diags Raw Data'!$A$6:$A$3821,"*"&amp;$A21&amp;"*",'Diags Raw Data'!$AB$6:$AB$3821))</f>
        <v>0</v>
      </c>
      <c r="R21" s="452">
        <f t="shared" si="3"/>
        <v>0</v>
      </c>
      <c r="S21" s="452">
        <f t="shared" si="4"/>
        <v>0</v>
      </c>
      <c r="T21" s="453">
        <f t="shared" si="5"/>
        <v>0</v>
      </c>
      <c r="U21" s="427" t="s">
        <v>47</v>
      </c>
      <c r="V21" s="182"/>
    </row>
    <row r="22" spans="1:22" x14ac:dyDescent="0.25">
      <c r="A22" s="336" t="s">
        <v>633</v>
      </c>
      <c r="B22" s="423" t="s">
        <v>634</v>
      </c>
      <c r="C22" s="424" t="s">
        <v>280</v>
      </c>
      <c r="D22" s="425" t="str" cm="1">
        <f t="array" ref="D22">_xlfn.TEXTJOIN("",TRUE,IF(ISNUMBER(SEARCH($A22,'Diags Raw Data'!$A$6:$A$3821)),CONCATENATE('Diags Raw Data'!$H$6:$H$3821,", "),""))</f>
        <v xml:space="preserve">DISP014.1, </v>
      </c>
      <c r="E22" s="341" t="str">
        <f>VLOOKUP(A22,'Diags Raw Data'!$A$6:$D$3821,4,FALSE)</f>
        <v>DISP</v>
      </c>
      <c r="F22" s="341" t="str">
        <f>VLOOKUP(A22,'Feature Raw Data'!$A$3:$E$3998,5,FALSE)</f>
        <v>Legacy</v>
      </c>
      <c r="G22" s="341" t="str">
        <f t="shared" si="0"/>
        <v>Yes</v>
      </c>
      <c r="H22" s="341" t="str">
        <f t="shared" si="1"/>
        <v>Yes</v>
      </c>
      <c r="I22" s="424">
        <f>SUMIF('Diags Raw Data'!$A$6:$A$3821,"*"&amp;$A22&amp;"*",'Diags Raw Data'!$K$6:$K$3821)</f>
        <v>1</v>
      </c>
      <c r="J22" s="426">
        <f>SUMIF('Diags Raw Data'!$A$6:$A$3821,"*"&amp;$A22&amp;"*",'Diags Raw Data'!$L$6:$L$3821)</f>
        <v>1</v>
      </c>
      <c r="K22" s="445" cm="1">
        <f t="array" ref="K22">IF(D22="",0, SUMPRODUCT(--(ISNUMBER(SEARCH($A22,'Diags Raw Data'!$A$6:$A$3821))),'Diags Raw Data'!$L$6:$L$3821,'Diags Raw Data'!$N$6:$N$3821)/J22)</f>
        <v>1</v>
      </c>
      <c r="L22" s="446" cm="1">
        <f t="array" ref="L22">IF(D22="",0, SUMPRODUCT(--(ISNUMBER(SEARCH($A22,'Diags Raw Data'!$A$6:$A$3821))),'Diags Raw Data'!$L$6:$L$3821,'Diags Raw Data'!$P$6:$P$3821)/J22)</f>
        <v>1</v>
      </c>
      <c r="M22" s="447" cm="1">
        <f t="array" ref="M22">SUMPRODUCT(--(ISNUMBER(SEARCH($A22,'Diags Raw Data'!$A$6:$A$3821))),--('Diags Raw Data'!$Q$6:$Q$3821&lt;&gt;"N/A"),'Diags Raw Data'!$R$6:$R$3821)</f>
        <v>1</v>
      </c>
      <c r="N22" s="448" cm="1">
        <f t="array" ref="N22">SUMPRODUCT(--(ISNUMBER(SEARCH($A22,'Diags Raw Data'!$A$6:$A$3821))),--('Diags Raw Data'!$Q$6:$Q$3821&lt;&gt;"N/A"),'Diags Raw Data'!$T$6:$T$3821)+SUMPRODUCT(--(ISNUMBER(SEARCH($A22,'Diags Raw Data'!$A$6:$A$3821))),--('Diags Raw Data'!$Q$6:$Q$3821&lt;&gt;"N/A"),'Diags Raw Data'!$U$6:$U$3821)</f>
        <v>0</v>
      </c>
      <c r="O22" s="449">
        <f t="shared" si="2"/>
        <v>0</v>
      </c>
      <c r="P22" s="450">
        <f>SUMIF('Diags Raw Data'!$A$6:$A$3821,"*"&amp;$A22&amp;"*",'Diags Raw Data'!$Z$6:$Z$3821)</f>
        <v>0</v>
      </c>
      <c r="Q22" s="451">
        <f>SUM(SUMIF('Diags Raw Data'!$A$6:$A$3821,"*"&amp;$A22&amp;"*",'Diags Raw Data'!$AA$6:$AA$3821),SUMIF('Diags Raw Data'!$A$6:$A$3821,"*"&amp;$A22&amp;"*",'Diags Raw Data'!$AB$6:$AB$3821))</f>
        <v>0</v>
      </c>
      <c r="R22" s="452">
        <f t="shared" si="3"/>
        <v>0</v>
      </c>
      <c r="S22" s="452">
        <f t="shared" si="4"/>
        <v>0</v>
      </c>
      <c r="T22" s="453">
        <f t="shared" si="5"/>
        <v>0</v>
      </c>
      <c r="U22" s="427" t="s">
        <v>47</v>
      </c>
      <c r="V22" s="182"/>
    </row>
    <row r="23" spans="1:22" x14ac:dyDescent="0.25">
      <c r="A23" s="336" t="s">
        <v>635</v>
      </c>
      <c r="B23" s="423" t="s">
        <v>636</v>
      </c>
      <c r="C23" s="424" t="s">
        <v>280</v>
      </c>
      <c r="D23" s="425" t="str" cm="1">
        <f t="array" ref="D23">_xlfn.TEXTJOIN("",TRUE,IF(ISNUMBER(SEARCH($A23,'Diags Raw Data'!$A$6:$A$3821)),CONCATENATE('Diags Raw Data'!$H$6:$H$3821,", "),""))</f>
        <v/>
      </c>
      <c r="E23" s="341" t="e">
        <f>VLOOKUP(A23,'Diags Raw Data'!$A$6:$D$3821,4,FALSE)</f>
        <v>#N/A</v>
      </c>
      <c r="F23" s="341" t="str">
        <f>VLOOKUP(A23,'Feature Raw Data'!$A$3:$E$3998,5,FALSE)</f>
        <v>Legacy</v>
      </c>
      <c r="G23" s="341" t="str">
        <f t="shared" si="0"/>
        <v>No</v>
      </c>
      <c r="H23" s="341" t="str">
        <f t="shared" si="1"/>
        <v>No</v>
      </c>
      <c r="I23" s="424">
        <f>SUMIF('Diags Raw Data'!$A$6:$A$3821,"*"&amp;$A23&amp;"*",'Diags Raw Data'!$K$6:$K$3821)</f>
        <v>0</v>
      </c>
      <c r="J23" s="426">
        <f>SUMIF('Diags Raw Data'!$A$6:$A$3821,"*"&amp;$A23&amp;"*",'Diags Raw Data'!$L$6:$L$3821)</f>
        <v>0</v>
      </c>
      <c r="K23" s="445" cm="1">
        <f t="array" ref="K23">IF(D23="",0, SUMPRODUCT(--(ISNUMBER(SEARCH($A23,'Diags Raw Data'!$A$6:$A$3821))),'Diags Raw Data'!$L$6:$L$3821,'Diags Raw Data'!$N$6:$N$3821)/J23)</f>
        <v>0</v>
      </c>
      <c r="L23" s="446" cm="1">
        <f t="array" ref="L23">IF(D23="",0, SUMPRODUCT(--(ISNUMBER(SEARCH($A23,'Diags Raw Data'!$A$6:$A$3821))),'Diags Raw Data'!$L$6:$L$3821,'Diags Raw Data'!$P$6:$P$3821)/J23)</f>
        <v>0</v>
      </c>
      <c r="M23" s="447" cm="1">
        <f t="array" ref="M23">SUMPRODUCT(--(ISNUMBER(SEARCH($A23,'Diags Raw Data'!$A$6:$A$3821))),--('Diags Raw Data'!$Q$6:$Q$3821&lt;&gt;"N/A"),'Diags Raw Data'!$R$6:$R$3821)</f>
        <v>0</v>
      </c>
      <c r="N23" s="448" cm="1">
        <f t="array" ref="N23">SUMPRODUCT(--(ISNUMBER(SEARCH($A23,'Diags Raw Data'!$A$6:$A$3821))),--('Diags Raw Data'!$Q$6:$Q$3821&lt;&gt;"N/A"),'Diags Raw Data'!$T$6:$T$3821)+SUMPRODUCT(--(ISNUMBER(SEARCH($A23,'Diags Raw Data'!$A$6:$A$3821))),--('Diags Raw Data'!$Q$6:$Q$3821&lt;&gt;"N/A"),'Diags Raw Data'!$U$6:$U$3821)</f>
        <v>0</v>
      </c>
      <c r="O23" s="449">
        <f t="shared" si="2"/>
        <v>0</v>
      </c>
      <c r="P23" s="450">
        <f>SUMIF('Diags Raw Data'!$A$6:$A$3821,"*"&amp;$A23&amp;"*",'Diags Raw Data'!$Z$6:$Z$3821)</f>
        <v>0</v>
      </c>
      <c r="Q23" s="451">
        <f>SUM(SUMIF('Diags Raw Data'!$A$6:$A$3821,"*"&amp;$A23&amp;"*",'Diags Raw Data'!$AA$6:$AA$3821),SUMIF('Diags Raw Data'!$A$6:$A$3821,"*"&amp;$A23&amp;"*",'Diags Raw Data'!$AB$6:$AB$3821))</f>
        <v>0</v>
      </c>
      <c r="R23" s="452">
        <f t="shared" si="3"/>
        <v>0</v>
      </c>
      <c r="S23" s="452">
        <f t="shared" si="4"/>
        <v>0</v>
      </c>
      <c r="T23" s="453">
        <f t="shared" si="5"/>
        <v>0</v>
      </c>
      <c r="U23" s="427" t="s">
        <v>47</v>
      </c>
      <c r="V23" s="182"/>
    </row>
    <row r="24" spans="1:22" x14ac:dyDescent="0.25">
      <c r="A24" s="336" t="s">
        <v>495</v>
      </c>
      <c r="B24" s="423" t="s">
        <v>637</v>
      </c>
      <c r="C24" s="424" t="s">
        <v>280</v>
      </c>
      <c r="D24" s="425" t="str" cm="1">
        <f t="array" ref="D24">_xlfn.TEXTJOIN("",TRUE,IF(ISNUMBER(SEARCH($A24,'Diags Raw Data'!$A$6:$A$3821)),CONCATENATE('Diags Raw Data'!$H$6:$H$3821,", "),""))</f>
        <v xml:space="preserve">DIO359.1, </v>
      </c>
      <c r="E24" s="341" t="str">
        <f>VLOOKUP(A24,'Diags Raw Data'!$A$6:$D$3821,4,FALSE)</f>
        <v>DIO</v>
      </c>
      <c r="F24" s="341" t="str">
        <f>VLOOKUP(A24,'Feature Raw Data'!$A$3:$E$3998,5,FALSE)</f>
        <v>Legacy</v>
      </c>
      <c r="G24" s="341" t="str">
        <f t="shared" si="0"/>
        <v>Yes</v>
      </c>
      <c r="H24" s="341" t="str">
        <f t="shared" si="1"/>
        <v>Yes</v>
      </c>
      <c r="I24" s="424">
        <f>SUMIF('Diags Raw Data'!$A$6:$A$3821,"*"&amp;$A24&amp;"*",'Diags Raw Data'!$K$6:$K$3821)</f>
        <v>1</v>
      </c>
      <c r="J24" s="426">
        <f>SUMIF('Diags Raw Data'!$A$6:$A$3821,"*"&amp;$A24&amp;"*",'Diags Raw Data'!$L$6:$L$3821)</f>
        <v>1</v>
      </c>
      <c r="K24" s="445" cm="1">
        <f t="array" ref="K24">IF(D24="",0, SUMPRODUCT(--(ISNUMBER(SEARCH($A24,'Diags Raw Data'!$A$6:$A$3821))),'Diags Raw Data'!$L$6:$L$3821,'Diags Raw Data'!$N$6:$N$3821)/J24)</f>
        <v>1</v>
      </c>
      <c r="L24" s="446" cm="1">
        <f t="array" ref="L24">IF(D24="",0, SUMPRODUCT(--(ISNUMBER(SEARCH($A24,'Diags Raw Data'!$A$6:$A$3821))),'Diags Raw Data'!$L$6:$L$3821,'Diags Raw Data'!$P$6:$P$3821)/J24)</f>
        <v>1</v>
      </c>
      <c r="M24" s="447" cm="1">
        <f t="array" ref="M24">SUMPRODUCT(--(ISNUMBER(SEARCH($A24,'Diags Raw Data'!$A$6:$A$3821))),--('Diags Raw Data'!$Q$6:$Q$3821&lt;&gt;"N/A"),'Diags Raw Data'!$R$6:$R$3821)</f>
        <v>1</v>
      </c>
      <c r="N24" s="448" cm="1">
        <f t="array" ref="N24">SUMPRODUCT(--(ISNUMBER(SEARCH($A24,'Diags Raw Data'!$A$6:$A$3821))),--('Diags Raw Data'!$Q$6:$Q$3821&lt;&gt;"N/A"),'Diags Raw Data'!$T$6:$T$3821)+SUMPRODUCT(--(ISNUMBER(SEARCH($A24,'Diags Raw Data'!$A$6:$A$3821))),--('Diags Raw Data'!$Q$6:$Q$3821&lt;&gt;"N/A"),'Diags Raw Data'!$U$6:$U$3821)</f>
        <v>0</v>
      </c>
      <c r="O24" s="449">
        <f t="shared" si="2"/>
        <v>0</v>
      </c>
      <c r="P24" s="450">
        <v>0</v>
      </c>
      <c r="Q24" s="451">
        <f>SUM(SUMIF('Diags Raw Data'!$A$6:$A$3821,"*"&amp;$A24&amp;"*",'Diags Raw Data'!$AA$6:$AA$3821),SUMIF('Diags Raw Data'!$A$6:$A$3821,"*"&amp;$A24&amp;"*",'Diags Raw Data'!$AB$6:$AB$3821))</f>
        <v>0</v>
      </c>
      <c r="R24" s="452">
        <f t="shared" si="3"/>
        <v>0</v>
      </c>
      <c r="S24" s="452">
        <f t="shared" si="4"/>
        <v>0</v>
      </c>
      <c r="T24" s="453">
        <f t="shared" si="5"/>
        <v>0</v>
      </c>
      <c r="U24" s="427" t="s">
        <v>638</v>
      </c>
      <c r="V24" s="182"/>
    </row>
    <row r="25" spans="1:22" ht="45" x14ac:dyDescent="0.25">
      <c r="A25" s="336" t="s">
        <v>327</v>
      </c>
      <c r="B25" s="423" t="s">
        <v>639</v>
      </c>
      <c r="C25" s="424" t="s">
        <v>280</v>
      </c>
      <c r="D25" s="425" t="str" cm="1">
        <f t="array" ref="D25">_xlfn.TEXTJOIN("",TRUE,IF(ISNUMBER(SEARCH($A25,'Diags Raw Data'!$A$6:$A$3821)),CONCATENATE('Diags Raw Data'!$H$6:$H$3821,", "),""))</f>
        <v xml:space="preserve">DCHB002.101-160,170-173, DCHB005.1-6, DCHB021.1-3, DCHB022.1-8,101-108,201-208, DPP029.1-62, DIO222.1-2, DIO359.1, </v>
      </c>
      <c r="E25" s="341" t="str">
        <f>VLOOKUP(A25,'Diags Raw Data'!$A$6:$D$3821,4,FALSE)</f>
        <v>DCHB</v>
      </c>
      <c r="F25" s="341" t="str">
        <f>VLOOKUP(A25,'Feature Raw Data'!$A$3:$E$3998,5,FALSE)</f>
        <v>Legacy</v>
      </c>
      <c r="G25" s="341" t="str">
        <f t="shared" si="0"/>
        <v>Yes</v>
      </c>
      <c r="H25" s="341" t="str">
        <f t="shared" si="1"/>
        <v>Yes</v>
      </c>
      <c r="I25" s="424">
        <f>SUMIF('Diags Raw Data'!$A$6:$A$3821,"*"&amp;$A25&amp;"*",'Diags Raw Data'!$K$6:$K$3821)</f>
        <v>7</v>
      </c>
      <c r="J25" s="426">
        <f>SUMIF('Diags Raw Data'!$A$6:$A$3821,"*"&amp;$A25&amp;"*",'Diags Raw Data'!$L$6:$L$3821)</f>
        <v>161</v>
      </c>
      <c r="K25" s="445" cm="1">
        <f t="array" ref="K25">IF(D25="",0, SUMPRODUCT(--(ISNUMBER(SEARCH($A25,'Diags Raw Data'!$A$6:$A$3821))),'Diags Raw Data'!$L$6:$L$3821,'Diags Raw Data'!$N$6:$N$3821)/J25)</f>
        <v>1</v>
      </c>
      <c r="L25" s="446" cm="1">
        <f t="array" ref="L25">IF(D25="",0, SUMPRODUCT(--(ISNUMBER(SEARCH($A25,'Diags Raw Data'!$A$6:$A$3821))),'Diags Raw Data'!$L$6:$L$3821,'Diags Raw Data'!$P$6:$P$3821)/J25)</f>
        <v>1</v>
      </c>
      <c r="M25" s="447" cm="1">
        <f t="array" ref="M25">SUMPRODUCT(--(ISNUMBER(SEARCH($A25,'Diags Raw Data'!$A$6:$A$3821))),--('Diags Raw Data'!$Q$6:$Q$3821&lt;&gt;"N/A"),'Diags Raw Data'!$R$6:$R$3821)</f>
        <v>161</v>
      </c>
      <c r="N25" s="448" cm="1">
        <f t="array" ref="N25">SUMPRODUCT(--(ISNUMBER(SEARCH($A25,'Diags Raw Data'!$A$6:$A$3821))),--('Diags Raw Data'!$Q$6:$Q$3821&lt;&gt;"N/A"),'Diags Raw Data'!$T$6:$T$3821)+SUMPRODUCT(--(ISNUMBER(SEARCH($A25,'Diags Raw Data'!$A$6:$A$3821))),--('Diags Raw Data'!$Q$6:$Q$3821&lt;&gt;"N/A"),'Diags Raw Data'!$U$6:$U$3821)</f>
        <v>0</v>
      </c>
      <c r="O25" s="449">
        <f t="shared" si="2"/>
        <v>0</v>
      </c>
      <c r="P25" s="450">
        <v>0</v>
      </c>
      <c r="Q25" s="451">
        <f>SUM(SUMIF('Diags Raw Data'!$A$6:$A$3821,"*"&amp;$A25&amp;"*",'Diags Raw Data'!$AA$6:$AA$3821),SUMIF('Diags Raw Data'!$A$6:$A$3821,"*"&amp;$A25&amp;"*",'Diags Raw Data'!$AB$6:$AB$3821))</f>
        <v>0</v>
      </c>
      <c r="R25" s="452">
        <f t="shared" si="3"/>
        <v>0</v>
      </c>
      <c r="S25" s="452">
        <f t="shared" si="4"/>
        <v>0</v>
      </c>
      <c r="T25" s="453">
        <f t="shared" si="5"/>
        <v>0</v>
      </c>
      <c r="U25" s="427" t="s">
        <v>638</v>
      </c>
      <c r="V25" s="182"/>
    </row>
    <row r="26" spans="1:22" ht="60" x14ac:dyDescent="0.25">
      <c r="A26" s="336" t="s">
        <v>329</v>
      </c>
      <c r="B26" s="423" t="s">
        <v>640</v>
      </c>
      <c r="C26" s="424" t="s">
        <v>280</v>
      </c>
      <c r="D26" s="425" t="str" cm="1">
        <f t="array" ref="D26">_xlfn.TEXTJOIN("",TRUE,IF(ISNUMBER(SEARCH($A26,'Diags Raw Data'!$A$6:$A$3821)),CONCATENATE('Diags Raw Data'!$H$6:$H$3821,", "),""))</f>
        <v xml:space="preserve">DCHB002.101-160,170-173, DCHB005.1-6, DCHB021.1-3, DCHB040.1, DCHB060.1, DCHB061.1, DPP029.1-62, DIO222.1-2, DIO359.1, </v>
      </c>
      <c r="E26" s="341" t="str">
        <f>VLOOKUP(A26,'Diags Raw Data'!$A$6:$D$3821,4,FALSE)</f>
        <v>DCHB</v>
      </c>
      <c r="F26" s="341" t="str">
        <f>VLOOKUP(A26,'Feature Raw Data'!$A$3:$E$3998,5,FALSE)</f>
        <v>Legacy</v>
      </c>
      <c r="G26" s="341" t="str">
        <f t="shared" si="0"/>
        <v>Yes</v>
      </c>
      <c r="H26" s="341" t="str">
        <f t="shared" si="1"/>
        <v>Yes</v>
      </c>
      <c r="I26" s="424">
        <f>SUMIF('Diags Raw Data'!$A$6:$A$3821,"*"&amp;$A26&amp;"*",'Diags Raw Data'!$K$6:$K$3821)</f>
        <v>23</v>
      </c>
      <c r="J26" s="426">
        <f>SUMIF('Diags Raw Data'!$A$6:$A$3821,"*"&amp;$A26&amp;"*",'Diags Raw Data'!$L$6:$L$3821)</f>
        <v>140</v>
      </c>
      <c r="K26" s="445" cm="1">
        <f t="array" ref="K26">IF(D26="",0, SUMPRODUCT(--(ISNUMBER(SEARCH($A26,'Diags Raw Data'!$A$6:$A$3821))),'Diags Raw Data'!$L$6:$L$3821,'Diags Raw Data'!$N$6:$N$3821)/J26)</f>
        <v>1</v>
      </c>
      <c r="L26" s="446" cm="1">
        <f t="array" ref="L26">IF(D26="",0, SUMPRODUCT(--(ISNUMBER(SEARCH($A26,'Diags Raw Data'!$A$6:$A$3821))),'Diags Raw Data'!$L$6:$L$3821,'Diags Raw Data'!$P$6:$P$3821)/J26)</f>
        <v>1</v>
      </c>
      <c r="M26" s="447" cm="1">
        <f t="array" ref="M26">SUMPRODUCT(--(ISNUMBER(SEARCH($A26,'Diags Raw Data'!$A$6:$A$3821))),--('Diags Raw Data'!$Q$6:$Q$3821&lt;&gt;"N/A"),'Diags Raw Data'!$R$6:$R$3821)</f>
        <v>140</v>
      </c>
      <c r="N26" s="448" cm="1">
        <f t="array" ref="N26">SUMPRODUCT(--(ISNUMBER(SEARCH($A26,'Diags Raw Data'!$A$6:$A$3821))),--('Diags Raw Data'!$Q$6:$Q$3821&lt;&gt;"N/A"),'Diags Raw Data'!$T$6:$T$3821)+SUMPRODUCT(--(ISNUMBER(SEARCH($A26,'Diags Raw Data'!$A$6:$A$3821))),--('Diags Raw Data'!$Q$6:$Q$3821&lt;&gt;"N/A"),'Diags Raw Data'!$U$6:$U$3821)</f>
        <v>0</v>
      </c>
      <c r="O26" s="449">
        <f t="shared" si="2"/>
        <v>0</v>
      </c>
      <c r="P26" s="450">
        <v>0</v>
      </c>
      <c r="Q26" s="451">
        <f>SUM(SUMIF('Diags Raw Data'!$A$6:$A$3821,"*"&amp;$A26&amp;"*",'Diags Raw Data'!$AA$6:$AA$3821),SUMIF('Diags Raw Data'!$A$6:$A$3821,"*"&amp;$A26&amp;"*",'Diags Raw Data'!$AB$6:$AB$3821))</f>
        <v>0</v>
      </c>
      <c r="R26" s="452">
        <f t="shared" si="3"/>
        <v>0</v>
      </c>
      <c r="S26" s="452">
        <f t="shared" si="4"/>
        <v>0</v>
      </c>
      <c r="T26" s="453">
        <f t="shared" si="5"/>
        <v>0</v>
      </c>
      <c r="U26" s="427" t="s">
        <v>638</v>
      </c>
      <c r="V26" s="182"/>
    </row>
    <row r="27" spans="1:22" x14ac:dyDescent="0.25">
      <c r="A27" s="336" t="s">
        <v>641</v>
      </c>
      <c r="B27" s="423" t="s">
        <v>642</v>
      </c>
      <c r="C27" s="424" t="s">
        <v>280</v>
      </c>
      <c r="D27" s="425" t="str" cm="1">
        <f t="array" ref="D27">_xlfn.TEXTJOIN("",TRUE,IF(ISNUMBER(SEARCH($A27,'Diags Raw Data'!$A$6:$A$3821)),CONCATENATE('Diags Raw Data'!$H$6:$H$3821,", "),""))</f>
        <v xml:space="preserve">DCHB004.1,2,4,7,9,10,12,13,15,16,18-19,22,25,28, DCHB007.101-111, </v>
      </c>
      <c r="E27" s="341" t="str">
        <f>VLOOKUP(A27,'Diags Raw Data'!$A$6:$D$3821,4,FALSE)</f>
        <v>DCHB</v>
      </c>
      <c r="F27" s="341" t="str">
        <f>VLOOKUP(A27,'Feature Raw Data'!$A$3:$E$3998,5,FALSE)</f>
        <v>Legacy</v>
      </c>
      <c r="G27" s="341" t="str">
        <f t="shared" si="0"/>
        <v>Yes</v>
      </c>
      <c r="H27" s="341" t="str">
        <f t="shared" si="1"/>
        <v>Yes</v>
      </c>
      <c r="I27" s="424">
        <f>SUMIF('Diags Raw Data'!$A$6:$A$3821,"*"&amp;$A27&amp;"*",'Diags Raw Data'!$K$6:$K$3821)</f>
        <v>2</v>
      </c>
      <c r="J27" s="426">
        <f>SUMIF('Diags Raw Data'!$A$6:$A$3821,"*"&amp;$A27&amp;"*",'Diags Raw Data'!$L$6:$L$3821)</f>
        <v>26</v>
      </c>
      <c r="K27" s="445" cm="1">
        <f t="array" ref="K27">IF(D27="",0, SUMPRODUCT(--(ISNUMBER(SEARCH($A27,'Diags Raw Data'!$A$6:$A$3821))),'Diags Raw Data'!$L$6:$L$3821,'Diags Raw Data'!$N$6:$N$3821)/J27)</f>
        <v>1</v>
      </c>
      <c r="L27" s="446" cm="1">
        <f t="array" ref="L27">IF(D27="",0, SUMPRODUCT(--(ISNUMBER(SEARCH($A27,'Diags Raw Data'!$A$6:$A$3821))),'Diags Raw Data'!$L$6:$L$3821,'Diags Raw Data'!$P$6:$P$3821)/J27)</f>
        <v>1</v>
      </c>
      <c r="M27" s="447" cm="1">
        <f t="array" ref="M27">SUMPRODUCT(--(ISNUMBER(SEARCH($A27,'Diags Raw Data'!$A$6:$A$3821))),--('Diags Raw Data'!$Q$6:$Q$3821&lt;&gt;"N/A"),'Diags Raw Data'!$R$6:$R$3821)</f>
        <v>35</v>
      </c>
      <c r="N27" s="448" cm="1">
        <f t="array" ref="N27">SUMPRODUCT(--(ISNUMBER(SEARCH($A27,'Diags Raw Data'!$A$6:$A$3821))),--('Diags Raw Data'!$Q$6:$Q$3821&lt;&gt;"N/A"),'Diags Raw Data'!$T$6:$T$3821)+SUMPRODUCT(--(ISNUMBER(SEARCH($A27,'Diags Raw Data'!$A$6:$A$3821))),--('Diags Raw Data'!$Q$6:$Q$3821&lt;&gt;"N/A"),'Diags Raw Data'!$U$6:$U$3821)</f>
        <v>0</v>
      </c>
      <c r="O27" s="449">
        <f t="shared" si="2"/>
        <v>0</v>
      </c>
      <c r="P27" s="450">
        <f>SUMIF('Diags Raw Data'!$A$6:$A$3821,"*"&amp;$A27&amp;"*",'Diags Raw Data'!$Z$6:$Z$3821)</f>
        <v>0</v>
      </c>
      <c r="Q27" s="451">
        <f>SUM(SUMIF('Diags Raw Data'!$A$6:$A$3821,"*"&amp;$A27&amp;"*",'Diags Raw Data'!$AA$6:$AA$3821),SUMIF('Diags Raw Data'!$A$6:$A$3821,"*"&amp;$A27&amp;"*",'Diags Raw Data'!$AB$6:$AB$3821))</f>
        <v>0</v>
      </c>
      <c r="R27" s="452">
        <f t="shared" si="3"/>
        <v>0</v>
      </c>
      <c r="S27" s="452">
        <f t="shared" si="4"/>
        <v>0</v>
      </c>
      <c r="T27" s="453">
        <f t="shared" si="5"/>
        <v>0</v>
      </c>
      <c r="U27" s="427" t="s">
        <v>643</v>
      </c>
      <c r="V27" s="182"/>
    </row>
    <row r="28" spans="1:22" ht="30" x14ac:dyDescent="0.25">
      <c r="A28" s="336" t="s">
        <v>644</v>
      </c>
      <c r="B28" s="423" t="s">
        <v>645</v>
      </c>
      <c r="C28" s="424" t="s">
        <v>280</v>
      </c>
      <c r="D28" s="425" t="str" cm="1">
        <f t="array" ref="D28">_xlfn.TEXTJOIN("",TRUE,IF(ISNUMBER(SEARCH($A28,'Diags Raw Data'!$A$6:$A$3821)),CONCATENATE('Diags Raw Data'!$H$6:$H$3821,", "),""))</f>
        <v xml:space="preserve">DCHB005.1-6, DCHB006.1-10, DCHB008.1-2, DCHB021.1-3, </v>
      </c>
      <c r="E28" s="341" t="str">
        <f>VLOOKUP(A28,'Diags Raw Data'!$A$6:$D$3821,4,FALSE)</f>
        <v>DCHB</v>
      </c>
      <c r="F28" s="341" t="str">
        <f>VLOOKUP(A28,'Feature Raw Data'!$A$3:$E$3998,5,FALSE)</f>
        <v>Legacy</v>
      </c>
      <c r="G28" s="341" t="str">
        <f t="shared" si="0"/>
        <v>Yes</v>
      </c>
      <c r="H28" s="341" t="str">
        <f t="shared" si="1"/>
        <v>Yes</v>
      </c>
      <c r="I28" s="424">
        <f>SUMIF('Diags Raw Data'!$A$6:$A$3821,"*"&amp;$A28&amp;"*",'Diags Raw Data'!$K$6:$K$3821)</f>
        <v>4</v>
      </c>
      <c r="J28" s="426">
        <f>SUMIF('Diags Raw Data'!$A$6:$A$3821,"*"&amp;$A28&amp;"*",'Diags Raw Data'!$L$6:$L$3821)</f>
        <v>21</v>
      </c>
      <c r="K28" s="445" cm="1">
        <f t="array" ref="K28">IF(D28="",0, SUMPRODUCT(--(ISNUMBER(SEARCH($A28,'Diags Raw Data'!$A$6:$A$3821))),'Diags Raw Data'!$L$6:$L$3821,'Diags Raw Data'!$N$6:$N$3821)/J28)</f>
        <v>1</v>
      </c>
      <c r="L28" s="446" cm="1">
        <f t="array" ref="L28">IF(D28="",0, SUMPRODUCT(--(ISNUMBER(SEARCH($A28,'Diags Raw Data'!$A$6:$A$3821))),'Diags Raw Data'!$L$6:$L$3821,'Diags Raw Data'!$P$6:$P$3821)/J28)</f>
        <v>1</v>
      </c>
      <c r="M28" s="447" cm="1">
        <f t="array" ref="M28">SUMPRODUCT(--(ISNUMBER(SEARCH($A28,'Diags Raw Data'!$A$6:$A$3821))),--('Diags Raw Data'!$Q$6:$Q$3821&lt;&gt;"N/A"),'Diags Raw Data'!$R$6:$R$3821)</f>
        <v>21</v>
      </c>
      <c r="N28" s="448" cm="1">
        <f t="array" ref="N28">SUMPRODUCT(--(ISNUMBER(SEARCH($A28,'Diags Raw Data'!$A$6:$A$3821))),--('Diags Raw Data'!$Q$6:$Q$3821&lt;&gt;"N/A"),'Diags Raw Data'!$T$6:$T$3821)+SUMPRODUCT(--(ISNUMBER(SEARCH($A28,'Diags Raw Data'!$A$6:$A$3821))),--('Diags Raw Data'!$Q$6:$Q$3821&lt;&gt;"N/A"),'Diags Raw Data'!$U$6:$U$3821)</f>
        <v>0</v>
      </c>
      <c r="O28" s="449">
        <f t="shared" si="2"/>
        <v>0</v>
      </c>
      <c r="P28" s="450">
        <f>SUMIF('Diags Raw Data'!$A$6:$A$3821,"*"&amp;$A28&amp;"*",'Diags Raw Data'!$Z$6:$Z$3821)</f>
        <v>0</v>
      </c>
      <c r="Q28" s="451">
        <f>SUM(SUMIF('Diags Raw Data'!$A$6:$A$3821,"*"&amp;$A28&amp;"*",'Diags Raw Data'!$AA$6:$AA$3821),SUMIF('Diags Raw Data'!$A$6:$A$3821,"*"&amp;$A28&amp;"*",'Diags Raw Data'!$AB$6:$AB$3821))</f>
        <v>0</v>
      </c>
      <c r="R28" s="452">
        <f t="shared" si="3"/>
        <v>0</v>
      </c>
      <c r="S28" s="452">
        <f t="shared" si="4"/>
        <v>0</v>
      </c>
      <c r="T28" s="453">
        <f t="shared" si="5"/>
        <v>0</v>
      </c>
      <c r="U28" s="427" t="s">
        <v>621</v>
      </c>
      <c r="V28" s="182"/>
    </row>
    <row r="29" spans="1:22" x14ac:dyDescent="0.25">
      <c r="A29" s="336" t="s">
        <v>646</v>
      </c>
      <c r="B29" s="423" t="s">
        <v>647</v>
      </c>
      <c r="C29" s="424" t="s">
        <v>280</v>
      </c>
      <c r="D29" s="425" t="str" cm="1">
        <f t="array" ref="D29">_xlfn.TEXTJOIN("",TRUE,IF(ISNUMBER(SEARCH($A29,'Diags Raw Data'!$A$6:$A$3821)),CONCATENATE('Diags Raw Data'!$H$6:$H$3821,", "),""))</f>
        <v xml:space="preserve">DCHB008.1-2, </v>
      </c>
      <c r="E29" s="341" t="str">
        <f>VLOOKUP(A29,'Diags Raw Data'!$A$6:$D$3821,4,FALSE)</f>
        <v>DCHB</v>
      </c>
      <c r="F29" s="341" t="str">
        <f>VLOOKUP(A29,'Feature Raw Data'!$A$3:$E$3998,5,FALSE)</f>
        <v>Legacy</v>
      </c>
      <c r="G29" s="341" t="str">
        <f t="shared" si="0"/>
        <v>Yes</v>
      </c>
      <c r="H29" s="341" t="str">
        <f t="shared" si="1"/>
        <v>Yes</v>
      </c>
      <c r="I29" s="424">
        <f>SUMIF('Diags Raw Data'!$A$6:$A$3821,"*"&amp;$A29&amp;"*",'Diags Raw Data'!$K$6:$K$3821)</f>
        <v>1</v>
      </c>
      <c r="J29" s="426">
        <f>SUMIF('Diags Raw Data'!$A$6:$A$3821,"*"&amp;$A29&amp;"*",'Diags Raw Data'!$L$6:$L$3821)</f>
        <v>2</v>
      </c>
      <c r="K29" s="445" cm="1">
        <f t="array" ref="K29">IF(D29="",0, SUMPRODUCT(--(ISNUMBER(SEARCH($A29,'Diags Raw Data'!$A$6:$A$3821))),'Diags Raw Data'!$L$6:$L$3821,'Diags Raw Data'!$N$6:$N$3821)/J29)</f>
        <v>1</v>
      </c>
      <c r="L29" s="446" cm="1">
        <f t="array" ref="L29">IF(D29="",0, SUMPRODUCT(--(ISNUMBER(SEARCH($A29,'Diags Raw Data'!$A$6:$A$3821))),'Diags Raw Data'!$L$6:$L$3821,'Diags Raw Data'!$P$6:$P$3821)/J29)</f>
        <v>1</v>
      </c>
      <c r="M29" s="447" cm="1">
        <f t="array" ref="M29">SUMPRODUCT(--(ISNUMBER(SEARCH($A29,'Diags Raw Data'!$A$6:$A$3821))),--('Diags Raw Data'!$Q$6:$Q$3821&lt;&gt;"N/A"),'Diags Raw Data'!$R$6:$R$3821)</f>
        <v>2</v>
      </c>
      <c r="N29" s="448" cm="1">
        <f t="array" ref="N29">SUMPRODUCT(--(ISNUMBER(SEARCH($A29,'Diags Raw Data'!$A$6:$A$3821))),--('Diags Raw Data'!$Q$6:$Q$3821&lt;&gt;"N/A"),'Diags Raw Data'!$T$6:$T$3821)+SUMPRODUCT(--(ISNUMBER(SEARCH($A29,'Diags Raw Data'!$A$6:$A$3821))),--('Diags Raw Data'!$Q$6:$Q$3821&lt;&gt;"N/A"),'Diags Raw Data'!$U$6:$U$3821)</f>
        <v>0</v>
      </c>
      <c r="O29" s="449">
        <f t="shared" si="2"/>
        <v>0</v>
      </c>
      <c r="P29" s="450">
        <f>SUMIF('Diags Raw Data'!$A$6:$A$3821,"*"&amp;$A29&amp;"*",'Diags Raw Data'!$Z$6:$Z$3821)</f>
        <v>0</v>
      </c>
      <c r="Q29" s="451">
        <f>SUM(SUMIF('Diags Raw Data'!$A$6:$A$3821,"*"&amp;$A29&amp;"*",'Diags Raw Data'!$AA$6:$AA$3821),SUMIF('Diags Raw Data'!$A$6:$A$3821,"*"&amp;$A29&amp;"*",'Diags Raw Data'!$AB$6:$AB$3821))</f>
        <v>0</v>
      </c>
      <c r="R29" s="452">
        <f t="shared" si="3"/>
        <v>0</v>
      </c>
      <c r="S29" s="452">
        <f t="shared" si="4"/>
        <v>0</v>
      </c>
      <c r="T29" s="453">
        <f t="shared" si="5"/>
        <v>0</v>
      </c>
      <c r="U29" s="427" t="s">
        <v>621</v>
      </c>
      <c r="V29" s="182"/>
    </row>
    <row r="30" spans="1:22" ht="30" x14ac:dyDescent="0.25">
      <c r="A30" s="336" t="s">
        <v>315</v>
      </c>
      <c r="B30" s="423" t="s">
        <v>648</v>
      </c>
      <c r="C30" s="424" t="s">
        <v>280</v>
      </c>
      <c r="D30" s="425" t="str" cm="1">
        <f t="array" ref="D30">_xlfn.TEXTJOIN("",TRUE,IF(ISNUMBER(SEARCH($A30,'Diags Raw Data'!$A$6:$A$3821)),CONCATENATE('Diags Raw Data'!$H$6:$H$3821,", "),""))</f>
        <v xml:space="preserve">DCHB007.101-111, DCHB010.1, DCHB033.1, </v>
      </c>
      <c r="E30" s="341" t="str">
        <f>VLOOKUP(A30,'Diags Raw Data'!$A$6:$D$3821,4,FALSE)</f>
        <v>DCHB</v>
      </c>
      <c r="F30" s="341" t="str">
        <f>VLOOKUP(A30,'Feature Raw Data'!$A$3:$E$3998,5,FALSE)</f>
        <v>Legacy</v>
      </c>
      <c r="G30" s="341" t="str">
        <f t="shared" si="0"/>
        <v>Yes</v>
      </c>
      <c r="H30" s="341" t="str">
        <f t="shared" si="1"/>
        <v>Yes</v>
      </c>
      <c r="I30" s="424">
        <f>SUMIF('Diags Raw Data'!$A$6:$A$3821,"*"&amp;$A30&amp;"*",'Diags Raw Data'!$K$6:$K$3821)</f>
        <v>3</v>
      </c>
      <c r="J30" s="426">
        <f>SUMIF('Diags Raw Data'!$A$6:$A$3821,"*"&amp;$A30&amp;"*",'Diags Raw Data'!$L$6:$L$3821)</f>
        <v>13</v>
      </c>
      <c r="K30" s="445" cm="1">
        <f t="array" ref="K30">IF(D30="",0, SUMPRODUCT(--(ISNUMBER(SEARCH($A30,'Diags Raw Data'!$A$6:$A$3821))),'Diags Raw Data'!$L$6:$L$3821,'Diags Raw Data'!$N$6:$N$3821)/J30)</f>
        <v>1</v>
      </c>
      <c r="L30" s="446" cm="1">
        <f t="array" ref="L30">IF(D30="",0, SUMPRODUCT(--(ISNUMBER(SEARCH($A30,'Diags Raw Data'!$A$6:$A$3821))),'Diags Raw Data'!$L$6:$L$3821,'Diags Raw Data'!$P$6:$P$3821)/J30)</f>
        <v>1</v>
      </c>
      <c r="M30" s="447" cm="1">
        <f t="array" ref="M30">SUMPRODUCT(--(ISNUMBER(SEARCH($A30,'Diags Raw Data'!$A$6:$A$3821))),--('Diags Raw Data'!$Q$6:$Q$3821&lt;&gt;"N/A"),'Diags Raw Data'!$R$6:$R$3821)</f>
        <v>13</v>
      </c>
      <c r="N30" s="448" cm="1">
        <f t="array" ref="N30">SUMPRODUCT(--(ISNUMBER(SEARCH($A30,'Diags Raw Data'!$A$6:$A$3821))),--('Diags Raw Data'!$Q$6:$Q$3821&lt;&gt;"N/A"),'Diags Raw Data'!$T$6:$T$3821)+SUMPRODUCT(--(ISNUMBER(SEARCH($A30,'Diags Raw Data'!$A$6:$A$3821))),--('Diags Raw Data'!$Q$6:$Q$3821&lt;&gt;"N/A"),'Diags Raw Data'!$U$6:$U$3821)</f>
        <v>0</v>
      </c>
      <c r="O30" s="449">
        <f>IF((M30=0),0,N30/M30)</f>
        <v>0</v>
      </c>
      <c r="P30" s="450">
        <f>SUMIF('Diags Raw Data'!$A$6:$A$3821,"*"&amp;$A30&amp;"*",'Diags Raw Data'!$Z$6:$Z$3821)</f>
        <v>0</v>
      </c>
      <c r="Q30" s="451">
        <f>SUM(SUMIF('Diags Raw Data'!$A$6:$A$3821,"*"&amp;$A30&amp;"*",'Diags Raw Data'!$AA$6:$AA$3821),SUMIF('Diags Raw Data'!$A$6:$A$3821,"*"&amp;$A30&amp;"*",'Diags Raw Data'!$AB$6:$AB$3821))</f>
        <v>0</v>
      </c>
      <c r="R30" s="452">
        <f>IF((J30=0),0,P30/J30)</f>
        <v>0</v>
      </c>
      <c r="S30" s="452">
        <f>IF((P30=0),0,Q30/P30)</f>
        <v>0</v>
      </c>
      <c r="T30" s="453">
        <f>R30*S30</f>
        <v>0</v>
      </c>
      <c r="U30" s="427" t="s">
        <v>649</v>
      </c>
      <c r="V30" s="182"/>
    </row>
    <row r="31" spans="1:22" x14ac:dyDescent="0.25">
      <c r="A31" s="336" t="s">
        <v>650</v>
      </c>
      <c r="B31" s="423" t="s">
        <v>651</v>
      </c>
      <c r="C31" s="424" t="s">
        <v>280</v>
      </c>
      <c r="D31" s="425" t="str" cm="1">
        <f t="array" ref="D31">_xlfn.TEXTJOIN("",TRUE,IF(ISNUMBER(SEARCH($A31,'Diags Raw Data'!$A$6:$A$3821)),CONCATENATE('Diags Raw Data'!$H$6:$H$3821,", "),""))</f>
        <v xml:space="preserve">DCHB014.001-054,220,232,238,244,250,256,262,268,274,280,286,292,298,304,310,316,322,328,334,340,346,352,358,364,370,376,379-432,501-509,537-563,601-663, </v>
      </c>
      <c r="E31" s="341" t="str">
        <f>VLOOKUP(A31,'Diags Raw Data'!$A$6:$D$3821,4,FALSE)</f>
        <v>DCHB</v>
      </c>
      <c r="F31" s="341" t="str">
        <f>VLOOKUP(A31,'Feature Raw Data'!$A$3:$E$3998,5,FALSE)</f>
        <v>Legacy</v>
      </c>
      <c r="G31" s="341" t="str">
        <f t="shared" si="0"/>
        <v>Yes</v>
      </c>
      <c r="H31" s="341" t="str">
        <f t="shared" si="1"/>
        <v>Yes</v>
      </c>
      <c r="I31" s="424">
        <f>SUMIF('Diags Raw Data'!$A$6:$A$3821,"*"&amp;$A31&amp;"*",'Diags Raw Data'!$K$6:$K$3821)</f>
        <v>1</v>
      </c>
      <c r="J31" s="426">
        <f>SUMIF('Diags Raw Data'!$A$6:$A$3821,"*"&amp;$A31&amp;"*",'Diags Raw Data'!$L$6:$L$3821)</f>
        <v>231</v>
      </c>
      <c r="K31" s="445" cm="1">
        <f t="array" ref="K31">IF(D31="",0, SUMPRODUCT(--(ISNUMBER(SEARCH($A31,'Diags Raw Data'!$A$6:$A$3821))),'Diags Raw Data'!$L$6:$L$3821,'Diags Raw Data'!$N$6:$N$3821)/J31)</f>
        <v>1</v>
      </c>
      <c r="L31" s="446" cm="1">
        <f t="array" ref="L31">IF(D31="",0, SUMPRODUCT(--(ISNUMBER(SEARCH($A31,'Diags Raw Data'!$A$6:$A$3821))),'Diags Raw Data'!$L$6:$L$3821,'Diags Raw Data'!$P$6:$P$3821)/J31)</f>
        <v>1</v>
      </c>
      <c r="M31" s="447" cm="1">
        <f t="array" ref="M31">SUMPRODUCT(--(ISNUMBER(SEARCH($A31,'Diags Raw Data'!$A$6:$A$3821))),--('Diags Raw Data'!$Q$6:$Q$3821&lt;&gt;"N/A"),'Diags Raw Data'!$R$6:$R$3821)</f>
        <v>231</v>
      </c>
      <c r="N31" s="448" cm="1">
        <f t="array" ref="N31">SUMPRODUCT(--(ISNUMBER(SEARCH($A31,'Diags Raw Data'!$A$6:$A$3821))),--('Diags Raw Data'!$Q$6:$Q$3821&lt;&gt;"N/A"),'Diags Raw Data'!$T$6:$T$3821)+SUMPRODUCT(--(ISNUMBER(SEARCH($A31,'Diags Raw Data'!$A$6:$A$3821))),--('Diags Raw Data'!$Q$6:$Q$3821&lt;&gt;"N/A"),'Diags Raw Data'!$U$6:$U$3821)</f>
        <v>0</v>
      </c>
      <c r="O31" s="449">
        <f t="shared" si="2"/>
        <v>0</v>
      </c>
      <c r="P31" s="450">
        <f>SUMIF('Diags Raw Data'!$A$6:$A$3821,"*"&amp;$A31&amp;"*",'Diags Raw Data'!$Z$6:$Z$3821)</f>
        <v>0</v>
      </c>
      <c r="Q31" s="451">
        <f>SUM(SUMIF('Diags Raw Data'!$A$6:$A$3821,"*"&amp;$A31&amp;"*",'Diags Raw Data'!$AA$6:$AA$3821),SUMIF('Diags Raw Data'!$A$6:$A$3821,"*"&amp;$A31&amp;"*",'Diags Raw Data'!$AB$6:$AB$3821))</f>
        <v>0</v>
      </c>
      <c r="R31" s="452">
        <f t="shared" si="3"/>
        <v>0</v>
      </c>
      <c r="S31" s="452">
        <f t="shared" si="4"/>
        <v>0</v>
      </c>
      <c r="T31" s="453">
        <f t="shared" si="5"/>
        <v>0</v>
      </c>
      <c r="U31" s="427" t="s">
        <v>47</v>
      </c>
      <c r="V31" s="182"/>
    </row>
    <row r="32" spans="1:22" x14ac:dyDescent="0.25">
      <c r="A32" s="336" t="s">
        <v>652</v>
      </c>
      <c r="B32" s="423" t="s">
        <v>653</v>
      </c>
      <c r="C32" s="424" t="s">
        <v>280</v>
      </c>
      <c r="D32" s="425" t="str" cm="1">
        <f t="array" ref="D32">_xlfn.TEXTJOIN("",TRUE,IF(ISNUMBER(SEARCH($A32,'Diags Raw Data'!$A$6:$A$3821)),CONCATENATE('Diags Raw Data'!$H$6:$H$3821,", "),""))</f>
        <v xml:space="preserve">DCHB014.001-054,220,232,238,244,250,256,262,268,274,280,286,292,298,304,310,316,322,328,334,340,346,352,358,364,370,376,379-432,501-509,537-563,601-663, </v>
      </c>
      <c r="E32" s="341" t="str">
        <f>VLOOKUP(A32,'Diags Raw Data'!$A$6:$D$3821,4,FALSE)</f>
        <v>DCHB</v>
      </c>
      <c r="F32" s="341" t="str">
        <f>VLOOKUP(A32,'Feature Raw Data'!$A$3:$E$3998,5,FALSE)</f>
        <v>Legacy</v>
      </c>
      <c r="G32" s="341" t="str">
        <f t="shared" si="0"/>
        <v>Yes</v>
      </c>
      <c r="H32" s="341" t="str">
        <f t="shared" si="1"/>
        <v>Yes</v>
      </c>
      <c r="I32" s="424">
        <f>SUMIF('Diags Raw Data'!$A$6:$A$3821,"*"&amp;$A32&amp;"*",'Diags Raw Data'!$K$6:$K$3821)</f>
        <v>1</v>
      </c>
      <c r="J32" s="426">
        <f>SUMIF('Diags Raw Data'!$A$6:$A$3821,"*"&amp;$A32&amp;"*",'Diags Raw Data'!$L$6:$L$3821)</f>
        <v>231</v>
      </c>
      <c r="K32" s="445" cm="1">
        <f t="array" ref="K32">IF(D32="",0, SUMPRODUCT(--(ISNUMBER(SEARCH($A32,'Diags Raw Data'!$A$6:$A$3821))),'Diags Raw Data'!$L$6:$L$3821,'Diags Raw Data'!$N$6:$N$3821)/J32)</f>
        <v>1</v>
      </c>
      <c r="L32" s="446" cm="1">
        <f t="array" ref="L32">IF(D32="",0, SUMPRODUCT(--(ISNUMBER(SEARCH($A32,'Diags Raw Data'!$A$6:$A$3821))),'Diags Raw Data'!$L$6:$L$3821,'Diags Raw Data'!$P$6:$P$3821)/J32)</f>
        <v>1</v>
      </c>
      <c r="M32" s="447" cm="1">
        <f t="array" ref="M32">SUMPRODUCT(--(ISNUMBER(SEARCH($A32,'Diags Raw Data'!$A$6:$A$3821))),--('Diags Raw Data'!$Q$6:$Q$3821&lt;&gt;"N/A"),'Diags Raw Data'!$R$6:$R$3821)</f>
        <v>231</v>
      </c>
      <c r="N32" s="448" cm="1">
        <f t="array" ref="N32">SUMPRODUCT(--(ISNUMBER(SEARCH($A32,'Diags Raw Data'!$A$6:$A$3821))),--('Diags Raw Data'!$Q$6:$Q$3821&lt;&gt;"N/A"),'Diags Raw Data'!$T$6:$T$3821)+SUMPRODUCT(--(ISNUMBER(SEARCH($A32,'Diags Raw Data'!$A$6:$A$3821))),--('Diags Raw Data'!$Q$6:$Q$3821&lt;&gt;"N/A"),'Diags Raw Data'!$U$6:$U$3821)</f>
        <v>0</v>
      </c>
      <c r="O32" s="449">
        <f t="shared" si="2"/>
        <v>0</v>
      </c>
      <c r="P32" s="450">
        <f>SUMIF('Diags Raw Data'!$A$6:$A$3821,"*"&amp;$A32&amp;"*",'Diags Raw Data'!$Z$6:$Z$3821)</f>
        <v>0</v>
      </c>
      <c r="Q32" s="451">
        <f>SUM(SUMIF('Diags Raw Data'!$A$6:$A$3821,"*"&amp;$A32&amp;"*",'Diags Raw Data'!$AA$6:$AA$3821),SUMIF('Diags Raw Data'!$A$6:$A$3821,"*"&amp;$A32&amp;"*",'Diags Raw Data'!$AB$6:$AB$3821))</f>
        <v>0</v>
      </c>
      <c r="R32" s="452">
        <f t="shared" si="3"/>
        <v>0</v>
      </c>
      <c r="S32" s="452">
        <f t="shared" si="4"/>
        <v>0</v>
      </c>
      <c r="T32" s="453">
        <f t="shared" si="5"/>
        <v>0</v>
      </c>
      <c r="U32" s="427" t="s">
        <v>47</v>
      </c>
      <c r="V32" s="182"/>
    </row>
    <row r="33" spans="1:22" x14ac:dyDescent="0.25">
      <c r="A33" s="336" t="s">
        <v>324</v>
      </c>
      <c r="B33" s="423" t="s">
        <v>654</v>
      </c>
      <c r="C33" s="424" t="s">
        <v>280</v>
      </c>
      <c r="D33" s="425" t="str" cm="1">
        <f t="array" ref="D33">_xlfn.TEXTJOIN("",TRUE,IF(ISNUMBER(SEARCH($A33,'Diags Raw Data'!$A$6:$A$3821)),CONCATENATE('Diags Raw Data'!$H$6:$H$3821,", "),""))</f>
        <v xml:space="preserve">DCHB030.1-5, DCHB050.1, </v>
      </c>
      <c r="E33" s="341" t="str">
        <f>VLOOKUP(A33,'Diags Raw Data'!$A$6:$D$3821,4,FALSE)</f>
        <v>DCHB</v>
      </c>
      <c r="F33" s="341" t="str">
        <f>VLOOKUP(A33,'Feature Raw Data'!$A$3:$E$3998,5,FALSE)</f>
        <v>Legacy</v>
      </c>
      <c r="G33" s="341" t="str">
        <f t="shared" si="0"/>
        <v>Yes</v>
      </c>
      <c r="H33" s="341" t="str">
        <f t="shared" si="1"/>
        <v>Yes</v>
      </c>
      <c r="I33" s="424">
        <f>SUMIF('Diags Raw Data'!$A$6:$A$3821,"*"&amp;$A33&amp;"*",'Diags Raw Data'!$K$6:$K$3821)</f>
        <v>2</v>
      </c>
      <c r="J33" s="426">
        <f>SUMIF('Diags Raw Data'!$A$6:$A$3821,"*"&amp;$A33&amp;"*",'Diags Raw Data'!$L$6:$L$3821)</f>
        <v>6</v>
      </c>
      <c r="K33" s="445" cm="1">
        <f t="array" ref="K33">IF(D33="",0, SUMPRODUCT(--(ISNUMBER(SEARCH($A33,'Diags Raw Data'!$A$6:$A$3821))),'Diags Raw Data'!$L$6:$L$3821,'Diags Raw Data'!$N$6:$N$3821)/J33)</f>
        <v>1</v>
      </c>
      <c r="L33" s="446" cm="1">
        <f t="array" ref="L33">IF(D33="",0, SUMPRODUCT(--(ISNUMBER(SEARCH($A33,'Diags Raw Data'!$A$6:$A$3821))),'Diags Raw Data'!$L$6:$L$3821,'Diags Raw Data'!$P$6:$P$3821)/J33)</f>
        <v>1</v>
      </c>
      <c r="M33" s="447" cm="1">
        <f t="array" ref="M33">SUMPRODUCT(--(ISNUMBER(SEARCH($A33,'Diags Raw Data'!$A$6:$A$3821))),--('Diags Raw Data'!$Q$6:$Q$3821&lt;&gt;"N/A"),'Diags Raw Data'!$R$6:$R$3821)</f>
        <v>6</v>
      </c>
      <c r="N33" s="448" cm="1">
        <f t="array" ref="N33">SUMPRODUCT(--(ISNUMBER(SEARCH($A33,'Diags Raw Data'!$A$6:$A$3821))),--('Diags Raw Data'!$Q$6:$Q$3821&lt;&gt;"N/A"),'Diags Raw Data'!$T$6:$T$3821)+SUMPRODUCT(--(ISNUMBER(SEARCH($A33,'Diags Raw Data'!$A$6:$A$3821))),--('Diags Raw Data'!$Q$6:$Q$3821&lt;&gt;"N/A"),'Diags Raw Data'!$U$6:$U$3821)</f>
        <v>0</v>
      </c>
      <c r="O33" s="449">
        <f t="shared" si="2"/>
        <v>0</v>
      </c>
      <c r="P33" s="450">
        <v>0</v>
      </c>
      <c r="Q33" s="451">
        <f>SUM(SUMIF('Diags Raw Data'!$A$6:$A$3821,"*"&amp;$A33&amp;"*",'Diags Raw Data'!$AA$6:$AA$3821),SUMIF('Diags Raw Data'!$A$6:$A$3821,"*"&amp;$A33&amp;"*",'Diags Raw Data'!$AB$6:$AB$3821))</f>
        <v>0</v>
      </c>
      <c r="R33" s="452">
        <f t="shared" si="3"/>
        <v>0</v>
      </c>
      <c r="S33" s="452">
        <f t="shared" si="4"/>
        <v>0</v>
      </c>
      <c r="T33" s="453">
        <f t="shared" si="5"/>
        <v>0</v>
      </c>
      <c r="U33" s="427" t="s">
        <v>643</v>
      </c>
      <c r="V33" s="182"/>
    </row>
    <row r="34" spans="1:22" ht="30" x14ac:dyDescent="0.25">
      <c r="A34" s="336" t="s">
        <v>655</v>
      </c>
      <c r="B34" s="423" t="s">
        <v>656</v>
      </c>
      <c r="C34" s="424" t="s">
        <v>280</v>
      </c>
      <c r="D34" s="425" t="str" cm="1">
        <f t="array" ref="D34">_xlfn.TEXTJOIN("",TRUE,IF(ISNUMBER(SEARCH($A34,'Diags Raw Data'!$A$6:$A$3821)),CONCATENATE('Diags Raw Data'!$H$6:$H$3821,", "),""))</f>
        <v xml:space="preserve">DCHB005.1-6, DCHB006.1-10, DCHB021.1-3, </v>
      </c>
      <c r="E34" s="341" t="str">
        <f>VLOOKUP(A34,'Diags Raw Data'!$A$6:$D$3821,4,FALSE)</f>
        <v>DCHB</v>
      </c>
      <c r="F34" s="341" t="str">
        <f>VLOOKUP(A34,'Feature Raw Data'!$A$3:$E$3998,5,FALSE)</f>
        <v>Legacy</v>
      </c>
      <c r="G34" s="341" t="str">
        <f t="shared" si="0"/>
        <v>Yes</v>
      </c>
      <c r="H34" s="341" t="str">
        <f t="shared" si="1"/>
        <v>Yes</v>
      </c>
      <c r="I34" s="424">
        <f>SUMIF('Diags Raw Data'!$A$6:$A$3821,"*"&amp;$A34&amp;"*",'Diags Raw Data'!$K$6:$K$3821)</f>
        <v>3</v>
      </c>
      <c r="J34" s="426">
        <f>SUMIF('Diags Raw Data'!$A$6:$A$3821,"*"&amp;$A34&amp;"*",'Diags Raw Data'!$L$6:$L$3821)</f>
        <v>19</v>
      </c>
      <c r="K34" s="445" cm="1">
        <f t="array" ref="K34">IF(D34="",0, SUMPRODUCT(--(ISNUMBER(SEARCH($A34,'Diags Raw Data'!$A$6:$A$3821))),'Diags Raw Data'!$L$6:$L$3821,'Diags Raw Data'!$N$6:$N$3821)/J34)</f>
        <v>1</v>
      </c>
      <c r="L34" s="446" cm="1">
        <f t="array" ref="L34">IF(D34="",0, SUMPRODUCT(--(ISNUMBER(SEARCH($A34,'Diags Raw Data'!$A$6:$A$3821))),'Diags Raw Data'!$L$6:$L$3821,'Diags Raw Data'!$P$6:$P$3821)/J34)</f>
        <v>1</v>
      </c>
      <c r="M34" s="447" cm="1">
        <f t="array" ref="M34">SUMPRODUCT(--(ISNUMBER(SEARCH($A34,'Diags Raw Data'!$A$6:$A$3821))),--('Diags Raw Data'!$Q$6:$Q$3821&lt;&gt;"N/A"),'Diags Raw Data'!$R$6:$R$3821)</f>
        <v>19</v>
      </c>
      <c r="N34" s="448" cm="1">
        <f t="array" ref="N34">SUMPRODUCT(--(ISNUMBER(SEARCH($A34,'Diags Raw Data'!$A$6:$A$3821))),--('Diags Raw Data'!$Q$6:$Q$3821&lt;&gt;"N/A"),'Diags Raw Data'!$T$6:$T$3821)+SUMPRODUCT(--(ISNUMBER(SEARCH($A34,'Diags Raw Data'!$A$6:$A$3821))),--('Diags Raw Data'!$Q$6:$Q$3821&lt;&gt;"N/A"),'Diags Raw Data'!$U$6:$U$3821)</f>
        <v>0</v>
      </c>
      <c r="O34" s="449">
        <f t="shared" si="2"/>
        <v>0</v>
      </c>
      <c r="P34" s="450">
        <f>SUMIF('Diags Raw Data'!$A$6:$A$3821,"*"&amp;$A34&amp;"*",'Diags Raw Data'!$Z$6:$Z$3821)</f>
        <v>0</v>
      </c>
      <c r="Q34" s="451">
        <f>SUM(SUMIF('Diags Raw Data'!$A$6:$A$3821,"*"&amp;$A34&amp;"*",'Diags Raw Data'!$AA$6:$AA$3821),SUMIF('Diags Raw Data'!$A$6:$A$3821,"*"&amp;$A34&amp;"*",'Diags Raw Data'!$AB$6:$AB$3821))</f>
        <v>0</v>
      </c>
      <c r="R34" s="452">
        <f t="shared" si="3"/>
        <v>0</v>
      </c>
      <c r="S34" s="452">
        <f t="shared" si="4"/>
        <v>0</v>
      </c>
      <c r="T34" s="453">
        <f t="shared" si="5"/>
        <v>0</v>
      </c>
      <c r="U34" s="427" t="s">
        <v>643</v>
      </c>
      <c r="V34" s="182"/>
    </row>
    <row r="35" spans="1:22" x14ac:dyDescent="0.25">
      <c r="A35" s="336" t="s">
        <v>317</v>
      </c>
      <c r="B35" s="423" t="s">
        <v>657</v>
      </c>
      <c r="C35" s="424" t="s">
        <v>280</v>
      </c>
      <c r="D35" s="425" t="str" cm="1">
        <f t="array" ref="D35">_xlfn.TEXTJOIN("",TRUE,IF(ISNUMBER(SEARCH($A35,'Diags Raw Data'!$A$6:$A$3821)),CONCATENATE('Diags Raw Data'!$H$6:$H$3821,", "),""))</f>
        <v xml:space="preserve">DCHB011.1-4, </v>
      </c>
      <c r="E35" s="341" t="str">
        <f>VLOOKUP(A35,'Diags Raw Data'!$A$6:$D$3821,4,FALSE)</f>
        <v>DCHB</v>
      </c>
      <c r="F35" s="341" t="str">
        <f>VLOOKUP(A35,'Feature Raw Data'!$A$3:$E$3998,5,FALSE)</f>
        <v>Legacy</v>
      </c>
      <c r="G35" s="341" t="str">
        <f t="shared" si="0"/>
        <v>Yes</v>
      </c>
      <c r="H35" s="341" t="str">
        <f t="shared" si="1"/>
        <v>Yes</v>
      </c>
      <c r="I35" s="424">
        <f>SUMIF('Diags Raw Data'!$A$6:$A$3821,"*"&amp;$A35&amp;"*",'Diags Raw Data'!$K$6:$K$3821)</f>
        <v>1</v>
      </c>
      <c r="J35" s="426">
        <f>SUMIF('Diags Raw Data'!$A$6:$A$3821,"*"&amp;$A35&amp;"*",'Diags Raw Data'!$L$6:$L$3821)</f>
        <v>4</v>
      </c>
      <c r="K35" s="445" cm="1">
        <f t="array" ref="K35">IF(D35="",0, SUMPRODUCT(--(ISNUMBER(SEARCH($A35,'Diags Raw Data'!$A$6:$A$3821))),'Diags Raw Data'!$L$6:$L$3821,'Diags Raw Data'!$N$6:$N$3821)/J35)</f>
        <v>1</v>
      </c>
      <c r="L35" s="446" cm="1">
        <f t="array" ref="L35">IF(D35="",0, SUMPRODUCT(--(ISNUMBER(SEARCH($A35,'Diags Raw Data'!$A$6:$A$3821))),'Diags Raw Data'!$L$6:$L$3821,'Diags Raw Data'!$P$6:$P$3821)/J35)</f>
        <v>1</v>
      </c>
      <c r="M35" s="447" cm="1">
        <f t="array" ref="M35">SUMPRODUCT(--(ISNUMBER(SEARCH($A35,'Diags Raw Data'!$A$6:$A$3821))),--('Diags Raw Data'!$Q$6:$Q$3821&lt;&gt;"N/A"),'Diags Raw Data'!$R$6:$R$3821)</f>
        <v>4</v>
      </c>
      <c r="N35" s="448" cm="1">
        <f t="array" ref="N35">SUMPRODUCT(--(ISNUMBER(SEARCH($A35,'Diags Raw Data'!$A$6:$A$3821))),--('Diags Raw Data'!$Q$6:$Q$3821&lt;&gt;"N/A"),'Diags Raw Data'!$T$6:$T$3821)+SUMPRODUCT(--(ISNUMBER(SEARCH($A35,'Diags Raw Data'!$A$6:$A$3821))),--('Diags Raw Data'!$Q$6:$Q$3821&lt;&gt;"N/A"),'Diags Raw Data'!$U$6:$U$3821)</f>
        <v>0</v>
      </c>
      <c r="O35" s="449">
        <f t="shared" si="2"/>
        <v>0</v>
      </c>
      <c r="P35" s="450">
        <f>SUMIF('Diags Raw Data'!$A$6:$A$3821,"*"&amp;$A35&amp;"*",'Diags Raw Data'!$Z$6:$Z$3821)</f>
        <v>0</v>
      </c>
      <c r="Q35" s="451">
        <f>SUM(SUMIF('Diags Raw Data'!$A$6:$A$3821,"*"&amp;$A35&amp;"*",'Diags Raw Data'!$AA$6:$AA$3821),SUMIF('Diags Raw Data'!$A$6:$A$3821,"*"&amp;$A35&amp;"*",'Diags Raw Data'!$AB$6:$AB$3821))</f>
        <v>0</v>
      </c>
      <c r="R35" s="452">
        <f t="shared" si="3"/>
        <v>0</v>
      </c>
      <c r="S35" s="452">
        <f t="shared" si="4"/>
        <v>0</v>
      </c>
      <c r="T35" s="453">
        <f t="shared" si="5"/>
        <v>0</v>
      </c>
      <c r="U35" s="427" t="s">
        <v>47</v>
      </c>
      <c r="V35" s="182"/>
    </row>
    <row r="36" spans="1:22" ht="30" x14ac:dyDescent="0.25">
      <c r="A36" s="336" t="s">
        <v>334</v>
      </c>
      <c r="B36" s="423" t="s">
        <v>658</v>
      </c>
      <c r="C36" s="424" t="s">
        <v>280</v>
      </c>
      <c r="D36" s="425" t="str" cm="1">
        <f t="array" ref="D36">_xlfn.TEXTJOIN("",TRUE,IF(ISNUMBER(SEARCH($A36,'Diags Raw Data'!$A$6:$A$3821)),CONCATENATE('Diags Raw Data'!$H$6:$H$3821,", "),""))</f>
        <v xml:space="preserve">DPP002.1-7, DPP030.1-5, DPP031.1, DPP042.1-4, </v>
      </c>
      <c r="E36" s="341" t="str">
        <f>VLOOKUP(A36,'Diags Raw Data'!$A$6:$D$3821,4,FALSE)</f>
        <v>DPP</v>
      </c>
      <c r="F36" s="341" t="str">
        <f>VLOOKUP(A36,'Feature Raw Data'!$A$3:$E$3998,5,FALSE)</f>
        <v>Legacy</v>
      </c>
      <c r="G36" s="341" t="str">
        <f t="shared" ref="G36:G98" si="6">IF(D36="","No","Yes")</f>
        <v>Yes</v>
      </c>
      <c r="H36" s="341" t="str">
        <f t="shared" ref="H36:H98" si="7">IF(D36="","No","Yes")</f>
        <v>Yes</v>
      </c>
      <c r="I36" s="424">
        <f>SUMIF('Diags Raw Data'!$A$6:$A$3821,"*"&amp;$A36&amp;"*",'Diags Raw Data'!$K$6:$K$3821)</f>
        <v>4</v>
      </c>
      <c r="J36" s="426">
        <f>SUMIF('Diags Raw Data'!$A$6:$A$3821,"*"&amp;$A36&amp;"*",'Diags Raw Data'!$L$6:$L$3821)</f>
        <v>17</v>
      </c>
      <c r="K36" s="445" cm="1">
        <f t="array" ref="K36">IF(D36="",0, SUMPRODUCT(--(ISNUMBER(SEARCH($A36,'Diags Raw Data'!$A$6:$A$3821))),'Diags Raw Data'!$L$6:$L$3821,'Diags Raw Data'!$N$6:$N$3821)/J36)</f>
        <v>1</v>
      </c>
      <c r="L36" s="446" cm="1">
        <f t="array" ref="L36">IF(D36="",0, SUMPRODUCT(--(ISNUMBER(SEARCH($A36,'Diags Raw Data'!$A$6:$A$3821))),'Diags Raw Data'!$L$6:$L$3821,'Diags Raw Data'!$P$6:$P$3821)/J36)</f>
        <v>1</v>
      </c>
      <c r="M36" s="447" cm="1">
        <f t="array" ref="M36">SUMPRODUCT(--(ISNUMBER(SEARCH($A36,'Diags Raw Data'!$A$6:$A$3821))),--('Diags Raw Data'!$Q$6:$Q$3821&lt;&gt;"N/A"),'Diags Raw Data'!$R$6:$R$3821)</f>
        <v>17</v>
      </c>
      <c r="N36" s="448" cm="1">
        <f t="array" ref="N36">SUMPRODUCT(--(ISNUMBER(SEARCH($A36,'Diags Raw Data'!$A$6:$A$3821))),--('Diags Raw Data'!$Q$6:$Q$3821&lt;&gt;"N/A"),'Diags Raw Data'!$T$6:$T$3821)+SUMPRODUCT(--(ISNUMBER(SEARCH($A36,'Diags Raw Data'!$A$6:$A$3821))),--('Diags Raw Data'!$Q$6:$Q$3821&lt;&gt;"N/A"),'Diags Raw Data'!$U$6:$U$3821)</f>
        <v>0</v>
      </c>
      <c r="O36" s="449">
        <f t="shared" ref="O36:O98" si="8">IF((M36=0),0,N36/M36)</f>
        <v>0</v>
      </c>
      <c r="P36" s="450">
        <f>SUMIF('Diags Raw Data'!$A$6:$A$3821,"*"&amp;$A36&amp;"*",'Diags Raw Data'!$Z$6:$Z$3821)</f>
        <v>0</v>
      </c>
      <c r="Q36" s="451">
        <f>SUM(SUMIF('Diags Raw Data'!$A$6:$A$3821,"*"&amp;$A36&amp;"*",'Diags Raw Data'!$AA$6:$AA$3821),SUMIF('Diags Raw Data'!$A$6:$A$3821,"*"&amp;$A36&amp;"*",'Diags Raw Data'!$AB$6:$AB$3821))</f>
        <v>0</v>
      </c>
      <c r="R36" s="452">
        <f t="shared" ref="R36:R98" si="9">IF((J36=0),0,P36/J36)</f>
        <v>0</v>
      </c>
      <c r="S36" s="452">
        <f t="shared" ref="S36:S98" si="10">IF((P36=0),0,Q36/P36)</f>
        <v>0</v>
      </c>
      <c r="T36" s="453">
        <f t="shared" ref="T36:T98" si="11">R36*S36</f>
        <v>0</v>
      </c>
      <c r="U36" s="427" t="s">
        <v>608</v>
      </c>
      <c r="V36" s="182"/>
    </row>
    <row r="37" spans="1:22" ht="30" x14ac:dyDescent="0.25">
      <c r="A37" s="336" t="s">
        <v>337</v>
      </c>
      <c r="B37" s="423" t="s">
        <v>659</v>
      </c>
      <c r="C37" s="424" t="s">
        <v>280</v>
      </c>
      <c r="D37" s="425" t="str" cm="1">
        <f t="array" ref="D37">_xlfn.TEXTJOIN("",TRUE,IF(ISNUMBER(SEARCH($A37,'Diags Raw Data'!$A$6:$A$3821)),CONCATENATE('Diags Raw Data'!$H$6:$H$3821,", "),""))</f>
        <v xml:space="preserve">DPP005.1-2, DPP043.5-8, DPP044.1-8, DPP045.1-4, </v>
      </c>
      <c r="E37" s="341" t="str">
        <f>VLOOKUP(A37,'Diags Raw Data'!$A$6:$D$3821,4,FALSE)</f>
        <v>DPP</v>
      </c>
      <c r="F37" s="341" t="str">
        <f>VLOOKUP(A37,'Feature Raw Data'!$A$3:$E$3998,5,FALSE)</f>
        <v>Legacy</v>
      </c>
      <c r="G37" s="341" t="str">
        <f t="shared" si="6"/>
        <v>Yes</v>
      </c>
      <c r="H37" s="341" t="str">
        <f t="shared" si="7"/>
        <v>Yes</v>
      </c>
      <c r="I37" s="424">
        <f>SUMIF('Diags Raw Data'!$A$6:$A$3821,"*"&amp;$A37&amp;"*",'Diags Raw Data'!$K$6:$K$3821)</f>
        <v>4</v>
      </c>
      <c r="J37" s="426">
        <f>SUMIF('Diags Raw Data'!$A$6:$A$3821,"*"&amp;$A37&amp;"*",'Diags Raw Data'!$L$6:$L$3821)</f>
        <v>18</v>
      </c>
      <c r="K37" s="445" cm="1">
        <f t="array" ref="K37">IF(D37="",0, SUMPRODUCT(--(ISNUMBER(SEARCH($A37,'Diags Raw Data'!$A$6:$A$3821))),'Diags Raw Data'!$L$6:$L$3821,'Diags Raw Data'!$N$6:$N$3821)/J37)</f>
        <v>1</v>
      </c>
      <c r="L37" s="446" cm="1">
        <f t="array" ref="L37">IF(D37="",0, SUMPRODUCT(--(ISNUMBER(SEARCH($A37,'Diags Raw Data'!$A$6:$A$3821))),'Diags Raw Data'!$L$6:$L$3821,'Diags Raw Data'!$P$6:$P$3821)/J37)</f>
        <v>1</v>
      </c>
      <c r="M37" s="447" cm="1">
        <f t="array" ref="M37">SUMPRODUCT(--(ISNUMBER(SEARCH($A37,'Diags Raw Data'!$A$6:$A$3821))),--('Diags Raw Data'!$Q$6:$Q$3821&lt;&gt;"N/A"),'Diags Raw Data'!$R$6:$R$3821)</f>
        <v>18</v>
      </c>
      <c r="N37" s="448" cm="1">
        <f t="array" ref="N37">SUMPRODUCT(--(ISNUMBER(SEARCH($A37,'Diags Raw Data'!$A$6:$A$3821))),--('Diags Raw Data'!$Q$6:$Q$3821&lt;&gt;"N/A"),'Diags Raw Data'!$T$6:$T$3821)+SUMPRODUCT(--(ISNUMBER(SEARCH($A37,'Diags Raw Data'!$A$6:$A$3821))),--('Diags Raw Data'!$Q$6:$Q$3821&lt;&gt;"N/A"),'Diags Raw Data'!$U$6:$U$3821)</f>
        <v>0</v>
      </c>
      <c r="O37" s="449">
        <f t="shared" si="8"/>
        <v>0</v>
      </c>
      <c r="P37" s="450">
        <f>SUMIF('Diags Raw Data'!$A$6:$A$3821,"*"&amp;$A37&amp;"*",'Diags Raw Data'!$Z$6:$Z$3821)</f>
        <v>0</v>
      </c>
      <c r="Q37" s="451">
        <f>SUM(SUMIF('Diags Raw Data'!$A$6:$A$3821,"*"&amp;$A37&amp;"*",'Diags Raw Data'!$AA$6:$AA$3821),SUMIF('Diags Raw Data'!$A$6:$A$3821,"*"&amp;$A37&amp;"*",'Diags Raw Data'!$AB$6:$AB$3821))</f>
        <v>0</v>
      </c>
      <c r="R37" s="452">
        <f t="shared" si="9"/>
        <v>0</v>
      </c>
      <c r="S37" s="452">
        <f t="shared" si="10"/>
        <v>0</v>
      </c>
      <c r="T37" s="453">
        <f t="shared" si="11"/>
        <v>0</v>
      </c>
      <c r="U37" s="427" t="s">
        <v>649</v>
      </c>
      <c r="V37" s="182"/>
    </row>
    <row r="38" spans="1:22" x14ac:dyDescent="0.25">
      <c r="A38" s="336" t="s">
        <v>359</v>
      </c>
      <c r="B38" s="423" t="s">
        <v>660</v>
      </c>
      <c r="C38" s="424" t="s">
        <v>280</v>
      </c>
      <c r="D38" s="425" t="str" cm="1">
        <f t="array" ref="D38">_xlfn.TEXTJOIN("",TRUE,IF(ISNUMBER(SEARCH($A38,'Diags Raw Data'!$A$6:$A$3821)),CONCATENATE('Diags Raw Data'!$H$6:$H$3821,", "),""))</f>
        <v xml:space="preserve">DPP037.1, DPP052.1-2, </v>
      </c>
      <c r="E38" s="341" t="str">
        <f>VLOOKUP(A38,'Diags Raw Data'!$A$6:$D$3821,4,FALSE)</f>
        <v>DPP</v>
      </c>
      <c r="F38" s="341" t="str">
        <f>VLOOKUP(A38,'Feature Raw Data'!$A$3:$E$3998,5,FALSE)</f>
        <v>Legacy</v>
      </c>
      <c r="G38" s="341" t="str">
        <f t="shared" si="6"/>
        <v>Yes</v>
      </c>
      <c r="H38" s="341" t="str">
        <f t="shared" si="7"/>
        <v>Yes</v>
      </c>
      <c r="I38" s="424">
        <f>SUMIF('Diags Raw Data'!$A$6:$A$3821,"*"&amp;$A38&amp;"*",'Diags Raw Data'!$K$6:$K$3821)</f>
        <v>2</v>
      </c>
      <c r="J38" s="426">
        <f>SUMIF('Diags Raw Data'!$A$6:$A$3821,"*"&amp;$A38&amp;"*",'Diags Raw Data'!$L$6:$L$3821)</f>
        <v>3</v>
      </c>
      <c r="K38" s="445" cm="1">
        <f t="array" ref="K38">IF(D38="",0, SUMPRODUCT(--(ISNUMBER(SEARCH($A38,'Diags Raw Data'!$A$6:$A$3821))),'Diags Raw Data'!$L$6:$L$3821,'Diags Raw Data'!$N$6:$N$3821)/J38)</f>
        <v>1</v>
      </c>
      <c r="L38" s="446" cm="1">
        <f t="array" ref="L38">IF(D38="",0, SUMPRODUCT(--(ISNUMBER(SEARCH($A38,'Diags Raw Data'!$A$6:$A$3821))),'Diags Raw Data'!$L$6:$L$3821,'Diags Raw Data'!$P$6:$P$3821)/J38)</f>
        <v>1</v>
      </c>
      <c r="M38" s="447" cm="1">
        <f t="array" ref="M38">SUMPRODUCT(--(ISNUMBER(SEARCH($A38,'Diags Raw Data'!$A$6:$A$3821))),--('Diags Raw Data'!$Q$6:$Q$3821&lt;&gt;"N/A"),'Diags Raw Data'!$R$6:$R$3821)</f>
        <v>3</v>
      </c>
      <c r="N38" s="448" cm="1">
        <f t="array" ref="N38">SUMPRODUCT(--(ISNUMBER(SEARCH($A38,'Diags Raw Data'!$A$6:$A$3821))),--('Diags Raw Data'!$Q$6:$Q$3821&lt;&gt;"N/A"),'Diags Raw Data'!$T$6:$T$3821)+SUMPRODUCT(--(ISNUMBER(SEARCH($A38,'Diags Raw Data'!$A$6:$A$3821))),--('Diags Raw Data'!$Q$6:$Q$3821&lt;&gt;"N/A"),'Diags Raw Data'!$U$6:$U$3821)</f>
        <v>0</v>
      </c>
      <c r="O38" s="449">
        <f t="shared" si="8"/>
        <v>0</v>
      </c>
      <c r="P38" s="450">
        <f>SUMIF('Diags Raw Data'!$A$6:$A$3821,"*"&amp;$A38&amp;"*",'Diags Raw Data'!$Z$6:$Z$3821)</f>
        <v>0</v>
      </c>
      <c r="Q38" s="451">
        <f>SUM(SUMIF('Diags Raw Data'!$A$6:$A$3821,"*"&amp;$A38&amp;"*",'Diags Raw Data'!$AA$6:$AA$3821),SUMIF('Diags Raw Data'!$A$6:$A$3821,"*"&amp;$A38&amp;"*",'Diags Raw Data'!$AB$6:$AB$3821))</f>
        <v>0</v>
      </c>
      <c r="R38" s="452">
        <f t="shared" si="9"/>
        <v>0</v>
      </c>
      <c r="S38" s="452">
        <f t="shared" si="10"/>
        <v>0</v>
      </c>
      <c r="T38" s="453">
        <f t="shared" si="11"/>
        <v>0</v>
      </c>
      <c r="U38" s="427" t="s">
        <v>621</v>
      </c>
      <c r="V38" s="182"/>
    </row>
    <row r="39" spans="1:22" ht="30" x14ac:dyDescent="0.25">
      <c r="A39" s="336" t="s">
        <v>351</v>
      </c>
      <c r="B39" s="423" t="s">
        <v>661</v>
      </c>
      <c r="C39" s="424" t="s">
        <v>280</v>
      </c>
      <c r="D39" s="425" t="str" cm="1">
        <f t="array" ref="D39">_xlfn.TEXTJOIN("",TRUE,IF(ISNUMBER(SEARCH($A39,'Diags Raw Data'!$A$6:$A$3821)),CONCATENATE('Diags Raw Data'!$H$6:$H$3821,", "),""))</f>
        <v xml:space="preserve">DPP024.1, DPP029.1-62, DPP047.1-5, DPP048.1-5, </v>
      </c>
      <c r="E39" s="341" t="str">
        <f>VLOOKUP(A39,'Diags Raw Data'!$A$6:$D$3821,4,FALSE)</f>
        <v>DPP</v>
      </c>
      <c r="F39" s="341" t="str">
        <f>VLOOKUP(A39,'Feature Raw Data'!$A$3:$E$3998,5,FALSE)</f>
        <v>Legacy</v>
      </c>
      <c r="G39" s="341" t="str">
        <f t="shared" si="6"/>
        <v>Yes</v>
      </c>
      <c r="H39" s="341" t="str">
        <f t="shared" si="7"/>
        <v>Yes</v>
      </c>
      <c r="I39" s="424">
        <f>SUMIF('Diags Raw Data'!$A$6:$A$3821,"*"&amp;$A39&amp;"*",'Diags Raw Data'!$K$6:$K$3821)</f>
        <v>4</v>
      </c>
      <c r="J39" s="426">
        <f>SUMIF('Diags Raw Data'!$A$6:$A$3821,"*"&amp;$A39&amp;"*",'Diags Raw Data'!$L$6:$L$3821)</f>
        <v>73</v>
      </c>
      <c r="K39" s="445" cm="1">
        <f t="array" ref="K39">IF(D39="",0, SUMPRODUCT(--(ISNUMBER(SEARCH($A39,'Diags Raw Data'!$A$6:$A$3821))),'Diags Raw Data'!$L$6:$L$3821,'Diags Raw Data'!$N$6:$N$3821)/J39)</f>
        <v>1</v>
      </c>
      <c r="L39" s="446" cm="1">
        <f t="array" ref="L39">IF(D39="",0, SUMPRODUCT(--(ISNUMBER(SEARCH($A39,'Diags Raw Data'!$A$6:$A$3821))),'Diags Raw Data'!$L$6:$L$3821,'Diags Raw Data'!$P$6:$P$3821)/J39)</f>
        <v>1</v>
      </c>
      <c r="M39" s="447" cm="1">
        <f t="array" ref="M39">SUMPRODUCT(--(ISNUMBER(SEARCH($A39,'Diags Raw Data'!$A$6:$A$3821))),--('Diags Raw Data'!$Q$6:$Q$3821&lt;&gt;"N/A"),'Diags Raw Data'!$R$6:$R$3821)</f>
        <v>73</v>
      </c>
      <c r="N39" s="448" cm="1">
        <f t="array" ref="N39">SUMPRODUCT(--(ISNUMBER(SEARCH($A39,'Diags Raw Data'!$A$6:$A$3821))),--('Diags Raw Data'!$Q$6:$Q$3821&lt;&gt;"N/A"),'Diags Raw Data'!$T$6:$T$3821)+SUMPRODUCT(--(ISNUMBER(SEARCH($A39,'Diags Raw Data'!$A$6:$A$3821))),--('Diags Raw Data'!$Q$6:$Q$3821&lt;&gt;"N/A"),'Diags Raw Data'!$U$6:$U$3821)</f>
        <v>0</v>
      </c>
      <c r="O39" s="449">
        <f t="shared" si="8"/>
        <v>0</v>
      </c>
      <c r="P39" s="450">
        <f>SUMIF('Diags Raw Data'!$A$6:$A$3821,"*"&amp;$A39&amp;"*",'Diags Raw Data'!$Z$6:$Z$3821)</f>
        <v>0</v>
      </c>
      <c r="Q39" s="451">
        <f>SUM(SUMIF('Diags Raw Data'!$A$6:$A$3821,"*"&amp;$A39&amp;"*",'Diags Raw Data'!$AA$6:$AA$3821),SUMIF('Diags Raw Data'!$A$6:$A$3821,"*"&amp;$A39&amp;"*",'Diags Raw Data'!$AB$6:$AB$3821))</f>
        <v>0</v>
      </c>
      <c r="R39" s="452">
        <f t="shared" si="9"/>
        <v>0</v>
      </c>
      <c r="S39" s="452">
        <f t="shared" si="10"/>
        <v>0</v>
      </c>
      <c r="T39" s="453">
        <f t="shared" si="11"/>
        <v>0</v>
      </c>
      <c r="U39" s="427" t="s">
        <v>47</v>
      </c>
      <c r="V39" s="182"/>
    </row>
    <row r="40" spans="1:22" x14ac:dyDescent="0.25">
      <c r="A40" s="336" t="s">
        <v>373</v>
      </c>
      <c r="B40" s="423" t="s">
        <v>662</v>
      </c>
      <c r="C40" s="424" t="s">
        <v>280</v>
      </c>
      <c r="D40" s="425" t="str" cm="1">
        <f t="array" ref="D40">_xlfn.TEXTJOIN("",TRUE,IF(ISNUMBER(SEARCH($A40,'Diags Raw Data'!$A$6:$A$3821)),CONCATENATE('Diags Raw Data'!$H$6:$H$3821,", "),""))</f>
        <v xml:space="preserve">DPP051.1-7, </v>
      </c>
      <c r="E40" s="341" t="str">
        <f>VLOOKUP(A40,'Diags Raw Data'!$A$6:$D$3821,4,FALSE)</f>
        <v>DPP</v>
      </c>
      <c r="F40" s="341" t="str">
        <f>VLOOKUP(A40,'Feature Raw Data'!$A$3:$E$3998,5,FALSE)</f>
        <v>Legacy</v>
      </c>
      <c r="G40" s="341" t="str">
        <f t="shared" si="6"/>
        <v>Yes</v>
      </c>
      <c r="H40" s="341" t="str">
        <f t="shared" si="7"/>
        <v>Yes</v>
      </c>
      <c r="I40" s="424">
        <f>SUMIF('Diags Raw Data'!$A$6:$A$3821,"*"&amp;$A40&amp;"*",'Diags Raw Data'!$K$6:$K$3821)</f>
        <v>1</v>
      </c>
      <c r="J40" s="426">
        <f>SUMIF('Diags Raw Data'!$A$6:$A$3821,"*"&amp;$A40&amp;"*",'Diags Raw Data'!$L$6:$L$3821)</f>
        <v>7</v>
      </c>
      <c r="K40" s="445" cm="1">
        <f t="array" ref="K40">IF(D40="",0, SUMPRODUCT(--(ISNUMBER(SEARCH($A40,'Diags Raw Data'!$A$6:$A$3821))),'Diags Raw Data'!$L$6:$L$3821,'Diags Raw Data'!$N$6:$N$3821)/J40)</f>
        <v>1</v>
      </c>
      <c r="L40" s="446" cm="1">
        <f t="array" ref="L40">IF(D40="",0, SUMPRODUCT(--(ISNUMBER(SEARCH($A40,'Diags Raw Data'!$A$6:$A$3821))),'Diags Raw Data'!$L$6:$L$3821,'Diags Raw Data'!$P$6:$P$3821)/J40)</f>
        <v>1</v>
      </c>
      <c r="M40" s="447" cm="1">
        <f t="array" ref="M40">SUMPRODUCT(--(ISNUMBER(SEARCH($A40,'Diags Raw Data'!$A$6:$A$3821))),--('Diags Raw Data'!$Q$6:$Q$3821&lt;&gt;"N/A"),'Diags Raw Data'!$R$6:$R$3821)</f>
        <v>7</v>
      </c>
      <c r="N40" s="448" cm="1">
        <f t="array" ref="N40">SUMPRODUCT(--(ISNUMBER(SEARCH($A40,'Diags Raw Data'!$A$6:$A$3821))),--('Diags Raw Data'!$Q$6:$Q$3821&lt;&gt;"N/A"),'Diags Raw Data'!$T$6:$T$3821)+SUMPRODUCT(--(ISNUMBER(SEARCH($A40,'Diags Raw Data'!$A$6:$A$3821))),--('Diags Raw Data'!$Q$6:$Q$3821&lt;&gt;"N/A"),'Diags Raw Data'!$U$6:$U$3821)</f>
        <v>0</v>
      </c>
      <c r="O40" s="449">
        <f t="shared" si="8"/>
        <v>0</v>
      </c>
      <c r="P40" s="450">
        <f>SUMIF('Diags Raw Data'!$A$6:$A$3821,"*"&amp;$A40&amp;"*",'Diags Raw Data'!$Z$6:$Z$3821)</f>
        <v>0</v>
      </c>
      <c r="Q40" s="451">
        <f>SUM(SUMIF('Diags Raw Data'!$A$6:$A$3821,"*"&amp;$A40&amp;"*",'Diags Raw Data'!$AA$6:$AA$3821),SUMIF('Diags Raw Data'!$A$6:$A$3821,"*"&amp;$A40&amp;"*",'Diags Raw Data'!$AB$6:$AB$3821))</f>
        <v>0</v>
      </c>
      <c r="R40" s="452">
        <f t="shared" si="9"/>
        <v>0</v>
      </c>
      <c r="S40" s="452">
        <f t="shared" si="10"/>
        <v>0</v>
      </c>
      <c r="T40" s="453">
        <f t="shared" si="11"/>
        <v>0</v>
      </c>
      <c r="U40" s="427" t="s">
        <v>621</v>
      </c>
      <c r="V40" s="182"/>
    </row>
    <row r="41" spans="1:22" x14ac:dyDescent="0.25">
      <c r="A41" s="336" t="s">
        <v>349</v>
      </c>
      <c r="B41" s="423" t="s">
        <v>663</v>
      </c>
      <c r="C41" s="424" t="s">
        <v>280</v>
      </c>
      <c r="D41" s="425" t="str" cm="1">
        <f t="array" ref="D41">_xlfn.TEXTJOIN("",TRUE,IF(ISNUMBER(SEARCH($A41,'Diags Raw Data'!$A$6:$A$3821)),CONCATENATE('Diags Raw Data'!$H$6:$H$3821,", "),""))</f>
        <v xml:space="preserve">DPP020.1-4, </v>
      </c>
      <c r="E41" s="341" t="str">
        <f>VLOOKUP(A41,'Diags Raw Data'!$A$6:$D$3821,4,FALSE)</f>
        <v>DPP</v>
      </c>
      <c r="F41" s="341" t="str">
        <f>VLOOKUP(A41,'Feature Raw Data'!$A$3:$E$3998,5,FALSE)</f>
        <v>Legacy</v>
      </c>
      <c r="G41" s="341" t="str">
        <f t="shared" si="6"/>
        <v>Yes</v>
      </c>
      <c r="H41" s="341" t="str">
        <f t="shared" si="7"/>
        <v>Yes</v>
      </c>
      <c r="I41" s="424">
        <f>SUMIF('Diags Raw Data'!$A$6:$A$3821,"*"&amp;$A41&amp;"*",'Diags Raw Data'!$K$6:$K$3821)</f>
        <v>1</v>
      </c>
      <c r="J41" s="426">
        <f>SUMIF('Diags Raw Data'!$A$6:$A$3821,"*"&amp;$A41&amp;"*",'Diags Raw Data'!$L$6:$L$3821)</f>
        <v>4</v>
      </c>
      <c r="K41" s="445" cm="1">
        <f t="array" ref="K41">IF(D41="",0, SUMPRODUCT(--(ISNUMBER(SEARCH($A41,'Diags Raw Data'!$A$6:$A$3821))),'Diags Raw Data'!$L$6:$L$3821,'Diags Raw Data'!$N$6:$N$3821)/J41)</f>
        <v>1</v>
      </c>
      <c r="L41" s="446" cm="1">
        <f t="array" ref="L41">IF(D41="",0, SUMPRODUCT(--(ISNUMBER(SEARCH($A41,'Diags Raw Data'!$A$6:$A$3821))),'Diags Raw Data'!$L$6:$L$3821,'Diags Raw Data'!$P$6:$P$3821)/J41)</f>
        <v>1</v>
      </c>
      <c r="M41" s="447" cm="1">
        <f t="array" ref="M41">SUMPRODUCT(--(ISNUMBER(SEARCH($A41,'Diags Raw Data'!$A$6:$A$3821))),--('Diags Raw Data'!$Q$6:$Q$3821&lt;&gt;"N/A"),'Diags Raw Data'!$R$6:$R$3821)</f>
        <v>4</v>
      </c>
      <c r="N41" s="448" cm="1">
        <f t="array" ref="N41">SUMPRODUCT(--(ISNUMBER(SEARCH($A41,'Diags Raw Data'!$A$6:$A$3821))),--('Diags Raw Data'!$Q$6:$Q$3821&lt;&gt;"N/A"),'Diags Raw Data'!$T$6:$T$3821)+SUMPRODUCT(--(ISNUMBER(SEARCH($A41,'Diags Raw Data'!$A$6:$A$3821))),--('Diags Raw Data'!$Q$6:$Q$3821&lt;&gt;"N/A"),'Diags Raw Data'!$U$6:$U$3821)</f>
        <v>0</v>
      </c>
      <c r="O41" s="449">
        <f t="shared" si="8"/>
        <v>0</v>
      </c>
      <c r="P41" s="450">
        <f>SUMIF('Diags Raw Data'!$A$6:$A$3821,"*"&amp;$A41&amp;"*",'Diags Raw Data'!$Z$6:$Z$3821)</f>
        <v>0</v>
      </c>
      <c r="Q41" s="451">
        <f>SUM(SUMIF('Diags Raw Data'!$A$6:$A$3821,"*"&amp;$A41&amp;"*",'Diags Raw Data'!$AA$6:$AA$3821),SUMIF('Diags Raw Data'!$A$6:$A$3821,"*"&amp;$A41&amp;"*",'Diags Raw Data'!$AB$6:$AB$3821))</f>
        <v>0</v>
      </c>
      <c r="R41" s="452">
        <f t="shared" si="9"/>
        <v>0</v>
      </c>
      <c r="S41" s="452">
        <f t="shared" si="10"/>
        <v>0</v>
      </c>
      <c r="T41" s="453">
        <f t="shared" si="11"/>
        <v>0</v>
      </c>
      <c r="U41" s="427" t="s">
        <v>643</v>
      </c>
      <c r="V41" s="182"/>
    </row>
    <row r="42" spans="1:22" x14ac:dyDescent="0.25">
      <c r="A42" s="336" t="s">
        <v>347</v>
      </c>
      <c r="B42" s="423" t="s">
        <v>664</v>
      </c>
      <c r="C42" s="424" t="s">
        <v>280</v>
      </c>
      <c r="D42" s="425" t="str" cm="1">
        <f t="array" ref="D42">_xlfn.TEXTJOIN("",TRUE,IF(ISNUMBER(SEARCH($A42,'Diags Raw Data'!$A$6:$A$3821)),CONCATENATE('Diags Raw Data'!$H$6:$H$3821,", "),""))</f>
        <v xml:space="preserve">DPP016.1-4, DPP034.1-13, DPP039.1-4, </v>
      </c>
      <c r="E42" s="341" t="str">
        <f>VLOOKUP(A42,'Diags Raw Data'!$A$6:$D$3821,4,FALSE)</f>
        <v>DPP</v>
      </c>
      <c r="F42" s="341" t="str">
        <f>VLOOKUP(A42,'Feature Raw Data'!$A$3:$E$3998,5,FALSE)</f>
        <v>Legacy</v>
      </c>
      <c r="G42" s="341" t="str">
        <f t="shared" si="6"/>
        <v>Yes</v>
      </c>
      <c r="H42" s="341" t="str">
        <f t="shared" si="7"/>
        <v>Yes</v>
      </c>
      <c r="I42" s="424">
        <f>SUMIF('Diags Raw Data'!$A$6:$A$3821,"*"&amp;$A42&amp;"*",'Diags Raw Data'!$K$6:$K$3821)</f>
        <v>3</v>
      </c>
      <c r="J42" s="426">
        <f>SUMIF('Diags Raw Data'!$A$6:$A$3821,"*"&amp;$A42&amp;"*",'Diags Raw Data'!$L$6:$L$3821)</f>
        <v>21</v>
      </c>
      <c r="K42" s="445" cm="1">
        <f t="array" ref="K42">IF(D42="",0, SUMPRODUCT(--(ISNUMBER(SEARCH($A42,'Diags Raw Data'!$A$6:$A$3821))),'Diags Raw Data'!$L$6:$L$3821,'Diags Raw Data'!$N$6:$N$3821)/J42)</f>
        <v>1</v>
      </c>
      <c r="L42" s="446" cm="1">
        <f t="array" ref="L42">IF(D42="",0, SUMPRODUCT(--(ISNUMBER(SEARCH($A42,'Diags Raw Data'!$A$6:$A$3821))),'Diags Raw Data'!$L$6:$L$3821,'Diags Raw Data'!$P$6:$P$3821)/J42)</f>
        <v>1</v>
      </c>
      <c r="M42" s="447" cm="1">
        <f t="array" ref="M42">SUMPRODUCT(--(ISNUMBER(SEARCH($A42,'Diags Raw Data'!$A$6:$A$3821))),--('Diags Raw Data'!$Q$6:$Q$3821&lt;&gt;"N/A"),'Diags Raw Data'!$R$6:$R$3821)</f>
        <v>21</v>
      </c>
      <c r="N42" s="448" cm="1">
        <f t="array" ref="N42">SUMPRODUCT(--(ISNUMBER(SEARCH($A42,'Diags Raw Data'!$A$6:$A$3821))),--('Diags Raw Data'!$Q$6:$Q$3821&lt;&gt;"N/A"),'Diags Raw Data'!$T$6:$T$3821)+SUMPRODUCT(--(ISNUMBER(SEARCH($A42,'Diags Raw Data'!$A$6:$A$3821))),--('Diags Raw Data'!$Q$6:$Q$3821&lt;&gt;"N/A"),'Diags Raw Data'!$U$6:$U$3821)</f>
        <v>0</v>
      </c>
      <c r="O42" s="449">
        <f t="shared" si="8"/>
        <v>0</v>
      </c>
      <c r="P42" s="450">
        <f>SUMIF('Diags Raw Data'!$A$6:$A$3821,"*"&amp;$A42&amp;"*",'Diags Raw Data'!$Z$6:$Z$3821)</f>
        <v>0</v>
      </c>
      <c r="Q42" s="451">
        <f>SUM(SUMIF('Diags Raw Data'!$A$6:$A$3821,"*"&amp;$A42&amp;"*",'Diags Raw Data'!$AA$6:$AA$3821),SUMIF('Diags Raw Data'!$A$6:$A$3821,"*"&amp;$A42&amp;"*",'Diags Raw Data'!$AB$6:$AB$3821))</f>
        <v>0</v>
      </c>
      <c r="R42" s="452">
        <f t="shared" si="9"/>
        <v>0</v>
      </c>
      <c r="S42" s="452">
        <f t="shared" si="10"/>
        <v>0</v>
      </c>
      <c r="T42" s="453">
        <f t="shared" si="11"/>
        <v>0</v>
      </c>
      <c r="U42" s="427" t="s">
        <v>47</v>
      </c>
      <c r="V42" s="182"/>
    </row>
    <row r="43" spans="1:22" x14ac:dyDescent="0.25">
      <c r="A43" s="336" t="s">
        <v>665</v>
      </c>
      <c r="B43" s="423" t="s">
        <v>666</v>
      </c>
      <c r="C43" s="424" t="s">
        <v>280</v>
      </c>
      <c r="D43" s="425" t="str" cm="1">
        <f t="array" ref="D43">_xlfn.TEXTJOIN("",TRUE,IF(ISNUMBER(SEARCH($A43,'Diags Raw Data'!$A$6:$A$3821)),CONCATENATE('Diags Raw Data'!$H$6:$H$3821,", "),""))</f>
        <v xml:space="preserve">DPP009.7-9,16-39,46-69,999, </v>
      </c>
      <c r="E43" s="341" t="str">
        <f>VLOOKUP(A43,'Diags Raw Data'!$A$6:$D$3821,4,FALSE)</f>
        <v>DPP</v>
      </c>
      <c r="F43" s="341" t="str">
        <f>VLOOKUP(A43,'Feature Raw Data'!$A$3:$E$3998,5,FALSE)</f>
        <v>Legacy</v>
      </c>
      <c r="G43" s="341" t="str">
        <f t="shared" si="6"/>
        <v>Yes</v>
      </c>
      <c r="H43" s="341" t="str">
        <f t="shared" si="7"/>
        <v>Yes</v>
      </c>
      <c r="I43" s="424">
        <f>SUMIF('Diags Raw Data'!$A$6:$A$3821,"*"&amp;$A43&amp;"*",'Diags Raw Data'!$K$6:$K$3821)</f>
        <v>1</v>
      </c>
      <c r="J43" s="426">
        <f>SUMIF('Diags Raw Data'!$A$6:$A$3821,"*"&amp;$A43&amp;"*",'Diags Raw Data'!$L$6:$L$3821)</f>
        <v>52</v>
      </c>
      <c r="K43" s="445" cm="1">
        <f t="array" ref="K43">IF(D43="",0, SUMPRODUCT(--(ISNUMBER(SEARCH($A43,'Diags Raw Data'!$A$6:$A$3821))),'Diags Raw Data'!$L$6:$L$3821,'Diags Raw Data'!$N$6:$N$3821)/J43)</f>
        <v>1</v>
      </c>
      <c r="L43" s="446" cm="1">
        <f t="array" ref="L43">IF(D43="",0, SUMPRODUCT(--(ISNUMBER(SEARCH($A43,'Diags Raw Data'!$A$6:$A$3821))),'Diags Raw Data'!$L$6:$L$3821,'Diags Raw Data'!$P$6:$P$3821)/J43)</f>
        <v>1</v>
      </c>
      <c r="M43" s="447" cm="1">
        <f t="array" ref="M43">SUMPRODUCT(--(ISNUMBER(SEARCH($A43,'Diags Raw Data'!$A$6:$A$3821))),--('Diags Raw Data'!$Q$6:$Q$3821&lt;&gt;"N/A"),'Diags Raw Data'!$R$6:$R$3821)</f>
        <v>52</v>
      </c>
      <c r="N43" s="448" cm="1">
        <f t="array" ref="N43">SUMPRODUCT(--(ISNUMBER(SEARCH($A43,'Diags Raw Data'!$A$6:$A$3821))),--('Diags Raw Data'!$Q$6:$Q$3821&lt;&gt;"N/A"),'Diags Raw Data'!$T$6:$T$3821)+SUMPRODUCT(--(ISNUMBER(SEARCH($A43,'Diags Raw Data'!$A$6:$A$3821))),--('Diags Raw Data'!$Q$6:$Q$3821&lt;&gt;"N/A"),'Diags Raw Data'!$U$6:$U$3821)</f>
        <v>0</v>
      </c>
      <c r="O43" s="449">
        <f t="shared" si="8"/>
        <v>0</v>
      </c>
      <c r="P43" s="450">
        <f>SUMIF('Diags Raw Data'!$A$6:$A$3821,"*"&amp;$A43&amp;"*",'Diags Raw Data'!$Z$6:$Z$3821)</f>
        <v>0</v>
      </c>
      <c r="Q43" s="451">
        <f>SUM(SUMIF('Diags Raw Data'!$A$6:$A$3821,"*"&amp;$A43&amp;"*",'Diags Raw Data'!$AA$6:$AA$3821),SUMIF('Diags Raw Data'!$A$6:$A$3821,"*"&amp;$A43&amp;"*",'Diags Raw Data'!$AB$6:$AB$3821))</f>
        <v>0</v>
      </c>
      <c r="R43" s="452">
        <f t="shared" si="9"/>
        <v>0</v>
      </c>
      <c r="S43" s="452">
        <f t="shared" si="10"/>
        <v>0</v>
      </c>
      <c r="T43" s="453">
        <f t="shared" si="11"/>
        <v>0</v>
      </c>
      <c r="U43" s="427" t="s">
        <v>643</v>
      </c>
      <c r="V43" s="182"/>
    </row>
    <row r="44" spans="1:22" x14ac:dyDescent="0.25">
      <c r="A44" s="336" t="s">
        <v>667</v>
      </c>
      <c r="B44" s="423" t="s">
        <v>668</v>
      </c>
      <c r="C44" s="424" t="s">
        <v>280</v>
      </c>
      <c r="D44" s="425" t="str" cm="1">
        <f t="array" ref="D44">_xlfn.TEXTJOIN("",TRUE,IF(ISNUMBER(SEARCH($A44,'Diags Raw Data'!$A$6:$A$3821)),CONCATENATE('Diags Raw Data'!$H$6:$H$3821,", "),""))</f>
        <v xml:space="preserve">DPP009.7-9,16-39,46-69,999, DPP034.1-13, </v>
      </c>
      <c r="E44" s="341" t="str">
        <f>VLOOKUP(A44,'Diags Raw Data'!$A$6:$D$3821,4,FALSE)</f>
        <v>DPP</v>
      </c>
      <c r="F44" s="341" t="str">
        <f>VLOOKUP(A44,'Feature Raw Data'!$A$3:$E$3998,5,FALSE)</f>
        <v>Legacy</v>
      </c>
      <c r="G44" s="341" t="str">
        <f t="shared" si="6"/>
        <v>Yes</v>
      </c>
      <c r="H44" s="341" t="str">
        <f t="shared" si="7"/>
        <v>Yes</v>
      </c>
      <c r="I44" s="424">
        <f>SUMIF('Diags Raw Data'!$A$6:$A$3821,"*"&amp;$A44&amp;"*",'Diags Raw Data'!$K$6:$K$3821)</f>
        <v>2</v>
      </c>
      <c r="J44" s="426">
        <f>SUMIF('Diags Raw Data'!$A$6:$A$3821,"*"&amp;$A44&amp;"*",'Diags Raw Data'!$L$6:$L$3821)</f>
        <v>65</v>
      </c>
      <c r="K44" s="445" cm="1">
        <f t="array" ref="K44">IF(D44="",0, SUMPRODUCT(--(ISNUMBER(SEARCH($A44,'Diags Raw Data'!$A$6:$A$3821))),'Diags Raw Data'!$L$6:$L$3821,'Diags Raw Data'!$N$6:$N$3821)/J44)</f>
        <v>1</v>
      </c>
      <c r="L44" s="446" cm="1">
        <f t="array" ref="L44">IF(D44="",0, SUMPRODUCT(--(ISNUMBER(SEARCH($A44,'Diags Raw Data'!$A$6:$A$3821))),'Diags Raw Data'!$L$6:$L$3821,'Diags Raw Data'!$P$6:$P$3821)/J44)</f>
        <v>1</v>
      </c>
      <c r="M44" s="447" cm="1">
        <f t="array" ref="M44">SUMPRODUCT(--(ISNUMBER(SEARCH($A44,'Diags Raw Data'!$A$6:$A$3821))),--('Diags Raw Data'!$Q$6:$Q$3821&lt;&gt;"N/A"),'Diags Raw Data'!$R$6:$R$3821)</f>
        <v>65</v>
      </c>
      <c r="N44" s="448" cm="1">
        <f t="array" ref="N44">SUMPRODUCT(--(ISNUMBER(SEARCH($A44,'Diags Raw Data'!$A$6:$A$3821))),--('Diags Raw Data'!$Q$6:$Q$3821&lt;&gt;"N/A"),'Diags Raw Data'!$T$6:$T$3821)+SUMPRODUCT(--(ISNUMBER(SEARCH($A44,'Diags Raw Data'!$A$6:$A$3821))),--('Diags Raw Data'!$Q$6:$Q$3821&lt;&gt;"N/A"),'Diags Raw Data'!$U$6:$U$3821)</f>
        <v>0</v>
      </c>
      <c r="O44" s="449">
        <f t="shared" si="8"/>
        <v>0</v>
      </c>
      <c r="P44" s="450">
        <f>SUMIF('Diags Raw Data'!$A$6:$A$3821,"*"&amp;$A44&amp;"*",'Diags Raw Data'!$Z$6:$Z$3821)</f>
        <v>0</v>
      </c>
      <c r="Q44" s="451">
        <f>SUM(SUMIF('Diags Raw Data'!$A$6:$A$3821,"*"&amp;$A44&amp;"*",'Diags Raw Data'!$AA$6:$AA$3821),SUMIF('Diags Raw Data'!$A$6:$A$3821,"*"&amp;$A44&amp;"*",'Diags Raw Data'!$AB$6:$AB$3821))</f>
        <v>0</v>
      </c>
      <c r="R44" s="452">
        <f t="shared" si="9"/>
        <v>0</v>
      </c>
      <c r="S44" s="452">
        <f t="shared" si="10"/>
        <v>0</v>
      </c>
      <c r="T44" s="453">
        <f t="shared" si="11"/>
        <v>0</v>
      </c>
      <c r="U44" s="427" t="s">
        <v>618</v>
      </c>
      <c r="V44" s="182"/>
    </row>
    <row r="45" spans="1:22" x14ac:dyDescent="0.25">
      <c r="A45" s="336" t="s">
        <v>669</v>
      </c>
      <c r="B45" s="423" t="s">
        <v>670</v>
      </c>
      <c r="C45" s="424" t="s">
        <v>280</v>
      </c>
      <c r="D45" s="425" t="str" cm="1">
        <f t="array" ref="D45">_xlfn.TEXTJOIN("",TRUE,IF(ISNUMBER(SEARCH($A45,'Diags Raw Data'!$A$6:$A$3821)),CONCATENATE('Diags Raw Data'!$H$6:$H$3821,", "),""))</f>
        <v xml:space="preserve">DPP034.1-13, </v>
      </c>
      <c r="E45" s="341" t="str">
        <f>VLOOKUP(A45,'Diags Raw Data'!$A$6:$D$3821,4,FALSE)</f>
        <v>DPP</v>
      </c>
      <c r="F45" s="341" t="str">
        <f>VLOOKUP(A45,'Feature Raw Data'!$A$3:$E$3998,5,FALSE)</f>
        <v>Legacy</v>
      </c>
      <c r="G45" s="341" t="str">
        <f t="shared" si="6"/>
        <v>Yes</v>
      </c>
      <c r="H45" s="341" t="str">
        <f t="shared" si="7"/>
        <v>Yes</v>
      </c>
      <c r="I45" s="424">
        <f>SUMIF('Diags Raw Data'!$A$6:$A$3821,"*"&amp;$A45&amp;"*",'Diags Raw Data'!$K$6:$K$3821)</f>
        <v>1</v>
      </c>
      <c r="J45" s="426">
        <f>SUMIF('Diags Raw Data'!$A$6:$A$3821,"*"&amp;$A45&amp;"*",'Diags Raw Data'!$L$6:$L$3821)</f>
        <v>13</v>
      </c>
      <c r="K45" s="445" cm="1">
        <f t="array" ref="K45">IF(D45="",0, SUMPRODUCT(--(ISNUMBER(SEARCH($A45,'Diags Raw Data'!$A$6:$A$3821))),'Diags Raw Data'!$L$6:$L$3821,'Diags Raw Data'!$N$6:$N$3821)/J45)</f>
        <v>1</v>
      </c>
      <c r="L45" s="446" cm="1">
        <f t="array" ref="L45">IF(D45="",0, SUMPRODUCT(--(ISNUMBER(SEARCH($A45,'Diags Raw Data'!$A$6:$A$3821))),'Diags Raw Data'!$L$6:$L$3821,'Diags Raw Data'!$P$6:$P$3821)/J45)</f>
        <v>1</v>
      </c>
      <c r="M45" s="447" cm="1">
        <f t="array" ref="M45">SUMPRODUCT(--(ISNUMBER(SEARCH($A45,'Diags Raw Data'!$A$6:$A$3821))),--('Diags Raw Data'!$Q$6:$Q$3821&lt;&gt;"N/A"),'Diags Raw Data'!$R$6:$R$3821)</f>
        <v>13</v>
      </c>
      <c r="N45" s="448" cm="1">
        <f t="array" ref="N45">SUMPRODUCT(--(ISNUMBER(SEARCH($A45,'Diags Raw Data'!$A$6:$A$3821))),--('Diags Raw Data'!$Q$6:$Q$3821&lt;&gt;"N/A"),'Diags Raw Data'!$T$6:$T$3821)+SUMPRODUCT(--(ISNUMBER(SEARCH($A45,'Diags Raw Data'!$A$6:$A$3821))),--('Diags Raw Data'!$Q$6:$Q$3821&lt;&gt;"N/A"),'Diags Raw Data'!$U$6:$U$3821)</f>
        <v>0</v>
      </c>
      <c r="O45" s="449">
        <f t="shared" si="8"/>
        <v>0</v>
      </c>
      <c r="P45" s="450">
        <f>SUMIF('Diags Raw Data'!$A$6:$A$3821,"*"&amp;$A45&amp;"*",'Diags Raw Data'!$Z$6:$Z$3821)</f>
        <v>0</v>
      </c>
      <c r="Q45" s="451">
        <f>SUM(SUMIF('Diags Raw Data'!$A$6:$A$3821,"*"&amp;$A45&amp;"*",'Diags Raw Data'!$AA$6:$AA$3821),SUMIF('Diags Raw Data'!$A$6:$A$3821,"*"&amp;$A45&amp;"*",'Diags Raw Data'!$AB$6:$AB$3821))</f>
        <v>0</v>
      </c>
      <c r="R45" s="452">
        <f t="shared" si="9"/>
        <v>0</v>
      </c>
      <c r="S45" s="452">
        <f t="shared" si="10"/>
        <v>0</v>
      </c>
      <c r="T45" s="453">
        <f t="shared" si="11"/>
        <v>0</v>
      </c>
      <c r="U45" s="427" t="s">
        <v>608</v>
      </c>
      <c r="V45" s="182"/>
    </row>
    <row r="46" spans="1:22" x14ac:dyDescent="0.25">
      <c r="A46" s="336" t="s">
        <v>671</v>
      </c>
      <c r="B46" s="423" t="s">
        <v>672</v>
      </c>
      <c r="C46" s="424" t="s">
        <v>280</v>
      </c>
      <c r="D46" s="425" t="str" cm="1">
        <f t="array" ref="D46">_xlfn.TEXTJOIN("",TRUE,IF(ISNUMBER(SEARCH($A46,'Diags Raw Data'!$A$6:$A$3821)),CONCATENATE('Diags Raw Data'!$H$6:$H$3821,", "),""))</f>
        <v xml:space="preserve">DPP034.1-13, </v>
      </c>
      <c r="E46" s="341" t="str">
        <f>VLOOKUP(A46,'Diags Raw Data'!$A$6:$D$3821,4,FALSE)</f>
        <v>DPP</v>
      </c>
      <c r="F46" s="341" t="str">
        <f>VLOOKUP(A46,'Feature Raw Data'!$A$3:$E$3998,5,FALSE)</f>
        <v>Legacy</v>
      </c>
      <c r="G46" s="341" t="str">
        <f t="shared" si="6"/>
        <v>Yes</v>
      </c>
      <c r="H46" s="341" t="str">
        <f t="shared" si="7"/>
        <v>Yes</v>
      </c>
      <c r="I46" s="424">
        <f>SUMIF('Diags Raw Data'!$A$6:$A$3821,"*"&amp;$A46&amp;"*",'Diags Raw Data'!$K$6:$K$3821)</f>
        <v>1</v>
      </c>
      <c r="J46" s="426">
        <f>SUMIF('Diags Raw Data'!$A$6:$A$3821,"*"&amp;$A46&amp;"*",'Diags Raw Data'!$L$6:$L$3821)</f>
        <v>13</v>
      </c>
      <c r="K46" s="445" cm="1">
        <f t="array" ref="K46">IF(D46="",0, SUMPRODUCT(--(ISNUMBER(SEARCH($A46,'Diags Raw Data'!$A$6:$A$3821))),'Diags Raw Data'!$L$6:$L$3821,'Diags Raw Data'!$N$6:$N$3821)/J46)</f>
        <v>1</v>
      </c>
      <c r="L46" s="446" cm="1">
        <f t="array" ref="L46">IF(D46="",0, SUMPRODUCT(--(ISNUMBER(SEARCH($A46,'Diags Raw Data'!$A$6:$A$3821))),'Diags Raw Data'!$L$6:$L$3821,'Diags Raw Data'!$P$6:$P$3821)/J46)</f>
        <v>1</v>
      </c>
      <c r="M46" s="447" cm="1">
        <f t="array" ref="M46">SUMPRODUCT(--(ISNUMBER(SEARCH($A46,'Diags Raw Data'!$A$6:$A$3821))),--('Diags Raw Data'!$Q$6:$Q$3821&lt;&gt;"N/A"),'Diags Raw Data'!$R$6:$R$3821)</f>
        <v>13</v>
      </c>
      <c r="N46" s="448" cm="1">
        <f t="array" ref="N46">SUMPRODUCT(--(ISNUMBER(SEARCH($A46,'Diags Raw Data'!$A$6:$A$3821))),--('Diags Raw Data'!$Q$6:$Q$3821&lt;&gt;"N/A"),'Diags Raw Data'!$T$6:$T$3821)+SUMPRODUCT(--(ISNUMBER(SEARCH($A46,'Diags Raw Data'!$A$6:$A$3821))),--('Diags Raw Data'!$Q$6:$Q$3821&lt;&gt;"N/A"),'Diags Raw Data'!$U$6:$U$3821)</f>
        <v>0</v>
      </c>
      <c r="O46" s="449">
        <f t="shared" si="8"/>
        <v>0</v>
      </c>
      <c r="P46" s="450">
        <f>SUMIF('Diags Raw Data'!$A$6:$A$3821,"*"&amp;$A46&amp;"*",'Diags Raw Data'!$Z$6:$Z$3821)</f>
        <v>0</v>
      </c>
      <c r="Q46" s="451">
        <f>SUM(SUMIF('Diags Raw Data'!$A$6:$A$3821,"*"&amp;$A46&amp;"*",'Diags Raw Data'!$AA$6:$AA$3821),SUMIF('Diags Raw Data'!$A$6:$A$3821,"*"&amp;$A46&amp;"*",'Diags Raw Data'!$AB$6:$AB$3821))</f>
        <v>0</v>
      </c>
      <c r="R46" s="452">
        <f t="shared" si="9"/>
        <v>0</v>
      </c>
      <c r="S46" s="452">
        <f t="shared" si="10"/>
        <v>0</v>
      </c>
      <c r="T46" s="453">
        <f t="shared" si="11"/>
        <v>0</v>
      </c>
      <c r="U46" s="427" t="s">
        <v>608</v>
      </c>
      <c r="V46" s="182"/>
    </row>
    <row r="47" spans="1:22" x14ac:dyDescent="0.25">
      <c r="A47" s="336" t="s">
        <v>342</v>
      </c>
      <c r="B47" s="423" t="s">
        <v>673</v>
      </c>
      <c r="C47" s="424" t="s">
        <v>280</v>
      </c>
      <c r="D47" s="425" t="str" cm="1">
        <f t="array" ref="D47">_xlfn.TEXTJOIN("",TRUE,IF(ISNUMBER(SEARCH($A47,'Diags Raw Data'!$A$6:$A$3821)),CONCATENATE('Diags Raw Data'!$H$6:$H$3821,", "),""))</f>
        <v xml:space="preserve">DPP008.1-2, </v>
      </c>
      <c r="E47" s="341" t="str">
        <f>VLOOKUP(A47,'Diags Raw Data'!$A$6:$D$3821,4,FALSE)</f>
        <v>DPP</v>
      </c>
      <c r="F47" s="341" t="str">
        <f>VLOOKUP(A47,'Feature Raw Data'!$A$3:$E$3998,5,FALSE)</f>
        <v>Legacy</v>
      </c>
      <c r="G47" s="341" t="str">
        <f t="shared" si="6"/>
        <v>Yes</v>
      </c>
      <c r="H47" s="341" t="str">
        <f t="shared" si="7"/>
        <v>Yes</v>
      </c>
      <c r="I47" s="424">
        <f>SUMIF('Diags Raw Data'!$A$6:$A$3821,"*"&amp;$A47&amp;"*",'Diags Raw Data'!$K$6:$K$3821)</f>
        <v>1</v>
      </c>
      <c r="J47" s="426">
        <f>SUMIF('Diags Raw Data'!$A$6:$A$3821,"*"&amp;$A47&amp;"*",'Diags Raw Data'!$L$6:$L$3821)</f>
        <v>2</v>
      </c>
      <c r="K47" s="445" cm="1">
        <f t="array" ref="K47">IF(D47="",0, SUMPRODUCT(--(ISNUMBER(SEARCH($A47,'Diags Raw Data'!$A$6:$A$3821))),'Diags Raw Data'!$L$6:$L$3821,'Diags Raw Data'!$N$6:$N$3821)/J47)</f>
        <v>1</v>
      </c>
      <c r="L47" s="446" cm="1">
        <f t="array" ref="L47">IF(D47="",0, SUMPRODUCT(--(ISNUMBER(SEARCH($A47,'Diags Raw Data'!$A$6:$A$3821))),'Diags Raw Data'!$L$6:$L$3821,'Diags Raw Data'!$P$6:$P$3821)/J47)</f>
        <v>1</v>
      </c>
      <c r="M47" s="447" cm="1">
        <f t="array" ref="M47">SUMPRODUCT(--(ISNUMBER(SEARCH($A47,'Diags Raw Data'!$A$6:$A$3821))),--('Diags Raw Data'!$Q$6:$Q$3821&lt;&gt;"N/A"),'Diags Raw Data'!$R$6:$R$3821)</f>
        <v>2</v>
      </c>
      <c r="N47" s="448" cm="1">
        <f t="array" ref="N47">SUMPRODUCT(--(ISNUMBER(SEARCH($A47,'Diags Raw Data'!$A$6:$A$3821))),--('Diags Raw Data'!$Q$6:$Q$3821&lt;&gt;"N/A"),'Diags Raw Data'!$T$6:$T$3821)+SUMPRODUCT(--(ISNUMBER(SEARCH($A47,'Diags Raw Data'!$A$6:$A$3821))),--('Diags Raw Data'!$Q$6:$Q$3821&lt;&gt;"N/A"),'Diags Raw Data'!$U$6:$U$3821)</f>
        <v>0</v>
      </c>
      <c r="O47" s="449">
        <f t="shared" si="8"/>
        <v>0</v>
      </c>
      <c r="P47" s="450">
        <f>SUMIF('Diags Raw Data'!$A$6:$A$3821,"*"&amp;$A47&amp;"*",'Diags Raw Data'!$Z$6:$Z$3821)</f>
        <v>0</v>
      </c>
      <c r="Q47" s="451">
        <f>SUM(SUMIF('Diags Raw Data'!$A$6:$A$3821,"*"&amp;$A47&amp;"*",'Diags Raw Data'!$AA$6:$AA$3821),SUMIF('Diags Raw Data'!$A$6:$A$3821,"*"&amp;$A47&amp;"*",'Diags Raw Data'!$AB$6:$AB$3821))</f>
        <v>0</v>
      </c>
      <c r="R47" s="452">
        <f t="shared" si="9"/>
        <v>0</v>
      </c>
      <c r="S47" s="452">
        <f t="shared" si="10"/>
        <v>0</v>
      </c>
      <c r="T47" s="453">
        <f t="shared" si="11"/>
        <v>0</v>
      </c>
      <c r="U47" s="427" t="s">
        <v>638</v>
      </c>
      <c r="V47" s="182"/>
    </row>
    <row r="48" spans="1:22" x14ac:dyDescent="0.25">
      <c r="A48" s="336" t="s">
        <v>339</v>
      </c>
      <c r="B48" s="423" t="s">
        <v>674</v>
      </c>
      <c r="C48" s="424" t="s">
        <v>280</v>
      </c>
      <c r="D48" s="425" t="str" cm="1">
        <f t="array" ref="D48">_xlfn.TEXTJOIN("",TRUE,IF(ISNUMBER(SEARCH($A48,'Diags Raw Data'!$A$6:$A$3821)),CONCATENATE('Diags Raw Data'!$H$6:$H$3821,", "),""))</f>
        <v xml:space="preserve">DPP006.6-13,16-21, DPP007.11-26,31-42, </v>
      </c>
      <c r="E48" s="341" t="str">
        <f>VLOOKUP(A48,'Diags Raw Data'!$A$6:$D$3821,4,FALSE)</f>
        <v>DPP</v>
      </c>
      <c r="F48" s="341" t="str">
        <f>VLOOKUP(A48,'Feature Raw Data'!$A$3:$E$3998,5,FALSE)</f>
        <v>Legacy</v>
      </c>
      <c r="G48" s="341" t="str">
        <f t="shared" si="6"/>
        <v>Yes</v>
      </c>
      <c r="H48" s="341" t="str">
        <f t="shared" si="7"/>
        <v>Yes</v>
      </c>
      <c r="I48" s="424">
        <f>SUMIF('Diags Raw Data'!$A$6:$A$3821,"*"&amp;$A48&amp;"*",'Diags Raw Data'!$K$6:$K$3821)</f>
        <v>2</v>
      </c>
      <c r="J48" s="426">
        <f>SUMIF('Diags Raw Data'!$A$6:$A$3821,"*"&amp;$A48&amp;"*",'Diags Raw Data'!$L$6:$L$3821)</f>
        <v>42</v>
      </c>
      <c r="K48" s="445" cm="1">
        <f t="array" ref="K48">IF(D48="",0, SUMPRODUCT(--(ISNUMBER(SEARCH($A48,'Diags Raw Data'!$A$6:$A$3821))),'Diags Raw Data'!$L$6:$L$3821,'Diags Raw Data'!$N$6:$N$3821)/J48)</f>
        <v>1</v>
      </c>
      <c r="L48" s="446" cm="1">
        <f t="array" ref="L48">IF(D48="",0, SUMPRODUCT(--(ISNUMBER(SEARCH($A48,'Diags Raw Data'!$A$6:$A$3821))),'Diags Raw Data'!$L$6:$L$3821,'Diags Raw Data'!$P$6:$P$3821)/J48)</f>
        <v>1</v>
      </c>
      <c r="M48" s="447" cm="1">
        <f t="array" ref="M48">SUMPRODUCT(--(ISNUMBER(SEARCH($A48,'Diags Raw Data'!$A$6:$A$3821))),--('Diags Raw Data'!$Q$6:$Q$3821&lt;&gt;"N/A"),'Diags Raw Data'!$R$6:$R$3821)</f>
        <v>42</v>
      </c>
      <c r="N48" s="448" cm="1">
        <f t="array" ref="N48">SUMPRODUCT(--(ISNUMBER(SEARCH($A48,'Diags Raw Data'!$A$6:$A$3821))),--('Diags Raw Data'!$Q$6:$Q$3821&lt;&gt;"N/A"),'Diags Raw Data'!$T$6:$T$3821)+SUMPRODUCT(--(ISNUMBER(SEARCH($A48,'Diags Raw Data'!$A$6:$A$3821))),--('Diags Raw Data'!$Q$6:$Q$3821&lt;&gt;"N/A"),'Diags Raw Data'!$U$6:$U$3821)</f>
        <v>0</v>
      </c>
      <c r="O48" s="449">
        <f t="shared" si="8"/>
        <v>0</v>
      </c>
      <c r="P48" s="450">
        <f>SUMIF('Diags Raw Data'!$A$6:$A$3821,"*"&amp;$A48&amp;"*",'Diags Raw Data'!$Z$6:$Z$3821)</f>
        <v>0</v>
      </c>
      <c r="Q48" s="451">
        <f>SUM(SUMIF('Diags Raw Data'!$A$6:$A$3821,"*"&amp;$A48&amp;"*",'Diags Raw Data'!$AA$6:$AA$3821),SUMIF('Diags Raw Data'!$A$6:$A$3821,"*"&amp;$A48&amp;"*",'Diags Raw Data'!$AB$6:$AB$3821))</f>
        <v>0</v>
      </c>
      <c r="R48" s="452">
        <f t="shared" si="9"/>
        <v>0</v>
      </c>
      <c r="S48" s="452">
        <f t="shared" si="10"/>
        <v>0</v>
      </c>
      <c r="T48" s="453">
        <f t="shared" si="11"/>
        <v>0</v>
      </c>
      <c r="U48" s="427" t="s">
        <v>643</v>
      </c>
      <c r="V48" s="182"/>
    </row>
    <row r="49" spans="1:22" x14ac:dyDescent="0.25">
      <c r="A49" s="336" t="s">
        <v>675</v>
      </c>
      <c r="B49" s="423" t="s">
        <v>676</v>
      </c>
      <c r="C49" s="424" t="s">
        <v>280</v>
      </c>
      <c r="D49" s="425" t="str" cm="1">
        <f t="array" ref="D49">_xlfn.TEXTJOIN("",TRUE,IF(ISNUMBER(SEARCH($A49,'Diags Raw Data'!$A$6:$A$3821)),CONCATENATE('Diags Raw Data'!$H$6:$H$3821,", "),""))</f>
        <v xml:space="preserve">DPP009.7-9,16-39,46-69,999, DPP034.1-13, </v>
      </c>
      <c r="E49" s="341" t="str">
        <f>VLOOKUP(A49,'Diags Raw Data'!$A$6:$D$3821,4,FALSE)</f>
        <v>DPP</v>
      </c>
      <c r="F49" s="341" t="str">
        <f>VLOOKUP(A49,'Feature Raw Data'!$A$3:$E$3998,5,FALSE)</f>
        <v>Legacy</v>
      </c>
      <c r="G49" s="341" t="str">
        <f t="shared" si="6"/>
        <v>Yes</v>
      </c>
      <c r="H49" s="341" t="str">
        <f t="shared" si="7"/>
        <v>Yes</v>
      </c>
      <c r="I49" s="424">
        <f>SUMIF('Diags Raw Data'!$A$6:$A$3821,"*"&amp;$A49&amp;"*",'Diags Raw Data'!$K$6:$K$3821)</f>
        <v>2</v>
      </c>
      <c r="J49" s="426">
        <f>SUMIF('Diags Raw Data'!$A$6:$A$3821,"*"&amp;$A49&amp;"*",'Diags Raw Data'!$L$6:$L$3821)</f>
        <v>65</v>
      </c>
      <c r="K49" s="445" cm="1">
        <f t="array" ref="K49">IF(D49="",0, SUMPRODUCT(--(ISNUMBER(SEARCH($A49,'Diags Raw Data'!$A$6:$A$3821))),'Diags Raw Data'!$L$6:$L$3821,'Diags Raw Data'!$N$6:$N$3821)/J49)</f>
        <v>1</v>
      </c>
      <c r="L49" s="446" cm="1">
        <f t="array" ref="L49">IF(D49="",0, SUMPRODUCT(--(ISNUMBER(SEARCH($A49,'Diags Raw Data'!$A$6:$A$3821))),'Diags Raw Data'!$L$6:$L$3821,'Diags Raw Data'!$P$6:$P$3821)/J49)</f>
        <v>1</v>
      </c>
      <c r="M49" s="447" cm="1">
        <f t="array" ref="M49">SUMPRODUCT(--(ISNUMBER(SEARCH($A49,'Diags Raw Data'!$A$6:$A$3821))),--('Diags Raw Data'!$Q$6:$Q$3821&lt;&gt;"N/A"),'Diags Raw Data'!$R$6:$R$3821)</f>
        <v>65</v>
      </c>
      <c r="N49" s="448" cm="1">
        <f t="array" ref="N49">SUMPRODUCT(--(ISNUMBER(SEARCH($A49,'Diags Raw Data'!$A$6:$A$3821))),--('Diags Raw Data'!$Q$6:$Q$3821&lt;&gt;"N/A"),'Diags Raw Data'!$T$6:$T$3821)+SUMPRODUCT(--(ISNUMBER(SEARCH($A49,'Diags Raw Data'!$A$6:$A$3821))),--('Diags Raw Data'!$Q$6:$Q$3821&lt;&gt;"N/A"),'Diags Raw Data'!$U$6:$U$3821)</f>
        <v>0</v>
      </c>
      <c r="O49" s="449">
        <f t="shared" si="8"/>
        <v>0</v>
      </c>
      <c r="P49" s="450">
        <f>SUMIF('Diags Raw Data'!$A$6:$A$3821,"*"&amp;$A49&amp;"*",'Diags Raw Data'!$Z$6:$Z$3821)</f>
        <v>0</v>
      </c>
      <c r="Q49" s="451">
        <f>SUM(SUMIF('Diags Raw Data'!$A$6:$A$3821,"*"&amp;$A49&amp;"*",'Diags Raw Data'!$AA$6:$AA$3821),SUMIF('Diags Raw Data'!$A$6:$A$3821,"*"&amp;$A49&amp;"*",'Diags Raw Data'!$AB$6:$AB$3821))</f>
        <v>0</v>
      </c>
      <c r="R49" s="452">
        <f t="shared" si="9"/>
        <v>0</v>
      </c>
      <c r="S49" s="452">
        <f t="shared" si="10"/>
        <v>0</v>
      </c>
      <c r="T49" s="453">
        <f t="shared" si="11"/>
        <v>0</v>
      </c>
      <c r="U49" s="427" t="s">
        <v>47</v>
      </c>
      <c r="V49" s="182"/>
    </row>
    <row r="50" spans="1:22" x14ac:dyDescent="0.25">
      <c r="A50" s="336" t="s">
        <v>357</v>
      </c>
      <c r="B50" s="423" t="s">
        <v>677</v>
      </c>
      <c r="C50" s="424" t="s">
        <v>280</v>
      </c>
      <c r="D50" s="425" t="str" cm="1">
        <f t="array" ref="D50">_xlfn.TEXTJOIN("",TRUE,IF(ISNUMBER(SEARCH($A50,'Diags Raw Data'!$A$6:$A$3821)),CONCATENATE('Diags Raw Data'!$H$6:$H$3821,", "),""))</f>
        <v xml:space="preserve">DPP036.1-2, </v>
      </c>
      <c r="E50" s="341" t="str">
        <f>VLOOKUP(A50,'Diags Raw Data'!$A$6:$D$3821,4,FALSE)</f>
        <v>DPP</v>
      </c>
      <c r="F50" s="341" t="str">
        <f>VLOOKUP(A50,'Feature Raw Data'!$A$3:$E$3998,5,FALSE)</f>
        <v>Legacy</v>
      </c>
      <c r="G50" s="341" t="str">
        <f t="shared" si="6"/>
        <v>Yes</v>
      </c>
      <c r="H50" s="341" t="str">
        <f t="shared" si="7"/>
        <v>Yes</v>
      </c>
      <c r="I50" s="424">
        <f>SUMIF('Diags Raw Data'!$A$6:$A$3821,"*"&amp;$A50&amp;"*",'Diags Raw Data'!$K$6:$K$3821)</f>
        <v>1</v>
      </c>
      <c r="J50" s="426">
        <f>SUMIF('Diags Raw Data'!$A$6:$A$3821,"*"&amp;$A50&amp;"*",'Diags Raw Data'!$L$6:$L$3821)</f>
        <v>2</v>
      </c>
      <c r="K50" s="445" cm="1">
        <f t="array" ref="K50">IF(D50="",0, SUMPRODUCT(--(ISNUMBER(SEARCH($A50,'Diags Raw Data'!$A$6:$A$3821))),'Diags Raw Data'!$L$6:$L$3821,'Diags Raw Data'!$N$6:$N$3821)/J50)</f>
        <v>1</v>
      </c>
      <c r="L50" s="446" cm="1">
        <f t="array" ref="L50">IF(D50="",0, SUMPRODUCT(--(ISNUMBER(SEARCH($A50,'Diags Raw Data'!$A$6:$A$3821))),'Diags Raw Data'!$L$6:$L$3821,'Diags Raw Data'!$P$6:$P$3821)/J50)</f>
        <v>1</v>
      </c>
      <c r="M50" s="447" cm="1">
        <f t="array" ref="M50">SUMPRODUCT(--(ISNUMBER(SEARCH($A50,'Diags Raw Data'!$A$6:$A$3821))),--('Diags Raw Data'!$Q$6:$Q$3821&lt;&gt;"N/A"),'Diags Raw Data'!$R$6:$R$3821)</f>
        <v>2</v>
      </c>
      <c r="N50" s="448" cm="1">
        <f t="array" ref="N50">SUMPRODUCT(--(ISNUMBER(SEARCH($A50,'Diags Raw Data'!$A$6:$A$3821))),--('Diags Raw Data'!$Q$6:$Q$3821&lt;&gt;"N/A"),'Diags Raw Data'!$T$6:$T$3821)+SUMPRODUCT(--(ISNUMBER(SEARCH($A50,'Diags Raw Data'!$A$6:$A$3821))),--('Diags Raw Data'!$Q$6:$Q$3821&lt;&gt;"N/A"),'Diags Raw Data'!$U$6:$U$3821)</f>
        <v>0</v>
      </c>
      <c r="O50" s="449">
        <f t="shared" si="8"/>
        <v>0</v>
      </c>
      <c r="P50" s="450">
        <f>SUMIF('Diags Raw Data'!$A$6:$A$3821,"*"&amp;$A50&amp;"*",'Diags Raw Data'!$Z$6:$Z$3821)</f>
        <v>0</v>
      </c>
      <c r="Q50" s="451">
        <f>SUM(SUMIF('Diags Raw Data'!$A$6:$A$3821,"*"&amp;$A50&amp;"*",'Diags Raw Data'!$AA$6:$AA$3821),SUMIF('Diags Raw Data'!$A$6:$A$3821,"*"&amp;$A50&amp;"*",'Diags Raw Data'!$AB$6:$AB$3821))</f>
        <v>0</v>
      </c>
      <c r="R50" s="452">
        <f t="shared" si="9"/>
        <v>0</v>
      </c>
      <c r="S50" s="452">
        <f t="shared" si="10"/>
        <v>0</v>
      </c>
      <c r="T50" s="453">
        <f t="shared" si="11"/>
        <v>0</v>
      </c>
      <c r="U50" s="427" t="s">
        <v>618</v>
      </c>
      <c r="V50" s="182"/>
    </row>
    <row r="51" spans="1:22" x14ac:dyDescent="0.25">
      <c r="A51" s="336" t="s">
        <v>678</v>
      </c>
      <c r="B51" s="423" t="s">
        <v>679</v>
      </c>
      <c r="C51" s="424" t="s">
        <v>280</v>
      </c>
      <c r="D51" s="425" t="str" cm="1">
        <f t="array" ref="D51">_xlfn.TEXTJOIN("",TRUE,IF(ISNUMBER(SEARCH($A51,'Diags Raw Data'!$A$6:$A$3821)),CONCATENATE('Diags Raw Data'!$H$6:$H$3821,", "),""))</f>
        <v xml:space="preserve">DPP009.7-9,16-39,46-69,999, DPP034.1-13, </v>
      </c>
      <c r="E51" s="341" t="str">
        <f>VLOOKUP(A51,'Diags Raw Data'!$A$6:$D$3821,4,FALSE)</f>
        <v>DPP</v>
      </c>
      <c r="F51" s="341" t="str">
        <f>VLOOKUP(A51,'Feature Raw Data'!$A$3:$E$3998,5,FALSE)</f>
        <v>Legacy</v>
      </c>
      <c r="G51" s="341" t="str">
        <f t="shared" si="6"/>
        <v>Yes</v>
      </c>
      <c r="H51" s="341" t="str">
        <f t="shared" si="7"/>
        <v>Yes</v>
      </c>
      <c r="I51" s="424">
        <f>SUMIF('Diags Raw Data'!$A$6:$A$3821,"*"&amp;$A51&amp;"*",'Diags Raw Data'!$K$6:$K$3821)</f>
        <v>2</v>
      </c>
      <c r="J51" s="426">
        <f>SUMIF('Diags Raw Data'!$A$6:$A$3821,"*"&amp;$A51&amp;"*",'Diags Raw Data'!$L$6:$L$3821)</f>
        <v>65</v>
      </c>
      <c r="K51" s="445" cm="1">
        <f t="array" ref="K51">IF(D51="",0, SUMPRODUCT(--(ISNUMBER(SEARCH($A51,'Diags Raw Data'!$A$6:$A$3821))),'Diags Raw Data'!$L$6:$L$3821,'Diags Raw Data'!$N$6:$N$3821)/J51)</f>
        <v>1</v>
      </c>
      <c r="L51" s="446" cm="1">
        <f t="array" ref="L51">IF(D51="",0, SUMPRODUCT(--(ISNUMBER(SEARCH($A51,'Diags Raw Data'!$A$6:$A$3821))),'Diags Raw Data'!$L$6:$L$3821,'Diags Raw Data'!$P$6:$P$3821)/J51)</f>
        <v>1</v>
      </c>
      <c r="M51" s="447" cm="1">
        <f t="array" ref="M51">SUMPRODUCT(--(ISNUMBER(SEARCH($A51,'Diags Raw Data'!$A$6:$A$3821))),--('Diags Raw Data'!$Q$6:$Q$3821&lt;&gt;"N/A"),'Diags Raw Data'!$R$6:$R$3821)</f>
        <v>65</v>
      </c>
      <c r="N51" s="448" cm="1">
        <f t="array" ref="N51">SUMPRODUCT(--(ISNUMBER(SEARCH($A51,'Diags Raw Data'!$A$6:$A$3821))),--('Diags Raw Data'!$Q$6:$Q$3821&lt;&gt;"N/A"),'Diags Raw Data'!$T$6:$T$3821)+SUMPRODUCT(--(ISNUMBER(SEARCH($A51,'Diags Raw Data'!$A$6:$A$3821))),--('Diags Raw Data'!$Q$6:$Q$3821&lt;&gt;"N/A"),'Diags Raw Data'!$U$6:$U$3821)</f>
        <v>0</v>
      </c>
      <c r="O51" s="449">
        <f t="shared" si="8"/>
        <v>0</v>
      </c>
      <c r="P51" s="450">
        <f>SUMIF('Diags Raw Data'!$A$6:$A$3821,"*"&amp;$A51&amp;"*",'Diags Raw Data'!$Z$6:$Z$3821)</f>
        <v>0</v>
      </c>
      <c r="Q51" s="451">
        <f>SUM(SUMIF('Diags Raw Data'!$A$6:$A$3821,"*"&amp;$A51&amp;"*",'Diags Raw Data'!$AA$6:$AA$3821),SUMIF('Diags Raw Data'!$A$6:$A$3821,"*"&amp;$A51&amp;"*",'Diags Raw Data'!$AB$6:$AB$3821))</f>
        <v>0</v>
      </c>
      <c r="R51" s="452">
        <f t="shared" si="9"/>
        <v>0</v>
      </c>
      <c r="S51" s="452">
        <f t="shared" si="10"/>
        <v>0</v>
      </c>
      <c r="T51" s="453">
        <f t="shared" si="11"/>
        <v>0</v>
      </c>
      <c r="U51" s="427" t="s">
        <v>618</v>
      </c>
      <c r="V51" s="182"/>
    </row>
    <row r="52" spans="1:22" x14ac:dyDescent="0.25">
      <c r="A52" s="336" t="s">
        <v>345</v>
      </c>
      <c r="B52" s="423" t="s">
        <v>680</v>
      </c>
      <c r="C52" s="424" t="s">
        <v>280</v>
      </c>
      <c r="D52" s="425" t="str" cm="1">
        <f t="array" ref="D52">_xlfn.TEXTJOIN("",TRUE,IF(ISNUMBER(SEARCH($A52,'Diags Raw Data'!$A$6:$A$3821)),CONCATENATE('Diags Raw Data'!$H$6:$H$3821,", "),""))</f>
        <v xml:space="preserve">DPP010.50-84, </v>
      </c>
      <c r="E52" s="341" t="str">
        <f>VLOOKUP(A52,'Diags Raw Data'!$A$6:$D$3821,4,FALSE)</f>
        <v>DPP</v>
      </c>
      <c r="F52" s="341" t="str">
        <f>VLOOKUP(A52,'Feature Raw Data'!$A$3:$E$3998,5,FALSE)</f>
        <v>Legacy</v>
      </c>
      <c r="G52" s="341" t="str">
        <f t="shared" si="6"/>
        <v>Yes</v>
      </c>
      <c r="H52" s="341" t="str">
        <f t="shared" si="7"/>
        <v>Yes</v>
      </c>
      <c r="I52" s="424">
        <f>SUMIF('Diags Raw Data'!$A$6:$A$3821,"*"&amp;$A52&amp;"*",'Diags Raw Data'!$K$6:$K$3821)</f>
        <v>1</v>
      </c>
      <c r="J52" s="426">
        <f>SUMIF('Diags Raw Data'!$A$6:$A$3821,"*"&amp;$A52&amp;"*",'Diags Raw Data'!$L$6:$L$3821)</f>
        <v>35</v>
      </c>
      <c r="K52" s="445" cm="1">
        <f t="array" ref="K52">IF(D52="",0, SUMPRODUCT(--(ISNUMBER(SEARCH($A52,'Diags Raw Data'!$A$6:$A$3821))),'Diags Raw Data'!$L$6:$L$3821,'Diags Raw Data'!$N$6:$N$3821)/J52)</f>
        <v>1</v>
      </c>
      <c r="L52" s="446" cm="1">
        <f t="array" ref="L52">IF(D52="",0, SUMPRODUCT(--(ISNUMBER(SEARCH($A52,'Diags Raw Data'!$A$6:$A$3821))),'Diags Raw Data'!$L$6:$L$3821,'Diags Raw Data'!$P$6:$P$3821)/J52)</f>
        <v>1</v>
      </c>
      <c r="M52" s="447" cm="1">
        <f t="array" ref="M52">SUMPRODUCT(--(ISNUMBER(SEARCH($A52,'Diags Raw Data'!$A$6:$A$3821))),--('Diags Raw Data'!$Q$6:$Q$3821&lt;&gt;"N/A"),'Diags Raw Data'!$R$6:$R$3821)</f>
        <v>35</v>
      </c>
      <c r="N52" s="448" cm="1">
        <f t="array" ref="N52">SUMPRODUCT(--(ISNUMBER(SEARCH($A52,'Diags Raw Data'!$A$6:$A$3821))),--('Diags Raw Data'!$Q$6:$Q$3821&lt;&gt;"N/A"),'Diags Raw Data'!$T$6:$T$3821)+SUMPRODUCT(--(ISNUMBER(SEARCH($A52,'Diags Raw Data'!$A$6:$A$3821))),--('Diags Raw Data'!$Q$6:$Q$3821&lt;&gt;"N/A"),'Diags Raw Data'!$U$6:$U$3821)</f>
        <v>0</v>
      </c>
      <c r="O52" s="449">
        <f t="shared" si="8"/>
        <v>0</v>
      </c>
      <c r="P52" s="450">
        <f>SUMIF('Diags Raw Data'!$A$6:$A$3821,"*"&amp;$A52&amp;"*",'Diags Raw Data'!$Z$6:$Z$3821)</f>
        <v>0</v>
      </c>
      <c r="Q52" s="451">
        <f>SUM(SUMIF('Diags Raw Data'!$A$6:$A$3821,"*"&amp;$A52&amp;"*",'Diags Raw Data'!$AA$6:$AA$3821),SUMIF('Diags Raw Data'!$A$6:$A$3821,"*"&amp;$A52&amp;"*",'Diags Raw Data'!$AB$6:$AB$3821))</f>
        <v>0</v>
      </c>
      <c r="R52" s="452">
        <f t="shared" si="9"/>
        <v>0</v>
      </c>
      <c r="S52" s="452">
        <f t="shared" si="10"/>
        <v>0</v>
      </c>
      <c r="T52" s="453">
        <f t="shared" si="11"/>
        <v>0</v>
      </c>
      <c r="U52" s="427" t="s">
        <v>618</v>
      </c>
      <c r="V52" s="182"/>
    </row>
    <row r="53" spans="1:22" x14ac:dyDescent="0.25">
      <c r="A53" s="336" t="s">
        <v>681</v>
      </c>
      <c r="B53" s="423" t="s">
        <v>682</v>
      </c>
      <c r="C53" s="424" t="s">
        <v>280</v>
      </c>
      <c r="D53" s="425" t="str" cm="1">
        <f t="array" ref="D53">_xlfn.TEXTJOIN("",TRUE,IF(ISNUMBER(SEARCH($A53,'Diags Raw Data'!$A$6:$A$3821)),CONCATENATE('Diags Raw Data'!$H$6:$H$3821,", "),""))</f>
        <v xml:space="preserve">DISP001.1-4, </v>
      </c>
      <c r="E53" s="341" t="str">
        <f>VLOOKUP(A53,'Diags Raw Data'!$A$6:$D$3821,4,FALSE)</f>
        <v>DISP</v>
      </c>
      <c r="F53" s="341" t="str">
        <f>VLOOKUP(A53,'Feature Raw Data'!$A$3:$E$3998,5,FALSE)</f>
        <v>Legacy</v>
      </c>
      <c r="G53" s="341" t="str">
        <f t="shared" si="6"/>
        <v>Yes</v>
      </c>
      <c r="H53" s="341" t="str">
        <f t="shared" si="7"/>
        <v>Yes</v>
      </c>
      <c r="I53" s="424">
        <f>SUMIF('Diags Raw Data'!$A$6:$A$3821,"*"&amp;$A53&amp;"*",'Diags Raw Data'!$K$6:$K$3821)</f>
        <v>1</v>
      </c>
      <c r="J53" s="426">
        <f>SUMIF('Diags Raw Data'!$A$6:$A$3821,"*"&amp;$A53&amp;"*",'Diags Raw Data'!$L$6:$L$3821)</f>
        <v>4</v>
      </c>
      <c r="K53" s="445" cm="1">
        <f t="array" ref="K53">IF(D53="",0, SUMPRODUCT(--(ISNUMBER(SEARCH($A53,'Diags Raw Data'!$A$6:$A$3821))),'Diags Raw Data'!$L$6:$L$3821,'Diags Raw Data'!$N$6:$N$3821)/J53)</f>
        <v>1</v>
      </c>
      <c r="L53" s="446" cm="1">
        <f t="array" ref="L53">IF(D53="",0, SUMPRODUCT(--(ISNUMBER(SEARCH($A53,'Diags Raw Data'!$A$6:$A$3821))),'Diags Raw Data'!$L$6:$L$3821,'Diags Raw Data'!$P$6:$P$3821)/J53)</f>
        <v>1</v>
      </c>
      <c r="M53" s="447" cm="1">
        <f t="array" ref="M53">SUMPRODUCT(--(ISNUMBER(SEARCH($A53,'Diags Raw Data'!$A$6:$A$3821))),--('Diags Raw Data'!$Q$6:$Q$3821&lt;&gt;"N/A"),'Diags Raw Data'!$R$6:$R$3821)</f>
        <v>1</v>
      </c>
      <c r="N53" s="448" cm="1">
        <f t="array" ref="N53">SUMPRODUCT(--(ISNUMBER(SEARCH($A53,'Diags Raw Data'!$A$6:$A$3821))),--('Diags Raw Data'!$Q$6:$Q$3821&lt;&gt;"N/A"),'Diags Raw Data'!$T$6:$T$3821)+SUMPRODUCT(--(ISNUMBER(SEARCH($A53,'Diags Raw Data'!$A$6:$A$3821))),--('Diags Raw Data'!$Q$6:$Q$3821&lt;&gt;"N/A"),'Diags Raw Data'!$U$6:$U$3821)</f>
        <v>0</v>
      </c>
      <c r="O53" s="449">
        <f t="shared" si="8"/>
        <v>0</v>
      </c>
      <c r="P53" s="450">
        <v>0</v>
      </c>
      <c r="Q53" s="451">
        <f>SUM(SUMIF('Diags Raw Data'!$A$6:$A$3821,"*"&amp;$A53&amp;"*",'Diags Raw Data'!$AA$6:$AA$3821),SUMIF('Diags Raw Data'!$A$6:$A$3821,"*"&amp;$A53&amp;"*",'Diags Raw Data'!$AB$6:$AB$3821))</f>
        <v>0</v>
      </c>
      <c r="R53" s="452">
        <f t="shared" si="9"/>
        <v>0</v>
      </c>
      <c r="S53" s="452">
        <f t="shared" si="10"/>
        <v>0</v>
      </c>
      <c r="T53" s="453">
        <f t="shared" si="11"/>
        <v>0</v>
      </c>
      <c r="U53" s="427" t="s">
        <v>47</v>
      </c>
      <c r="V53" s="182"/>
    </row>
    <row r="54" spans="1:22" x14ac:dyDescent="0.25">
      <c r="A54" s="336" t="s">
        <v>683</v>
      </c>
      <c r="B54" s="423" t="s">
        <v>684</v>
      </c>
      <c r="C54" s="424" t="s">
        <v>280</v>
      </c>
      <c r="D54" s="425" t="str" cm="1">
        <f t="array" ref="D54">_xlfn.TEXTJOIN("",TRUE,IF(ISNUMBER(SEARCH($A54,'Diags Raw Data'!$A$6:$A$3821)),CONCATENATE('Diags Raw Data'!$H$6:$H$3821,", "),""))</f>
        <v xml:space="preserve">MPC003.1-3,11-12, </v>
      </c>
      <c r="E54" s="341" t="str">
        <f>VLOOKUP(A54,'Diags Raw Data'!$A$6:$D$3821,4,FALSE)</f>
        <v>MPC</v>
      </c>
      <c r="F54" s="341" t="str">
        <f>VLOOKUP(A54,'Feature Raw Data'!$A$3:$E$3998,5,FALSE)</f>
        <v>Legacy</v>
      </c>
      <c r="G54" s="341" t="str">
        <f t="shared" si="6"/>
        <v>Yes</v>
      </c>
      <c r="H54" s="341" t="str">
        <f t="shared" si="7"/>
        <v>Yes</v>
      </c>
      <c r="I54" s="424">
        <f>SUMIF('Diags Raw Data'!$A$6:$A$3821,"*"&amp;$A54&amp;"*",'Diags Raw Data'!$K$6:$K$3821)</f>
        <v>1</v>
      </c>
      <c r="J54" s="426">
        <f>SUMIF('Diags Raw Data'!$A$6:$A$3821,"*"&amp;$A54&amp;"*",'Diags Raw Data'!$L$6:$L$3821)</f>
        <v>5</v>
      </c>
      <c r="K54" s="445" cm="1">
        <f t="array" ref="K54">IF(D54="",0, SUMPRODUCT(--(ISNUMBER(SEARCH($A54,'Diags Raw Data'!$A$6:$A$3821))),'Diags Raw Data'!$L$6:$L$3821,'Diags Raw Data'!$N$6:$N$3821)/J54)</f>
        <v>1</v>
      </c>
      <c r="L54" s="446" cm="1">
        <f t="array" ref="L54">IF(D54="",0, SUMPRODUCT(--(ISNUMBER(SEARCH($A54,'Diags Raw Data'!$A$6:$A$3821))),'Diags Raw Data'!$L$6:$L$3821,'Diags Raw Data'!$P$6:$P$3821)/J54)</f>
        <v>1</v>
      </c>
      <c r="M54" s="447" cm="1">
        <f t="array" ref="M54">SUMPRODUCT(--(ISNUMBER(SEARCH($A54,'Diags Raw Data'!$A$6:$A$3821))),--('Diags Raw Data'!$Q$6:$Q$3821&lt;&gt;"N/A"),'Diags Raw Data'!$R$6:$R$3821)</f>
        <v>5</v>
      </c>
      <c r="N54" s="448" cm="1">
        <f t="array" ref="N54">SUMPRODUCT(--(ISNUMBER(SEARCH($A54,'Diags Raw Data'!$A$6:$A$3821))),--('Diags Raw Data'!$Q$6:$Q$3821&lt;&gt;"N/A"),'Diags Raw Data'!$T$6:$T$3821)+SUMPRODUCT(--(ISNUMBER(SEARCH($A54,'Diags Raw Data'!$A$6:$A$3821))),--('Diags Raw Data'!$Q$6:$Q$3821&lt;&gt;"N/A"),'Diags Raw Data'!$U$6:$U$3821)</f>
        <v>0</v>
      </c>
      <c r="O54" s="449">
        <f t="shared" si="8"/>
        <v>0</v>
      </c>
      <c r="P54" s="450">
        <v>0</v>
      </c>
      <c r="Q54" s="451">
        <f>SUM(SUMIF('Diags Raw Data'!$A$6:$A$3821,"*"&amp;$A54&amp;"*",'Diags Raw Data'!$AA$6:$AA$3821),SUMIF('Diags Raw Data'!$A$6:$A$3821,"*"&amp;$A54&amp;"*",'Diags Raw Data'!$AB$6:$AB$3821))</f>
        <v>0</v>
      </c>
      <c r="R54" s="452">
        <f t="shared" si="9"/>
        <v>0</v>
      </c>
      <c r="S54" s="452">
        <f t="shared" si="10"/>
        <v>0</v>
      </c>
      <c r="T54" s="453">
        <f t="shared" si="11"/>
        <v>0</v>
      </c>
      <c r="U54" s="427" t="s">
        <v>643</v>
      </c>
      <c r="V54" s="182"/>
    </row>
    <row r="55" spans="1:22" x14ac:dyDescent="0.25">
      <c r="A55" s="336" t="s">
        <v>685</v>
      </c>
      <c r="B55" s="423" t="s">
        <v>686</v>
      </c>
      <c r="C55" s="424" t="s">
        <v>280</v>
      </c>
      <c r="D55" s="425" t="str" cm="1">
        <f t="array" ref="D55">_xlfn.TEXTJOIN("",TRUE,IF(ISNUMBER(SEARCH($A55,'Diags Raw Data'!$A$6:$A$3821)),CONCATENATE('Diags Raw Data'!$H$6:$H$3821,", "),""))</f>
        <v xml:space="preserve">MPC003.1-3,11-12, MPC007.1-4, </v>
      </c>
      <c r="E55" s="341" t="str">
        <f>VLOOKUP(A55,'Diags Raw Data'!$A$6:$D$3821,4,FALSE)</f>
        <v>MPC</v>
      </c>
      <c r="F55" s="341" t="str">
        <f>VLOOKUP(A55,'Feature Raw Data'!$A$3:$E$3998,5,FALSE)</f>
        <v>Legacy</v>
      </c>
      <c r="G55" s="341" t="str">
        <f t="shared" si="6"/>
        <v>Yes</v>
      </c>
      <c r="H55" s="341" t="str">
        <f t="shared" si="7"/>
        <v>Yes</v>
      </c>
      <c r="I55" s="424">
        <f>SUMIF('Diags Raw Data'!$A$6:$A$3821,"*"&amp;$A55&amp;"*",'Diags Raw Data'!$K$6:$K$3821)</f>
        <v>2</v>
      </c>
      <c r="J55" s="426">
        <f>SUMIF('Diags Raw Data'!$A$6:$A$3821,"*"&amp;$A55&amp;"*",'Diags Raw Data'!$L$6:$L$3821)</f>
        <v>9</v>
      </c>
      <c r="K55" s="445" cm="1">
        <f t="array" ref="K55">IF(D55="",0, SUMPRODUCT(--(ISNUMBER(SEARCH($A55,'Diags Raw Data'!$A$6:$A$3821))),'Diags Raw Data'!$L$6:$L$3821,'Diags Raw Data'!$N$6:$N$3821)/J55)</f>
        <v>1</v>
      </c>
      <c r="L55" s="446" cm="1">
        <f t="array" ref="L55">IF(D55="",0, SUMPRODUCT(--(ISNUMBER(SEARCH($A55,'Diags Raw Data'!$A$6:$A$3821))),'Diags Raw Data'!$L$6:$L$3821,'Diags Raw Data'!$P$6:$P$3821)/J55)</f>
        <v>1</v>
      </c>
      <c r="M55" s="447" cm="1">
        <f t="array" ref="M55">SUMPRODUCT(--(ISNUMBER(SEARCH($A55,'Diags Raw Data'!$A$6:$A$3821))),--('Diags Raw Data'!$Q$6:$Q$3821&lt;&gt;"N/A"),'Diags Raw Data'!$R$6:$R$3821)</f>
        <v>9</v>
      </c>
      <c r="N55" s="448" cm="1">
        <f t="array" ref="N55">SUMPRODUCT(--(ISNUMBER(SEARCH($A55,'Diags Raw Data'!$A$6:$A$3821))),--('Diags Raw Data'!$Q$6:$Q$3821&lt;&gt;"N/A"),'Diags Raw Data'!$T$6:$T$3821)+SUMPRODUCT(--(ISNUMBER(SEARCH($A55,'Diags Raw Data'!$A$6:$A$3821))),--('Diags Raw Data'!$Q$6:$Q$3821&lt;&gt;"N/A"),'Diags Raw Data'!$U$6:$U$3821)</f>
        <v>0</v>
      </c>
      <c r="O55" s="449">
        <f t="shared" si="8"/>
        <v>0</v>
      </c>
      <c r="P55" s="450">
        <v>0</v>
      </c>
      <c r="Q55" s="451">
        <f>SUM(SUMIF('Diags Raw Data'!$A$6:$A$3821,"*"&amp;$A55&amp;"*",'Diags Raw Data'!$AA$6:$AA$3821),SUMIF('Diags Raw Data'!$A$6:$A$3821,"*"&amp;$A55&amp;"*",'Diags Raw Data'!$AB$6:$AB$3821))</f>
        <v>0</v>
      </c>
      <c r="R55" s="452">
        <f t="shared" si="9"/>
        <v>0</v>
      </c>
      <c r="S55" s="452">
        <f t="shared" si="10"/>
        <v>0</v>
      </c>
      <c r="T55" s="453">
        <f t="shared" si="11"/>
        <v>0</v>
      </c>
      <c r="U55" s="427" t="s">
        <v>643</v>
      </c>
      <c r="V55" s="182"/>
    </row>
    <row r="56" spans="1:22" x14ac:dyDescent="0.25">
      <c r="A56" s="336" t="s">
        <v>687</v>
      </c>
      <c r="B56" s="423" t="s">
        <v>688</v>
      </c>
      <c r="C56" s="424" t="s">
        <v>280</v>
      </c>
      <c r="D56" s="425" t="str" cm="1">
        <f t="array" ref="D56">_xlfn.TEXTJOIN("",TRUE,IF(ISNUMBER(SEARCH($A56,'Diags Raw Data'!$A$6:$A$3821)),CONCATENATE('Diags Raw Data'!$H$6:$H$3821,", "),""))</f>
        <v xml:space="preserve">MPC003.1-3,11-12, MPC007.1-4, </v>
      </c>
      <c r="E56" s="341" t="str">
        <f>VLOOKUP(A56,'Diags Raw Data'!$A$6:$D$3821,4,FALSE)</f>
        <v>MPC</v>
      </c>
      <c r="F56" s="341" t="str">
        <f>VLOOKUP(A56,'Feature Raw Data'!$A$3:$E$3998,5,FALSE)</f>
        <v>Legacy</v>
      </c>
      <c r="G56" s="341" t="str">
        <f t="shared" si="6"/>
        <v>Yes</v>
      </c>
      <c r="H56" s="341" t="str">
        <f t="shared" si="7"/>
        <v>Yes</v>
      </c>
      <c r="I56" s="424">
        <f>SUMIF('Diags Raw Data'!$A$6:$A$3821,"*"&amp;$A56&amp;"*",'Diags Raw Data'!$K$6:$K$3821)</f>
        <v>2</v>
      </c>
      <c r="J56" s="426">
        <f>SUMIF('Diags Raw Data'!$A$6:$A$3821,"*"&amp;$A56&amp;"*",'Diags Raw Data'!$L$6:$L$3821)</f>
        <v>9</v>
      </c>
      <c r="K56" s="445" cm="1">
        <f t="array" ref="K56">IF(D56="",0, SUMPRODUCT(--(ISNUMBER(SEARCH($A56,'Diags Raw Data'!$A$6:$A$3821))),'Diags Raw Data'!$L$6:$L$3821,'Diags Raw Data'!$N$6:$N$3821)/J56)</f>
        <v>1</v>
      </c>
      <c r="L56" s="446" cm="1">
        <f t="array" ref="L56">IF(D56="",0, SUMPRODUCT(--(ISNUMBER(SEARCH($A56,'Diags Raw Data'!$A$6:$A$3821))),'Diags Raw Data'!$L$6:$L$3821,'Diags Raw Data'!$P$6:$P$3821)/J56)</f>
        <v>1</v>
      </c>
      <c r="M56" s="447" cm="1">
        <f t="array" ref="M56">SUMPRODUCT(--(ISNUMBER(SEARCH($A56,'Diags Raw Data'!$A$6:$A$3821))),--('Diags Raw Data'!$Q$6:$Q$3821&lt;&gt;"N/A"),'Diags Raw Data'!$R$6:$R$3821)</f>
        <v>9</v>
      </c>
      <c r="N56" s="448" cm="1">
        <f t="array" ref="N56">SUMPRODUCT(--(ISNUMBER(SEARCH($A56,'Diags Raw Data'!$A$6:$A$3821))),--('Diags Raw Data'!$Q$6:$Q$3821&lt;&gt;"N/A"),'Diags Raw Data'!$T$6:$T$3821)+SUMPRODUCT(--(ISNUMBER(SEARCH($A56,'Diags Raw Data'!$A$6:$A$3821))),--('Diags Raw Data'!$Q$6:$Q$3821&lt;&gt;"N/A"),'Diags Raw Data'!$U$6:$U$3821)</f>
        <v>0</v>
      </c>
      <c r="O56" s="449">
        <f t="shared" si="8"/>
        <v>0</v>
      </c>
      <c r="P56" s="450">
        <v>0</v>
      </c>
      <c r="Q56" s="451">
        <f>SUM(SUMIF('Diags Raw Data'!$A$6:$A$3821,"*"&amp;$A56&amp;"*",'Diags Raw Data'!$AA$6:$AA$3821),SUMIF('Diags Raw Data'!$A$6:$A$3821,"*"&amp;$A56&amp;"*",'Diags Raw Data'!$AB$6:$AB$3821))</f>
        <v>0</v>
      </c>
      <c r="R56" s="452">
        <f t="shared" si="9"/>
        <v>0</v>
      </c>
      <c r="S56" s="452">
        <f t="shared" si="10"/>
        <v>0</v>
      </c>
      <c r="T56" s="453">
        <f t="shared" si="11"/>
        <v>0</v>
      </c>
      <c r="U56" s="427" t="s">
        <v>643</v>
      </c>
      <c r="V56" s="182"/>
    </row>
    <row r="57" spans="1:22" x14ac:dyDescent="0.25">
      <c r="A57" s="336" t="s">
        <v>380</v>
      </c>
      <c r="B57" s="423" t="s">
        <v>689</v>
      </c>
      <c r="C57" s="424" t="s">
        <v>280</v>
      </c>
      <c r="D57" s="425" t="str" cm="1">
        <f t="array" ref="D57">_xlfn.TEXTJOIN("",TRUE,IF(ISNUMBER(SEARCH($A57,'Diags Raw Data'!$A$6:$A$3821)),CONCATENATE('Diags Raw Data'!$H$6:$H$3821,", "),""))</f>
        <v xml:space="preserve">MPC005.1, </v>
      </c>
      <c r="E57" s="341" t="str">
        <f>VLOOKUP(A57,'Diags Raw Data'!$A$6:$D$3821,4,FALSE)</f>
        <v>MPC</v>
      </c>
      <c r="F57" s="341" t="str">
        <f>VLOOKUP(A57,'Feature Raw Data'!$A$3:$E$3998,5,FALSE)</f>
        <v>Legacy</v>
      </c>
      <c r="G57" s="341" t="str">
        <f t="shared" si="6"/>
        <v>Yes</v>
      </c>
      <c r="H57" s="341" t="str">
        <f t="shared" si="7"/>
        <v>Yes</v>
      </c>
      <c r="I57" s="424">
        <f>SUMIF('Diags Raw Data'!$A$6:$A$3821,"*"&amp;$A57&amp;"*",'Diags Raw Data'!$K$6:$K$3821)</f>
        <v>1</v>
      </c>
      <c r="J57" s="426">
        <f>SUMIF('Diags Raw Data'!$A$6:$A$3821,"*"&amp;$A57&amp;"*",'Diags Raw Data'!$L$6:$L$3821)</f>
        <v>1</v>
      </c>
      <c r="K57" s="445" cm="1">
        <f t="array" ref="K57">IF(D57="",0, SUMPRODUCT(--(ISNUMBER(SEARCH($A57,'Diags Raw Data'!$A$6:$A$3821))),'Diags Raw Data'!$L$6:$L$3821,'Diags Raw Data'!$N$6:$N$3821)/J57)</f>
        <v>1</v>
      </c>
      <c r="L57" s="446" cm="1">
        <f t="array" ref="L57">IF(D57="",0, SUMPRODUCT(--(ISNUMBER(SEARCH($A57,'Diags Raw Data'!$A$6:$A$3821))),'Diags Raw Data'!$L$6:$L$3821,'Diags Raw Data'!$P$6:$P$3821)/J57)</f>
        <v>1</v>
      </c>
      <c r="M57" s="447" cm="1">
        <f t="array" ref="M57">SUMPRODUCT(--(ISNUMBER(SEARCH($A57,'Diags Raw Data'!$A$6:$A$3821))),--('Diags Raw Data'!$Q$6:$Q$3821&lt;&gt;"N/A"),'Diags Raw Data'!$R$6:$R$3821)</f>
        <v>1</v>
      </c>
      <c r="N57" s="448" cm="1">
        <f t="array" ref="N57">SUMPRODUCT(--(ISNUMBER(SEARCH($A57,'Diags Raw Data'!$A$6:$A$3821))),--('Diags Raw Data'!$Q$6:$Q$3821&lt;&gt;"N/A"),'Diags Raw Data'!$T$6:$T$3821)+SUMPRODUCT(--(ISNUMBER(SEARCH($A57,'Diags Raw Data'!$A$6:$A$3821))),--('Diags Raw Data'!$Q$6:$Q$3821&lt;&gt;"N/A"),'Diags Raw Data'!$U$6:$U$3821)</f>
        <v>0</v>
      </c>
      <c r="O57" s="449">
        <f t="shared" si="8"/>
        <v>0</v>
      </c>
      <c r="P57" s="450">
        <f>SUMIF('Diags Raw Data'!$A$6:$A$3821,"*"&amp;$A57&amp;"*",'Diags Raw Data'!$Z$6:$Z$3821)</f>
        <v>0</v>
      </c>
      <c r="Q57" s="451">
        <f>SUM(SUMIF('Diags Raw Data'!$A$6:$A$3821,"*"&amp;$A57&amp;"*",'Diags Raw Data'!$AA$6:$AA$3821),SUMIF('Diags Raw Data'!$A$6:$A$3821,"*"&amp;$A57&amp;"*",'Diags Raw Data'!$AB$6:$AB$3821))</f>
        <v>0</v>
      </c>
      <c r="R57" s="452">
        <f t="shared" si="9"/>
        <v>0</v>
      </c>
      <c r="S57" s="452">
        <f t="shared" si="10"/>
        <v>0</v>
      </c>
      <c r="T57" s="453">
        <f t="shared" si="11"/>
        <v>0</v>
      </c>
      <c r="U57" s="427" t="s">
        <v>618</v>
      </c>
      <c r="V57" s="182"/>
    </row>
    <row r="58" spans="1:22" x14ac:dyDescent="0.25">
      <c r="A58" s="336" t="s">
        <v>690</v>
      </c>
      <c r="B58" s="423" t="s">
        <v>691</v>
      </c>
      <c r="C58" s="424" t="s">
        <v>280</v>
      </c>
      <c r="D58" s="425" t="str" cm="1">
        <f t="array" ref="D58">_xlfn.TEXTJOIN("",TRUE,IF(ISNUMBER(SEARCH($A58,'Diags Raw Data'!$A$6:$A$3821)),CONCATENATE('Diags Raw Data'!$H$6:$H$3821,", "),""))</f>
        <v xml:space="preserve">MPC015.1-16, </v>
      </c>
      <c r="E58" s="341" t="str">
        <f>VLOOKUP(A58,'Diags Raw Data'!$A$6:$D$3821,4,FALSE)</f>
        <v>MPC</v>
      </c>
      <c r="F58" s="341" t="str">
        <f>VLOOKUP(A58,'Feature Raw Data'!$A$3:$E$3998,5,FALSE)</f>
        <v>Legacy</v>
      </c>
      <c r="G58" s="341" t="str">
        <f t="shared" si="6"/>
        <v>Yes</v>
      </c>
      <c r="H58" s="341" t="str">
        <f t="shared" si="7"/>
        <v>Yes</v>
      </c>
      <c r="I58" s="424">
        <f>SUMIF('Diags Raw Data'!$A$6:$A$3821,"*"&amp;$A58&amp;"*",'Diags Raw Data'!$K$6:$K$3821)</f>
        <v>1</v>
      </c>
      <c r="J58" s="426">
        <f>SUMIF('Diags Raw Data'!$A$6:$A$3821,"*"&amp;$A58&amp;"*",'Diags Raw Data'!$L$6:$L$3821)</f>
        <v>16</v>
      </c>
      <c r="K58" s="445" cm="1">
        <f t="array" ref="K58">IF(D58="",0, SUMPRODUCT(--(ISNUMBER(SEARCH($A58,'Diags Raw Data'!$A$6:$A$3821))),'Diags Raw Data'!$L$6:$L$3821,'Diags Raw Data'!$N$6:$N$3821)/J58)</f>
        <v>1</v>
      </c>
      <c r="L58" s="446" cm="1">
        <f t="array" ref="L58">IF(D58="",0, SUMPRODUCT(--(ISNUMBER(SEARCH($A58,'Diags Raw Data'!$A$6:$A$3821))),'Diags Raw Data'!$L$6:$L$3821,'Diags Raw Data'!$P$6:$P$3821)/J58)</f>
        <v>1</v>
      </c>
      <c r="M58" s="447" cm="1">
        <f t="array" ref="M58">SUMPRODUCT(--(ISNUMBER(SEARCH($A58,'Diags Raw Data'!$A$6:$A$3821))),--('Diags Raw Data'!$Q$6:$Q$3821&lt;&gt;"N/A"),'Diags Raw Data'!$R$6:$R$3821)</f>
        <v>16</v>
      </c>
      <c r="N58" s="448" cm="1">
        <f t="array" ref="N58">SUMPRODUCT(--(ISNUMBER(SEARCH($A58,'Diags Raw Data'!$A$6:$A$3821))),--('Diags Raw Data'!$Q$6:$Q$3821&lt;&gt;"N/A"),'Diags Raw Data'!$T$6:$T$3821)+SUMPRODUCT(--(ISNUMBER(SEARCH($A58,'Diags Raw Data'!$A$6:$A$3821))),--('Diags Raw Data'!$Q$6:$Q$3821&lt;&gt;"N/A"),'Diags Raw Data'!$U$6:$U$3821)</f>
        <v>0</v>
      </c>
      <c r="O58" s="449">
        <f t="shared" si="8"/>
        <v>0</v>
      </c>
      <c r="P58" s="450">
        <f>SUMIF('Diags Raw Data'!$A$6:$A$3821,"*"&amp;$A58&amp;"*",'Diags Raw Data'!$Z$6:$Z$3821)</f>
        <v>0</v>
      </c>
      <c r="Q58" s="451">
        <f>SUM(SUMIF('Diags Raw Data'!$A$6:$A$3821,"*"&amp;$A58&amp;"*",'Diags Raw Data'!$AA$6:$AA$3821),SUMIF('Diags Raw Data'!$A$6:$A$3821,"*"&amp;$A58&amp;"*",'Diags Raw Data'!$AB$6:$AB$3821))</f>
        <v>0</v>
      </c>
      <c r="R58" s="452">
        <f t="shared" si="9"/>
        <v>0</v>
      </c>
      <c r="S58" s="452">
        <f t="shared" si="10"/>
        <v>0</v>
      </c>
      <c r="T58" s="453">
        <f t="shared" si="11"/>
        <v>0</v>
      </c>
      <c r="U58" s="427" t="s">
        <v>47</v>
      </c>
      <c r="V58" s="182"/>
    </row>
    <row r="59" spans="1:22" x14ac:dyDescent="0.25">
      <c r="A59" s="336" t="s">
        <v>383</v>
      </c>
      <c r="B59" s="423" t="s">
        <v>692</v>
      </c>
      <c r="C59" s="424" t="s">
        <v>280</v>
      </c>
      <c r="D59" s="425" t="str" cm="1">
        <f t="array" ref="D59">_xlfn.TEXTJOIN("",TRUE,IF(ISNUMBER(SEARCH($A59,'Diags Raw Data'!$A$6:$A$3821)),CONCATENATE('Diags Raw Data'!$H$6:$H$3821,", "),""))</f>
        <v xml:space="preserve">MPC009.1-4, </v>
      </c>
      <c r="E59" s="341" t="str">
        <f>VLOOKUP(A59,'Diags Raw Data'!$A$6:$D$3821,4,FALSE)</f>
        <v>MPC</v>
      </c>
      <c r="F59" s="341" t="str">
        <f>VLOOKUP(A59,'Feature Raw Data'!$A$3:$E$3998,5,FALSE)</f>
        <v>Legacy</v>
      </c>
      <c r="G59" s="341" t="str">
        <f t="shared" si="6"/>
        <v>Yes</v>
      </c>
      <c r="H59" s="341" t="str">
        <f t="shared" si="7"/>
        <v>Yes</v>
      </c>
      <c r="I59" s="424">
        <f>SUMIF('Diags Raw Data'!$A$6:$A$3821,"*"&amp;$A59&amp;"*",'Diags Raw Data'!$K$6:$K$3821)</f>
        <v>1</v>
      </c>
      <c r="J59" s="426">
        <f>SUMIF('Diags Raw Data'!$A$6:$A$3821,"*"&amp;$A59&amp;"*",'Diags Raw Data'!$L$6:$L$3821)</f>
        <v>4</v>
      </c>
      <c r="K59" s="445" cm="1">
        <f t="array" ref="K59">IF(D59="",0, SUMPRODUCT(--(ISNUMBER(SEARCH($A59,'Diags Raw Data'!$A$6:$A$3821))),'Diags Raw Data'!$L$6:$L$3821,'Diags Raw Data'!$N$6:$N$3821)/J59)</f>
        <v>1</v>
      </c>
      <c r="L59" s="446" cm="1">
        <f t="array" ref="L59">IF(D59="",0, SUMPRODUCT(--(ISNUMBER(SEARCH($A59,'Diags Raw Data'!$A$6:$A$3821))),'Diags Raw Data'!$L$6:$L$3821,'Diags Raw Data'!$P$6:$P$3821)/J59)</f>
        <v>1</v>
      </c>
      <c r="M59" s="447" cm="1">
        <f t="array" ref="M59">SUMPRODUCT(--(ISNUMBER(SEARCH($A59,'Diags Raw Data'!$A$6:$A$3821))),--('Diags Raw Data'!$Q$6:$Q$3821&lt;&gt;"N/A"),'Diags Raw Data'!$R$6:$R$3821)</f>
        <v>4</v>
      </c>
      <c r="N59" s="448" cm="1">
        <f t="array" ref="N59">SUMPRODUCT(--(ISNUMBER(SEARCH($A59,'Diags Raw Data'!$A$6:$A$3821))),--('Diags Raw Data'!$Q$6:$Q$3821&lt;&gt;"N/A"),'Diags Raw Data'!$T$6:$T$3821)+SUMPRODUCT(--(ISNUMBER(SEARCH($A59,'Diags Raw Data'!$A$6:$A$3821))),--('Diags Raw Data'!$Q$6:$Q$3821&lt;&gt;"N/A"),'Diags Raw Data'!$U$6:$U$3821)</f>
        <v>0</v>
      </c>
      <c r="O59" s="449">
        <f t="shared" si="8"/>
        <v>0</v>
      </c>
      <c r="P59" s="450">
        <f>SUMIF('Diags Raw Data'!$A$6:$A$3821,"*"&amp;$A59&amp;"*",'Diags Raw Data'!$Z$6:$Z$3821)</f>
        <v>0</v>
      </c>
      <c r="Q59" s="451">
        <f>SUM(SUMIF('Diags Raw Data'!$A$6:$A$3821,"*"&amp;$A59&amp;"*",'Diags Raw Data'!$AA$6:$AA$3821),SUMIF('Diags Raw Data'!$A$6:$A$3821,"*"&amp;$A59&amp;"*",'Diags Raw Data'!$AB$6:$AB$3821))</f>
        <v>0</v>
      </c>
      <c r="R59" s="452">
        <f t="shared" si="9"/>
        <v>0</v>
      </c>
      <c r="S59" s="452">
        <f t="shared" si="10"/>
        <v>0</v>
      </c>
      <c r="T59" s="453">
        <f t="shared" si="11"/>
        <v>0</v>
      </c>
      <c r="U59" s="427" t="s">
        <v>621</v>
      </c>
      <c r="V59" s="182"/>
    </row>
    <row r="60" spans="1:22" x14ac:dyDescent="0.25">
      <c r="A60" s="336" t="s">
        <v>385</v>
      </c>
      <c r="B60" s="423" t="s">
        <v>693</v>
      </c>
      <c r="C60" s="424" t="s">
        <v>280</v>
      </c>
      <c r="D60" s="425" t="str" cm="1">
        <f t="array" ref="D60">_xlfn.TEXTJOIN("",TRUE,IF(ISNUMBER(SEARCH($A60,'Diags Raw Data'!$A$6:$A$3821)),CONCATENATE('Diags Raw Data'!$H$6:$H$3821,", "),""))</f>
        <v xml:space="preserve">MPC010.1-2, </v>
      </c>
      <c r="E60" s="341" t="str">
        <f>VLOOKUP(A60,'Diags Raw Data'!$A$6:$D$3821,4,FALSE)</f>
        <v>MPC</v>
      </c>
      <c r="F60" s="341" t="str">
        <f>VLOOKUP(A60,'Feature Raw Data'!$A$3:$E$3998,5,FALSE)</f>
        <v>Legacy</v>
      </c>
      <c r="G60" s="341" t="str">
        <f t="shared" si="6"/>
        <v>Yes</v>
      </c>
      <c r="H60" s="341" t="str">
        <f t="shared" si="7"/>
        <v>Yes</v>
      </c>
      <c r="I60" s="424">
        <f>SUMIF('Diags Raw Data'!$A$6:$A$3821,"*"&amp;$A60&amp;"*",'Diags Raw Data'!$K$6:$K$3821)</f>
        <v>1</v>
      </c>
      <c r="J60" s="426">
        <f>SUMIF('Diags Raw Data'!$A$6:$A$3821,"*"&amp;$A60&amp;"*",'Diags Raw Data'!$L$6:$L$3821)</f>
        <v>2</v>
      </c>
      <c r="K60" s="445" cm="1">
        <f t="array" ref="K60">IF(D60="",0, SUMPRODUCT(--(ISNUMBER(SEARCH($A60,'Diags Raw Data'!$A$6:$A$3821))),'Diags Raw Data'!$L$6:$L$3821,'Diags Raw Data'!$N$6:$N$3821)/J60)</f>
        <v>1</v>
      </c>
      <c r="L60" s="446" cm="1">
        <f t="array" ref="L60">IF(D60="",0, SUMPRODUCT(--(ISNUMBER(SEARCH($A60,'Diags Raw Data'!$A$6:$A$3821))),'Diags Raw Data'!$L$6:$L$3821,'Diags Raw Data'!$P$6:$P$3821)/J60)</f>
        <v>1</v>
      </c>
      <c r="M60" s="447" cm="1">
        <f t="array" ref="M60">SUMPRODUCT(--(ISNUMBER(SEARCH($A60,'Diags Raw Data'!$A$6:$A$3821))),--('Diags Raw Data'!$Q$6:$Q$3821&lt;&gt;"N/A"),'Diags Raw Data'!$R$6:$R$3821)</f>
        <v>2</v>
      </c>
      <c r="N60" s="448" cm="1">
        <f t="array" ref="N60">SUMPRODUCT(--(ISNUMBER(SEARCH($A60,'Diags Raw Data'!$A$6:$A$3821))),--('Diags Raw Data'!$Q$6:$Q$3821&lt;&gt;"N/A"),'Diags Raw Data'!$T$6:$T$3821)+SUMPRODUCT(--(ISNUMBER(SEARCH($A60,'Diags Raw Data'!$A$6:$A$3821))),--('Diags Raw Data'!$Q$6:$Q$3821&lt;&gt;"N/A"),'Diags Raw Data'!$U$6:$U$3821)</f>
        <v>0</v>
      </c>
      <c r="O60" s="449">
        <f t="shared" si="8"/>
        <v>0</v>
      </c>
      <c r="P60" s="450">
        <f>SUMIF('Diags Raw Data'!$A$6:$A$3821,"*"&amp;$A60&amp;"*",'Diags Raw Data'!$Z$6:$Z$3821)</f>
        <v>0</v>
      </c>
      <c r="Q60" s="451">
        <f>SUM(SUMIF('Diags Raw Data'!$A$6:$A$3821,"*"&amp;$A60&amp;"*",'Diags Raw Data'!$AA$6:$AA$3821),SUMIF('Diags Raw Data'!$A$6:$A$3821,"*"&amp;$A60&amp;"*",'Diags Raw Data'!$AB$6:$AB$3821))</f>
        <v>0</v>
      </c>
      <c r="R60" s="452">
        <f t="shared" si="9"/>
        <v>0</v>
      </c>
      <c r="S60" s="452">
        <f t="shared" si="10"/>
        <v>0</v>
      </c>
      <c r="T60" s="453">
        <f t="shared" si="11"/>
        <v>0</v>
      </c>
      <c r="U60" s="427" t="s">
        <v>618</v>
      </c>
      <c r="V60" s="182"/>
    </row>
    <row r="61" spans="1:22" x14ac:dyDescent="0.25">
      <c r="A61" s="336" t="s">
        <v>520</v>
      </c>
      <c r="B61" s="423" t="s">
        <v>694</v>
      </c>
      <c r="C61" s="424" t="s">
        <v>280</v>
      </c>
      <c r="D61" s="425" t="str" cm="1">
        <f t="array" ref="D61">_xlfn.TEXTJOIN("",TRUE,IF(ISNUMBER(SEARCH($A61,'Diags Raw Data'!$A$6:$A$3821)),CONCATENATE('Diags Raw Data'!$H$6:$H$3821,", "),""))</f>
        <v xml:space="preserve">DIO328.1-63, </v>
      </c>
      <c r="E61" s="341" t="str">
        <f>VLOOKUP(A61,'Diags Raw Data'!$A$6:$D$3821,4,FALSE)</f>
        <v>DIO</v>
      </c>
      <c r="F61" s="341" t="str">
        <f>VLOOKUP(A61,'Feature Raw Data'!$A$3:$E$3998,5,FALSE)</f>
        <v>Legacy</v>
      </c>
      <c r="G61" s="341" t="str">
        <f t="shared" si="6"/>
        <v>Yes</v>
      </c>
      <c r="H61" s="341" t="str">
        <f t="shared" si="7"/>
        <v>Yes</v>
      </c>
      <c r="I61" s="424">
        <f>SUMIF('Diags Raw Data'!$A$6:$A$3821,"*"&amp;$A61&amp;"*",'Diags Raw Data'!$K$6:$K$3821)</f>
        <v>1</v>
      </c>
      <c r="J61" s="426">
        <f>SUMIF('Diags Raw Data'!$A$6:$A$3821,"*"&amp;$A61&amp;"*",'Diags Raw Data'!$L$6:$L$3821)</f>
        <v>63</v>
      </c>
      <c r="K61" s="445" cm="1">
        <f t="array" ref="K61">IF(D61="",0, SUMPRODUCT(--(ISNUMBER(SEARCH($A61,'Diags Raw Data'!$A$6:$A$3821))),'Diags Raw Data'!$L$6:$L$3821,'Diags Raw Data'!$N$6:$N$3821)/J61)</f>
        <v>1</v>
      </c>
      <c r="L61" s="446" cm="1">
        <f t="array" ref="L61">IF(D61="",0, SUMPRODUCT(--(ISNUMBER(SEARCH($A61,'Diags Raw Data'!$A$6:$A$3821))),'Diags Raw Data'!$L$6:$L$3821,'Diags Raw Data'!$P$6:$P$3821)/J61)</f>
        <v>1</v>
      </c>
      <c r="M61" s="447" cm="1">
        <f t="array" ref="M61">SUMPRODUCT(--(ISNUMBER(SEARCH($A61,'Diags Raw Data'!$A$6:$A$3821))),--('Diags Raw Data'!$Q$6:$Q$3821&lt;&gt;"N/A"),'Diags Raw Data'!$R$6:$R$3821)</f>
        <v>63</v>
      </c>
      <c r="N61" s="448" cm="1">
        <f t="array" ref="N61">SUMPRODUCT(--(ISNUMBER(SEARCH($A61,'Diags Raw Data'!$A$6:$A$3821))),--('Diags Raw Data'!$Q$6:$Q$3821&lt;&gt;"N/A"),'Diags Raw Data'!$T$6:$T$3821)+SUMPRODUCT(--(ISNUMBER(SEARCH($A61,'Diags Raw Data'!$A$6:$A$3821))),--('Diags Raw Data'!$Q$6:$Q$3821&lt;&gt;"N/A"),'Diags Raw Data'!$U$6:$U$3821)</f>
        <v>0</v>
      </c>
      <c r="O61" s="449">
        <f t="shared" si="8"/>
        <v>0</v>
      </c>
      <c r="P61" s="450">
        <f>SUMIF('Diags Raw Data'!$A$6:$A$3821,"*"&amp;$A61&amp;"*",'Diags Raw Data'!$Z$6:$Z$3821)</f>
        <v>0</v>
      </c>
      <c r="Q61" s="451">
        <f>SUM(SUMIF('Diags Raw Data'!$A$6:$A$3821,"*"&amp;$A61&amp;"*",'Diags Raw Data'!$AA$6:$AA$3821),SUMIF('Diags Raw Data'!$A$6:$A$3821,"*"&amp;$A61&amp;"*",'Diags Raw Data'!$AB$6:$AB$3821))</f>
        <v>0</v>
      </c>
      <c r="R61" s="452">
        <f t="shared" si="9"/>
        <v>0</v>
      </c>
      <c r="S61" s="452">
        <f t="shared" si="10"/>
        <v>0</v>
      </c>
      <c r="T61" s="453">
        <f t="shared" si="11"/>
        <v>0</v>
      </c>
      <c r="U61" s="427" t="s">
        <v>643</v>
      </c>
      <c r="V61" s="182"/>
    </row>
    <row r="62" spans="1:22" x14ac:dyDescent="0.25">
      <c r="A62" s="336" t="s">
        <v>447</v>
      </c>
      <c r="B62" s="423" t="s">
        <v>695</v>
      </c>
      <c r="C62" s="424" t="s">
        <v>280</v>
      </c>
      <c r="D62" s="425" t="str" cm="1">
        <f t="array" ref="D62">_xlfn.TEXTJOIN("",TRUE,IF(ISNUMBER(SEARCH($A62,'Diags Raw Data'!$A$6:$A$3821)),CONCATENATE('Diags Raw Data'!$H$6:$H$3821,", "),""))</f>
        <v xml:space="preserve">OTG027.1-16, OTG032.1-4, </v>
      </c>
      <c r="E62" s="341" t="str">
        <f>VLOOKUP(A62,'Diags Raw Data'!$A$6:$D$3821,4,FALSE)</f>
        <v>OTG</v>
      </c>
      <c r="F62" s="341" t="str">
        <f>VLOOKUP(A62,'Feature Raw Data'!$A$3:$E$3998,5,FALSE)</f>
        <v>Legacy</v>
      </c>
      <c r="G62" s="341" t="str">
        <f t="shared" si="6"/>
        <v>Yes</v>
      </c>
      <c r="H62" s="341" t="str">
        <f t="shared" si="7"/>
        <v>Yes</v>
      </c>
      <c r="I62" s="424">
        <f>SUMIF('Diags Raw Data'!$A$6:$A$3821,"*"&amp;$A62&amp;"*",'Diags Raw Data'!$K$6:$K$3821)</f>
        <v>2</v>
      </c>
      <c r="J62" s="426">
        <f>SUMIF('Diags Raw Data'!$A$6:$A$3821,"*"&amp;$A62&amp;"*",'Diags Raw Data'!$L$6:$L$3821)</f>
        <v>20</v>
      </c>
      <c r="K62" s="445" cm="1">
        <f t="array" ref="K62">IF(D62="",0, SUMPRODUCT(--(ISNUMBER(SEARCH($A62,'Diags Raw Data'!$A$6:$A$3821))),'Diags Raw Data'!$L$6:$L$3821,'Diags Raw Data'!$N$6:$N$3821)/J62)</f>
        <v>1</v>
      </c>
      <c r="L62" s="446" cm="1">
        <f t="array" ref="L62">IF(D62="",0, SUMPRODUCT(--(ISNUMBER(SEARCH($A62,'Diags Raw Data'!$A$6:$A$3821))),'Diags Raw Data'!$L$6:$L$3821,'Diags Raw Data'!$P$6:$P$3821)/J62)</f>
        <v>1</v>
      </c>
      <c r="M62" s="447" cm="1">
        <f t="array" ref="M62">SUMPRODUCT(--(ISNUMBER(SEARCH($A62,'Diags Raw Data'!$A$6:$A$3821))),--('Diags Raw Data'!$Q$6:$Q$3821&lt;&gt;"N/A"),'Diags Raw Data'!$R$6:$R$3821)</f>
        <v>20</v>
      </c>
      <c r="N62" s="448" cm="1">
        <f t="array" ref="N62">SUMPRODUCT(--(ISNUMBER(SEARCH($A62,'Diags Raw Data'!$A$6:$A$3821))),--('Diags Raw Data'!$Q$6:$Q$3821&lt;&gt;"N/A"),'Diags Raw Data'!$T$6:$T$3821)+SUMPRODUCT(--(ISNUMBER(SEARCH($A62,'Diags Raw Data'!$A$6:$A$3821))),--('Diags Raw Data'!$Q$6:$Q$3821&lt;&gt;"N/A"),'Diags Raw Data'!$U$6:$U$3821)</f>
        <v>0</v>
      </c>
      <c r="O62" s="449">
        <f t="shared" si="8"/>
        <v>0</v>
      </c>
      <c r="P62" s="450">
        <v>0</v>
      </c>
      <c r="Q62" s="451">
        <f>SUM(SUMIF('Diags Raw Data'!$A$6:$A$3821,"*"&amp;$A62&amp;"*",'Diags Raw Data'!$AA$6:$AA$3821),SUMIF('Diags Raw Data'!$A$6:$A$3821,"*"&amp;$A62&amp;"*",'Diags Raw Data'!$AB$6:$AB$3821))</f>
        <v>0</v>
      </c>
      <c r="R62" s="452">
        <f t="shared" si="9"/>
        <v>0</v>
      </c>
      <c r="S62" s="452">
        <f t="shared" si="10"/>
        <v>0</v>
      </c>
      <c r="T62" s="453">
        <f t="shared" si="11"/>
        <v>0</v>
      </c>
      <c r="U62" s="427" t="s">
        <v>47</v>
      </c>
      <c r="V62" s="182"/>
    </row>
    <row r="63" spans="1:22" ht="45" x14ac:dyDescent="0.25">
      <c r="A63" s="336" t="s">
        <v>397</v>
      </c>
      <c r="B63" s="423" t="s">
        <v>696</v>
      </c>
      <c r="C63" s="424" t="s">
        <v>280</v>
      </c>
      <c r="D63" s="425" t="str" cm="1">
        <f t="array" ref="D63">_xlfn.TEXTJOIN("",TRUE,IF(ISNUMBER(SEARCH($A63,'Diags Raw Data'!$A$6:$A$3821)),CONCATENATE('Diags Raw Data'!$H$6:$H$3821,", "),""))</f>
        <v xml:space="preserve">FMT001.1-8, FMT002.1-16, FMT003.1, FMT004.1, FMT005.1-10, FMT006.1-13,101-113,201-213,301-313, FMT008.1-2, </v>
      </c>
      <c r="E63" s="341" t="str">
        <f>VLOOKUP(A63,'Diags Raw Data'!$A$6:$D$3821,4,FALSE)</f>
        <v>FMT</v>
      </c>
      <c r="F63" s="341" t="str">
        <f>VLOOKUP(A63,'Feature Raw Data'!$A$3:$E$3998,5,FALSE)</f>
        <v>Legacy</v>
      </c>
      <c r="G63" s="341" t="str">
        <f t="shared" si="6"/>
        <v>Yes</v>
      </c>
      <c r="H63" s="341" t="str">
        <f t="shared" si="7"/>
        <v>Yes</v>
      </c>
      <c r="I63" s="424">
        <f>SUMIF('Diags Raw Data'!$A$6:$A$3821,"*"&amp;$A63&amp;"*",'Diags Raw Data'!$K$6:$K$3821)</f>
        <v>7</v>
      </c>
      <c r="J63" s="426">
        <f>SUMIF('Diags Raw Data'!$A$6:$A$3821,"*"&amp;$A63&amp;"*",'Diags Raw Data'!$L$6:$L$3821)</f>
        <v>90</v>
      </c>
      <c r="K63" s="445" cm="1">
        <f t="array" ref="K63">IF(D63="",0, SUMPRODUCT(--(ISNUMBER(SEARCH($A63,'Diags Raw Data'!$A$6:$A$3821))),'Diags Raw Data'!$L$6:$L$3821,'Diags Raw Data'!$N$6:$N$3821)/J63)</f>
        <v>1</v>
      </c>
      <c r="L63" s="446" cm="1">
        <f t="array" ref="L63">IF(D63="",0, SUMPRODUCT(--(ISNUMBER(SEARCH($A63,'Diags Raw Data'!$A$6:$A$3821))),'Diags Raw Data'!$L$6:$L$3821,'Diags Raw Data'!$P$6:$P$3821)/J63)</f>
        <v>1</v>
      </c>
      <c r="M63" s="447" cm="1">
        <f t="array" ref="M63">SUMPRODUCT(--(ISNUMBER(SEARCH($A63,'Diags Raw Data'!$A$6:$A$3821))),--('Diags Raw Data'!$Q$6:$Q$3821&lt;&gt;"N/A"),'Diags Raw Data'!$R$6:$R$3821)</f>
        <v>90</v>
      </c>
      <c r="N63" s="448" cm="1">
        <f t="array" ref="N63">SUMPRODUCT(--(ISNUMBER(SEARCH($A63,'Diags Raw Data'!$A$6:$A$3821))),--('Diags Raw Data'!$Q$6:$Q$3821&lt;&gt;"N/A"),'Diags Raw Data'!$T$6:$T$3821)+SUMPRODUCT(--(ISNUMBER(SEARCH($A63,'Diags Raw Data'!$A$6:$A$3821))),--('Diags Raw Data'!$Q$6:$Q$3821&lt;&gt;"N/A"),'Diags Raw Data'!$U$6:$U$3821)</f>
        <v>0</v>
      </c>
      <c r="O63" s="449">
        <f t="shared" si="8"/>
        <v>0</v>
      </c>
      <c r="P63" s="450">
        <f>SUMIF('Diags Raw Data'!$A$6:$A$3821,"*"&amp;$A63&amp;"*",'Diags Raw Data'!$Z$6:$Z$3821)</f>
        <v>0</v>
      </c>
      <c r="Q63" s="451">
        <f>SUM(SUMIF('Diags Raw Data'!$A$6:$A$3821,"*"&amp;$A63&amp;"*",'Diags Raw Data'!$AA$6:$AA$3821),SUMIF('Diags Raw Data'!$A$6:$A$3821,"*"&amp;$A63&amp;"*",'Diags Raw Data'!$AB$6:$AB$3821))</f>
        <v>0</v>
      </c>
      <c r="R63" s="452">
        <f t="shared" si="9"/>
        <v>0</v>
      </c>
      <c r="S63" s="452">
        <f t="shared" si="10"/>
        <v>0</v>
      </c>
      <c r="T63" s="453">
        <f t="shared" si="11"/>
        <v>0</v>
      </c>
      <c r="U63" s="427" t="s">
        <v>618</v>
      </c>
      <c r="V63" s="182"/>
    </row>
    <row r="64" spans="1:22" x14ac:dyDescent="0.25">
      <c r="A64" s="336" t="s">
        <v>405</v>
      </c>
      <c r="B64" s="423" t="s">
        <v>697</v>
      </c>
      <c r="C64" s="424" t="s">
        <v>280</v>
      </c>
      <c r="D64" s="425" t="str" cm="1">
        <f t="array" ref="D64">_xlfn.TEXTJOIN("",TRUE,IF(ISNUMBER(SEARCH($A64,'Diags Raw Data'!$A$6:$A$3821)),CONCATENATE('Diags Raw Data'!$H$6:$H$3821,", "),""))</f>
        <v xml:space="preserve">FMT007.1-5, </v>
      </c>
      <c r="E64" s="341" t="str">
        <f>VLOOKUP(A64,'Diags Raw Data'!$A$6:$D$3821,4,FALSE)</f>
        <v>FMT</v>
      </c>
      <c r="F64" s="341" t="str">
        <f>VLOOKUP(A64,'Feature Raw Data'!$A$3:$E$3998,5,FALSE)</f>
        <v>Legacy</v>
      </c>
      <c r="G64" s="341" t="str">
        <f t="shared" si="6"/>
        <v>Yes</v>
      </c>
      <c r="H64" s="341" t="str">
        <f t="shared" si="7"/>
        <v>Yes</v>
      </c>
      <c r="I64" s="424">
        <f>SUMIF('Diags Raw Data'!$A$6:$A$3821,"*"&amp;$A64&amp;"*",'Diags Raw Data'!$K$6:$K$3821)</f>
        <v>1</v>
      </c>
      <c r="J64" s="426">
        <f>SUMIF('Diags Raw Data'!$A$6:$A$3821,"*"&amp;$A64&amp;"*",'Diags Raw Data'!$L$6:$L$3821)</f>
        <v>5</v>
      </c>
      <c r="K64" s="445" cm="1">
        <f t="array" ref="K64">IF(D64="",0, SUMPRODUCT(--(ISNUMBER(SEARCH($A64,'Diags Raw Data'!$A$6:$A$3821))),'Diags Raw Data'!$L$6:$L$3821,'Diags Raw Data'!$N$6:$N$3821)/J64)</f>
        <v>1</v>
      </c>
      <c r="L64" s="446" cm="1">
        <f t="array" ref="L64">IF(D64="",0, SUMPRODUCT(--(ISNUMBER(SEARCH($A64,'Diags Raw Data'!$A$6:$A$3821))),'Diags Raw Data'!$L$6:$L$3821,'Diags Raw Data'!$P$6:$P$3821)/J64)</f>
        <v>1</v>
      </c>
      <c r="M64" s="447" cm="1">
        <f t="array" ref="M64">SUMPRODUCT(--(ISNUMBER(SEARCH($A64,'Diags Raw Data'!$A$6:$A$3821))),--('Diags Raw Data'!$Q$6:$Q$3821&lt;&gt;"N/A"),'Diags Raw Data'!$R$6:$R$3821)</f>
        <v>5</v>
      </c>
      <c r="N64" s="448" cm="1">
        <f t="array" ref="N64">SUMPRODUCT(--(ISNUMBER(SEARCH($A64,'Diags Raw Data'!$A$6:$A$3821))),--('Diags Raw Data'!$Q$6:$Q$3821&lt;&gt;"N/A"),'Diags Raw Data'!$T$6:$T$3821)+SUMPRODUCT(--(ISNUMBER(SEARCH($A64,'Diags Raw Data'!$A$6:$A$3821))),--('Diags Raw Data'!$Q$6:$Q$3821&lt;&gt;"N/A"),'Diags Raw Data'!$U$6:$U$3821)</f>
        <v>0</v>
      </c>
      <c r="O64" s="449">
        <f t="shared" si="8"/>
        <v>0</v>
      </c>
      <c r="P64" s="450">
        <f>SUMIF('Diags Raw Data'!$A$6:$A$3821,"*"&amp;$A64&amp;"*",'Diags Raw Data'!$Z$6:$Z$3821)</f>
        <v>0</v>
      </c>
      <c r="Q64" s="451">
        <f>SUM(SUMIF('Diags Raw Data'!$A$6:$A$3821,"*"&amp;$A64&amp;"*",'Diags Raw Data'!$AA$6:$AA$3821),SUMIF('Diags Raw Data'!$A$6:$A$3821,"*"&amp;$A64&amp;"*",'Diags Raw Data'!$AB$6:$AB$3821))</f>
        <v>0</v>
      </c>
      <c r="R64" s="452">
        <f t="shared" si="9"/>
        <v>0</v>
      </c>
      <c r="S64" s="452">
        <f t="shared" si="10"/>
        <v>0</v>
      </c>
      <c r="T64" s="453">
        <f t="shared" si="11"/>
        <v>0</v>
      </c>
      <c r="U64" s="427" t="s">
        <v>618</v>
      </c>
      <c r="V64" s="182"/>
    </row>
    <row r="65" spans="1:22" ht="30" x14ac:dyDescent="0.25">
      <c r="A65" s="336" t="s">
        <v>408</v>
      </c>
      <c r="B65" s="423" t="s">
        <v>698</v>
      </c>
      <c r="C65" s="424" t="s">
        <v>280</v>
      </c>
      <c r="D65" s="425" t="str" cm="1">
        <f t="array" ref="D65">_xlfn.TEXTJOIN("",TRUE,IF(ISNUMBER(SEARCH($A65,'Diags Raw Data'!$A$6:$A$3821)),CONCATENATE('Diags Raw Data'!$H$6:$H$3821,", "),""))</f>
        <v xml:space="preserve">MPC015.1-16, FMT009.1-4, FMT010.1-8, FMT011.1, FMT014.1-4, FMT015.1-8, </v>
      </c>
      <c r="E65" s="341" t="str">
        <f>VLOOKUP(A65,'Diags Raw Data'!$A$6:$D$3821,4,FALSE)</f>
        <v>MPC</v>
      </c>
      <c r="F65" s="341" t="str">
        <f>VLOOKUP(A65,'Feature Raw Data'!$A$3:$E$3998,5,FALSE)</f>
        <v>Legacy</v>
      </c>
      <c r="G65" s="341" t="str">
        <f t="shared" si="6"/>
        <v>Yes</v>
      </c>
      <c r="H65" s="341" t="str">
        <f t="shared" si="7"/>
        <v>Yes</v>
      </c>
      <c r="I65" s="424">
        <f>SUMIF('Diags Raw Data'!$A$6:$A$3821,"*"&amp;$A65&amp;"*",'Diags Raw Data'!$K$6:$K$3821)</f>
        <v>6</v>
      </c>
      <c r="J65" s="426">
        <f>SUMIF('Diags Raw Data'!$A$6:$A$3821,"*"&amp;$A65&amp;"*",'Diags Raw Data'!$L$6:$L$3821)</f>
        <v>41</v>
      </c>
      <c r="K65" s="445" cm="1">
        <f t="array" ref="K65">IF(D65="",0, SUMPRODUCT(--(ISNUMBER(SEARCH($A65,'Diags Raw Data'!$A$6:$A$3821))),'Diags Raw Data'!$L$6:$L$3821,'Diags Raw Data'!$N$6:$N$3821)/J65)</f>
        <v>1</v>
      </c>
      <c r="L65" s="446" cm="1">
        <f t="array" ref="L65">IF(D65="",0, SUMPRODUCT(--(ISNUMBER(SEARCH($A65,'Diags Raw Data'!$A$6:$A$3821))),'Diags Raw Data'!$L$6:$L$3821,'Diags Raw Data'!$P$6:$P$3821)/J65)</f>
        <v>1</v>
      </c>
      <c r="M65" s="447" cm="1">
        <f t="array" ref="M65">SUMPRODUCT(--(ISNUMBER(SEARCH($A65,'Diags Raw Data'!$A$6:$A$3821))),--('Diags Raw Data'!$Q$6:$Q$3821&lt;&gt;"N/A"),'Diags Raw Data'!$R$6:$R$3821)</f>
        <v>41</v>
      </c>
      <c r="N65" s="448" cm="1">
        <f t="array" ref="N65">SUMPRODUCT(--(ISNUMBER(SEARCH($A65,'Diags Raw Data'!$A$6:$A$3821))),--('Diags Raw Data'!$Q$6:$Q$3821&lt;&gt;"N/A"),'Diags Raw Data'!$T$6:$T$3821)+SUMPRODUCT(--(ISNUMBER(SEARCH($A65,'Diags Raw Data'!$A$6:$A$3821))),--('Diags Raw Data'!$Q$6:$Q$3821&lt;&gt;"N/A"),'Diags Raw Data'!$U$6:$U$3821)</f>
        <v>0</v>
      </c>
      <c r="O65" s="449">
        <f t="shared" si="8"/>
        <v>0</v>
      </c>
      <c r="P65" s="450">
        <f>SUMIF('Diags Raw Data'!$A$6:$A$3821,"*"&amp;$A65&amp;"*",'Diags Raw Data'!$Z$6:$Z$3821)</f>
        <v>0</v>
      </c>
      <c r="Q65" s="451">
        <f>SUM(SUMIF('Diags Raw Data'!$A$6:$A$3821,"*"&amp;$A65&amp;"*",'Diags Raw Data'!$AA$6:$AA$3821),SUMIF('Diags Raw Data'!$A$6:$A$3821,"*"&amp;$A65&amp;"*",'Diags Raw Data'!$AB$6:$AB$3821))</f>
        <v>0</v>
      </c>
      <c r="R65" s="452">
        <f t="shared" si="9"/>
        <v>0</v>
      </c>
      <c r="S65" s="452">
        <f t="shared" si="10"/>
        <v>0</v>
      </c>
      <c r="T65" s="453">
        <f t="shared" si="11"/>
        <v>0</v>
      </c>
      <c r="U65" s="427" t="s">
        <v>649</v>
      </c>
      <c r="V65" s="182"/>
    </row>
    <row r="66" spans="1:22" x14ac:dyDescent="0.25">
      <c r="A66" s="336" t="s">
        <v>412</v>
      </c>
      <c r="B66" s="423" t="s">
        <v>699</v>
      </c>
      <c r="C66" s="424" t="s">
        <v>280</v>
      </c>
      <c r="D66" s="425" t="str" cm="1">
        <f t="array" ref="D66">_xlfn.TEXTJOIN("",TRUE,IF(ISNUMBER(SEARCH($A66,'Diags Raw Data'!$A$6:$A$3821)),CONCATENATE('Diags Raw Data'!$H$6:$H$3821,", "),""))</f>
        <v xml:space="preserve">FMT012.1-4, </v>
      </c>
      <c r="E66" s="341" t="str">
        <f>VLOOKUP(A66,'Diags Raw Data'!$A$6:$D$3821,4,FALSE)</f>
        <v>FMT</v>
      </c>
      <c r="F66" s="341" t="str">
        <f>VLOOKUP(A66,'Feature Raw Data'!$A$3:$E$3998,5,FALSE)</f>
        <v>Legacy</v>
      </c>
      <c r="G66" s="341" t="str">
        <f t="shared" si="6"/>
        <v>Yes</v>
      </c>
      <c r="H66" s="341" t="str">
        <f t="shared" si="7"/>
        <v>Yes</v>
      </c>
      <c r="I66" s="424">
        <f>SUMIF('Diags Raw Data'!$A$6:$A$3821,"*"&amp;$A66&amp;"*",'Diags Raw Data'!$K$6:$K$3821)</f>
        <v>1</v>
      </c>
      <c r="J66" s="426">
        <f>SUMIF('Diags Raw Data'!$A$6:$A$3821,"*"&amp;$A66&amp;"*",'Diags Raw Data'!$L$6:$L$3821)</f>
        <v>4</v>
      </c>
      <c r="K66" s="445" cm="1">
        <f t="array" ref="K66">IF(D66="",0, SUMPRODUCT(--(ISNUMBER(SEARCH($A66,'Diags Raw Data'!$A$6:$A$3821))),'Diags Raw Data'!$L$6:$L$3821,'Diags Raw Data'!$N$6:$N$3821)/J66)</f>
        <v>1</v>
      </c>
      <c r="L66" s="446" cm="1">
        <f t="array" ref="L66">IF(D66="",0, SUMPRODUCT(--(ISNUMBER(SEARCH($A66,'Diags Raw Data'!$A$6:$A$3821))),'Diags Raw Data'!$L$6:$L$3821,'Diags Raw Data'!$P$6:$P$3821)/J66)</f>
        <v>1</v>
      </c>
      <c r="M66" s="447" cm="1">
        <f t="array" ref="M66">SUMPRODUCT(--(ISNUMBER(SEARCH($A66,'Diags Raw Data'!$A$6:$A$3821))),--('Diags Raw Data'!$Q$6:$Q$3821&lt;&gt;"N/A"),'Diags Raw Data'!$R$6:$R$3821)</f>
        <v>4</v>
      </c>
      <c r="N66" s="448" cm="1">
        <f t="array" ref="N66">SUMPRODUCT(--(ISNUMBER(SEARCH($A66,'Diags Raw Data'!$A$6:$A$3821))),--('Diags Raw Data'!$Q$6:$Q$3821&lt;&gt;"N/A"),'Diags Raw Data'!$T$6:$T$3821)+SUMPRODUCT(--(ISNUMBER(SEARCH($A66,'Diags Raw Data'!$A$6:$A$3821))),--('Diags Raw Data'!$Q$6:$Q$3821&lt;&gt;"N/A"),'Diags Raw Data'!$U$6:$U$3821)</f>
        <v>0</v>
      </c>
      <c r="O66" s="449">
        <f t="shared" si="8"/>
        <v>0</v>
      </c>
      <c r="P66" s="450">
        <f>SUMIF('Diags Raw Data'!$A$6:$A$3821,"*"&amp;$A66&amp;"*",'Diags Raw Data'!$Z$6:$Z$3821)</f>
        <v>0</v>
      </c>
      <c r="Q66" s="451">
        <f>SUM(SUMIF('Diags Raw Data'!$A$6:$A$3821,"*"&amp;$A66&amp;"*",'Diags Raw Data'!$AA$6:$AA$3821),SUMIF('Diags Raw Data'!$A$6:$A$3821,"*"&amp;$A66&amp;"*",'Diags Raw Data'!$AB$6:$AB$3821))</f>
        <v>0</v>
      </c>
      <c r="R66" s="452">
        <f t="shared" si="9"/>
        <v>0</v>
      </c>
      <c r="S66" s="452">
        <f t="shared" si="10"/>
        <v>0</v>
      </c>
      <c r="T66" s="453">
        <f t="shared" si="11"/>
        <v>0</v>
      </c>
      <c r="U66" s="427" t="s">
        <v>603</v>
      </c>
      <c r="V66" s="182"/>
    </row>
    <row r="67" spans="1:22" x14ac:dyDescent="0.25">
      <c r="A67" s="336" t="s">
        <v>700</v>
      </c>
      <c r="B67" s="423" t="s">
        <v>701</v>
      </c>
      <c r="C67" s="424" t="s">
        <v>280</v>
      </c>
      <c r="D67" s="425" t="str" cm="1">
        <f t="array" ref="D67">_xlfn.TEXTJOIN("",TRUE,IF(ISNUMBER(SEARCH($A67,'Diags Raw Data'!$A$6:$A$3821)),CONCATENATE('Diags Raw Data'!$H$6:$H$3821,", "),""))</f>
        <v xml:space="preserve">OTG005.1-10, </v>
      </c>
      <c r="E67" s="341" t="str">
        <f>VLOOKUP(A67,'Diags Raw Data'!$A$6:$D$3821,4,FALSE)</f>
        <v>OTG</v>
      </c>
      <c r="F67" s="341" t="str">
        <f>VLOOKUP(A67,'Feature Raw Data'!$A$3:$E$3998,5,FALSE)</f>
        <v>Legacy</v>
      </c>
      <c r="G67" s="341" t="str">
        <f t="shared" si="6"/>
        <v>Yes</v>
      </c>
      <c r="H67" s="341" t="str">
        <f t="shared" si="7"/>
        <v>Yes</v>
      </c>
      <c r="I67" s="424">
        <f>SUMIF('Diags Raw Data'!$A$6:$A$3821,"*"&amp;$A67&amp;"*",'Diags Raw Data'!$K$6:$K$3821)</f>
        <v>1</v>
      </c>
      <c r="J67" s="426">
        <f>SUMIF('Diags Raw Data'!$A$6:$A$3821,"*"&amp;$A67&amp;"*",'Diags Raw Data'!$L$6:$L$3821)</f>
        <v>10</v>
      </c>
      <c r="K67" s="445" cm="1">
        <f t="array" ref="K67">IF(D67="",0, SUMPRODUCT(--(ISNUMBER(SEARCH($A67,'Diags Raw Data'!$A$6:$A$3821))),'Diags Raw Data'!$L$6:$L$3821,'Diags Raw Data'!$N$6:$N$3821)/J67)</f>
        <v>1</v>
      </c>
      <c r="L67" s="446" cm="1">
        <f t="array" ref="L67">IF(D67="",0, SUMPRODUCT(--(ISNUMBER(SEARCH($A67,'Diags Raw Data'!$A$6:$A$3821))),'Diags Raw Data'!$L$6:$L$3821,'Diags Raw Data'!$P$6:$P$3821)/J67)</f>
        <v>1</v>
      </c>
      <c r="M67" s="447" cm="1">
        <f t="array" ref="M67">SUMPRODUCT(--(ISNUMBER(SEARCH($A67,'Diags Raw Data'!$A$6:$A$3821))),--('Diags Raw Data'!$Q$6:$Q$3821&lt;&gt;"N/A"),'Diags Raw Data'!$R$6:$R$3821)</f>
        <v>10</v>
      </c>
      <c r="N67" s="448" cm="1">
        <f t="array" ref="N67">SUMPRODUCT(--(ISNUMBER(SEARCH($A67,'Diags Raw Data'!$A$6:$A$3821))),--('Diags Raw Data'!$Q$6:$Q$3821&lt;&gt;"N/A"),'Diags Raw Data'!$T$6:$T$3821)+SUMPRODUCT(--(ISNUMBER(SEARCH($A67,'Diags Raw Data'!$A$6:$A$3821))),--('Diags Raw Data'!$Q$6:$Q$3821&lt;&gt;"N/A"),'Diags Raw Data'!$U$6:$U$3821)</f>
        <v>0</v>
      </c>
      <c r="O67" s="449">
        <f t="shared" si="8"/>
        <v>0</v>
      </c>
      <c r="P67" s="450">
        <f>SUMIF('Diags Raw Data'!$A$6:$A$3821,"*"&amp;$A67&amp;"*",'Diags Raw Data'!$Z$6:$Z$3821)</f>
        <v>0</v>
      </c>
      <c r="Q67" s="451">
        <f>SUM(SUMIF('Diags Raw Data'!$A$6:$A$3821,"*"&amp;$A67&amp;"*",'Diags Raw Data'!$AA$6:$AA$3821),SUMIF('Diags Raw Data'!$A$6:$A$3821,"*"&amp;$A67&amp;"*",'Diags Raw Data'!$AB$6:$AB$3821))</f>
        <v>0</v>
      </c>
      <c r="R67" s="452">
        <f t="shared" si="9"/>
        <v>0</v>
      </c>
      <c r="S67" s="452">
        <f t="shared" si="10"/>
        <v>0</v>
      </c>
      <c r="T67" s="453">
        <f t="shared" si="11"/>
        <v>0</v>
      </c>
      <c r="U67" s="427" t="s">
        <v>649</v>
      </c>
      <c r="V67" s="182"/>
    </row>
    <row r="68" spans="1:22" x14ac:dyDescent="0.25">
      <c r="A68" s="336" t="s">
        <v>702</v>
      </c>
      <c r="B68" s="423" t="s">
        <v>703</v>
      </c>
      <c r="C68" s="424" t="s">
        <v>280</v>
      </c>
      <c r="D68" s="425" t="str" cm="1">
        <f t="array" ref="D68">_xlfn.TEXTJOIN("",TRUE,IF(ISNUMBER(SEARCH($A68,'Diags Raw Data'!$A$6:$A$3821)),CONCATENATE('Diags Raw Data'!$H$6:$H$3821,", "),""))</f>
        <v xml:space="preserve">DIO220.1-4,6-7,9, </v>
      </c>
      <c r="E68" s="341" t="str">
        <f>VLOOKUP(A68,'Diags Raw Data'!$A$6:$D$3821,4,FALSE)</f>
        <v>DIO</v>
      </c>
      <c r="F68" s="341" t="str">
        <f>VLOOKUP(A68,'Feature Raw Data'!$A$3:$E$3998,5,FALSE)</f>
        <v>Legacy</v>
      </c>
      <c r="G68" s="341" t="str">
        <f t="shared" si="6"/>
        <v>Yes</v>
      </c>
      <c r="H68" s="341" t="str">
        <f t="shared" si="7"/>
        <v>Yes</v>
      </c>
      <c r="I68" s="424">
        <f>SUMIF('Diags Raw Data'!$A$6:$A$3821,"*"&amp;$A68&amp;"*",'Diags Raw Data'!$K$6:$K$3821)</f>
        <v>1</v>
      </c>
      <c r="J68" s="426">
        <f>SUMIF('Diags Raw Data'!$A$6:$A$3821,"*"&amp;$A68&amp;"*",'Diags Raw Data'!$L$6:$L$3821)</f>
        <v>7</v>
      </c>
      <c r="K68" s="445" cm="1">
        <f t="array" ref="K68">IF(D68="",0, SUMPRODUCT(--(ISNUMBER(SEARCH($A68,'Diags Raw Data'!$A$6:$A$3821))),'Diags Raw Data'!$L$6:$L$3821,'Diags Raw Data'!$N$6:$N$3821)/J68)</f>
        <v>1</v>
      </c>
      <c r="L68" s="446" cm="1">
        <f t="array" ref="L68">IF(D68="",0, SUMPRODUCT(--(ISNUMBER(SEARCH($A68,'Diags Raw Data'!$A$6:$A$3821))),'Diags Raw Data'!$L$6:$L$3821,'Diags Raw Data'!$P$6:$P$3821)/J68)</f>
        <v>1</v>
      </c>
      <c r="M68" s="447" cm="1">
        <f t="array" ref="M68">SUMPRODUCT(--(ISNUMBER(SEARCH($A68,'Diags Raw Data'!$A$6:$A$3821))),--('Diags Raw Data'!$Q$6:$Q$3821&lt;&gt;"N/A"),'Diags Raw Data'!$R$6:$R$3821)</f>
        <v>7</v>
      </c>
      <c r="N68" s="448" cm="1">
        <f t="array" ref="N68">SUMPRODUCT(--(ISNUMBER(SEARCH($A68,'Diags Raw Data'!$A$6:$A$3821))),--('Diags Raw Data'!$Q$6:$Q$3821&lt;&gt;"N/A"),'Diags Raw Data'!$T$6:$T$3821)+SUMPRODUCT(--(ISNUMBER(SEARCH($A68,'Diags Raw Data'!$A$6:$A$3821))),--('Diags Raw Data'!$Q$6:$Q$3821&lt;&gt;"N/A"),'Diags Raw Data'!$U$6:$U$3821)</f>
        <v>0</v>
      </c>
      <c r="O68" s="449">
        <f t="shared" si="8"/>
        <v>0</v>
      </c>
      <c r="P68" s="450">
        <f>SUMIF('Diags Raw Data'!$A$6:$A$3821,"*"&amp;$A68&amp;"*",'Diags Raw Data'!$Z$6:$Z$3821)</f>
        <v>0</v>
      </c>
      <c r="Q68" s="451">
        <f>SUM(SUMIF('Diags Raw Data'!$A$6:$A$3821,"*"&amp;$A68&amp;"*",'Diags Raw Data'!$AA$6:$AA$3821),SUMIF('Diags Raw Data'!$A$6:$A$3821,"*"&amp;$A68&amp;"*",'Diags Raw Data'!$AB$6:$AB$3821))</f>
        <v>0</v>
      </c>
      <c r="R68" s="452">
        <f t="shared" si="9"/>
        <v>0</v>
      </c>
      <c r="S68" s="452">
        <f t="shared" si="10"/>
        <v>0</v>
      </c>
      <c r="T68" s="453">
        <f t="shared" si="11"/>
        <v>0</v>
      </c>
      <c r="U68" s="427" t="s">
        <v>613</v>
      </c>
      <c r="V68" s="182"/>
    </row>
    <row r="69" spans="1:22" x14ac:dyDescent="0.25">
      <c r="A69" s="336" t="s">
        <v>704</v>
      </c>
      <c r="B69" s="423" t="s">
        <v>705</v>
      </c>
      <c r="C69" s="424" t="s">
        <v>280</v>
      </c>
      <c r="D69" s="425" t="str" cm="1">
        <f t="array" ref="D69">_xlfn.TEXTJOIN("",TRUE,IF(ISNUMBER(SEARCH($A69,'Diags Raw Data'!$A$6:$A$3821)),CONCATENATE('Diags Raw Data'!$H$6:$H$3821,", "),""))</f>
        <v xml:space="preserve">DSC004.201,205,209, OTG027.1-16, </v>
      </c>
      <c r="E69" s="341" t="str">
        <f>VLOOKUP(A69,'Diags Raw Data'!$A$6:$D$3821,4,FALSE)</f>
        <v>DSC</v>
      </c>
      <c r="F69" s="341" t="str">
        <f>VLOOKUP(A69,'Feature Raw Data'!$A$3:$E$3998,5,FALSE)</f>
        <v>Legacy</v>
      </c>
      <c r="G69" s="341" t="str">
        <f t="shared" si="6"/>
        <v>Yes</v>
      </c>
      <c r="H69" s="341" t="str">
        <f t="shared" si="7"/>
        <v>Yes</v>
      </c>
      <c r="I69" s="424">
        <f>SUMIF('Diags Raw Data'!$A$6:$A$3821,"*"&amp;$A69&amp;"*",'Diags Raw Data'!$K$6:$K$3821)</f>
        <v>2</v>
      </c>
      <c r="J69" s="426">
        <f>SUMIF('Diags Raw Data'!$A$6:$A$3821,"*"&amp;$A69&amp;"*",'Diags Raw Data'!$L$6:$L$3821)</f>
        <v>19</v>
      </c>
      <c r="K69" s="445" cm="1">
        <f t="array" ref="K69">IF(D69="",0, SUMPRODUCT(--(ISNUMBER(SEARCH($A69,'Diags Raw Data'!$A$6:$A$3821))),'Diags Raw Data'!$L$6:$L$3821,'Diags Raw Data'!$N$6:$N$3821)/J69)</f>
        <v>1</v>
      </c>
      <c r="L69" s="446" cm="1">
        <f t="array" ref="L69">IF(D69="",0, SUMPRODUCT(--(ISNUMBER(SEARCH($A69,'Diags Raw Data'!$A$6:$A$3821))),'Diags Raw Data'!$L$6:$L$3821,'Diags Raw Data'!$P$6:$P$3821)/J69)</f>
        <v>1</v>
      </c>
      <c r="M69" s="447" cm="1">
        <f t="array" ref="M69">SUMPRODUCT(--(ISNUMBER(SEARCH($A69,'Diags Raw Data'!$A$6:$A$3821))),--('Diags Raw Data'!$Q$6:$Q$3821&lt;&gt;"N/A"),'Diags Raw Data'!$R$6:$R$3821)</f>
        <v>19</v>
      </c>
      <c r="N69" s="448" cm="1">
        <f t="array" ref="N69">SUMPRODUCT(--(ISNUMBER(SEARCH($A69,'Diags Raw Data'!$A$6:$A$3821))),--('Diags Raw Data'!$Q$6:$Q$3821&lt;&gt;"N/A"),'Diags Raw Data'!$T$6:$T$3821)+SUMPRODUCT(--(ISNUMBER(SEARCH($A69,'Diags Raw Data'!$A$6:$A$3821))),--('Diags Raw Data'!$Q$6:$Q$3821&lt;&gt;"N/A"),'Diags Raw Data'!$U$6:$U$3821)</f>
        <v>0</v>
      </c>
      <c r="O69" s="449">
        <f t="shared" si="8"/>
        <v>0</v>
      </c>
      <c r="P69" s="450">
        <v>0</v>
      </c>
      <c r="Q69" s="451">
        <f>SUM(SUMIF('Diags Raw Data'!$A$6:$A$3821,"*"&amp;$A69&amp;"*",'Diags Raw Data'!$AA$6:$AA$3821),SUMIF('Diags Raw Data'!$A$6:$A$3821,"*"&amp;$A69&amp;"*",'Diags Raw Data'!$AB$6:$AB$3821))</f>
        <v>0</v>
      </c>
      <c r="R69" s="452">
        <f t="shared" si="9"/>
        <v>0</v>
      </c>
      <c r="S69" s="452">
        <f t="shared" si="10"/>
        <v>0</v>
      </c>
      <c r="T69" s="453">
        <f t="shared" si="11"/>
        <v>0</v>
      </c>
      <c r="U69" s="427" t="s">
        <v>643</v>
      </c>
      <c r="V69" s="182"/>
    </row>
    <row r="70" spans="1:22" x14ac:dyDescent="0.25">
      <c r="A70" s="336" t="s">
        <v>706</v>
      </c>
      <c r="B70" s="423" t="s">
        <v>707</v>
      </c>
      <c r="C70" s="424" t="s">
        <v>280</v>
      </c>
      <c r="D70" s="425" t="str" cm="1">
        <f t="array" ref="D70">_xlfn.TEXTJOIN("",TRUE,IF(ISNUMBER(SEARCH($A70,'Diags Raw Data'!$A$6:$A$3821)),CONCATENATE('Diags Raw Data'!$H$6:$H$3821,", "),""))</f>
        <v xml:space="preserve">DSC004.201,205,209, </v>
      </c>
      <c r="E70" s="341" t="str">
        <f>VLOOKUP(A70,'Diags Raw Data'!$A$6:$D$3821,4,FALSE)</f>
        <v>DSC</v>
      </c>
      <c r="F70" s="341" t="str">
        <f>VLOOKUP(A70,'Feature Raw Data'!$A$3:$E$3998,5,FALSE)</f>
        <v>Legacy</v>
      </c>
      <c r="G70" s="341" t="str">
        <f t="shared" si="6"/>
        <v>Yes</v>
      </c>
      <c r="H70" s="341" t="str">
        <f t="shared" si="7"/>
        <v>Yes</v>
      </c>
      <c r="I70" s="424">
        <f>SUMIF('Diags Raw Data'!$A$6:$A$3821,"*"&amp;$A70&amp;"*",'Diags Raw Data'!$K$6:$K$3821)</f>
        <v>1</v>
      </c>
      <c r="J70" s="426">
        <f>SUMIF('Diags Raw Data'!$A$6:$A$3821,"*"&amp;$A70&amp;"*",'Diags Raw Data'!$L$6:$L$3821)</f>
        <v>3</v>
      </c>
      <c r="K70" s="445" cm="1">
        <f t="array" ref="K70">IF(D70="",0, SUMPRODUCT(--(ISNUMBER(SEARCH($A70,'Diags Raw Data'!$A$6:$A$3821))),'Diags Raw Data'!$L$6:$L$3821,'Diags Raw Data'!$N$6:$N$3821)/J70)</f>
        <v>1</v>
      </c>
      <c r="L70" s="446" cm="1">
        <f t="array" ref="L70">IF(D70="",0, SUMPRODUCT(--(ISNUMBER(SEARCH($A70,'Diags Raw Data'!$A$6:$A$3821))),'Diags Raw Data'!$L$6:$L$3821,'Diags Raw Data'!$P$6:$P$3821)/J70)</f>
        <v>1</v>
      </c>
      <c r="M70" s="447" cm="1">
        <f t="array" ref="M70">SUMPRODUCT(--(ISNUMBER(SEARCH($A70,'Diags Raw Data'!$A$6:$A$3821))),--('Diags Raw Data'!$Q$6:$Q$3821&lt;&gt;"N/A"),'Diags Raw Data'!$R$6:$R$3821)</f>
        <v>3</v>
      </c>
      <c r="N70" s="448" cm="1">
        <f t="array" ref="N70">SUMPRODUCT(--(ISNUMBER(SEARCH($A70,'Diags Raw Data'!$A$6:$A$3821))),--('Diags Raw Data'!$Q$6:$Q$3821&lt;&gt;"N/A"),'Diags Raw Data'!$T$6:$T$3821)+SUMPRODUCT(--(ISNUMBER(SEARCH($A70,'Diags Raw Data'!$A$6:$A$3821))),--('Diags Raw Data'!$Q$6:$Q$3821&lt;&gt;"N/A"),'Diags Raw Data'!$U$6:$U$3821)</f>
        <v>0</v>
      </c>
      <c r="O70" s="449">
        <f t="shared" si="8"/>
        <v>0</v>
      </c>
      <c r="P70" s="450">
        <v>0</v>
      </c>
      <c r="Q70" s="451">
        <f>SUM(SUMIF('Diags Raw Data'!$A$6:$A$3821,"*"&amp;$A70&amp;"*",'Diags Raw Data'!$AA$6:$AA$3821),SUMIF('Diags Raw Data'!$A$6:$A$3821,"*"&amp;$A70&amp;"*",'Diags Raw Data'!$AB$6:$AB$3821))</f>
        <v>0</v>
      </c>
      <c r="R70" s="452">
        <f t="shared" si="9"/>
        <v>0</v>
      </c>
      <c r="S70" s="452">
        <f t="shared" si="10"/>
        <v>0</v>
      </c>
      <c r="T70" s="453">
        <f t="shared" si="11"/>
        <v>0</v>
      </c>
      <c r="U70" s="427" t="s">
        <v>643</v>
      </c>
      <c r="V70" s="182"/>
    </row>
    <row r="71" spans="1:22" x14ac:dyDescent="0.25">
      <c r="A71" s="336" t="s">
        <v>708</v>
      </c>
      <c r="B71" s="423" t="s">
        <v>709</v>
      </c>
      <c r="C71" s="424" t="s">
        <v>280</v>
      </c>
      <c r="D71" s="425" t="str" cm="1">
        <f t="array" ref="D71">_xlfn.TEXTJOIN("",TRUE,IF(ISNUMBER(SEARCH($A71,'Diags Raw Data'!$A$6:$A$3821)),CONCATENATE('Diags Raw Data'!$H$6:$H$3821,", "),""))</f>
        <v xml:space="preserve">DSC004.201,205,209, </v>
      </c>
      <c r="E71" s="341" t="str">
        <f>VLOOKUP(A71,'Diags Raw Data'!$A$6:$D$3821,4,FALSE)</f>
        <v>DSC</v>
      </c>
      <c r="F71" s="341" t="str">
        <f>VLOOKUP(A71,'Feature Raw Data'!$A$3:$E$3998,5,FALSE)</f>
        <v>Legacy</v>
      </c>
      <c r="G71" s="341" t="str">
        <f t="shared" si="6"/>
        <v>Yes</v>
      </c>
      <c r="H71" s="341" t="str">
        <f t="shared" si="7"/>
        <v>Yes</v>
      </c>
      <c r="I71" s="424">
        <f>SUMIF('Diags Raw Data'!$A$6:$A$3821,"*"&amp;$A71&amp;"*",'Diags Raw Data'!$K$6:$K$3821)</f>
        <v>1</v>
      </c>
      <c r="J71" s="426">
        <f>SUMIF('Diags Raw Data'!$A$6:$A$3821,"*"&amp;$A71&amp;"*",'Diags Raw Data'!$L$6:$L$3821)</f>
        <v>3</v>
      </c>
      <c r="K71" s="445" cm="1">
        <f t="array" ref="K71">IF(D71="",0, SUMPRODUCT(--(ISNUMBER(SEARCH($A71,'Diags Raw Data'!$A$6:$A$3821))),'Diags Raw Data'!$L$6:$L$3821,'Diags Raw Data'!$N$6:$N$3821)/J71)</f>
        <v>1</v>
      </c>
      <c r="L71" s="446" cm="1">
        <f t="array" ref="L71">IF(D71="",0, SUMPRODUCT(--(ISNUMBER(SEARCH($A71,'Diags Raw Data'!$A$6:$A$3821))),'Diags Raw Data'!$L$6:$L$3821,'Diags Raw Data'!$P$6:$P$3821)/J71)</f>
        <v>1</v>
      </c>
      <c r="M71" s="447" cm="1">
        <f t="array" ref="M71">SUMPRODUCT(--(ISNUMBER(SEARCH($A71,'Diags Raw Data'!$A$6:$A$3821))),--('Diags Raw Data'!$Q$6:$Q$3821&lt;&gt;"N/A"),'Diags Raw Data'!$R$6:$R$3821)</f>
        <v>3</v>
      </c>
      <c r="N71" s="448" cm="1">
        <f t="array" ref="N71">SUMPRODUCT(--(ISNUMBER(SEARCH($A71,'Diags Raw Data'!$A$6:$A$3821))),--('Diags Raw Data'!$Q$6:$Q$3821&lt;&gt;"N/A"),'Diags Raw Data'!$T$6:$T$3821)+SUMPRODUCT(--(ISNUMBER(SEARCH($A71,'Diags Raw Data'!$A$6:$A$3821))),--('Diags Raw Data'!$Q$6:$Q$3821&lt;&gt;"N/A"),'Diags Raw Data'!$U$6:$U$3821)</f>
        <v>0</v>
      </c>
      <c r="O71" s="449">
        <f t="shared" si="8"/>
        <v>0</v>
      </c>
      <c r="P71" s="450">
        <v>0</v>
      </c>
      <c r="Q71" s="451">
        <f>SUM(SUMIF('Diags Raw Data'!$A$6:$A$3821,"*"&amp;$A71&amp;"*",'Diags Raw Data'!$AA$6:$AA$3821),SUMIF('Diags Raw Data'!$A$6:$A$3821,"*"&amp;$A71&amp;"*",'Diags Raw Data'!$AB$6:$AB$3821))</f>
        <v>0</v>
      </c>
      <c r="R71" s="452">
        <f t="shared" si="9"/>
        <v>0</v>
      </c>
      <c r="S71" s="452">
        <f t="shared" si="10"/>
        <v>0</v>
      </c>
      <c r="T71" s="453">
        <f t="shared" si="11"/>
        <v>0</v>
      </c>
      <c r="U71" s="427" t="s">
        <v>643</v>
      </c>
      <c r="V71" s="182"/>
    </row>
    <row r="72" spans="1:22" x14ac:dyDescent="0.25">
      <c r="A72" s="336" t="s">
        <v>710</v>
      </c>
      <c r="B72" s="423" t="s">
        <v>711</v>
      </c>
      <c r="C72" s="424" t="s">
        <v>280</v>
      </c>
      <c r="D72" s="425" t="str" cm="1">
        <f t="array" ref="D72">_xlfn.TEXTJOIN("",TRUE,IF(ISNUMBER(SEARCH($A72,'Diags Raw Data'!$A$6:$A$3821)),CONCATENATE('Diags Raw Data'!$H$6:$H$3821,", "),""))</f>
        <v/>
      </c>
      <c r="E72" s="341" t="e">
        <f>VLOOKUP(A72,'Diags Raw Data'!$A$6:$D$3821,4,FALSE)</f>
        <v>#N/A</v>
      </c>
      <c r="F72" s="341" t="str">
        <f>VLOOKUP(A72,'Feature Raw Data'!$A$3:$E$3998,5,FALSE)</f>
        <v>Legacy</v>
      </c>
      <c r="G72" s="341" t="str">
        <f t="shared" si="6"/>
        <v>No</v>
      </c>
      <c r="H72" s="341" t="str">
        <f t="shared" si="7"/>
        <v>No</v>
      </c>
      <c r="I72" s="424">
        <f>SUMIF('Diags Raw Data'!$A$6:$A$3821,"*"&amp;$A72&amp;"*",'Diags Raw Data'!$K$6:$K$3821)</f>
        <v>0</v>
      </c>
      <c r="J72" s="426">
        <f>SUMIF('Diags Raw Data'!$A$6:$A$3821,"*"&amp;$A72&amp;"*",'Diags Raw Data'!$L$6:$L$3821)</f>
        <v>0</v>
      </c>
      <c r="K72" s="445" cm="1">
        <f t="array" ref="K72">IF(D72="",0, SUMPRODUCT(--(ISNUMBER(SEARCH($A72,'Diags Raw Data'!$A$6:$A$3821))),'Diags Raw Data'!$L$6:$L$3821,'Diags Raw Data'!$N$6:$N$3821)/J72)</f>
        <v>0</v>
      </c>
      <c r="L72" s="446" cm="1">
        <f t="array" ref="L72">IF(D72="",0, SUMPRODUCT(--(ISNUMBER(SEARCH($A72,'Diags Raw Data'!$A$6:$A$3821))),'Diags Raw Data'!$L$6:$L$3821,'Diags Raw Data'!$P$6:$P$3821)/J72)</f>
        <v>0</v>
      </c>
      <c r="M72" s="447" cm="1">
        <f t="array" ref="M72">SUMPRODUCT(--(ISNUMBER(SEARCH($A72,'Diags Raw Data'!$A$6:$A$3821))),--('Diags Raw Data'!$Q$6:$Q$3821&lt;&gt;"N/A"),'Diags Raw Data'!$R$6:$R$3821)</f>
        <v>0</v>
      </c>
      <c r="N72" s="448" cm="1">
        <f t="array" ref="N72">SUMPRODUCT(--(ISNUMBER(SEARCH($A72,'Diags Raw Data'!$A$6:$A$3821))),--('Diags Raw Data'!$Q$6:$Q$3821&lt;&gt;"N/A"),'Diags Raw Data'!$T$6:$T$3821)+SUMPRODUCT(--(ISNUMBER(SEARCH($A72,'Diags Raw Data'!$A$6:$A$3821))),--('Diags Raw Data'!$Q$6:$Q$3821&lt;&gt;"N/A"),'Diags Raw Data'!$U$6:$U$3821)</f>
        <v>0</v>
      </c>
      <c r="O72" s="449">
        <f t="shared" si="8"/>
        <v>0</v>
      </c>
      <c r="P72" s="450">
        <f>SUMIF('Diags Raw Data'!$A$6:$A$3821,"*"&amp;$A72&amp;"*",'Diags Raw Data'!$Z$6:$Z$3821)</f>
        <v>0</v>
      </c>
      <c r="Q72" s="451">
        <f>SUM(SUMIF('Diags Raw Data'!$A$6:$A$3821,"*"&amp;$A72&amp;"*",'Diags Raw Data'!$AA$6:$AA$3821),SUMIF('Diags Raw Data'!$A$6:$A$3821,"*"&amp;$A72&amp;"*",'Diags Raw Data'!$AB$6:$AB$3821))</f>
        <v>0</v>
      </c>
      <c r="R72" s="452">
        <f t="shared" si="9"/>
        <v>0</v>
      </c>
      <c r="S72" s="452">
        <f t="shared" si="10"/>
        <v>0</v>
      </c>
      <c r="T72" s="453">
        <f t="shared" si="11"/>
        <v>0</v>
      </c>
      <c r="U72" s="427" t="s">
        <v>649</v>
      </c>
      <c r="V72" s="182"/>
    </row>
    <row r="73" spans="1:22" ht="30" x14ac:dyDescent="0.25">
      <c r="A73" s="336" t="s">
        <v>419</v>
      </c>
      <c r="B73" s="423" t="s">
        <v>712</v>
      </c>
      <c r="C73" s="424" t="s">
        <v>280</v>
      </c>
      <c r="D73" s="425" t="str" cm="1">
        <f t="array" ref="D73">_xlfn.TEXTJOIN("",TRUE,IF(ISNUMBER(SEARCH($A73,'Diags Raw Data'!$A$6:$A$3821)),CONCATENATE('Diags Raw Data'!$H$6:$H$3821,", "),""))</f>
        <v xml:space="preserve">ODM001.1-10,11-20, ODM003.001-008,011-018,021-024,101-104,111-114, ODM004.001-006,101-106, ODM005.1, </v>
      </c>
      <c r="E73" s="341" t="str">
        <f>VLOOKUP(A73,'Diags Raw Data'!$A$6:$D$3821,4,FALSE)</f>
        <v>ODM</v>
      </c>
      <c r="F73" s="341" t="str">
        <f>VLOOKUP(A73,'Feature Raw Data'!$A$3:$E$3998,5,FALSE)</f>
        <v>Legacy</v>
      </c>
      <c r="G73" s="341" t="str">
        <f t="shared" si="6"/>
        <v>Yes</v>
      </c>
      <c r="H73" s="341" t="str">
        <f t="shared" si="7"/>
        <v>Yes</v>
      </c>
      <c r="I73" s="424">
        <f>SUMIF('Diags Raw Data'!$A$6:$A$3821,"*"&amp;$A73&amp;"*",'Diags Raw Data'!$K$6:$K$3821)</f>
        <v>4</v>
      </c>
      <c r="J73" s="426">
        <f>SUMIF('Diags Raw Data'!$A$6:$A$3821,"*"&amp;$A73&amp;"*",'Diags Raw Data'!$L$6:$L$3821)</f>
        <v>61</v>
      </c>
      <c r="K73" s="445" cm="1">
        <f t="array" ref="K73">IF(D73="",0, SUMPRODUCT(--(ISNUMBER(SEARCH($A73,'Diags Raw Data'!$A$6:$A$3821))),'Diags Raw Data'!$L$6:$L$3821,'Diags Raw Data'!$N$6:$N$3821)/J73)</f>
        <v>1</v>
      </c>
      <c r="L73" s="446" cm="1">
        <f t="array" ref="L73">IF(D73="",0, SUMPRODUCT(--(ISNUMBER(SEARCH($A73,'Diags Raw Data'!$A$6:$A$3821))),'Diags Raw Data'!$L$6:$L$3821,'Diags Raw Data'!$P$6:$P$3821)/J73)</f>
        <v>1</v>
      </c>
      <c r="M73" s="447" cm="1">
        <f t="array" ref="M73">SUMPRODUCT(--(ISNUMBER(SEARCH($A73,'Diags Raw Data'!$A$6:$A$3821))),--('Diags Raw Data'!$Q$6:$Q$3821&lt;&gt;"N/A"),'Diags Raw Data'!$R$6:$R$3821)</f>
        <v>67</v>
      </c>
      <c r="N73" s="448" cm="1">
        <f t="array" ref="N73">SUMPRODUCT(--(ISNUMBER(SEARCH($A73,'Diags Raw Data'!$A$6:$A$3821))),--('Diags Raw Data'!$Q$6:$Q$3821&lt;&gt;"N/A"),'Diags Raw Data'!$T$6:$T$3821)+SUMPRODUCT(--(ISNUMBER(SEARCH($A73,'Diags Raw Data'!$A$6:$A$3821))),--('Diags Raw Data'!$Q$6:$Q$3821&lt;&gt;"N/A"),'Diags Raw Data'!$U$6:$U$3821)</f>
        <v>0</v>
      </c>
      <c r="O73" s="449">
        <f t="shared" si="8"/>
        <v>0</v>
      </c>
      <c r="P73" s="450">
        <f>SUMIF('Diags Raw Data'!$A$6:$A$3821,"*"&amp;$A73&amp;"*",'Diags Raw Data'!$Z$6:$Z$3821)</f>
        <v>0</v>
      </c>
      <c r="Q73" s="451">
        <f>SUM(SUMIF('Diags Raw Data'!$A$6:$A$3821,"*"&amp;$A73&amp;"*",'Diags Raw Data'!$AA$6:$AA$3821),SUMIF('Diags Raw Data'!$A$6:$A$3821,"*"&amp;$A73&amp;"*",'Diags Raw Data'!$AB$6:$AB$3821))</f>
        <v>0</v>
      </c>
      <c r="R73" s="452">
        <f t="shared" si="9"/>
        <v>0</v>
      </c>
      <c r="S73" s="452">
        <f t="shared" si="10"/>
        <v>0</v>
      </c>
      <c r="T73" s="453">
        <f t="shared" si="11"/>
        <v>0</v>
      </c>
      <c r="U73" s="427" t="s">
        <v>638</v>
      </c>
      <c r="V73" s="182"/>
    </row>
    <row r="74" spans="1:22" x14ac:dyDescent="0.25">
      <c r="A74" s="336" t="s">
        <v>713</v>
      </c>
      <c r="B74" s="423" t="s">
        <v>714</v>
      </c>
      <c r="C74" s="424" t="s">
        <v>280</v>
      </c>
      <c r="D74" s="425" t="str" cm="1">
        <f t="array" ref="D74">_xlfn.TEXTJOIN("",TRUE,IF(ISNUMBER(SEARCH($A74,'Diags Raw Data'!$A$6:$A$3821)),CONCATENATE('Diags Raw Data'!$H$6:$H$3821,", "),""))</f>
        <v xml:space="preserve">OTG017.1-3, </v>
      </c>
      <c r="E74" s="341" t="str">
        <f>VLOOKUP(A74,'Diags Raw Data'!$A$6:$D$3821,4,FALSE)</f>
        <v>OTG</v>
      </c>
      <c r="F74" s="341" t="str">
        <f>VLOOKUP(A74,'Feature Raw Data'!$A$3:$E$3998,5,FALSE)</f>
        <v>Legacy</v>
      </c>
      <c r="G74" s="341" t="str">
        <f t="shared" si="6"/>
        <v>Yes</v>
      </c>
      <c r="H74" s="341" t="str">
        <f t="shared" si="7"/>
        <v>Yes</v>
      </c>
      <c r="I74" s="424">
        <f>SUMIF('Diags Raw Data'!$A$6:$A$3821,"*"&amp;$A74&amp;"*",'Diags Raw Data'!$K$6:$K$3821)</f>
        <v>1</v>
      </c>
      <c r="J74" s="426">
        <f>SUMIF('Diags Raw Data'!$A$6:$A$3821,"*"&amp;$A74&amp;"*",'Diags Raw Data'!$L$6:$L$3821)</f>
        <v>3</v>
      </c>
      <c r="K74" s="445" cm="1">
        <f t="array" ref="K74">IF(D74="",0, SUMPRODUCT(--(ISNUMBER(SEARCH($A74,'Diags Raw Data'!$A$6:$A$3821))),'Diags Raw Data'!$L$6:$L$3821,'Diags Raw Data'!$N$6:$N$3821)/J74)</f>
        <v>1</v>
      </c>
      <c r="L74" s="446" cm="1">
        <f t="array" ref="L74">IF(D74="",0, SUMPRODUCT(--(ISNUMBER(SEARCH($A74,'Diags Raw Data'!$A$6:$A$3821))),'Diags Raw Data'!$L$6:$L$3821,'Diags Raw Data'!$P$6:$P$3821)/J74)</f>
        <v>1</v>
      </c>
      <c r="M74" s="447" cm="1">
        <f t="array" ref="M74">SUMPRODUCT(--(ISNUMBER(SEARCH($A74,'Diags Raw Data'!$A$6:$A$3821))),--('Diags Raw Data'!$Q$6:$Q$3821&lt;&gt;"N/A"),'Diags Raw Data'!$R$6:$R$3821)</f>
        <v>3</v>
      </c>
      <c r="N74" s="448" cm="1">
        <f t="array" ref="N74">SUMPRODUCT(--(ISNUMBER(SEARCH($A74,'Diags Raw Data'!$A$6:$A$3821))),--('Diags Raw Data'!$Q$6:$Q$3821&lt;&gt;"N/A"),'Diags Raw Data'!$T$6:$T$3821)+SUMPRODUCT(--(ISNUMBER(SEARCH($A74,'Diags Raw Data'!$A$6:$A$3821))),--('Diags Raw Data'!$Q$6:$Q$3821&lt;&gt;"N/A"),'Diags Raw Data'!$U$6:$U$3821)</f>
        <v>0</v>
      </c>
      <c r="O74" s="449">
        <f t="shared" si="8"/>
        <v>0</v>
      </c>
      <c r="P74" s="450">
        <v>0</v>
      </c>
      <c r="Q74" s="451">
        <f>SUM(SUMIF('Diags Raw Data'!$A$6:$A$3821,"*"&amp;$A74&amp;"*",'Diags Raw Data'!$AA$6:$AA$3821),SUMIF('Diags Raw Data'!$A$6:$A$3821,"*"&amp;$A74&amp;"*",'Diags Raw Data'!$AB$6:$AB$3821))</f>
        <v>0</v>
      </c>
      <c r="R74" s="452">
        <f t="shared" si="9"/>
        <v>0</v>
      </c>
      <c r="S74" s="452">
        <f t="shared" si="10"/>
        <v>0</v>
      </c>
      <c r="T74" s="453">
        <f t="shared" si="11"/>
        <v>0</v>
      </c>
      <c r="U74" s="427" t="s">
        <v>603</v>
      </c>
      <c r="V74" s="182"/>
    </row>
    <row r="75" spans="1:22" ht="30" x14ac:dyDescent="0.25">
      <c r="A75" s="336" t="s">
        <v>434</v>
      </c>
      <c r="B75" s="423" t="s">
        <v>715</v>
      </c>
      <c r="C75" s="424" t="s">
        <v>280</v>
      </c>
      <c r="D75" s="425" t="str" cm="1">
        <f t="array" ref="D75">_xlfn.TEXTJOIN("",TRUE,IF(ISNUMBER(SEARCH($A75,'Diags Raw Data'!$A$6:$A$3821)),CONCATENATE('Diags Raw Data'!$H$6:$H$3821,", "),""))</f>
        <v xml:space="preserve">OTG009.16-26,28-54,56-65,67-70,72-78,80-81,85,87-94,96-230,232-241, DIO220.1-4,6-7,9, DIO365.001-004,006-008, DIO366.1-2, </v>
      </c>
      <c r="E75" s="341" t="str">
        <f>VLOOKUP(A75,'Diags Raw Data'!$A$6:$D$3821,4,FALSE)</f>
        <v>OTG</v>
      </c>
      <c r="F75" s="341" t="str">
        <f>VLOOKUP(A75,'Feature Raw Data'!$A$3:$E$3998,5,FALSE)</f>
        <v>Legacy</v>
      </c>
      <c r="G75" s="341" t="str">
        <f t="shared" si="6"/>
        <v>Yes</v>
      </c>
      <c r="H75" s="341" t="str">
        <f t="shared" si="7"/>
        <v>Yes</v>
      </c>
      <c r="I75" s="424">
        <f>SUMIF('Diags Raw Data'!$A$6:$A$3821,"*"&amp;$A75&amp;"*",'Diags Raw Data'!$K$6:$K$3821)</f>
        <v>4</v>
      </c>
      <c r="J75" s="426">
        <f>SUMIF('Diags Raw Data'!$A$6:$A$3821,"*"&amp;$A75&amp;"*",'Diags Raw Data'!$L$6:$L$3821)</f>
        <v>231</v>
      </c>
      <c r="K75" s="445" cm="1">
        <f t="array" ref="K75">IF(D75="",0, SUMPRODUCT(--(ISNUMBER(SEARCH($A75,'Diags Raw Data'!$A$6:$A$3821))),'Diags Raw Data'!$L$6:$L$3821,'Diags Raw Data'!$N$6:$N$3821)/J75)</f>
        <v>1</v>
      </c>
      <c r="L75" s="446" cm="1">
        <f t="array" ref="L75">IF(D75="",0, SUMPRODUCT(--(ISNUMBER(SEARCH($A75,'Diags Raw Data'!$A$6:$A$3821))),'Diags Raw Data'!$L$6:$L$3821,'Diags Raw Data'!$P$6:$P$3821)/J75)</f>
        <v>1</v>
      </c>
      <c r="M75" s="447" cm="1">
        <f t="array" ref="M75">SUMPRODUCT(--(ISNUMBER(SEARCH($A75,'Diags Raw Data'!$A$6:$A$3821))),--('Diags Raw Data'!$Q$6:$Q$3821&lt;&gt;"N/A"),'Diags Raw Data'!$R$6:$R$3821)</f>
        <v>232</v>
      </c>
      <c r="N75" s="448" cm="1">
        <f t="array" ref="N75">SUMPRODUCT(--(ISNUMBER(SEARCH($A75,'Diags Raw Data'!$A$6:$A$3821))),--('Diags Raw Data'!$Q$6:$Q$3821&lt;&gt;"N/A"),'Diags Raw Data'!$T$6:$T$3821)+SUMPRODUCT(--(ISNUMBER(SEARCH($A75,'Diags Raw Data'!$A$6:$A$3821))),--('Diags Raw Data'!$Q$6:$Q$3821&lt;&gt;"N/A"),'Diags Raw Data'!$U$6:$U$3821)</f>
        <v>0</v>
      </c>
      <c r="O75" s="449">
        <f t="shared" si="8"/>
        <v>0</v>
      </c>
      <c r="P75" s="450">
        <v>0</v>
      </c>
      <c r="Q75" s="451">
        <f>SUM(SUMIF('Diags Raw Data'!$A$6:$A$3821,"*"&amp;$A75&amp;"*",'Diags Raw Data'!$AA$6:$AA$3821),SUMIF('Diags Raw Data'!$A$6:$A$3821,"*"&amp;$A75&amp;"*",'Diags Raw Data'!$AB$6:$AB$3821))</f>
        <v>0</v>
      </c>
      <c r="R75" s="452">
        <f t="shared" si="9"/>
        <v>0</v>
      </c>
      <c r="S75" s="452">
        <f t="shared" si="10"/>
        <v>0</v>
      </c>
      <c r="T75" s="453">
        <f t="shared" si="11"/>
        <v>0</v>
      </c>
      <c r="U75" s="427" t="s">
        <v>649</v>
      </c>
      <c r="V75" s="182"/>
    </row>
    <row r="76" spans="1:22" x14ac:dyDescent="0.25">
      <c r="A76" s="336" t="s">
        <v>500</v>
      </c>
      <c r="B76" s="423" t="s">
        <v>716</v>
      </c>
      <c r="C76" s="424" t="s">
        <v>280</v>
      </c>
      <c r="D76" s="425" t="str" cm="1">
        <f t="array" ref="D76">_xlfn.TEXTJOIN("",TRUE,IF(ISNUMBER(SEARCH($A76,'Diags Raw Data'!$A$6:$A$3821)),CONCATENATE('Diags Raw Data'!$H$6:$H$3821,", "),""))</f>
        <v xml:space="preserve">DIO367.1, DIO368.1, </v>
      </c>
      <c r="E76" s="341" t="str">
        <f>VLOOKUP(A76,'Diags Raw Data'!$A$6:$D$3821,4,FALSE)</f>
        <v>DIO</v>
      </c>
      <c r="F76" s="341" t="str">
        <f>VLOOKUP(A76,'Feature Raw Data'!$A$3:$E$3998,5,FALSE)</f>
        <v>Legacy</v>
      </c>
      <c r="G76" s="341" t="str">
        <f t="shared" si="6"/>
        <v>Yes</v>
      </c>
      <c r="H76" s="341" t="str">
        <f t="shared" si="7"/>
        <v>Yes</v>
      </c>
      <c r="I76" s="424">
        <f>SUMIF('Diags Raw Data'!$A$6:$A$3821,"*"&amp;$A76&amp;"*",'Diags Raw Data'!$K$6:$K$3821)</f>
        <v>2</v>
      </c>
      <c r="J76" s="426">
        <f>SUMIF('Diags Raw Data'!$A$6:$A$3821,"*"&amp;$A76&amp;"*",'Diags Raw Data'!$L$6:$L$3821)</f>
        <v>2</v>
      </c>
      <c r="K76" s="445" cm="1">
        <f t="array" ref="K76">IF(D76="",0, SUMPRODUCT(--(ISNUMBER(SEARCH($A76,'Diags Raw Data'!$A$6:$A$3821))),'Diags Raw Data'!$L$6:$L$3821,'Diags Raw Data'!$N$6:$N$3821)/J76)</f>
        <v>1</v>
      </c>
      <c r="L76" s="446" cm="1">
        <f t="array" ref="L76">IF(D76="",0, SUMPRODUCT(--(ISNUMBER(SEARCH($A76,'Diags Raw Data'!$A$6:$A$3821))),'Diags Raw Data'!$L$6:$L$3821,'Diags Raw Data'!$P$6:$P$3821)/J76)</f>
        <v>1</v>
      </c>
      <c r="M76" s="447" cm="1">
        <f t="array" ref="M76">SUMPRODUCT(--(ISNUMBER(SEARCH($A76,'Diags Raw Data'!$A$6:$A$3821))),--('Diags Raw Data'!$Q$6:$Q$3821&lt;&gt;"N/A"),'Diags Raw Data'!$R$6:$R$3821)</f>
        <v>2</v>
      </c>
      <c r="N76" s="448" cm="1">
        <f t="array" ref="N76">SUMPRODUCT(--(ISNUMBER(SEARCH($A76,'Diags Raw Data'!$A$6:$A$3821))),--('Diags Raw Data'!$Q$6:$Q$3821&lt;&gt;"N/A"),'Diags Raw Data'!$T$6:$T$3821)+SUMPRODUCT(--(ISNUMBER(SEARCH($A76,'Diags Raw Data'!$A$6:$A$3821))),--('Diags Raw Data'!$Q$6:$Q$3821&lt;&gt;"N/A"),'Diags Raw Data'!$U$6:$U$3821)</f>
        <v>0</v>
      </c>
      <c r="O76" s="449">
        <f t="shared" si="8"/>
        <v>0</v>
      </c>
      <c r="P76" s="450">
        <v>0</v>
      </c>
      <c r="Q76" s="451">
        <f>SUM(SUMIF('Diags Raw Data'!$A$6:$A$3821,"*"&amp;$A76&amp;"*",'Diags Raw Data'!$AA$6:$AA$3821),SUMIF('Diags Raw Data'!$A$6:$A$3821,"*"&amp;$A76&amp;"*",'Diags Raw Data'!$AB$6:$AB$3821))</f>
        <v>0</v>
      </c>
      <c r="R76" s="452">
        <f t="shared" si="9"/>
        <v>0</v>
      </c>
      <c r="S76" s="452">
        <f t="shared" si="10"/>
        <v>0</v>
      </c>
      <c r="T76" s="453">
        <f t="shared" si="11"/>
        <v>0</v>
      </c>
      <c r="U76" s="427" t="s">
        <v>649</v>
      </c>
      <c r="V76" s="182"/>
    </row>
    <row r="77" spans="1:22" x14ac:dyDescent="0.25">
      <c r="A77" s="336" t="s">
        <v>442</v>
      </c>
      <c r="B77" s="423" t="s">
        <v>717</v>
      </c>
      <c r="C77" s="424" t="s">
        <v>280</v>
      </c>
      <c r="D77" s="425" t="str" cm="1">
        <f t="array" ref="D77">_xlfn.TEXTJOIN("",TRUE,IF(ISNUMBER(SEARCH($A77,'Diags Raw Data'!$A$6:$A$3821)),CONCATENATE('Diags Raw Data'!$H$6:$H$3821,", "),""))</f>
        <v xml:space="preserve">OTG025.1-2, </v>
      </c>
      <c r="E77" s="341" t="str">
        <f>VLOOKUP(A77,'Diags Raw Data'!$A$6:$D$3821,4,FALSE)</f>
        <v>OTG</v>
      </c>
      <c r="F77" s="341" t="str">
        <f>VLOOKUP(A77,'Feature Raw Data'!$A$3:$E$3998,5,FALSE)</f>
        <v>Legacy</v>
      </c>
      <c r="G77" s="341" t="str">
        <f t="shared" si="6"/>
        <v>Yes</v>
      </c>
      <c r="H77" s="341" t="str">
        <f t="shared" si="7"/>
        <v>Yes</v>
      </c>
      <c r="I77" s="424">
        <f>SUMIF('Diags Raw Data'!$A$6:$A$3821,"*"&amp;$A77&amp;"*",'Diags Raw Data'!$K$6:$K$3821)</f>
        <v>1</v>
      </c>
      <c r="J77" s="426">
        <f>SUMIF('Diags Raw Data'!$A$6:$A$3821,"*"&amp;$A77&amp;"*",'Diags Raw Data'!$L$6:$L$3821)</f>
        <v>2</v>
      </c>
      <c r="K77" s="445" cm="1">
        <f t="array" ref="K77">IF(D77="",0, SUMPRODUCT(--(ISNUMBER(SEARCH($A77,'Diags Raw Data'!$A$6:$A$3821))),'Diags Raw Data'!$L$6:$L$3821,'Diags Raw Data'!$N$6:$N$3821)/J77)</f>
        <v>1</v>
      </c>
      <c r="L77" s="446" cm="1">
        <f t="array" ref="L77">IF(D77="",0, SUMPRODUCT(--(ISNUMBER(SEARCH($A77,'Diags Raw Data'!$A$6:$A$3821))),'Diags Raw Data'!$L$6:$L$3821,'Diags Raw Data'!$P$6:$P$3821)/J77)</f>
        <v>1</v>
      </c>
      <c r="M77" s="447" cm="1">
        <f t="array" ref="M77">SUMPRODUCT(--(ISNUMBER(SEARCH($A77,'Diags Raw Data'!$A$6:$A$3821))),--('Diags Raw Data'!$Q$6:$Q$3821&lt;&gt;"N/A"),'Diags Raw Data'!$R$6:$R$3821)</f>
        <v>2</v>
      </c>
      <c r="N77" s="448" cm="1">
        <f t="array" ref="N77">SUMPRODUCT(--(ISNUMBER(SEARCH($A77,'Diags Raw Data'!$A$6:$A$3821))),--('Diags Raw Data'!$Q$6:$Q$3821&lt;&gt;"N/A"),'Diags Raw Data'!$T$6:$T$3821)+SUMPRODUCT(--(ISNUMBER(SEARCH($A77,'Diags Raw Data'!$A$6:$A$3821))),--('Diags Raw Data'!$Q$6:$Q$3821&lt;&gt;"N/A"),'Diags Raw Data'!$U$6:$U$3821)</f>
        <v>0</v>
      </c>
      <c r="O77" s="449">
        <f t="shared" si="8"/>
        <v>0</v>
      </c>
      <c r="P77" s="450">
        <f>SUMIF('Diags Raw Data'!$A$6:$A$3821,"*"&amp;$A77&amp;"*",'Diags Raw Data'!$Z$6:$Z$3821)</f>
        <v>0</v>
      </c>
      <c r="Q77" s="451">
        <f>SUM(SUMIF('Diags Raw Data'!$A$6:$A$3821,"*"&amp;$A77&amp;"*",'Diags Raw Data'!$AA$6:$AA$3821),SUMIF('Diags Raw Data'!$A$6:$A$3821,"*"&amp;$A77&amp;"*",'Diags Raw Data'!$AB$6:$AB$3821))</f>
        <v>0</v>
      </c>
      <c r="R77" s="452">
        <f t="shared" si="9"/>
        <v>0</v>
      </c>
      <c r="S77" s="452">
        <f t="shared" si="10"/>
        <v>0</v>
      </c>
      <c r="T77" s="453">
        <f t="shared" si="11"/>
        <v>0</v>
      </c>
      <c r="U77" s="427" t="s">
        <v>649</v>
      </c>
      <c r="V77" s="182"/>
    </row>
    <row r="78" spans="1:22" x14ac:dyDescent="0.25">
      <c r="A78" s="336" t="s">
        <v>718</v>
      </c>
      <c r="B78" s="423" t="s">
        <v>719</v>
      </c>
      <c r="C78" s="424" t="s">
        <v>280</v>
      </c>
      <c r="D78" s="425" t="str" cm="1">
        <f t="array" ref="D78">_xlfn.TEXTJOIN("",TRUE,IF(ISNUMBER(SEARCH($A78,'Diags Raw Data'!$A$6:$A$3821)),CONCATENATE('Diags Raw Data'!$H$6:$H$3821,", "),""))</f>
        <v xml:space="preserve">OTG005.1-10, </v>
      </c>
      <c r="E78" s="341" t="str">
        <f>VLOOKUP(A78,'Diags Raw Data'!$A$6:$D$3821,4,FALSE)</f>
        <v>OTG</v>
      </c>
      <c r="F78" s="341" t="str">
        <f>VLOOKUP(A78,'Feature Raw Data'!$A$3:$E$3998,5,FALSE)</f>
        <v>Legacy</v>
      </c>
      <c r="G78" s="341" t="str">
        <f t="shared" si="6"/>
        <v>Yes</v>
      </c>
      <c r="H78" s="341" t="str">
        <f t="shared" si="7"/>
        <v>Yes</v>
      </c>
      <c r="I78" s="424">
        <f>SUMIF('Diags Raw Data'!$A$6:$A$3821,"*"&amp;$A78&amp;"*",'Diags Raw Data'!$K$6:$K$3821)</f>
        <v>1</v>
      </c>
      <c r="J78" s="426">
        <f>SUMIF('Diags Raw Data'!$A$6:$A$3821,"*"&amp;$A78&amp;"*",'Diags Raw Data'!$L$6:$L$3821)</f>
        <v>10</v>
      </c>
      <c r="K78" s="445" cm="1">
        <f t="array" ref="K78">IF(D78="",0, SUMPRODUCT(--(ISNUMBER(SEARCH($A78,'Diags Raw Data'!$A$6:$A$3821))),'Diags Raw Data'!$L$6:$L$3821,'Diags Raw Data'!$N$6:$N$3821)/J78)</f>
        <v>1</v>
      </c>
      <c r="L78" s="446" cm="1">
        <f t="array" ref="L78">IF(D78="",0, SUMPRODUCT(--(ISNUMBER(SEARCH($A78,'Diags Raw Data'!$A$6:$A$3821))),'Diags Raw Data'!$L$6:$L$3821,'Diags Raw Data'!$P$6:$P$3821)/J78)</f>
        <v>1</v>
      </c>
      <c r="M78" s="447" cm="1">
        <f t="array" ref="M78">SUMPRODUCT(--(ISNUMBER(SEARCH($A78,'Diags Raw Data'!$A$6:$A$3821))),--('Diags Raw Data'!$Q$6:$Q$3821&lt;&gt;"N/A"),'Diags Raw Data'!$R$6:$R$3821)</f>
        <v>10</v>
      </c>
      <c r="N78" s="448" cm="1">
        <f t="array" ref="N78">SUMPRODUCT(--(ISNUMBER(SEARCH($A78,'Diags Raw Data'!$A$6:$A$3821))),--('Diags Raw Data'!$Q$6:$Q$3821&lt;&gt;"N/A"),'Diags Raw Data'!$T$6:$T$3821)+SUMPRODUCT(--(ISNUMBER(SEARCH($A78,'Diags Raw Data'!$A$6:$A$3821))),--('Diags Raw Data'!$Q$6:$Q$3821&lt;&gt;"N/A"),'Diags Raw Data'!$U$6:$U$3821)</f>
        <v>0</v>
      </c>
      <c r="O78" s="449">
        <f t="shared" si="8"/>
        <v>0</v>
      </c>
      <c r="P78" s="450">
        <f>SUMIF('Diags Raw Data'!$A$6:$A$3821,"*"&amp;$A78&amp;"*",'Diags Raw Data'!$Z$6:$Z$3821)</f>
        <v>0</v>
      </c>
      <c r="Q78" s="451">
        <f>SUM(SUMIF('Diags Raw Data'!$A$6:$A$3821,"*"&amp;$A78&amp;"*",'Diags Raw Data'!$AA$6:$AA$3821),SUMIF('Diags Raw Data'!$A$6:$A$3821,"*"&amp;$A78&amp;"*",'Diags Raw Data'!$AB$6:$AB$3821))</f>
        <v>0</v>
      </c>
      <c r="R78" s="452">
        <f t="shared" si="9"/>
        <v>0</v>
      </c>
      <c r="S78" s="452">
        <f t="shared" si="10"/>
        <v>0</v>
      </c>
      <c r="T78" s="453">
        <f t="shared" si="11"/>
        <v>0</v>
      </c>
      <c r="U78" s="427" t="s">
        <v>613</v>
      </c>
      <c r="V78" s="182"/>
    </row>
    <row r="79" spans="1:22" ht="30" x14ac:dyDescent="0.25">
      <c r="A79" s="336" t="s">
        <v>436</v>
      </c>
      <c r="B79" s="423" t="s">
        <v>720</v>
      </c>
      <c r="C79" s="424" t="s">
        <v>280</v>
      </c>
      <c r="D79" s="425" t="str" cm="1">
        <f t="array" ref="D79">_xlfn.TEXTJOIN("",TRUE,IF(ISNUMBER(SEARCH($A79,'Diags Raw Data'!$A$6:$A$3821)),CONCATENATE('Diags Raw Data'!$H$6:$H$3821,", "),""))</f>
        <v xml:space="preserve">OTG011.101, OTG033.1, OTG804.1, OTG805.1, </v>
      </c>
      <c r="E79" s="341" t="str">
        <f>VLOOKUP(A79,'Diags Raw Data'!$A$6:$D$3821,4,FALSE)</f>
        <v>OTG</v>
      </c>
      <c r="F79" s="341" t="str">
        <f>VLOOKUP(A79,'Feature Raw Data'!$A$3:$E$3998,5,FALSE)</f>
        <v>Legacy</v>
      </c>
      <c r="G79" s="341" t="str">
        <f t="shared" si="6"/>
        <v>Yes</v>
      </c>
      <c r="H79" s="341" t="str">
        <f t="shared" si="7"/>
        <v>Yes</v>
      </c>
      <c r="I79" s="424">
        <f>SUMIF('Diags Raw Data'!$A$6:$A$3821,"*"&amp;$A79&amp;"*",'Diags Raw Data'!$K$6:$K$3821)</f>
        <v>4</v>
      </c>
      <c r="J79" s="426">
        <f>SUMIF('Diags Raw Data'!$A$6:$A$3821,"*"&amp;$A79&amp;"*",'Diags Raw Data'!$L$6:$L$3821)</f>
        <v>4</v>
      </c>
      <c r="K79" s="445" cm="1">
        <f t="array" ref="K79">IF(D79="",0, SUMPRODUCT(--(ISNUMBER(SEARCH($A79,'Diags Raw Data'!$A$6:$A$3821))),'Diags Raw Data'!$L$6:$L$3821,'Diags Raw Data'!$N$6:$N$3821)/J79)</f>
        <v>1</v>
      </c>
      <c r="L79" s="446" cm="1">
        <f t="array" ref="L79">IF(D79="",0, SUMPRODUCT(--(ISNUMBER(SEARCH($A79,'Diags Raw Data'!$A$6:$A$3821))),'Diags Raw Data'!$L$6:$L$3821,'Diags Raw Data'!$P$6:$P$3821)/J79)</f>
        <v>1</v>
      </c>
      <c r="M79" s="447" cm="1">
        <f t="array" ref="M79">SUMPRODUCT(--(ISNUMBER(SEARCH($A79,'Diags Raw Data'!$A$6:$A$3821))),--('Diags Raw Data'!$Q$6:$Q$3821&lt;&gt;"N/A"),'Diags Raw Data'!$R$6:$R$3821)</f>
        <v>4</v>
      </c>
      <c r="N79" s="448" cm="1">
        <f t="array" ref="N79">SUMPRODUCT(--(ISNUMBER(SEARCH($A79,'Diags Raw Data'!$A$6:$A$3821))),--('Diags Raw Data'!$Q$6:$Q$3821&lt;&gt;"N/A"),'Diags Raw Data'!$T$6:$T$3821)+SUMPRODUCT(--(ISNUMBER(SEARCH($A79,'Diags Raw Data'!$A$6:$A$3821))),--('Diags Raw Data'!$Q$6:$Q$3821&lt;&gt;"N/A"),'Diags Raw Data'!$U$6:$U$3821)</f>
        <v>0</v>
      </c>
      <c r="O79" s="449">
        <f t="shared" si="8"/>
        <v>0</v>
      </c>
      <c r="P79" s="450">
        <v>0</v>
      </c>
      <c r="Q79" s="451">
        <f>SUM(SUMIF('Diags Raw Data'!$A$6:$A$3821,"*"&amp;$A79&amp;"*",'Diags Raw Data'!$AA$6:$AA$3821),SUMIF('Diags Raw Data'!$A$6:$A$3821,"*"&amp;$A79&amp;"*",'Diags Raw Data'!$AB$6:$AB$3821))</f>
        <v>0</v>
      </c>
      <c r="R79" s="452">
        <f t="shared" si="9"/>
        <v>0</v>
      </c>
      <c r="S79" s="452">
        <f t="shared" si="10"/>
        <v>0</v>
      </c>
      <c r="T79" s="453">
        <f t="shared" si="11"/>
        <v>0</v>
      </c>
      <c r="U79" s="427" t="s">
        <v>47</v>
      </c>
      <c r="V79" s="182"/>
    </row>
    <row r="80" spans="1:22" x14ac:dyDescent="0.25">
      <c r="A80" s="336" t="s">
        <v>430</v>
      </c>
      <c r="B80" s="423" t="s">
        <v>721</v>
      </c>
      <c r="C80" s="424" t="s">
        <v>280</v>
      </c>
      <c r="D80" s="425" t="str" cm="1">
        <f t="array" ref="D80">_xlfn.TEXTJOIN("",TRUE,IF(ISNUMBER(SEARCH($A80,'Diags Raw Data'!$A$6:$A$3821)),CONCATENATE('Diags Raw Data'!$H$6:$H$3821,", "),""))</f>
        <v xml:space="preserve">OTG007.16-26,28-54,56-65,67-70,72-78,80-81,85,87-94,96-230,232-241, </v>
      </c>
      <c r="E80" s="341" t="str">
        <f>VLOOKUP(A80,'Diags Raw Data'!$A$6:$D$3821,4,FALSE)</f>
        <v>OTG</v>
      </c>
      <c r="F80" s="341" t="str">
        <f>VLOOKUP(A80,'Feature Raw Data'!$A$3:$E$3998,5,FALSE)</f>
        <v>Legacy</v>
      </c>
      <c r="G80" s="341" t="str">
        <f t="shared" si="6"/>
        <v>Yes</v>
      </c>
      <c r="H80" s="341" t="str">
        <f t="shared" si="7"/>
        <v>Yes</v>
      </c>
      <c r="I80" s="424">
        <f>SUMIF('Diags Raw Data'!$A$6:$A$3821,"*"&amp;$A80&amp;"*",'Diags Raw Data'!$K$6:$K$3821)</f>
        <v>1</v>
      </c>
      <c r="J80" s="426">
        <f>SUMIF('Diags Raw Data'!$A$6:$A$3821,"*"&amp;$A80&amp;"*",'Diags Raw Data'!$L$6:$L$3821)</f>
        <v>215</v>
      </c>
      <c r="K80" s="445" cm="1">
        <f t="array" ref="K80">IF(D80="",0, SUMPRODUCT(--(ISNUMBER(SEARCH($A80,'Diags Raw Data'!$A$6:$A$3821))),'Diags Raw Data'!$L$6:$L$3821,'Diags Raw Data'!$N$6:$N$3821)/J80)</f>
        <v>1</v>
      </c>
      <c r="L80" s="446" cm="1">
        <f t="array" ref="L80">IF(D80="",0, SUMPRODUCT(--(ISNUMBER(SEARCH($A80,'Diags Raw Data'!$A$6:$A$3821))),'Diags Raw Data'!$L$6:$L$3821,'Diags Raw Data'!$P$6:$P$3821)/J80)</f>
        <v>1</v>
      </c>
      <c r="M80" s="447" cm="1">
        <f t="array" ref="M80">SUMPRODUCT(--(ISNUMBER(SEARCH($A80,'Diags Raw Data'!$A$6:$A$3821))),--('Diags Raw Data'!$Q$6:$Q$3821&lt;&gt;"N/A"),'Diags Raw Data'!$R$6:$R$3821)</f>
        <v>215</v>
      </c>
      <c r="N80" s="448" cm="1">
        <f t="array" ref="N80">SUMPRODUCT(--(ISNUMBER(SEARCH($A80,'Diags Raw Data'!$A$6:$A$3821))),--('Diags Raw Data'!$Q$6:$Q$3821&lt;&gt;"N/A"),'Diags Raw Data'!$T$6:$T$3821)+SUMPRODUCT(--(ISNUMBER(SEARCH($A80,'Diags Raw Data'!$A$6:$A$3821))),--('Diags Raw Data'!$Q$6:$Q$3821&lt;&gt;"N/A"),'Diags Raw Data'!$U$6:$U$3821)</f>
        <v>0</v>
      </c>
      <c r="O80" s="449">
        <f t="shared" si="8"/>
        <v>0</v>
      </c>
      <c r="P80" s="450">
        <f>SUMIF('Diags Raw Data'!$A$6:$A$3821,"*"&amp;$A80&amp;"*",'Diags Raw Data'!$Z$6:$Z$3821)</f>
        <v>0</v>
      </c>
      <c r="Q80" s="451">
        <f>SUM(SUMIF('Diags Raw Data'!$A$6:$A$3821,"*"&amp;$A80&amp;"*",'Diags Raw Data'!$AA$6:$AA$3821),SUMIF('Diags Raw Data'!$A$6:$A$3821,"*"&amp;$A80&amp;"*",'Diags Raw Data'!$AB$6:$AB$3821))</f>
        <v>0</v>
      </c>
      <c r="R80" s="452">
        <f t="shared" si="9"/>
        <v>0</v>
      </c>
      <c r="S80" s="452">
        <f t="shared" si="10"/>
        <v>0</v>
      </c>
      <c r="T80" s="453">
        <f t="shared" si="11"/>
        <v>0</v>
      </c>
      <c r="U80" s="427" t="s">
        <v>603</v>
      </c>
      <c r="V80" s="182"/>
    </row>
    <row r="81" spans="1:22" x14ac:dyDescent="0.25">
      <c r="A81" s="336" t="s">
        <v>432</v>
      </c>
      <c r="B81" s="423" t="s">
        <v>722</v>
      </c>
      <c r="C81" s="424" t="s">
        <v>280</v>
      </c>
      <c r="D81" s="425" t="str" cm="1">
        <f t="array" ref="D81">_xlfn.TEXTJOIN("",TRUE,IF(ISNUMBER(SEARCH($A81,'Diags Raw Data'!$A$6:$A$3821)),CONCATENATE('Diags Raw Data'!$H$6:$H$3821,", "),""))</f>
        <v xml:space="preserve">OTG008.16-26,28-54,56-65,67-70,72-78,80-81,85,87-94,96-230,232-241, OTG801.1, </v>
      </c>
      <c r="E81" s="341" t="str">
        <f>VLOOKUP(A81,'Diags Raw Data'!$A$6:$D$3821,4,FALSE)</f>
        <v>OTG</v>
      </c>
      <c r="F81" s="341" t="str">
        <f>VLOOKUP(A81,'Feature Raw Data'!$A$3:$E$3998,5,FALSE)</f>
        <v>Legacy</v>
      </c>
      <c r="G81" s="341" t="str">
        <f t="shared" si="6"/>
        <v>Yes</v>
      </c>
      <c r="H81" s="341" t="str">
        <f t="shared" si="7"/>
        <v>Yes</v>
      </c>
      <c r="I81" s="424">
        <f>SUMIF('Diags Raw Data'!$A$6:$A$3821,"*"&amp;$A81&amp;"*",'Diags Raw Data'!$K$6:$K$3821)</f>
        <v>2</v>
      </c>
      <c r="J81" s="426">
        <f>SUMIF('Diags Raw Data'!$A$6:$A$3821,"*"&amp;$A81&amp;"*",'Diags Raw Data'!$L$6:$L$3821)</f>
        <v>216</v>
      </c>
      <c r="K81" s="445" cm="1">
        <f t="array" ref="K81">IF(D81="",0, SUMPRODUCT(--(ISNUMBER(SEARCH($A81,'Diags Raw Data'!$A$6:$A$3821))),'Diags Raw Data'!$L$6:$L$3821,'Diags Raw Data'!$N$6:$N$3821)/J81)</f>
        <v>1</v>
      </c>
      <c r="L81" s="446" cm="1">
        <f t="array" ref="L81">IF(D81="",0, SUMPRODUCT(--(ISNUMBER(SEARCH($A81,'Diags Raw Data'!$A$6:$A$3821))),'Diags Raw Data'!$L$6:$L$3821,'Diags Raw Data'!$P$6:$P$3821)/J81)</f>
        <v>1</v>
      </c>
      <c r="M81" s="447" cm="1">
        <f t="array" ref="M81">SUMPRODUCT(--(ISNUMBER(SEARCH($A81,'Diags Raw Data'!$A$6:$A$3821))),--('Diags Raw Data'!$Q$6:$Q$3821&lt;&gt;"N/A"),'Diags Raw Data'!$R$6:$R$3821)</f>
        <v>216</v>
      </c>
      <c r="N81" s="448" cm="1">
        <f t="array" ref="N81">SUMPRODUCT(--(ISNUMBER(SEARCH($A81,'Diags Raw Data'!$A$6:$A$3821))),--('Diags Raw Data'!$Q$6:$Q$3821&lt;&gt;"N/A"),'Diags Raw Data'!$T$6:$T$3821)+SUMPRODUCT(--(ISNUMBER(SEARCH($A81,'Diags Raw Data'!$A$6:$A$3821))),--('Diags Raw Data'!$Q$6:$Q$3821&lt;&gt;"N/A"),'Diags Raw Data'!$U$6:$U$3821)</f>
        <v>0</v>
      </c>
      <c r="O81" s="449">
        <f t="shared" si="8"/>
        <v>0</v>
      </c>
      <c r="P81" s="450">
        <f>SUMIF('Diags Raw Data'!$A$6:$A$3821,"*"&amp;$A81&amp;"*",'Diags Raw Data'!$Z$6:$Z$3821)</f>
        <v>0</v>
      </c>
      <c r="Q81" s="451">
        <f>SUM(SUMIF('Diags Raw Data'!$A$6:$A$3821,"*"&amp;$A81&amp;"*",'Diags Raw Data'!$AA$6:$AA$3821),SUMIF('Diags Raw Data'!$A$6:$A$3821,"*"&amp;$A81&amp;"*",'Diags Raw Data'!$AB$6:$AB$3821))</f>
        <v>0</v>
      </c>
      <c r="R81" s="452">
        <f t="shared" si="9"/>
        <v>0</v>
      </c>
      <c r="S81" s="452">
        <f t="shared" si="10"/>
        <v>0</v>
      </c>
      <c r="T81" s="453">
        <f t="shared" si="11"/>
        <v>0</v>
      </c>
      <c r="U81" s="427" t="s">
        <v>649</v>
      </c>
      <c r="V81" s="182"/>
    </row>
    <row r="82" spans="1:22" x14ac:dyDescent="0.25">
      <c r="A82" s="336" t="s">
        <v>438</v>
      </c>
      <c r="B82" s="423" t="s">
        <v>723</v>
      </c>
      <c r="C82" s="424" t="s">
        <v>280</v>
      </c>
      <c r="D82" s="425" t="str" cm="1">
        <f t="array" ref="D82">_xlfn.TEXTJOIN("",TRUE,IF(ISNUMBER(SEARCH($A82,'Diags Raw Data'!$A$6:$A$3821)),CONCATENATE('Diags Raw Data'!$H$6:$H$3821,", "),""))</f>
        <v xml:space="preserve">OTG013.1, </v>
      </c>
      <c r="E82" s="341" t="str">
        <f>VLOOKUP(A82,'Diags Raw Data'!$A$6:$D$3821,4,FALSE)</f>
        <v>OTG</v>
      </c>
      <c r="F82" s="341" t="str">
        <f>VLOOKUP(A82,'Feature Raw Data'!$A$3:$E$3998,5,FALSE)</f>
        <v>Legacy</v>
      </c>
      <c r="G82" s="341" t="str">
        <f t="shared" si="6"/>
        <v>Yes</v>
      </c>
      <c r="H82" s="341" t="str">
        <f t="shared" si="7"/>
        <v>Yes</v>
      </c>
      <c r="I82" s="424">
        <f>SUMIF('Diags Raw Data'!$A$6:$A$3821,"*"&amp;$A82&amp;"*",'Diags Raw Data'!$K$6:$K$3821)</f>
        <v>1</v>
      </c>
      <c r="J82" s="426">
        <f>SUMIF('Diags Raw Data'!$A$6:$A$3821,"*"&amp;$A82&amp;"*",'Diags Raw Data'!$L$6:$L$3821)</f>
        <v>1</v>
      </c>
      <c r="K82" s="445" cm="1">
        <f t="array" ref="K82">IF(D82="",0, SUMPRODUCT(--(ISNUMBER(SEARCH($A82,'Diags Raw Data'!$A$6:$A$3821))),'Diags Raw Data'!$L$6:$L$3821,'Diags Raw Data'!$N$6:$N$3821)/J82)</f>
        <v>1</v>
      </c>
      <c r="L82" s="446" cm="1">
        <f t="array" ref="L82">IF(D82="",0, SUMPRODUCT(--(ISNUMBER(SEARCH($A82,'Diags Raw Data'!$A$6:$A$3821))),'Diags Raw Data'!$L$6:$L$3821,'Diags Raw Data'!$P$6:$P$3821)/J82)</f>
        <v>1</v>
      </c>
      <c r="M82" s="447" cm="1">
        <f t="array" ref="M82">SUMPRODUCT(--(ISNUMBER(SEARCH($A82,'Diags Raw Data'!$A$6:$A$3821))),--('Diags Raw Data'!$Q$6:$Q$3821&lt;&gt;"N/A"),'Diags Raw Data'!$R$6:$R$3821)</f>
        <v>1</v>
      </c>
      <c r="N82" s="448" cm="1">
        <f t="array" ref="N82">SUMPRODUCT(--(ISNUMBER(SEARCH($A82,'Diags Raw Data'!$A$6:$A$3821))),--('Diags Raw Data'!$Q$6:$Q$3821&lt;&gt;"N/A"),'Diags Raw Data'!$T$6:$T$3821)+SUMPRODUCT(--(ISNUMBER(SEARCH($A82,'Diags Raw Data'!$A$6:$A$3821))),--('Diags Raw Data'!$Q$6:$Q$3821&lt;&gt;"N/A"),'Diags Raw Data'!$U$6:$U$3821)</f>
        <v>0</v>
      </c>
      <c r="O82" s="449">
        <f t="shared" si="8"/>
        <v>0</v>
      </c>
      <c r="P82" s="450">
        <f>SUMIF('Diags Raw Data'!$A$6:$A$3821,"*"&amp;$A82&amp;"*",'Diags Raw Data'!$Z$6:$Z$3821)</f>
        <v>0</v>
      </c>
      <c r="Q82" s="451">
        <f>SUM(SUMIF('Diags Raw Data'!$A$6:$A$3821,"*"&amp;$A82&amp;"*",'Diags Raw Data'!$AA$6:$AA$3821),SUMIF('Diags Raw Data'!$A$6:$A$3821,"*"&amp;$A82&amp;"*",'Diags Raw Data'!$AB$6:$AB$3821))</f>
        <v>0</v>
      </c>
      <c r="R82" s="452">
        <f t="shared" si="9"/>
        <v>0</v>
      </c>
      <c r="S82" s="452">
        <f t="shared" si="10"/>
        <v>0</v>
      </c>
      <c r="T82" s="453">
        <f t="shared" si="11"/>
        <v>0</v>
      </c>
      <c r="U82" s="427" t="s">
        <v>638</v>
      </c>
      <c r="V82" s="182"/>
    </row>
    <row r="83" spans="1:22" ht="30" x14ac:dyDescent="0.25">
      <c r="A83" s="336" t="s">
        <v>454</v>
      </c>
      <c r="B83" s="423" t="s">
        <v>724</v>
      </c>
      <c r="C83" s="424" t="s">
        <v>280</v>
      </c>
      <c r="D83" s="425" t="str" cm="1">
        <f t="array" ref="D83">_xlfn.TEXTJOIN("",TRUE,IF(ISNUMBER(SEARCH($A83,'Diags Raw Data'!$A$6:$A$3821)),CONCATENATE('Diags Raw Data'!$H$6:$H$3821,", "),""))</f>
        <v xml:space="preserve">OTG800.1-2, OTG801.1, OTG809.1-2, OTG810.1, </v>
      </c>
      <c r="E83" s="341" t="str">
        <f>VLOOKUP(A83,'Diags Raw Data'!$A$6:$D$3821,4,FALSE)</f>
        <v>OTG</v>
      </c>
      <c r="F83" s="341" t="str">
        <f>VLOOKUP(A83,'Feature Raw Data'!$A$3:$E$3998,5,FALSE)</f>
        <v>Legacy</v>
      </c>
      <c r="G83" s="341" t="str">
        <f t="shared" si="6"/>
        <v>Yes</v>
      </c>
      <c r="H83" s="341" t="str">
        <f t="shared" si="7"/>
        <v>Yes</v>
      </c>
      <c r="I83" s="424">
        <f>SUMIF('Diags Raw Data'!$A$6:$A$3821,"*"&amp;$A83&amp;"*",'Diags Raw Data'!$K$6:$K$3821)</f>
        <v>4</v>
      </c>
      <c r="J83" s="426">
        <f>SUMIF('Diags Raw Data'!$A$6:$A$3821,"*"&amp;$A83&amp;"*",'Diags Raw Data'!$L$6:$L$3821)</f>
        <v>6</v>
      </c>
      <c r="K83" s="445" cm="1">
        <f t="array" ref="K83">IF(D83="",0, SUMPRODUCT(--(ISNUMBER(SEARCH($A83,'Diags Raw Data'!$A$6:$A$3821))),'Diags Raw Data'!$L$6:$L$3821,'Diags Raw Data'!$N$6:$N$3821)/J83)</f>
        <v>1</v>
      </c>
      <c r="L83" s="446" cm="1">
        <f t="array" ref="L83">IF(D83="",0, SUMPRODUCT(--(ISNUMBER(SEARCH($A83,'Diags Raw Data'!$A$6:$A$3821))),'Diags Raw Data'!$L$6:$L$3821,'Diags Raw Data'!$P$6:$P$3821)/J83)</f>
        <v>1</v>
      </c>
      <c r="M83" s="447" cm="1">
        <f t="array" ref="M83">SUMPRODUCT(--(ISNUMBER(SEARCH($A83,'Diags Raw Data'!$A$6:$A$3821))),--('Diags Raw Data'!$Q$6:$Q$3821&lt;&gt;"N/A"),'Diags Raw Data'!$R$6:$R$3821)</f>
        <v>6</v>
      </c>
      <c r="N83" s="448" cm="1">
        <f t="array" ref="N83">SUMPRODUCT(--(ISNUMBER(SEARCH($A83,'Diags Raw Data'!$A$6:$A$3821))),--('Diags Raw Data'!$Q$6:$Q$3821&lt;&gt;"N/A"),'Diags Raw Data'!$T$6:$T$3821)+SUMPRODUCT(--(ISNUMBER(SEARCH($A83,'Diags Raw Data'!$A$6:$A$3821))),--('Diags Raw Data'!$Q$6:$Q$3821&lt;&gt;"N/A"),'Diags Raw Data'!$U$6:$U$3821)</f>
        <v>0</v>
      </c>
      <c r="O83" s="449">
        <f t="shared" si="8"/>
        <v>0</v>
      </c>
      <c r="P83" s="450">
        <f>SUMIF('Diags Raw Data'!$A$6:$A$3821,"*"&amp;$A83&amp;"*",'Diags Raw Data'!$Z$6:$Z$3821)</f>
        <v>0</v>
      </c>
      <c r="Q83" s="451">
        <f>SUM(SUMIF('Diags Raw Data'!$A$6:$A$3821,"*"&amp;$A83&amp;"*",'Diags Raw Data'!$AA$6:$AA$3821),SUMIF('Diags Raw Data'!$A$6:$A$3821,"*"&amp;$A83&amp;"*",'Diags Raw Data'!$AB$6:$AB$3821))</f>
        <v>0</v>
      </c>
      <c r="R83" s="452">
        <f t="shared" si="9"/>
        <v>0</v>
      </c>
      <c r="S83" s="452">
        <f t="shared" si="10"/>
        <v>0</v>
      </c>
      <c r="T83" s="453">
        <f t="shared" si="11"/>
        <v>0</v>
      </c>
      <c r="U83" s="427" t="s">
        <v>613</v>
      </c>
      <c r="V83" s="182"/>
    </row>
    <row r="84" spans="1:22" x14ac:dyDescent="0.25">
      <c r="A84" s="336" t="s">
        <v>444</v>
      </c>
      <c r="B84" s="423" t="s">
        <v>725</v>
      </c>
      <c r="C84" s="424" t="s">
        <v>280</v>
      </c>
      <c r="D84" s="425" t="str" cm="1">
        <f t="array" ref="D84">_xlfn.TEXTJOIN("",TRUE,IF(ISNUMBER(SEARCH($A84,'Diags Raw Data'!$A$6:$A$3821)),CONCATENATE('Diags Raw Data'!$H$6:$H$3821,", "),""))</f>
        <v xml:space="preserve">OTG026.1-2, </v>
      </c>
      <c r="E84" s="341" t="str">
        <f>VLOOKUP(A84,'Diags Raw Data'!$A$6:$D$3821,4,FALSE)</f>
        <v>OTG</v>
      </c>
      <c r="F84" s="341" t="str">
        <f>VLOOKUP(A84,'Feature Raw Data'!$A$3:$E$3998,5,FALSE)</f>
        <v>Legacy</v>
      </c>
      <c r="G84" s="341" t="str">
        <f t="shared" si="6"/>
        <v>Yes</v>
      </c>
      <c r="H84" s="341" t="str">
        <f t="shared" si="7"/>
        <v>Yes</v>
      </c>
      <c r="I84" s="424">
        <f>SUMIF('Diags Raw Data'!$A$6:$A$3821,"*"&amp;$A84&amp;"*",'Diags Raw Data'!$K$6:$K$3821)</f>
        <v>1</v>
      </c>
      <c r="J84" s="426">
        <f>SUMIF('Diags Raw Data'!$A$6:$A$3821,"*"&amp;$A84&amp;"*",'Diags Raw Data'!$L$6:$L$3821)</f>
        <v>2</v>
      </c>
      <c r="K84" s="445" cm="1">
        <f t="array" ref="K84">IF(D84="",0, SUMPRODUCT(--(ISNUMBER(SEARCH($A84,'Diags Raw Data'!$A$6:$A$3821))),'Diags Raw Data'!$L$6:$L$3821,'Diags Raw Data'!$N$6:$N$3821)/J84)</f>
        <v>1</v>
      </c>
      <c r="L84" s="446" cm="1">
        <f t="array" ref="L84">IF(D84="",0, SUMPRODUCT(--(ISNUMBER(SEARCH($A84,'Diags Raw Data'!$A$6:$A$3821))),'Diags Raw Data'!$L$6:$L$3821,'Diags Raw Data'!$P$6:$P$3821)/J84)</f>
        <v>1</v>
      </c>
      <c r="M84" s="447" cm="1">
        <f t="array" ref="M84">SUMPRODUCT(--(ISNUMBER(SEARCH($A84,'Diags Raw Data'!$A$6:$A$3821))),--('Diags Raw Data'!$Q$6:$Q$3821&lt;&gt;"N/A"),'Diags Raw Data'!$R$6:$R$3821)</f>
        <v>2</v>
      </c>
      <c r="N84" s="448" cm="1">
        <f t="array" ref="N84">SUMPRODUCT(--(ISNUMBER(SEARCH($A84,'Diags Raw Data'!$A$6:$A$3821))),--('Diags Raw Data'!$Q$6:$Q$3821&lt;&gt;"N/A"),'Diags Raw Data'!$T$6:$T$3821)+SUMPRODUCT(--(ISNUMBER(SEARCH($A84,'Diags Raw Data'!$A$6:$A$3821))),--('Diags Raw Data'!$Q$6:$Q$3821&lt;&gt;"N/A"),'Diags Raw Data'!$U$6:$U$3821)</f>
        <v>0</v>
      </c>
      <c r="O84" s="449">
        <f t="shared" si="8"/>
        <v>0</v>
      </c>
      <c r="P84" s="450">
        <f>SUMIF('Diags Raw Data'!$A$6:$A$3821,"*"&amp;$A84&amp;"*",'Diags Raw Data'!$Z$6:$Z$3821)</f>
        <v>0</v>
      </c>
      <c r="Q84" s="451">
        <f>SUM(SUMIF('Diags Raw Data'!$A$6:$A$3821,"*"&amp;$A84&amp;"*",'Diags Raw Data'!$AA$6:$AA$3821),SUMIF('Diags Raw Data'!$A$6:$A$3821,"*"&amp;$A84&amp;"*",'Diags Raw Data'!$AB$6:$AB$3821))</f>
        <v>0</v>
      </c>
      <c r="R84" s="452">
        <f t="shared" si="9"/>
        <v>0</v>
      </c>
      <c r="S84" s="452">
        <f t="shared" si="10"/>
        <v>0</v>
      </c>
      <c r="T84" s="453">
        <f t="shared" si="11"/>
        <v>0</v>
      </c>
      <c r="U84" s="427" t="s">
        <v>649</v>
      </c>
      <c r="V84" s="182"/>
    </row>
    <row r="85" spans="1:22" x14ac:dyDescent="0.25">
      <c r="A85" s="336" t="s">
        <v>726</v>
      </c>
      <c r="B85" s="423" t="s">
        <v>727</v>
      </c>
      <c r="C85" s="424" t="s">
        <v>280</v>
      </c>
      <c r="D85" s="425" t="str" cm="1">
        <f t="array" ref="D85">_xlfn.TEXTJOIN("",TRUE,IF(ISNUMBER(SEARCH($A85,'Diags Raw Data'!$A$6:$A$3821)),CONCATENATE('Diags Raw Data'!$H$6:$H$3821,", "),""))</f>
        <v xml:space="preserve">OTG017.1-3, </v>
      </c>
      <c r="E85" s="341" t="str">
        <f>VLOOKUP(A85,'Diags Raw Data'!$A$6:$D$3821,4,FALSE)</f>
        <v>OTG</v>
      </c>
      <c r="F85" s="341" t="str">
        <f>VLOOKUP(A85,'Feature Raw Data'!$A$3:$E$3998,5,FALSE)</f>
        <v>Legacy</v>
      </c>
      <c r="G85" s="341" t="str">
        <f t="shared" si="6"/>
        <v>Yes</v>
      </c>
      <c r="H85" s="341" t="str">
        <f t="shared" si="7"/>
        <v>Yes</v>
      </c>
      <c r="I85" s="424">
        <f>SUMIF('Diags Raw Data'!$A$6:$A$3821,"*"&amp;$A85&amp;"*",'Diags Raw Data'!$K$6:$K$3821)</f>
        <v>1</v>
      </c>
      <c r="J85" s="426">
        <f>SUMIF('Diags Raw Data'!$A$6:$A$3821,"*"&amp;$A85&amp;"*",'Diags Raw Data'!$L$6:$L$3821)</f>
        <v>3</v>
      </c>
      <c r="K85" s="445" cm="1">
        <f t="array" ref="K85">IF(D85="",0, SUMPRODUCT(--(ISNUMBER(SEARCH($A85,'Diags Raw Data'!$A$6:$A$3821))),'Diags Raw Data'!$L$6:$L$3821,'Diags Raw Data'!$N$6:$N$3821)/J85)</f>
        <v>1</v>
      </c>
      <c r="L85" s="446" cm="1">
        <f t="array" ref="L85">IF(D85="",0, SUMPRODUCT(--(ISNUMBER(SEARCH($A85,'Diags Raw Data'!$A$6:$A$3821))),'Diags Raw Data'!$L$6:$L$3821,'Diags Raw Data'!$P$6:$P$3821)/J85)</f>
        <v>1</v>
      </c>
      <c r="M85" s="447" cm="1">
        <f t="array" ref="M85">SUMPRODUCT(--(ISNUMBER(SEARCH($A85,'Diags Raw Data'!$A$6:$A$3821))),--('Diags Raw Data'!$Q$6:$Q$3821&lt;&gt;"N/A"),'Diags Raw Data'!$R$6:$R$3821)</f>
        <v>3</v>
      </c>
      <c r="N85" s="448" cm="1">
        <f t="array" ref="N85">SUMPRODUCT(--(ISNUMBER(SEARCH($A85,'Diags Raw Data'!$A$6:$A$3821))),--('Diags Raw Data'!$Q$6:$Q$3821&lt;&gt;"N/A"),'Diags Raw Data'!$T$6:$T$3821)+SUMPRODUCT(--(ISNUMBER(SEARCH($A85,'Diags Raw Data'!$A$6:$A$3821))),--('Diags Raw Data'!$Q$6:$Q$3821&lt;&gt;"N/A"),'Diags Raw Data'!$U$6:$U$3821)</f>
        <v>0</v>
      </c>
      <c r="O85" s="449">
        <f t="shared" si="8"/>
        <v>0</v>
      </c>
      <c r="P85" s="450">
        <v>0</v>
      </c>
      <c r="Q85" s="451">
        <f>SUM(SUMIF('Diags Raw Data'!$A$6:$A$3821,"*"&amp;$A85&amp;"*",'Diags Raw Data'!$AA$6:$AA$3821),SUMIF('Diags Raw Data'!$A$6:$A$3821,"*"&amp;$A85&amp;"*",'Diags Raw Data'!$AB$6:$AB$3821))</f>
        <v>0</v>
      </c>
      <c r="R85" s="452">
        <f t="shared" si="9"/>
        <v>0</v>
      </c>
      <c r="S85" s="452">
        <f t="shared" si="10"/>
        <v>0</v>
      </c>
      <c r="T85" s="453">
        <f t="shared" si="11"/>
        <v>0</v>
      </c>
      <c r="U85" s="427" t="s">
        <v>649</v>
      </c>
      <c r="V85" s="182"/>
    </row>
    <row r="86" spans="1:22" x14ac:dyDescent="0.25">
      <c r="A86" s="336" t="s">
        <v>440</v>
      </c>
      <c r="B86" s="423" t="s">
        <v>728</v>
      </c>
      <c r="C86" s="424" t="s">
        <v>280</v>
      </c>
      <c r="D86" s="425" t="str" cm="1">
        <f t="array" ref="D86">_xlfn.TEXTJOIN("",TRUE,IF(ISNUMBER(SEARCH($A86,'Diags Raw Data'!$A$6:$A$3821)),CONCATENATE('Diags Raw Data'!$H$6:$H$3821,", "),""))</f>
        <v xml:space="preserve">OTG014.1-199, </v>
      </c>
      <c r="E86" s="341" t="str">
        <f>VLOOKUP(A86,'Diags Raw Data'!$A$6:$D$3821,4,FALSE)</f>
        <v>OTG</v>
      </c>
      <c r="F86" s="341" t="str">
        <f>VLOOKUP(A86,'Feature Raw Data'!$A$3:$E$3998,5,FALSE)</f>
        <v>Legacy</v>
      </c>
      <c r="G86" s="341" t="str">
        <f t="shared" si="6"/>
        <v>Yes</v>
      </c>
      <c r="H86" s="341" t="str">
        <f t="shared" si="7"/>
        <v>Yes</v>
      </c>
      <c r="I86" s="424">
        <f>SUMIF('Diags Raw Data'!$A$6:$A$3821,"*"&amp;$A86&amp;"*",'Diags Raw Data'!$K$6:$K$3821)</f>
        <v>1</v>
      </c>
      <c r="J86" s="426">
        <f>SUMIF('Diags Raw Data'!$A$6:$A$3821,"*"&amp;$A86&amp;"*",'Diags Raw Data'!$L$6:$L$3821)</f>
        <v>199</v>
      </c>
      <c r="K86" s="445" cm="1">
        <f t="array" ref="K86">IF(D86="",0, SUMPRODUCT(--(ISNUMBER(SEARCH($A86,'Diags Raw Data'!$A$6:$A$3821))),'Diags Raw Data'!$L$6:$L$3821,'Diags Raw Data'!$N$6:$N$3821)/J86)</f>
        <v>1</v>
      </c>
      <c r="L86" s="446" cm="1">
        <f t="array" ref="L86">IF(D86="",0, SUMPRODUCT(--(ISNUMBER(SEARCH($A86,'Diags Raw Data'!$A$6:$A$3821))),'Diags Raw Data'!$L$6:$L$3821,'Diags Raw Data'!$P$6:$P$3821)/J86)</f>
        <v>1</v>
      </c>
      <c r="M86" s="447" cm="1">
        <f t="array" ref="M86">SUMPRODUCT(--(ISNUMBER(SEARCH($A86,'Diags Raw Data'!$A$6:$A$3821))),--('Diags Raw Data'!$Q$6:$Q$3821&lt;&gt;"N/A"),'Diags Raw Data'!$R$6:$R$3821)</f>
        <v>199</v>
      </c>
      <c r="N86" s="448" cm="1">
        <f t="array" ref="N86">SUMPRODUCT(--(ISNUMBER(SEARCH($A86,'Diags Raw Data'!$A$6:$A$3821))),--('Diags Raw Data'!$Q$6:$Q$3821&lt;&gt;"N/A"),'Diags Raw Data'!$T$6:$T$3821)+SUMPRODUCT(--(ISNUMBER(SEARCH($A86,'Diags Raw Data'!$A$6:$A$3821))),--('Diags Raw Data'!$Q$6:$Q$3821&lt;&gt;"N/A"),'Diags Raw Data'!$U$6:$U$3821)</f>
        <v>0</v>
      </c>
      <c r="O86" s="449">
        <f t="shared" si="8"/>
        <v>0</v>
      </c>
      <c r="P86" s="450">
        <f>SUMIF('Diags Raw Data'!$A$6:$A$3821,"*"&amp;$A86&amp;"*",'Diags Raw Data'!$Z$6:$Z$3821)</f>
        <v>0</v>
      </c>
      <c r="Q86" s="451">
        <f>SUM(SUMIF('Diags Raw Data'!$A$6:$A$3821,"*"&amp;$A86&amp;"*",'Diags Raw Data'!$AA$6:$AA$3821),SUMIF('Diags Raw Data'!$A$6:$A$3821,"*"&amp;$A86&amp;"*",'Diags Raw Data'!$AB$6:$AB$3821))</f>
        <v>0</v>
      </c>
      <c r="R86" s="452">
        <f t="shared" si="9"/>
        <v>0</v>
      </c>
      <c r="S86" s="452">
        <f t="shared" si="10"/>
        <v>0</v>
      </c>
      <c r="T86" s="453">
        <f t="shared" si="11"/>
        <v>0</v>
      </c>
      <c r="U86" s="427" t="s">
        <v>649</v>
      </c>
      <c r="V86" s="182"/>
    </row>
    <row r="87" spans="1:22" ht="105" x14ac:dyDescent="0.25">
      <c r="A87" s="336" t="s">
        <v>463</v>
      </c>
      <c r="B87" s="423" t="s">
        <v>491</v>
      </c>
      <c r="C87" s="424" t="s">
        <v>280</v>
      </c>
      <c r="D87" s="425" t="str" cm="1">
        <f t="array" ref="D87">_xlfn.TEXTJOIN("",TRUE,IF(ISNUMBER(SEARCH($A87,'Diags Raw Data'!$A$6:$A$3821)),CONCATENATE('Diags Raw Data'!$H$6:$H$3821,", "),""))</f>
        <v xml:space="preserve">DIO220.1-4,6-7,9, DIO221.1-6, DIO217.001-003,007,011-025,029-043,047-070,074-92,99-116, DIO224.1-12, DIO225.1-12, DIO226.1-6, DIO227.1-12, DIO228.1-16, DIO229.1-16, DIO230.1-16, DIO231.1-16, DIO232.1-16, DIO233.1-2, DIO234.1-8, DIO235, DIO236.003,004,007,008,011,012,015,016,019,020,023,024,027,028,031,032,035,036,039,040,043,044,047,048,051,052,055,056, DIO237.003,004,007,008,011,012,015,016,019,020,023,024,027,028,031,032,035,036,039,040,043,044,047,048,051,052,055,056, DIO238.1-4, DIO240.1-4, DIO242, DIO253.1-24, </v>
      </c>
      <c r="E87" s="341" t="str">
        <f>VLOOKUP(A87,'Diags Raw Data'!$A$6:$D$3821,4,FALSE)</f>
        <v>DIO</v>
      </c>
      <c r="F87" s="341" t="str">
        <f>VLOOKUP(A87,'Feature Raw Data'!$A$3:$E$3998,5,FALSE)</f>
        <v>Legacy</v>
      </c>
      <c r="G87" s="341" t="str">
        <f t="shared" si="6"/>
        <v>Yes</v>
      </c>
      <c r="H87" s="341" t="str">
        <f t="shared" si="7"/>
        <v>Yes</v>
      </c>
      <c r="I87" s="424">
        <f>SUMIF('Diags Raw Data'!$A$6:$A$3821,"*"&amp;$A87&amp;"*",'Diags Raw Data'!$K$6:$K$3821)</f>
        <v>21</v>
      </c>
      <c r="J87" s="426">
        <f>SUMIF('Diags Raw Data'!$A$6:$A$3821,"*"&amp;$A87&amp;"*",'Diags Raw Data'!$L$6:$L$3821)</f>
        <v>330</v>
      </c>
      <c r="K87" s="445" cm="1">
        <f t="array" ref="K87">IF(D87="",0, SUMPRODUCT(--(ISNUMBER(SEARCH($A87,'Diags Raw Data'!$A$6:$A$3821))),'Diags Raw Data'!$L$6:$L$3821,'Diags Raw Data'!$N$6:$N$3821)/J87)</f>
        <v>1</v>
      </c>
      <c r="L87" s="446" cm="1">
        <f t="array" ref="L87">IF(D87="",0, SUMPRODUCT(--(ISNUMBER(SEARCH($A87,'Diags Raw Data'!$A$6:$A$3821))),'Diags Raw Data'!$L$6:$L$3821,'Diags Raw Data'!$P$6:$P$3821)/J87)</f>
        <v>1</v>
      </c>
      <c r="M87" s="447" cm="1">
        <f t="array" ref="M87">SUMPRODUCT(--(ISNUMBER(SEARCH($A87,'Diags Raw Data'!$A$6:$A$3821))),--('Diags Raw Data'!$Q$6:$Q$3821&lt;&gt;"N/A"),'Diags Raw Data'!$R$6:$R$3821)</f>
        <v>328</v>
      </c>
      <c r="N87" s="448" cm="1">
        <f t="array" ref="N87">SUMPRODUCT(--(ISNUMBER(SEARCH($A87,'Diags Raw Data'!$A$6:$A$3821))),--('Diags Raw Data'!$Q$6:$Q$3821&lt;&gt;"N/A"),'Diags Raw Data'!$T$6:$T$3821)+SUMPRODUCT(--(ISNUMBER(SEARCH($A87,'Diags Raw Data'!$A$6:$A$3821))),--('Diags Raw Data'!$Q$6:$Q$3821&lt;&gt;"N/A"),'Diags Raw Data'!$U$6:$U$3821)</f>
        <v>0</v>
      </c>
      <c r="O87" s="449">
        <f t="shared" si="8"/>
        <v>0</v>
      </c>
      <c r="P87" s="450">
        <v>0</v>
      </c>
      <c r="Q87" s="451">
        <f>SUM(SUMIF('Diags Raw Data'!$A$6:$A$3821,"*"&amp;$A87&amp;"*",'Diags Raw Data'!$AA$6:$AA$3821),SUMIF('Diags Raw Data'!$A$6:$A$3821,"*"&amp;$A87&amp;"*",'Diags Raw Data'!$AB$6:$AB$3821))</f>
        <v>0</v>
      </c>
      <c r="R87" s="452">
        <f t="shared" si="9"/>
        <v>0</v>
      </c>
      <c r="S87" s="452">
        <f t="shared" si="10"/>
        <v>0</v>
      </c>
      <c r="T87" s="453">
        <f t="shared" si="11"/>
        <v>0</v>
      </c>
      <c r="U87" s="427" t="s">
        <v>613</v>
      </c>
      <c r="V87" s="182"/>
    </row>
    <row r="88" spans="1:22" x14ac:dyDescent="0.25">
      <c r="A88" s="336" t="s">
        <v>729</v>
      </c>
      <c r="B88" s="423" t="s">
        <v>730</v>
      </c>
      <c r="C88" s="424" t="s">
        <v>280</v>
      </c>
      <c r="D88" s="425" t="str" cm="1">
        <f t="array" ref="D88">_xlfn.TEXTJOIN("",TRUE,IF(ISNUMBER(SEARCH($A88,'Diags Raw Data'!$A$6:$A$3821)),CONCATENATE('Diags Raw Data'!$H$6:$H$3821,", "),""))</f>
        <v xml:space="preserve">DIO620.1-12,101-109,201-210,301-310,401-410,507-510,512,607-610,612-613,707-710,712-713, </v>
      </c>
      <c r="E88" s="341" t="str">
        <f>VLOOKUP(A88,'Diags Raw Data'!$A$6:$D$3821,4,FALSE)</f>
        <v>DIO</v>
      </c>
      <c r="F88" s="341" t="str">
        <f>VLOOKUP(A88,'Feature Raw Data'!$A$3:$E$3998,5,FALSE)</f>
        <v>Legacy</v>
      </c>
      <c r="G88" s="341" t="str">
        <f t="shared" si="6"/>
        <v>Yes</v>
      </c>
      <c r="H88" s="341" t="str">
        <f t="shared" si="7"/>
        <v>Yes</v>
      </c>
      <c r="I88" s="424">
        <f>SUMIF('Diags Raw Data'!$A$6:$A$3821,"*"&amp;$A88&amp;"*",'Diags Raw Data'!$K$6:$K$3821)</f>
        <v>63</v>
      </c>
      <c r="J88" s="426">
        <f>SUMIF('Diags Raw Data'!$A$6:$A$3821,"*"&amp;$A88&amp;"*",'Diags Raw Data'!$L$6:$L$3821)</f>
        <v>63</v>
      </c>
      <c r="K88" s="445" cm="1">
        <f t="array" ref="K88">IF(D88="",0, SUMPRODUCT(--(ISNUMBER(SEARCH($A88,'Diags Raw Data'!$A$6:$A$3821))),'Diags Raw Data'!$L$6:$L$3821,'Diags Raw Data'!$N$6:$N$3821)/J88)</f>
        <v>1</v>
      </c>
      <c r="L88" s="446" cm="1">
        <f t="array" ref="L88">IF(D88="",0, SUMPRODUCT(--(ISNUMBER(SEARCH($A88,'Diags Raw Data'!$A$6:$A$3821))),'Diags Raw Data'!$L$6:$L$3821,'Diags Raw Data'!$P$6:$P$3821)/J88)</f>
        <v>1</v>
      </c>
      <c r="M88" s="447" cm="1">
        <f t="array" ref="M88">SUMPRODUCT(--(ISNUMBER(SEARCH($A88,'Diags Raw Data'!$A$6:$A$3821))),--('Diags Raw Data'!$Q$6:$Q$3821&lt;&gt;"N/A"),'Diags Raw Data'!$R$6:$R$3821)</f>
        <v>63</v>
      </c>
      <c r="N88" s="448" cm="1">
        <f t="array" ref="N88">SUMPRODUCT(--(ISNUMBER(SEARCH($A88,'Diags Raw Data'!$A$6:$A$3821))),--('Diags Raw Data'!$Q$6:$Q$3821&lt;&gt;"N/A"),'Diags Raw Data'!$T$6:$T$3821)+SUMPRODUCT(--(ISNUMBER(SEARCH($A88,'Diags Raw Data'!$A$6:$A$3821))),--('Diags Raw Data'!$Q$6:$Q$3821&lt;&gt;"N/A"),'Diags Raw Data'!$U$6:$U$3821)</f>
        <v>0</v>
      </c>
      <c r="O88" s="449">
        <f t="shared" si="8"/>
        <v>0</v>
      </c>
      <c r="P88" s="450">
        <v>0</v>
      </c>
      <c r="Q88" s="451">
        <f>SUM(SUMIF('Diags Raw Data'!$A$6:$A$3821,"*"&amp;$A88&amp;"*",'Diags Raw Data'!$AA$6:$AA$3821),SUMIF('Diags Raw Data'!$A$6:$A$3821,"*"&amp;$A88&amp;"*",'Diags Raw Data'!$AB$6:$AB$3821))</f>
        <v>0</v>
      </c>
      <c r="R88" s="452">
        <f t="shared" si="9"/>
        <v>0</v>
      </c>
      <c r="S88" s="452">
        <f t="shared" si="10"/>
        <v>0</v>
      </c>
      <c r="T88" s="453">
        <f t="shared" si="11"/>
        <v>0</v>
      </c>
      <c r="U88" s="427" t="s">
        <v>649</v>
      </c>
      <c r="V88" s="182"/>
    </row>
    <row r="89" spans="1:22" x14ac:dyDescent="0.25">
      <c r="A89" s="336" t="s">
        <v>731</v>
      </c>
      <c r="B89" s="423" t="s">
        <v>732</v>
      </c>
      <c r="C89" s="424" t="s">
        <v>280</v>
      </c>
      <c r="D89" s="425" t="str" cm="1">
        <f t="array" ref="D89">_xlfn.TEXTJOIN("",TRUE,IF(ISNUMBER(SEARCH($A89,'Diags Raw Data'!$A$6:$A$3821)),CONCATENATE('Diags Raw Data'!$H$6:$H$3821,", "),""))</f>
        <v xml:space="preserve">DIO222.1-2, </v>
      </c>
      <c r="E89" s="341" t="str">
        <f>VLOOKUP(A89,'Diags Raw Data'!$A$6:$D$3821,4,FALSE)</f>
        <v>DIO</v>
      </c>
      <c r="F89" s="341" t="str">
        <f>VLOOKUP(A89,'Feature Raw Data'!$A$3:$E$3998,5,FALSE)</f>
        <v>Legacy</v>
      </c>
      <c r="G89" s="341" t="str">
        <f t="shared" si="6"/>
        <v>Yes</v>
      </c>
      <c r="H89" s="341" t="str">
        <f t="shared" si="7"/>
        <v>Yes</v>
      </c>
      <c r="I89" s="424">
        <f>SUMIF('Diags Raw Data'!$A$6:$A$3821,"*"&amp;$A89&amp;"*",'Diags Raw Data'!$K$6:$K$3821)</f>
        <v>1</v>
      </c>
      <c r="J89" s="426">
        <f>SUMIF('Diags Raw Data'!$A$6:$A$3821,"*"&amp;$A89&amp;"*",'Diags Raw Data'!$L$6:$L$3821)</f>
        <v>2</v>
      </c>
      <c r="K89" s="445" cm="1">
        <f t="array" ref="K89">IF(D89="",0, SUMPRODUCT(--(ISNUMBER(SEARCH($A89,'Diags Raw Data'!$A$6:$A$3821))),'Diags Raw Data'!$L$6:$L$3821,'Diags Raw Data'!$N$6:$N$3821)/J89)</f>
        <v>1</v>
      </c>
      <c r="L89" s="446" cm="1">
        <f t="array" ref="L89">IF(D89="",0, SUMPRODUCT(--(ISNUMBER(SEARCH($A89,'Diags Raw Data'!$A$6:$A$3821))),'Diags Raw Data'!$L$6:$L$3821,'Diags Raw Data'!$P$6:$P$3821)/J89)</f>
        <v>1</v>
      </c>
      <c r="M89" s="447" cm="1">
        <f t="array" ref="M89">SUMPRODUCT(--(ISNUMBER(SEARCH($A89,'Diags Raw Data'!$A$6:$A$3821))),--('Diags Raw Data'!$Q$6:$Q$3821&lt;&gt;"N/A"),'Diags Raw Data'!$R$6:$R$3821)</f>
        <v>2</v>
      </c>
      <c r="N89" s="448" cm="1">
        <f t="array" ref="N89">SUMPRODUCT(--(ISNUMBER(SEARCH($A89,'Diags Raw Data'!$A$6:$A$3821))),--('Diags Raw Data'!$Q$6:$Q$3821&lt;&gt;"N/A"),'Diags Raw Data'!$T$6:$T$3821)+SUMPRODUCT(--(ISNUMBER(SEARCH($A89,'Diags Raw Data'!$A$6:$A$3821))),--('Diags Raw Data'!$Q$6:$Q$3821&lt;&gt;"N/A"),'Diags Raw Data'!$U$6:$U$3821)</f>
        <v>0</v>
      </c>
      <c r="O89" s="449">
        <f t="shared" si="8"/>
        <v>0</v>
      </c>
      <c r="P89" s="450">
        <f>SUMIF('Diags Raw Data'!$A$6:$A$3821,"*"&amp;$A89&amp;"*",'Diags Raw Data'!$Z$6:$Z$3821)</f>
        <v>0</v>
      </c>
      <c r="Q89" s="451">
        <f>SUM(SUMIF('Diags Raw Data'!$A$6:$A$3821,"*"&amp;$A89&amp;"*",'Diags Raw Data'!$AA$6:$AA$3821),SUMIF('Diags Raw Data'!$A$6:$A$3821,"*"&amp;$A89&amp;"*",'Diags Raw Data'!$AB$6:$AB$3821))</f>
        <v>0</v>
      </c>
      <c r="R89" s="452">
        <f t="shared" si="9"/>
        <v>0</v>
      </c>
      <c r="S89" s="452">
        <f t="shared" si="10"/>
        <v>0</v>
      </c>
      <c r="T89" s="453">
        <f t="shared" si="11"/>
        <v>0</v>
      </c>
      <c r="U89" s="427" t="s">
        <v>638</v>
      </c>
      <c r="V89" s="182"/>
    </row>
    <row r="90" spans="1:22" x14ac:dyDescent="0.25">
      <c r="A90" s="336" t="s">
        <v>466</v>
      </c>
      <c r="B90" s="423" t="s">
        <v>733</v>
      </c>
      <c r="C90" s="424" t="s">
        <v>280</v>
      </c>
      <c r="D90" s="425" t="str" cm="1">
        <f t="array" ref="D90">_xlfn.TEXTJOIN("",TRUE,IF(ISNUMBER(SEARCH($A90,'Diags Raw Data'!$A$6:$A$3821)),CONCATENATE('Diags Raw Data'!$H$6:$H$3821,", "),""))</f>
        <v xml:space="preserve">DIO223.1-9, </v>
      </c>
      <c r="E90" s="341" t="str">
        <f>VLOOKUP(A90,'Diags Raw Data'!$A$6:$D$3821,4,FALSE)</f>
        <v>DIO</v>
      </c>
      <c r="F90" s="341" t="str">
        <f>VLOOKUP(A90,'Feature Raw Data'!$A$3:$E$3998,5,FALSE)</f>
        <v>Legacy</v>
      </c>
      <c r="G90" s="341" t="str">
        <f t="shared" si="6"/>
        <v>Yes</v>
      </c>
      <c r="H90" s="341" t="str">
        <f t="shared" si="7"/>
        <v>Yes</v>
      </c>
      <c r="I90" s="424">
        <f>SUMIF('Diags Raw Data'!$A$6:$A$3821,"*"&amp;$A90&amp;"*",'Diags Raw Data'!$K$6:$K$3821)</f>
        <v>1</v>
      </c>
      <c r="J90" s="426">
        <f>SUMIF('Diags Raw Data'!$A$6:$A$3821,"*"&amp;$A90&amp;"*",'Diags Raw Data'!$L$6:$L$3821)</f>
        <v>9</v>
      </c>
      <c r="K90" s="445" cm="1">
        <f t="array" ref="K90">IF(D90="",0, SUMPRODUCT(--(ISNUMBER(SEARCH($A90,'Diags Raw Data'!$A$6:$A$3821))),'Diags Raw Data'!$L$6:$L$3821,'Diags Raw Data'!$N$6:$N$3821)/J90)</f>
        <v>1</v>
      </c>
      <c r="L90" s="446" cm="1">
        <f t="array" ref="L90">IF(D90="",0, SUMPRODUCT(--(ISNUMBER(SEARCH($A90,'Diags Raw Data'!$A$6:$A$3821))),'Diags Raw Data'!$L$6:$L$3821,'Diags Raw Data'!$P$6:$P$3821)/J90)</f>
        <v>1</v>
      </c>
      <c r="M90" s="447" cm="1">
        <f t="array" ref="M90">SUMPRODUCT(--(ISNUMBER(SEARCH($A90,'Diags Raw Data'!$A$6:$A$3821))),--('Diags Raw Data'!$Q$6:$Q$3821&lt;&gt;"N/A"),'Diags Raw Data'!$R$6:$R$3821)</f>
        <v>9</v>
      </c>
      <c r="N90" s="448" cm="1">
        <f t="array" ref="N90">SUMPRODUCT(--(ISNUMBER(SEARCH($A90,'Diags Raw Data'!$A$6:$A$3821))),--('Diags Raw Data'!$Q$6:$Q$3821&lt;&gt;"N/A"),'Diags Raw Data'!$T$6:$T$3821)+SUMPRODUCT(--(ISNUMBER(SEARCH($A90,'Diags Raw Data'!$A$6:$A$3821))),--('Diags Raw Data'!$Q$6:$Q$3821&lt;&gt;"N/A"),'Diags Raw Data'!$U$6:$U$3821)</f>
        <v>0</v>
      </c>
      <c r="O90" s="449">
        <f t="shared" si="8"/>
        <v>0</v>
      </c>
      <c r="P90" s="450">
        <f>SUMIF('Diags Raw Data'!$A$6:$A$3821,"*"&amp;$A90&amp;"*",'Diags Raw Data'!$Z$6:$Z$3821)</f>
        <v>0</v>
      </c>
      <c r="Q90" s="451">
        <f>SUM(SUMIF('Diags Raw Data'!$A$6:$A$3821,"*"&amp;$A90&amp;"*",'Diags Raw Data'!$AA$6:$AA$3821),SUMIF('Diags Raw Data'!$A$6:$A$3821,"*"&amp;$A90&amp;"*",'Diags Raw Data'!$AB$6:$AB$3821))</f>
        <v>0</v>
      </c>
      <c r="R90" s="452">
        <f t="shared" si="9"/>
        <v>0</v>
      </c>
      <c r="S90" s="452">
        <f t="shared" si="10"/>
        <v>0</v>
      </c>
      <c r="T90" s="453">
        <f t="shared" si="11"/>
        <v>0</v>
      </c>
      <c r="U90" s="427" t="s">
        <v>603</v>
      </c>
      <c r="V90" s="182"/>
    </row>
    <row r="91" spans="1:22" ht="105" x14ac:dyDescent="0.25">
      <c r="A91" s="336" t="s">
        <v>493</v>
      </c>
      <c r="B91" s="423" t="s">
        <v>734</v>
      </c>
      <c r="C91" s="424" t="s">
        <v>280</v>
      </c>
      <c r="D91" s="425" t="str" cm="1">
        <f t="array" ref="D91">_xlfn.TEXTJOIN("",TRUE,IF(ISNUMBER(SEARCH($A91,'Diags Raw Data'!$A$6:$A$3821)),CONCATENATE('Diags Raw Data'!$H$6:$H$3821,", "),""))</f>
        <v xml:space="preserve">DIO270.4, DIO369.1-4, DIO370.1-5, DIO371.1-4, DIO372.1-4, DIO373.1-4, DIO374.1-4, DIO375.1-4, DIO376.1-4, DIO377.1-4, DIO378.1-4, DIO379.1-4, DIO380.1-4, DIO381.101-112,120-122, DIO335.1-12, DIO337.001-005,009-082,086-136, DIO383.1-12, DIO384.1-12, DIO385.1-34, DIO389.001-006,103-105,211-213, </v>
      </c>
      <c r="E91" s="341" t="str">
        <f>VLOOKUP(A91,'Diags Raw Data'!$A$6:$D$3821,4,FALSE)</f>
        <v>DIO</v>
      </c>
      <c r="F91" s="341" t="str">
        <f>VLOOKUP(A91,'Feature Raw Data'!$A$3:$E$3998,5,FALSE)</f>
        <v>Legacy</v>
      </c>
      <c r="G91" s="341" t="str">
        <f t="shared" si="6"/>
        <v>Yes</v>
      </c>
      <c r="H91" s="341" t="str">
        <f t="shared" si="7"/>
        <v>Yes</v>
      </c>
      <c r="I91" s="424">
        <f>SUMIF('Diags Raw Data'!$A$6:$A$3821,"*"&amp;$A91&amp;"*",'Diags Raw Data'!$K$6:$K$3821)</f>
        <v>20</v>
      </c>
      <c r="J91" s="426">
        <f>SUMIF('Diags Raw Data'!$A$6:$A$3821,"*"&amp;$A91&amp;"*",'Diags Raw Data'!$L$6:$L$3821)</f>
        <v>277</v>
      </c>
      <c r="K91" s="445" cm="1">
        <f t="array" ref="K91">IF(D91="",0, SUMPRODUCT(--(ISNUMBER(SEARCH($A91,'Diags Raw Data'!$A$6:$A$3821))),'Diags Raw Data'!$L$6:$L$3821,'Diags Raw Data'!$N$6:$N$3821)/J91)</f>
        <v>1</v>
      </c>
      <c r="L91" s="446" cm="1">
        <f t="array" ref="L91">IF(D91="",0, SUMPRODUCT(--(ISNUMBER(SEARCH($A91,'Diags Raw Data'!$A$6:$A$3821))),'Diags Raw Data'!$L$6:$L$3821,'Diags Raw Data'!$P$6:$P$3821)/J91)</f>
        <v>1</v>
      </c>
      <c r="M91" s="447" cm="1">
        <f t="array" ref="M91">SUMPRODUCT(--(ISNUMBER(SEARCH($A91,'Diags Raw Data'!$A$6:$A$3821))),--('Diags Raw Data'!$Q$6:$Q$3821&lt;&gt;"N/A"),'Diags Raw Data'!$R$6:$R$3821)</f>
        <v>481</v>
      </c>
      <c r="N91" s="448" cm="1">
        <f t="array" ref="N91">SUMPRODUCT(--(ISNUMBER(SEARCH($A91,'Diags Raw Data'!$A$6:$A$3821))),--('Diags Raw Data'!$Q$6:$Q$3821&lt;&gt;"N/A"),'Diags Raw Data'!$T$6:$T$3821)+SUMPRODUCT(--(ISNUMBER(SEARCH($A91,'Diags Raw Data'!$A$6:$A$3821))),--('Diags Raw Data'!$Q$6:$Q$3821&lt;&gt;"N/A"),'Diags Raw Data'!$U$6:$U$3821)</f>
        <v>0</v>
      </c>
      <c r="O91" s="449">
        <f t="shared" si="8"/>
        <v>0</v>
      </c>
      <c r="P91" s="450">
        <v>0</v>
      </c>
      <c r="Q91" s="451">
        <f>SUM(SUMIF('Diags Raw Data'!$A$6:$A$3821,"*"&amp;$A91&amp;"*",'Diags Raw Data'!$AA$6:$AA$3821),SUMIF('Diags Raw Data'!$A$6:$A$3821,"*"&amp;$A91&amp;"*",'Diags Raw Data'!$AB$6:$AB$3821))</f>
        <v>0</v>
      </c>
      <c r="R91" s="452">
        <f t="shared" si="9"/>
        <v>0</v>
      </c>
      <c r="S91" s="452">
        <f t="shared" si="10"/>
        <v>0</v>
      </c>
      <c r="T91" s="453">
        <f t="shared" si="11"/>
        <v>0</v>
      </c>
      <c r="U91" s="427" t="s">
        <v>613</v>
      </c>
      <c r="V91" s="182"/>
    </row>
    <row r="92" spans="1:22" x14ac:dyDescent="0.25">
      <c r="A92" s="336" t="s">
        <v>515</v>
      </c>
      <c r="B92" s="423" t="s">
        <v>735</v>
      </c>
      <c r="C92" s="424" t="s">
        <v>280</v>
      </c>
      <c r="D92" s="425" t="str" cm="1">
        <f t="array" ref="D92">_xlfn.TEXTJOIN("",TRUE,IF(ISNUMBER(SEARCH($A92,'Diags Raw Data'!$A$6:$A$3821)),CONCATENATE('Diags Raw Data'!$H$6:$H$3821,", "),""))</f>
        <v xml:space="preserve">DIO322.001,002,004,011,012, DIO324.001-002,004-005,008-009,014,015-016,020-023, DIO325.1-15, </v>
      </c>
      <c r="E92" s="341" t="str">
        <f>VLOOKUP(A92,'Diags Raw Data'!$A$6:$D$3821,4,FALSE)</f>
        <v>DIO</v>
      </c>
      <c r="F92" s="341" t="str">
        <f>VLOOKUP(A92,'Feature Raw Data'!$A$3:$E$3998,5,FALSE)</f>
        <v>Legacy</v>
      </c>
      <c r="G92" s="341" t="str">
        <f t="shared" si="6"/>
        <v>Yes</v>
      </c>
      <c r="H92" s="341" t="str">
        <f t="shared" si="7"/>
        <v>Yes</v>
      </c>
      <c r="I92" s="424">
        <f>SUMIF('Diags Raw Data'!$A$6:$A$3821,"*"&amp;$A92&amp;"*",'Diags Raw Data'!$K$6:$K$3821)</f>
        <v>3</v>
      </c>
      <c r="J92" s="426">
        <f>SUMIF('Diags Raw Data'!$A$6:$A$3821,"*"&amp;$A92&amp;"*",'Diags Raw Data'!$L$6:$L$3821)</f>
        <v>34</v>
      </c>
      <c r="K92" s="445" cm="1">
        <f t="array" ref="K92">IF(D92="",0, SUMPRODUCT(--(ISNUMBER(SEARCH($A92,'Diags Raw Data'!$A$6:$A$3821))),'Diags Raw Data'!$L$6:$L$3821,'Diags Raw Data'!$N$6:$N$3821)/J92)</f>
        <v>1</v>
      </c>
      <c r="L92" s="446" cm="1">
        <f t="array" ref="L92">IF(D92="",0, SUMPRODUCT(--(ISNUMBER(SEARCH($A92,'Diags Raw Data'!$A$6:$A$3821))),'Diags Raw Data'!$L$6:$L$3821,'Diags Raw Data'!$P$6:$P$3821)/J92)</f>
        <v>1</v>
      </c>
      <c r="M92" s="447" cm="1">
        <f t="array" ref="M92">SUMPRODUCT(--(ISNUMBER(SEARCH($A92,'Diags Raw Data'!$A$6:$A$3821))),--('Diags Raw Data'!$Q$6:$Q$3821&lt;&gt;"N/A"),'Diags Raw Data'!$R$6:$R$3821)</f>
        <v>32</v>
      </c>
      <c r="N92" s="448" cm="1">
        <f t="array" ref="N92">SUMPRODUCT(--(ISNUMBER(SEARCH($A92,'Diags Raw Data'!$A$6:$A$3821))),--('Diags Raw Data'!$Q$6:$Q$3821&lt;&gt;"N/A"),'Diags Raw Data'!$T$6:$T$3821)+SUMPRODUCT(--(ISNUMBER(SEARCH($A92,'Diags Raw Data'!$A$6:$A$3821))),--('Diags Raw Data'!$Q$6:$Q$3821&lt;&gt;"N/A"),'Diags Raw Data'!$U$6:$U$3821)</f>
        <v>0</v>
      </c>
      <c r="O92" s="449">
        <f t="shared" si="8"/>
        <v>0</v>
      </c>
      <c r="P92" s="450">
        <v>0</v>
      </c>
      <c r="Q92" s="451">
        <f>SUM(SUMIF('Diags Raw Data'!$A$6:$A$3821,"*"&amp;$A92&amp;"*",'Diags Raw Data'!$AA$6:$AA$3821),SUMIF('Diags Raw Data'!$A$6:$A$3821,"*"&amp;$A92&amp;"*",'Diags Raw Data'!$AB$6:$AB$3821))</f>
        <v>0</v>
      </c>
      <c r="R92" s="452">
        <f t="shared" si="9"/>
        <v>0</v>
      </c>
      <c r="S92" s="452">
        <f t="shared" si="10"/>
        <v>0</v>
      </c>
      <c r="T92" s="453">
        <f t="shared" si="11"/>
        <v>0</v>
      </c>
      <c r="U92" s="427" t="s">
        <v>613</v>
      </c>
      <c r="V92" s="182"/>
    </row>
    <row r="93" spans="1:22" x14ac:dyDescent="0.25">
      <c r="A93" s="336" t="s">
        <v>736</v>
      </c>
      <c r="B93" s="423" t="s">
        <v>737</v>
      </c>
      <c r="C93" s="424" t="s">
        <v>280</v>
      </c>
      <c r="D93" s="425" t="str" cm="1">
        <f t="array" ref="D93">_xlfn.TEXTJOIN("",TRUE,IF(ISNUMBER(SEARCH($A93,'Diags Raw Data'!$A$6:$A$3821)),CONCATENATE('Diags Raw Data'!$H$6:$H$3821,", "),""))</f>
        <v xml:space="preserve">DIO222.1-2, DIO359, </v>
      </c>
      <c r="E93" s="341" t="str">
        <f>VLOOKUP(A93,'Diags Raw Data'!$A$6:$D$3821,4,FALSE)</f>
        <v>DIO</v>
      </c>
      <c r="F93" s="341" t="str">
        <f>VLOOKUP(A93,'Feature Raw Data'!$A$3:$E$3998,5,FALSE)</f>
        <v>Legacy</v>
      </c>
      <c r="G93" s="341" t="str">
        <f t="shared" si="6"/>
        <v>Yes</v>
      </c>
      <c r="H93" s="341" t="str">
        <f t="shared" si="7"/>
        <v>Yes</v>
      </c>
      <c r="I93" s="424">
        <f>SUMIF('Diags Raw Data'!$A$6:$A$3821,"*"&amp;$A93&amp;"*",'Diags Raw Data'!$K$6:$K$3821)</f>
        <v>2</v>
      </c>
      <c r="J93" s="426">
        <f>SUMIF('Diags Raw Data'!$A$6:$A$3821,"*"&amp;$A93&amp;"*",'Diags Raw Data'!$L$6:$L$3821)</f>
        <v>3</v>
      </c>
      <c r="K93" s="445" cm="1">
        <f t="array" ref="K93">IF(D93="",0, SUMPRODUCT(--(ISNUMBER(SEARCH($A93,'Diags Raw Data'!$A$6:$A$3821))),'Diags Raw Data'!$L$6:$L$3821,'Diags Raw Data'!$N$6:$N$3821)/J93)</f>
        <v>1</v>
      </c>
      <c r="L93" s="446" cm="1">
        <f t="array" ref="L93">IF(D93="",0, SUMPRODUCT(--(ISNUMBER(SEARCH($A93,'Diags Raw Data'!$A$6:$A$3821))),'Diags Raw Data'!$L$6:$L$3821,'Diags Raw Data'!$P$6:$P$3821)/J93)</f>
        <v>1</v>
      </c>
      <c r="M93" s="447" cm="1">
        <f t="array" ref="M93">SUMPRODUCT(--(ISNUMBER(SEARCH($A93,'Diags Raw Data'!$A$6:$A$3821))),--('Diags Raw Data'!$Q$6:$Q$3821&lt;&gt;"N/A"),'Diags Raw Data'!$R$6:$R$3821)</f>
        <v>3</v>
      </c>
      <c r="N93" s="448" cm="1">
        <f t="array" ref="N93">SUMPRODUCT(--(ISNUMBER(SEARCH($A93,'Diags Raw Data'!$A$6:$A$3821))),--('Diags Raw Data'!$Q$6:$Q$3821&lt;&gt;"N/A"),'Diags Raw Data'!$T$6:$T$3821)+SUMPRODUCT(--(ISNUMBER(SEARCH($A93,'Diags Raw Data'!$A$6:$A$3821))),--('Diags Raw Data'!$Q$6:$Q$3821&lt;&gt;"N/A"),'Diags Raw Data'!$U$6:$U$3821)</f>
        <v>0</v>
      </c>
      <c r="O93" s="449">
        <f t="shared" si="8"/>
        <v>0</v>
      </c>
      <c r="P93" s="450">
        <v>0</v>
      </c>
      <c r="Q93" s="451">
        <f>SUM(SUMIF('Diags Raw Data'!$A$6:$A$3821,"*"&amp;$A93&amp;"*",'Diags Raw Data'!$AA$6:$AA$3821),SUMIF('Diags Raw Data'!$A$6:$A$3821,"*"&amp;$A93&amp;"*",'Diags Raw Data'!$AB$6:$AB$3821))</f>
        <v>0</v>
      </c>
      <c r="R93" s="452">
        <f t="shared" si="9"/>
        <v>0</v>
      </c>
      <c r="S93" s="452">
        <f t="shared" si="10"/>
        <v>0</v>
      </c>
      <c r="T93" s="453">
        <f t="shared" si="11"/>
        <v>0</v>
      </c>
      <c r="U93" s="427" t="s">
        <v>603</v>
      </c>
      <c r="V93" s="182"/>
    </row>
    <row r="94" spans="1:22" x14ac:dyDescent="0.25">
      <c r="A94" s="336" t="s">
        <v>738</v>
      </c>
      <c r="B94" s="423" t="s">
        <v>739</v>
      </c>
      <c r="C94" s="424" t="s">
        <v>280</v>
      </c>
      <c r="D94" s="425" t="str" cm="1">
        <f t="array" ref="D94">_xlfn.TEXTJOIN("",TRUE,IF(ISNUMBER(SEARCH($A94,'Diags Raw Data'!$A$6:$A$3821)),CONCATENATE('Diags Raw Data'!$H$6:$H$3821,", "),""))</f>
        <v/>
      </c>
      <c r="E94" s="341" t="e">
        <f>VLOOKUP(A94,'Diags Raw Data'!$A$6:$D$3821,4,FALSE)</f>
        <v>#N/A</v>
      </c>
      <c r="F94" s="341" t="str">
        <f>VLOOKUP(A94,'Feature Raw Data'!$A$3:$E$3998,5,FALSE)</f>
        <v>Legacy</v>
      </c>
      <c r="G94" s="341" t="str">
        <f t="shared" si="6"/>
        <v>No</v>
      </c>
      <c r="H94" s="341" t="str">
        <f t="shared" si="7"/>
        <v>No</v>
      </c>
      <c r="I94" s="424">
        <f>SUMIF('Diags Raw Data'!$A$6:$A$3821,"*"&amp;$A94&amp;"*",'Diags Raw Data'!$K$6:$K$3821)</f>
        <v>0</v>
      </c>
      <c r="J94" s="426">
        <f>SUMIF('Diags Raw Data'!$A$6:$A$3821,"*"&amp;$A94&amp;"*",'Diags Raw Data'!$L$6:$L$3821)</f>
        <v>0</v>
      </c>
      <c r="K94" s="445" cm="1">
        <f t="array" ref="K94">IF(D94="",0, SUMPRODUCT(--(ISNUMBER(SEARCH($A94,'Diags Raw Data'!$A$6:$A$3821))),'Diags Raw Data'!$L$6:$L$3821,'Diags Raw Data'!$N$6:$N$3821)/J94)</f>
        <v>0</v>
      </c>
      <c r="L94" s="446" cm="1">
        <f t="array" ref="L94">IF(D94="",0, SUMPRODUCT(--(ISNUMBER(SEARCH($A94,'Diags Raw Data'!$A$6:$A$3821))),'Diags Raw Data'!$L$6:$L$3821,'Diags Raw Data'!$P$6:$P$3821)/J94)</f>
        <v>0</v>
      </c>
      <c r="M94" s="447" cm="1">
        <f t="array" ref="M94">SUMPRODUCT(--(ISNUMBER(SEARCH($A94,'Diags Raw Data'!$A$6:$A$3821))),--('Diags Raw Data'!$Q$6:$Q$3821&lt;&gt;"N/A"),'Diags Raw Data'!$R$6:$R$3821)</f>
        <v>0</v>
      </c>
      <c r="N94" s="448" cm="1">
        <f t="array" ref="N94">SUMPRODUCT(--(ISNUMBER(SEARCH($A94,'Diags Raw Data'!$A$6:$A$3821))),--('Diags Raw Data'!$Q$6:$Q$3821&lt;&gt;"N/A"),'Diags Raw Data'!$T$6:$T$3821)+SUMPRODUCT(--(ISNUMBER(SEARCH($A94,'Diags Raw Data'!$A$6:$A$3821))),--('Diags Raw Data'!$Q$6:$Q$3821&lt;&gt;"N/A"),'Diags Raw Data'!$U$6:$U$3821)</f>
        <v>0</v>
      </c>
      <c r="O94" s="449">
        <f t="shared" si="8"/>
        <v>0</v>
      </c>
      <c r="P94" s="450">
        <f>SUMIF('Diags Raw Data'!$A$6:$A$3821,"*"&amp;$A94&amp;"*",'Diags Raw Data'!$Z$6:$Z$3821)</f>
        <v>0</v>
      </c>
      <c r="Q94" s="451">
        <f>SUM(SUMIF('Diags Raw Data'!$A$6:$A$3821,"*"&amp;$A94&amp;"*",'Diags Raw Data'!$AA$6:$AA$3821),SUMIF('Diags Raw Data'!$A$6:$A$3821,"*"&amp;$A94&amp;"*",'Diags Raw Data'!$AB$6:$AB$3821))</f>
        <v>0</v>
      </c>
      <c r="R94" s="452">
        <f t="shared" si="9"/>
        <v>0</v>
      </c>
      <c r="S94" s="452">
        <f t="shared" si="10"/>
        <v>0</v>
      </c>
      <c r="T94" s="453">
        <f t="shared" si="11"/>
        <v>0</v>
      </c>
      <c r="U94" s="427" t="s">
        <v>638</v>
      </c>
      <c r="V94" s="182"/>
    </row>
    <row r="95" spans="1:22" x14ac:dyDescent="0.25">
      <c r="A95" s="336" t="s">
        <v>457</v>
      </c>
      <c r="B95" s="423" t="s">
        <v>740</v>
      </c>
      <c r="C95" s="424" t="s">
        <v>280</v>
      </c>
      <c r="D95" s="425" t="str" cm="1">
        <f t="array" ref="D95">_xlfn.TEXTJOIN("",TRUE,IF(ISNUMBER(SEARCH($A95,'Diags Raw Data'!$A$6:$A$3821)),CONCATENATE('Diags Raw Data'!$H$6:$H$3821,", "),""))</f>
        <v xml:space="preserve">DIO002.1-4, DIO003.2, </v>
      </c>
      <c r="E95" s="341" t="str">
        <f>VLOOKUP(A95,'Diags Raw Data'!$A$6:$D$3821,4,FALSE)</f>
        <v>DIO</v>
      </c>
      <c r="F95" s="341" t="str">
        <f>VLOOKUP(A95,'Feature Raw Data'!$A$3:$E$3998,5,FALSE)</f>
        <v>Legacy</v>
      </c>
      <c r="G95" s="341" t="str">
        <f t="shared" si="6"/>
        <v>Yes</v>
      </c>
      <c r="H95" s="341" t="str">
        <f t="shared" si="7"/>
        <v>Yes</v>
      </c>
      <c r="I95" s="424">
        <f>SUMIF('Diags Raw Data'!$A$6:$A$3821,"*"&amp;$A95&amp;"*",'Diags Raw Data'!$K$6:$K$3821)</f>
        <v>2</v>
      </c>
      <c r="J95" s="426">
        <f>SUMIF('Diags Raw Data'!$A$6:$A$3821,"*"&amp;$A95&amp;"*",'Diags Raw Data'!$L$6:$L$3821)</f>
        <v>5</v>
      </c>
      <c r="K95" s="445" cm="1">
        <f t="array" ref="K95">IF(D95="",0, SUMPRODUCT(--(ISNUMBER(SEARCH($A95,'Diags Raw Data'!$A$6:$A$3821))),'Diags Raw Data'!$L$6:$L$3821,'Diags Raw Data'!$N$6:$N$3821)/J95)</f>
        <v>1</v>
      </c>
      <c r="L95" s="446" cm="1">
        <f t="array" ref="L95">IF(D95="",0, SUMPRODUCT(--(ISNUMBER(SEARCH($A95,'Diags Raw Data'!$A$6:$A$3821))),'Diags Raw Data'!$L$6:$L$3821,'Diags Raw Data'!$P$6:$P$3821)/J95)</f>
        <v>1</v>
      </c>
      <c r="M95" s="447" cm="1">
        <f t="array" ref="M95">SUMPRODUCT(--(ISNUMBER(SEARCH($A95,'Diags Raw Data'!$A$6:$A$3821))),--('Diags Raw Data'!$Q$6:$Q$3821&lt;&gt;"N/A"),'Diags Raw Data'!$R$6:$R$3821)</f>
        <v>10</v>
      </c>
      <c r="N95" s="448" cm="1">
        <f t="array" ref="N95">SUMPRODUCT(--(ISNUMBER(SEARCH($A95,'Diags Raw Data'!$A$6:$A$3821))),--('Diags Raw Data'!$Q$6:$Q$3821&lt;&gt;"N/A"),'Diags Raw Data'!$T$6:$T$3821)+SUMPRODUCT(--(ISNUMBER(SEARCH($A95,'Diags Raw Data'!$A$6:$A$3821))),--('Diags Raw Data'!$Q$6:$Q$3821&lt;&gt;"N/A"),'Diags Raw Data'!$U$6:$U$3821)</f>
        <v>0</v>
      </c>
      <c r="O95" s="449">
        <f t="shared" si="8"/>
        <v>0</v>
      </c>
      <c r="P95" s="450">
        <v>0</v>
      </c>
      <c r="Q95" s="451">
        <f>SUM(SUMIF('Diags Raw Data'!$A$6:$A$3821,"*"&amp;$A95&amp;"*",'Diags Raw Data'!$AA$6:$AA$3821),SUMIF('Diags Raw Data'!$A$6:$A$3821,"*"&amp;$A95&amp;"*",'Diags Raw Data'!$AB$6:$AB$3821))</f>
        <v>0</v>
      </c>
      <c r="R95" s="452">
        <f t="shared" si="9"/>
        <v>0</v>
      </c>
      <c r="S95" s="452">
        <f t="shared" si="10"/>
        <v>0</v>
      </c>
      <c r="T95" s="453">
        <f t="shared" si="11"/>
        <v>0</v>
      </c>
      <c r="U95" s="427" t="s">
        <v>603</v>
      </c>
      <c r="V95" s="182"/>
    </row>
    <row r="96" spans="1:22" x14ac:dyDescent="0.25">
      <c r="A96" s="336" t="s">
        <v>741</v>
      </c>
      <c r="B96" s="423" t="s">
        <v>742</v>
      </c>
      <c r="C96" s="424" t="s">
        <v>280</v>
      </c>
      <c r="D96" s="425" t="str" cm="1">
        <f t="array" ref="D96">_xlfn.TEXTJOIN("",TRUE,IF(ISNUMBER(SEARCH($A96,'Diags Raw Data'!$A$6:$A$3821)),CONCATENATE('Diags Raw Data'!$H$6:$H$3821,", "),""))</f>
        <v/>
      </c>
      <c r="E96" s="341" t="e">
        <f>VLOOKUP(A96,'Diags Raw Data'!$A$6:$D$3821,4,FALSE)</f>
        <v>#N/A</v>
      </c>
      <c r="F96" s="341" t="str">
        <f>VLOOKUP(A96,'Feature Raw Data'!$A$3:$E$3998,5,FALSE)</f>
        <v>Legacy</v>
      </c>
      <c r="G96" s="341" t="str">
        <f t="shared" si="6"/>
        <v>No</v>
      </c>
      <c r="H96" s="341" t="str">
        <f t="shared" si="7"/>
        <v>No</v>
      </c>
      <c r="I96" s="424">
        <f>SUMIF('Diags Raw Data'!$A$6:$A$3821,"*"&amp;$A96&amp;"*",'Diags Raw Data'!$K$6:$K$3821)</f>
        <v>0</v>
      </c>
      <c r="J96" s="426">
        <f>SUMIF('Diags Raw Data'!$A$6:$A$3821,"*"&amp;$A96&amp;"*",'Diags Raw Data'!$L$6:$L$3821)</f>
        <v>0</v>
      </c>
      <c r="K96" s="445" cm="1">
        <f t="array" ref="K96">IF(D96="",0, SUMPRODUCT(--(ISNUMBER(SEARCH($A96,'Diags Raw Data'!$A$6:$A$3821))),'Diags Raw Data'!$L$6:$L$3821,'Diags Raw Data'!$N$6:$N$3821)/J96)</f>
        <v>0</v>
      </c>
      <c r="L96" s="446" cm="1">
        <f t="array" ref="L96">IF(D96="",0, SUMPRODUCT(--(ISNUMBER(SEARCH($A96,'Diags Raw Data'!$A$6:$A$3821))),'Diags Raw Data'!$L$6:$L$3821,'Diags Raw Data'!$P$6:$P$3821)/J96)</f>
        <v>0</v>
      </c>
      <c r="M96" s="447" cm="1">
        <f t="array" ref="M96">SUMPRODUCT(--(ISNUMBER(SEARCH($A96,'Diags Raw Data'!$A$6:$A$3821))),--('Diags Raw Data'!$Q$6:$Q$3821&lt;&gt;"N/A"),'Diags Raw Data'!$R$6:$R$3821)</f>
        <v>0</v>
      </c>
      <c r="N96" s="448" cm="1">
        <f t="array" ref="N96">SUMPRODUCT(--(ISNUMBER(SEARCH($A96,'Diags Raw Data'!$A$6:$A$3821))),--('Diags Raw Data'!$Q$6:$Q$3821&lt;&gt;"N/A"),'Diags Raw Data'!$T$6:$T$3821)+SUMPRODUCT(--(ISNUMBER(SEARCH($A96,'Diags Raw Data'!$A$6:$A$3821))),--('Diags Raw Data'!$Q$6:$Q$3821&lt;&gt;"N/A"),'Diags Raw Data'!$U$6:$U$3821)</f>
        <v>0</v>
      </c>
      <c r="O96" s="449">
        <f t="shared" si="8"/>
        <v>0</v>
      </c>
      <c r="P96" s="450">
        <f>SUMIF('Diags Raw Data'!$A$6:$A$3821,"*"&amp;$A96&amp;"*",'Diags Raw Data'!$Z$6:$Z$3821)</f>
        <v>0</v>
      </c>
      <c r="Q96" s="451">
        <f>SUM(SUMIF('Diags Raw Data'!$A$6:$A$3821,"*"&amp;$A96&amp;"*",'Diags Raw Data'!$AA$6:$AA$3821),SUMIF('Diags Raw Data'!$A$6:$A$3821,"*"&amp;$A96&amp;"*",'Diags Raw Data'!$AB$6:$AB$3821))</f>
        <v>0</v>
      </c>
      <c r="R96" s="452">
        <f t="shared" si="9"/>
        <v>0</v>
      </c>
      <c r="S96" s="452">
        <f t="shared" si="10"/>
        <v>0</v>
      </c>
      <c r="T96" s="453">
        <f t="shared" si="11"/>
        <v>0</v>
      </c>
      <c r="U96" s="427" t="s">
        <v>603</v>
      </c>
      <c r="V96" s="182"/>
    </row>
    <row r="97" spans="1:22" ht="60" x14ac:dyDescent="0.25">
      <c r="A97" s="336" t="s">
        <v>743</v>
      </c>
      <c r="B97" s="423" t="s">
        <v>744</v>
      </c>
      <c r="C97" s="424" t="s">
        <v>280</v>
      </c>
      <c r="D97" s="425" t="str" cm="1">
        <f t="array" ref="D97">_xlfn.TEXTJOIN("",TRUE,IF(ISNUMBER(SEARCH($A97,'Diags Raw Data'!$A$6:$A$3821)),CONCATENATE('Diags Raw Data'!$H$6:$H$3821,", "),""))</f>
        <v xml:space="preserve">DIO369.1-4, DIO370.1-5, DIO371.1-4, DIO372.1-4, DIO373.1-4, DIO374.1-4, DIO375.1-4, DIO376.1-4, DIO377.1-4, DIO378.1-4, DIO379.1-4, DIO380.1-4, </v>
      </c>
      <c r="E97" s="341" t="str">
        <f>VLOOKUP(A97,'Diags Raw Data'!$A$6:$D$3821,4,FALSE)</f>
        <v>DIO</v>
      </c>
      <c r="F97" s="341" t="str">
        <f>VLOOKUP(A97,'Feature Raw Data'!$A$3:$E$3998,5,FALSE)</f>
        <v>Legacy</v>
      </c>
      <c r="G97" s="341" t="str">
        <f t="shared" si="6"/>
        <v>Yes</v>
      </c>
      <c r="H97" s="341" t="str">
        <f t="shared" si="7"/>
        <v>Yes</v>
      </c>
      <c r="I97" s="424">
        <f>SUMIF('Diags Raw Data'!$A$6:$A$3821,"*"&amp;$A97&amp;"*",'Diags Raw Data'!$K$6:$K$3821)</f>
        <v>12</v>
      </c>
      <c r="J97" s="426">
        <f>SUMIF('Diags Raw Data'!$A$6:$A$3821,"*"&amp;$A97&amp;"*",'Diags Raw Data'!$L$6:$L$3821)</f>
        <v>49</v>
      </c>
      <c r="K97" s="445" cm="1">
        <f t="array" ref="K97">IF(D97="",0, SUMPRODUCT(--(ISNUMBER(SEARCH($A97,'Diags Raw Data'!$A$6:$A$3821))),'Diags Raw Data'!$L$6:$L$3821,'Diags Raw Data'!$N$6:$N$3821)/J97)</f>
        <v>1</v>
      </c>
      <c r="L97" s="446" cm="1">
        <f t="array" ref="L97">IF(D97="",0, SUMPRODUCT(--(ISNUMBER(SEARCH($A97,'Diags Raw Data'!$A$6:$A$3821))),'Diags Raw Data'!$L$6:$L$3821,'Diags Raw Data'!$P$6:$P$3821)/J97)</f>
        <v>1</v>
      </c>
      <c r="M97" s="447" cm="1">
        <f t="array" ref="M97">SUMPRODUCT(--(ISNUMBER(SEARCH($A97,'Diags Raw Data'!$A$6:$A$3821))),--('Diags Raw Data'!$Q$6:$Q$3821&lt;&gt;"N/A"),'Diags Raw Data'!$R$6:$R$3821)</f>
        <v>96</v>
      </c>
      <c r="N97" s="448" cm="1">
        <f t="array" ref="N97">SUMPRODUCT(--(ISNUMBER(SEARCH($A97,'Diags Raw Data'!$A$6:$A$3821))),--('Diags Raw Data'!$Q$6:$Q$3821&lt;&gt;"N/A"),'Diags Raw Data'!$T$6:$T$3821)+SUMPRODUCT(--(ISNUMBER(SEARCH($A97,'Diags Raw Data'!$A$6:$A$3821))),--('Diags Raw Data'!$Q$6:$Q$3821&lt;&gt;"N/A"),'Diags Raw Data'!$U$6:$U$3821)</f>
        <v>0</v>
      </c>
      <c r="O97" s="449">
        <f t="shared" si="8"/>
        <v>0</v>
      </c>
      <c r="P97" s="450">
        <v>0</v>
      </c>
      <c r="Q97" s="451">
        <f>SUM(SUMIF('Diags Raw Data'!$A$6:$A$3821,"*"&amp;$A97&amp;"*",'Diags Raw Data'!$AA$6:$AA$3821),SUMIF('Diags Raw Data'!$A$6:$A$3821,"*"&amp;$A97&amp;"*",'Diags Raw Data'!$AB$6:$AB$3821))</f>
        <v>0</v>
      </c>
      <c r="R97" s="452">
        <f t="shared" si="9"/>
        <v>0</v>
      </c>
      <c r="S97" s="452">
        <f t="shared" si="10"/>
        <v>0</v>
      </c>
      <c r="T97" s="453">
        <f t="shared" si="11"/>
        <v>0</v>
      </c>
      <c r="U97" s="427" t="s">
        <v>638</v>
      </c>
      <c r="V97" s="182"/>
    </row>
    <row r="98" spans="1:22" x14ac:dyDescent="0.25">
      <c r="A98" s="336" t="s">
        <v>561</v>
      </c>
      <c r="B98" s="423" t="s">
        <v>745</v>
      </c>
      <c r="C98" s="424" t="s">
        <v>280</v>
      </c>
      <c r="D98" s="425" t="str" cm="1">
        <f t="array" ref="D98">_xlfn.TEXTJOIN("",TRUE,IF(ISNUMBER(SEARCH($A98,'Diags Raw Data'!$A$6:$A$3821)),CONCATENATE('Diags Raw Data'!$H$6:$H$3821,", "),""))</f>
        <v xml:space="preserve">EB001.1-19, EB200.1-5, EB213.1-4, EB300.1-6, </v>
      </c>
      <c r="E98" s="341" t="str">
        <f>VLOOKUP(A98,'Diags Raw Data'!$A$6:$D$3821,4,FALSE)</f>
        <v>EB</v>
      </c>
      <c r="F98" s="341" t="str">
        <f>VLOOKUP(A98,'Feature Raw Data'!$A$3:$E$3998,5,FALSE)</f>
        <v>Delta</v>
      </c>
      <c r="G98" s="341" t="str">
        <f t="shared" si="6"/>
        <v>Yes</v>
      </c>
      <c r="H98" s="341" t="str">
        <f t="shared" si="7"/>
        <v>Yes</v>
      </c>
      <c r="I98" s="424">
        <f>SUMIF('Diags Raw Data'!$A$6:$A$3821,"*"&amp;$A98&amp;"*",'Diags Raw Data'!$K$6:$K$3821)</f>
        <v>4</v>
      </c>
      <c r="J98" s="426">
        <f>SUMIF('Diags Raw Data'!$A$6:$A$3821,"*"&amp;$A98&amp;"*",'Diags Raw Data'!$L$6:$L$3821)</f>
        <v>34</v>
      </c>
      <c r="K98" s="445" cm="1">
        <f t="array" ref="K98">IF(D98="",0, SUMPRODUCT(--(ISNUMBER(SEARCH($A98,'Diags Raw Data'!$A$6:$A$3821))),'Diags Raw Data'!$L$6:$L$3821,'Diags Raw Data'!$N$6:$N$3821)/J98)</f>
        <v>1</v>
      </c>
      <c r="L98" s="446" cm="1">
        <f t="array" ref="L98">IF(D98="",0, SUMPRODUCT(--(ISNUMBER(SEARCH($A98,'Diags Raw Data'!$A$6:$A$3821))),'Diags Raw Data'!$L$6:$L$3821,'Diags Raw Data'!$P$6:$P$3821)/J98)</f>
        <v>1</v>
      </c>
      <c r="M98" s="447" cm="1">
        <f t="array" ref="M98">SUMPRODUCT(--(ISNUMBER(SEARCH($A98,'Diags Raw Data'!$A$6:$A$3821))),--('Diags Raw Data'!$Q$6:$Q$3821&lt;&gt;"N/A"),'Diags Raw Data'!$R$6:$R$3821)</f>
        <v>16</v>
      </c>
      <c r="N98" s="448" cm="1">
        <f t="array" ref="N98">SUMPRODUCT(--(ISNUMBER(SEARCH($A98,'Diags Raw Data'!$A$6:$A$3821))),--('Diags Raw Data'!$Q$6:$Q$3821&lt;&gt;"N/A"),'Diags Raw Data'!$T$6:$T$3821)+SUMPRODUCT(--(ISNUMBER(SEARCH($A98,'Diags Raw Data'!$A$6:$A$3821))),--('Diags Raw Data'!$Q$6:$Q$3821&lt;&gt;"N/A"),'Diags Raw Data'!$U$6:$U$3821)</f>
        <v>0</v>
      </c>
      <c r="O98" s="449">
        <f t="shared" si="8"/>
        <v>0</v>
      </c>
      <c r="P98" s="450">
        <v>0</v>
      </c>
      <c r="Q98" s="451">
        <f>SUM(SUMIF('Diags Raw Data'!$A$6:$A$3821,"*"&amp;$A98&amp;"*",'Diags Raw Data'!$AA$6:$AA$3821),SUMIF('Diags Raw Data'!$A$6:$A$3821,"*"&amp;$A98&amp;"*",'Diags Raw Data'!$AB$6:$AB$3821))</f>
        <v>0</v>
      </c>
      <c r="R98" s="452">
        <f t="shared" si="9"/>
        <v>0</v>
      </c>
      <c r="S98" s="452">
        <f t="shared" si="10"/>
        <v>0</v>
      </c>
      <c r="T98" s="453">
        <f t="shared" si="11"/>
        <v>0</v>
      </c>
      <c r="U98" s="427" t="s">
        <v>638</v>
      </c>
      <c r="V98" s="182"/>
    </row>
    <row r="99" spans="1:22" x14ac:dyDescent="0.25">
      <c r="A99" s="336" t="s">
        <v>569</v>
      </c>
      <c r="B99" s="423" t="s">
        <v>746</v>
      </c>
      <c r="C99" s="424" t="s">
        <v>280</v>
      </c>
      <c r="D99" s="425" t="str" cm="1">
        <f t="array" ref="D99">_xlfn.TEXTJOIN("",TRUE,IF(ISNUMBER(SEARCH($A99,'Diags Raw Data'!$A$6:$A$3821)),CONCATENATE('Diags Raw Data'!$H$6:$H$3821,", "),""))</f>
        <v xml:space="preserve">EB303.1-31, </v>
      </c>
      <c r="E99" s="341" t="str">
        <f>VLOOKUP(A99,'Diags Raw Data'!$A$6:$D$3821,4,FALSE)</f>
        <v>EB</v>
      </c>
      <c r="F99" s="341" t="str">
        <f>VLOOKUP(A99,'Feature Raw Data'!$A$3:$E$3998,5,FALSE)</f>
        <v>Delta</v>
      </c>
      <c r="G99" s="341" t="str">
        <f t="shared" ref="G99:G106" si="12">IF(D99="","No","Yes")</f>
        <v>Yes</v>
      </c>
      <c r="H99" s="341" t="str">
        <f t="shared" ref="H99:H106" si="13">IF(D99="","No","Yes")</f>
        <v>Yes</v>
      </c>
      <c r="I99" s="424">
        <f>SUMIF('Diags Raw Data'!$A$6:$A$3821,"*"&amp;$A99&amp;"*",'Diags Raw Data'!$K$6:$K$3821)</f>
        <v>1</v>
      </c>
      <c r="J99" s="426">
        <f>SUMIF('Diags Raw Data'!$A$6:$A$3821,"*"&amp;$A99&amp;"*",'Diags Raw Data'!$L$6:$L$3821)</f>
        <v>31</v>
      </c>
      <c r="K99" s="445" cm="1">
        <f t="array" ref="K99">IF(D99="",0, SUMPRODUCT(--(ISNUMBER(SEARCH($A99,'Diags Raw Data'!$A$6:$A$3821))),'Diags Raw Data'!$L$6:$L$3821,'Diags Raw Data'!$N$6:$N$3821)/J99)</f>
        <v>1</v>
      </c>
      <c r="L99" s="446" cm="1">
        <f t="array" ref="L99">IF(D99="",0, SUMPRODUCT(--(ISNUMBER(SEARCH($A99,'Diags Raw Data'!$A$6:$A$3821))),'Diags Raw Data'!$L$6:$L$3821,'Diags Raw Data'!$P$6:$P$3821)/J99)</f>
        <v>1</v>
      </c>
      <c r="M99" s="447" cm="1">
        <f t="array" ref="M99">SUMPRODUCT(--(ISNUMBER(SEARCH($A99,'Diags Raw Data'!$A$6:$A$3821))),--('Diags Raw Data'!$Q$6:$Q$3821&lt;&gt;"N/A"),'Diags Raw Data'!$R$6:$R$3821)</f>
        <v>4</v>
      </c>
      <c r="N99" s="448" cm="1">
        <f t="array" ref="N99">SUMPRODUCT(--(ISNUMBER(SEARCH($A99,'Diags Raw Data'!$A$6:$A$3821))),--('Diags Raw Data'!$Q$6:$Q$3821&lt;&gt;"N/A"),'Diags Raw Data'!$T$6:$T$3821)+SUMPRODUCT(--(ISNUMBER(SEARCH($A99,'Diags Raw Data'!$A$6:$A$3821))),--('Diags Raw Data'!$Q$6:$Q$3821&lt;&gt;"N/A"),'Diags Raw Data'!$U$6:$U$3821)</f>
        <v>0</v>
      </c>
      <c r="O99" s="449">
        <f t="shared" ref="O99:O106" si="14">IF((M99=0),0,N99/M99)</f>
        <v>0</v>
      </c>
      <c r="P99" s="450">
        <v>0</v>
      </c>
      <c r="Q99" s="451">
        <f>SUM(SUMIF('Diags Raw Data'!$A$6:$A$3821,"*"&amp;$A99&amp;"*",'Diags Raw Data'!$AA$6:$AA$3821),SUMIF('Diags Raw Data'!$A$6:$A$3821,"*"&amp;$A99&amp;"*",'Diags Raw Data'!$AB$6:$AB$3821))</f>
        <v>0</v>
      </c>
      <c r="R99" s="452">
        <f t="shared" ref="R99:R106" si="15">IF((J99=0),0,P99/J99)</f>
        <v>0</v>
      </c>
      <c r="S99" s="452">
        <f t="shared" ref="S99:S106" si="16">IF((P99=0),0,Q99/P99)</f>
        <v>0</v>
      </c>
      <c r="T99" s="453">
        <f t="shared" ref="T99:T106" si="17">R99*S99</f>
        <v>0</v>
      </c>
      <c r="U99" s="427" t="s">
        <v>638</v>
      </c>
      <c r="V99" s="182"/>
    </row>
    <row r="100" spans="1:22" x14ac:dyDescent="0.25">
      <c r="A100" s="336" t="s">
        <v>747</v>
      </c>
      <c r="B100" s="423" t="s">
        <v>748</v>
      </c>
      <c r="C100" s="424" t="s">
        <v>280</v>
      </c>
      <c r="D100" s="425" t="str" cm="1">
        <f t="array" ref="D100">_xlfn.TEXTJOIN("",TRUE,IF(ISNUMBER(SEARCH($A100,'Diags Raw Data'!$A$6:$A$3821)),CONCATENATE('Diags Raw Data'!$H$6:$H$3821,", "),""))</f>
        <v/>
      </c>
      <c r="E100" s="341" t="e">
        <f>VLOOKUP(A100,'Diags Raw Data'!$A$6:$D$3821,4,FALSE)</f>
        <v>#N/A</v>
      </c>
      <c r="F100" s="341" t="str">
        <f>VLOOKUP(A100,'Feature Raw Data'!$A$3:$E$3998,5,FALSE)</f>
        <v>Legacy</v>
      </c>
      <c r="G100" s="341" t="str">
        <f t="shared" si="12"/>
        <v>No</v>
      </c>
      <c r="H100" s="341" t="str">
        <f t="shared" si="13"/>
        <v>No</v>
      </c>
      <c r="I100" s="424">
        <f>SUMIF('Diags Raw Data'!$A$6:$A$3821,"*"&amp;$A100&amp;"*",'Diags Raw Data'!$K$6:$K$3821)</f>
        <v>0</v>
      </c>
      <c r="J100" s="426">
        <f>SUMIF('Diags Raw Data'!$A$6:$A$3821,"*"&amp;$A100&amp;"*",'Diags Raw Data'!$L$6:$L$3821)</f>
        <v>0</v>
      </c>
      <c r="K100" s="445" cm="1">
        <f t="array" ref="K100">IF(D100="",0, SUMPRODUCT(--(ISNUMBER(SEARCH($A100,'Diags Raw Data'!$A$6:$A$3821))),'Diags Raw Data'!$L$6:$L$3821,'Diags Raw Data'!$N$6:$N$3821)/J100)</f>
        <v>0</v>
      </c>
      <c r="L100" s="446" cm="1">
        <f t="array" ref="L100">IF(D100="",0, SUMPRODUCT(--(ISNUMBER(SEARCH($A100,'Diags Raw Data'!$A$6:$A$3821))),'Diags Raw Data'!$L$6:$L$3821,'Diags Raw Data'!$P$6:$P$3821)/J100)</f>
        <v>0</v>
      </c>
      <c r="M100" s="447" cm="1">
        <f t="array" ref="M100">SUMPRODUCT(--(ISNUMBER(SEARCH($A100,'Diags Raw Data'!$A$6:$A$3821))),--('Diags Raw Data'!$Q$6:$Q$3821&lt;&gt;"N/A"),'Diags Raw Data'!$R$6:$R$3821)</f>
        <v>0</v>
      </c>
      <c r="N100" s="448" cm="1">
        <f t="array" ref="N100">SUMPRODUCT(--(ISNUMBER(SEARCH($A100,'Diags Raw Data'!$A$6:$A$3821))),--('Diags Raw Data'!$Q$6:$Q$3821&lt;&gt;"N/A"),'Diags Raw Data'!$T$6:$T$3821)+SUMPRODUCT(--(ISNUMBER(SEARCH($A100,'Diags Raw Data'!$A$6:$A$3821))),--('Diags Raw Data'!$Q$6:$Q$3821&lt;&gt;"N/A"),'Diags Raw Data'!$U$6:$U$3821)</f>
        <v>0</v>
      </c>
      <c r="O100" s="449">
        <f t="shared" si="14"/>
        <v>0</v>
      </c>
      <c r="P100" s="450">
        <v>0</v>
      </c>
      <c r="Q100" s="451">
        <f>SUM(SUMIF('Diags Raw Data'!$A$6:$A$3821,"*"&amp;$A100&amp;"*",'Diags Raw Data'!$AA$6:$AA$3821),SUMIF('Diags Raw Data'!$A$6:$A$3821,"*"&amp;$A100&amp;"*",'Diags Raw Data'!$AB$6:$AB$3821))</f>
        <v>0</v>
      </c>
      <c r="R100" s="452">
        <f t="shared" si="15"/>
        <v>0</v>
      </c>
      <c r="S100" s="452">
        <f t="shared" si="16"/>
        <v>0</v>
      </c>
      <c r="T100" s="453">
        <f t="shared" si="17"/>
        <v>0</v>
      </c>
      <c r="U100" s="427" t="s">
        <v>613</v>
      </c>
      <c r="V100" s="182"/>
    </row>
    <row r="101" spans="1:22" x14ac:dyDescent="0.25">
      <c r="A101" s="336" t="s">
        <v>571</v>
      </c>
      <c r="B101" s="423" t="s">
        <v>749</v>
      </c>
      <c r="C101" s="424" t="s">
        <v>280</v>
      </c>
      <c r="D101" s="425" t="str" cm="1">
        <f t="array" ref="D101">_xlfn.TEXTJOIN("",TRUE,IF(ISNUMBER(SEARCH($A101,'Diags Raw Data'!$A$6:$A$3821)),CONCATENATE('Diags Raw Data'!$H$6:$H$3821,", "),""))</f>
        <v xml:space="preserve">CE005.1-2, </v>
      </c>
      <c r="E101" s="341" t="str">
        <f>VLOOKUP(A101,'Diags Raw Data'!$A$6:$D$3821,4,FALSE)</f>
        <v>CE</v>
      </c>
      <c r="F101" s="341" t="str">
        <f>VLOOKUP(A101,'Feature Raw Data'!$A$3:$E$3998,5,FALSE)</f>
        <v>Legacy</v>
      </c>
      <c r="G101" s="341" t="str">
        <f t="shared" si="12"/>
        <v>Yes</v>
      </c>
      <c r="H101" s="341" t="str">
        <f t="shared" si="13"/>
        <v>Yes</v>
      </c>
      <c r="I101" s="424">
        <f>SUMIF('Diags Raw Data'!$A$6:$A$3821,"*"&amp;$A101&amp;"*",'Diags Raw Data'!$K$6:$K$3821)</f>
        <v>1</v>
      </c>
      <c r="J101" s="426">
        <f>SUMIF('Diags Raw Data'!$A$6:$A$3821,"*"&amp;$A101&amp;"*",'Diags Raw Data'!$L$6:$L$3821)</f>
        <v>2</v>
      </c>
      <c r="K101" s="445" cm="1">
        <f t="array" ref="K101">IF(D101="",0, SUMPRODUCT(--(ISNUMBER(SEARCH($A101,'Diags Raw Data'!$A$6:$A$3821))),'Diags Raw Data'!$L$6:$L$3821,'Diags Raw Data'!$N$6:$N$3821)/J101)</f>
        <v>1</v>
      </c>
      <c r="L101" s="446" cm="1">
        <f t="array" ref="L101">IF(D101="",0, SUMPRODUCT(--(ISNUMBER(SEARCH($A101,'Diags Raw Data'!$A$6:$A$3821))),'Diags Raw Data'!$L$6:$L$3821,'Diags Raw Data'!$P$6:$P$3821)/J101)</f>
        <v>1</v>
      </c>
      <c r="M101" s="447" cm="1">
        <f t="array" ref="M101">SUMPRODUCT(--(ISNUMBER(SEARCH($A101,'Diags Raw Data'!$A$6:$A$3821))),--('Diags Raw Data'!$Q$6:$Q$3821&lt;&gt;"N/A"),'Diags Raw Data'!$R$6:$R$3821)</f>
        <v>4</v>
      </c>
      <c r="N101" s="448" cm="1">
        <f t="array" ref="N101">SUMPRODUCT(--(ISNUMBER(SEARCH($A101,'Diags Raw Data'!$A$6:$A$3821))),--('Diags Raw Data'!$Q$6:$Q$3821&lt;&gt;"N/A"),'Diags Raw Data'!$T$6:$T$3821)+SUMPRODUCT(--(ISNUMBER(SEARCH($A101,'Diags Raw Data'!$A$6:$A$3821))),--('Diags Raw Data'!$Q$6:$Q$3821&lt;&gt;"N/A"),'Diags Raw Data'!$U$6:$U$3821)</f>
        <v>0</v>
      </c>
      <c r="O101" s="449">
        <f t="shared" si="14"/>
        <v>0</v>
      </c>
      <c r="P101" s="450">
        <v>0</v>
      </c>
      <c r="Q101" s="451">
        <f>SUM(SUMIF('Diags Raw Data'!$A$6:$A$3821,"*"&amp;$A101&amp;"*",'Diags Raw Data'!$AA$6:$AA$3821),SUMIF('Diags Raw Data'!$A$6:$A$3821,"*"&amp;$A101&amp;"*",'Diags Raw Data'!$AB$6:$AB$3821))</f>
        <v>0</v>
      </c>
      <c r="R101" s="452">
        <f t="shared" si="15"/>
        <v>0</v>
      </c>
      <c r="S101" s="452">
        <f t="shared" si="16"/>
        <v>0</v>
      </c>
      <c r="T101" s="453">
        <f t="shared" si="17"/>
        <v>0</v>
      </c>
      <c r="U101" s="427" t="s">
        <v>613</v>
      </c>
      <c r="V101" s="182"/>
    </row>
    <row r="102" spans="1:22" x14ac:dyDescent="0.25">
      <c r="A102" s="336" t="s">
        <v>529</v>
      </c>
      <c r="B102" s="423" t="s">
        <v>750</v>
      </c>
      <c r="C102" s="424" t="s">
        <v>280</v>
      </c>
      <c r="D102" s="425" t="str" cm="1">
        <f t="array" ref="D102">_xlfn.TEXTJOIN("",TRUE,IF(ISNUMBER(SEARCH($A102,'Diags Raw Data'!$A$6:$A$3821)),CONCATENATE('Diags Raw Data'!$H$6:$H$3821,", "),""))</f>
        <v xml:space="preserve">DIO386.1-3, </v>
      </c>
      <c r="E102" s="341" t="str">
        <f>VLOOKUP(A102,'Diags Raw Data'!$A$6:$D$3821,4,FALSE)</f>
        <v>DIO</v>
      </c>
      <c r="F102" s="341" t="str">
        <f>VLOOKUP(A102,'Feature Raw Data'!$A$3:$E$3998,5,FALSE)</f>
        <v>Legacy</v>
      </c>
      <c r="G102" s="341" t="str">
        <f t="shared" si="12"/>
        <v>Yes</v>
      </c>
      <c r="H102" s="341" t="str">
        <f t="shared" si="13"/>
        <v>Yes</v>
      </c>
      <c r="I102" s="424">
        <f>SUMIF('Diags Raw Data'!$A$6:$A$3821,"*"&amp;$A102&amp;"*",'Diags Raw Data'!$K$6:$K$3821)</f>
        <v>1</v>
      </c>
      <c r="J102" s="426">
        <f>SUMIF('Diags Raw Data'!$A$6:$A$3821,"*"&amp;$A102&amp;"*",'Diags Raw Data'!$L$6:$L$3821)</f>
        <v>3</v>
      </c>
      <c r="K102" s="445" cm="1">
        <f t="array" ref="K102">IF(D102="",0, SUMPRODUCT(--(ISNUMBER(SEARCH($A102,'Diags Raw Data'!$A$6:$A$3821))),'Diags Raw Data'!$L$6:$L$3821,'Diags Raw Data'!$N$6:$N$3821)/J102)</f>
        <v>1</v>
      </c>
      <c r="L102" s="446" cm="1">
        <f t="array" ref="L102">IF(D102="",0, SUMPRODUCT(--(ISNUMBER(SEARCH($A102,'Diags Raw Data'!$A$6:$A$3821))),'Diags Raw Data'!$L$6:$L$3821,'Diags Raw Data'!$P$6:$P$3821)/J102)</f>
        <v>1</v>
      </c>
      <c r="M102" s="447" cm="1">
        <f t="array" ref="M102">SUMPRODUCT(--(ISNUMBER(SEARCH($A102,'Diags Raw Data'!$A$6:$A$3821))),--('Diags Raw Data'!$Q$6:$Q$3821&lt;&gt;"N/A"),'Diags Raw Data'!$R$6:$R$3821)</f>
        <v>3</v>
      </c>
      <c r="N102" s="448" cm="1">
        <f t="array" ref="N102">SUMPRODUCT(--(ISNUMBER(SEARCH($A102,'Diags Raw Data'!$A$6:$A$3821))),--('Diags Raw Data'!$Q$6:$Q$3821&lt;&gt;"N/A"),'Diags Raw Data'!$T$6:$T$3821)+SUMPRODUCT(--(ISNUMBER(SEARCH($A102,'Diags Raw Data'!$A$6:$A$3821))),--('Diags Raw Data'!$Q$6:$Q$3821&lt;&gt;"N/A"),'Diags Raw Data'!$U$6:$U$3821)</f>
        <v>0</v>
      </c>
      <c r="O102" s="449">
        <f t="shared" si="14"/>
        <v>0</v>
      </c>
      <c r="P102" s="450">
        <v>0</v>
      </c>
      <c r="Q102" s="451">
        <f>SUM(SUMIF('Diags Raw Data'!$A$6:$A$3821,"*"&amp;$A102&amp;"*",'Diags Raw Data'!$AA$6:$AA$3821),SUMIF('Diags Raw Data'!$A$6:$A$3821,"*"&amp;$A102&amp;"*",'Diags Raw Data'!$AB$6:$AB$3821))</f>
        <v>0</v>
      </c>
      <c r="R102" s="452">
        <f t="shared" si="15"/>
        <v>0</v>
      </c>
      <c r="S102" s="452">
        <f t="shared" si="16"/>
        <v>0</v>
      </c>
      <c r="T102" s="453">
        <f t="shared" si="17"/>
        <v>0</v>
      </c>
      <c r="U102" s="427" t="s">
        <v>613</v>
      </c>
      <c r="V102" s="182"/>
    </row>
    <row r="103" spans="1:22" x14ac:dyDescent="0.25">
      <c r="A103" s="336" t="s">
        <v>751</v>
      </c>
      <c r="B103" s="423" t="s">
        <v>752</v>
      </c>
      <c r="C103" s="424" t="s">
        <v>280</v>
      </c>
      <c r="D103" s="425" t="str" cm="1">
        <f t="array" ref="D103">_xlfn.TEXTJOIN("",TRUE,IF(ISNUMBER(SEARCH($A103,'Diags Raw Data'!$A$6:$A$3821)),CONCATENATE('Diags Raw Data'!$H$6:$H$3821,", "),""))</f>
        <v/>
      </c>
      <c r="E103" s="341" t="e">
        <f>VLOOKUP(A103,'Diags Raw Data'!$A$6:$D$3821,4,FALSE)</f>
        <v>#N/A</v>
      </c>
      <c r="F103" s="341" t="str">
        <f>VLOOKUP(A103,'Feature Raw Data'!$A$3:$E$3998,5,FALSE)</f>
        <v>Legacy</v>
      </c>
      <c r="G103" s="341" t="str">
        <f t="shared" si="12"/>
        <v>No</v>
      </c>
      <c r="H103" s="341" t="str">
        <f t="shared" si="13"/>
        <v>No</v>
      </c>
      <c r="I103" s="424">
        <f>SUMIF('Diags Raw Data'!$A$6:$A$3821,"*"&amp;$A103&amp;"*",'Diags Raw Data'!$K$6:$K$3821)</f>
        <v>0</v>
      </c>
      <c r="J103" s="426">
        <f>SUMIF('Diags Raw Data'!$A$6:$A$3821,"*"&amp;$A103&amp;"*",'Diags Raw Data'!$L$6:$L$3821)</f>
        <v>0</v>
      </c>
      <c r="K103" s="445" cm="1">
        <f t="array" ref="K103">IF(D103="",0, SUMPRODUCT(--(ISNUMBER(SEARCH($A103,'Diags Raw Data'!$A$6:$A$3821))),'Diags Raw Data'!$L$6:$L$3821,'Diags Raw Data'!$N$6:$N$3821)/J103)</f>
        <v>0</v>
      </c>
      <c r="L103" s="446" cm="1">
        <f t="array" ref="L103">IF(D103="",0, SUMPRODUCT(--(ISNUMBER(SEARCH($A103,'Diags Raw Data'!$A$6:$A$3821))),'Diags Raw Data'!$L$6:$L$3821,'Diags Raw Data'!$P$6:$P$3821)/J103)</f>
        <v>0</v>
      </c>
      <c r="M103" s="447" cm="1">
        <f t="array" ref="M103">SUMPRODUCT(--(ISNUMBER(SEARCH($A103,'Diags Raw Data'!$A$6:$A$3821))),--('Diags Raw Data'!$Q$6:$Q$3821&lt;&gt;"N/A"),'Diags Raw Data'!$R$6:$R$3821)</f>
        <v>0</v>
      </c>
      <c r="N103" s="448" cm="1">
        <f t="array" ref="N103">SUMPRODUCT(--(ISNUMBER(SEARCH($A103,'Diags Raw Data'!$A$6:$A$3821))),--('Diags Raw Data'!$Q$6:$Q$3821&lt;&gt;"N/A"),'Diags Raw Data'!$T$6:$T$3821)+SUMPRODUCT(--(ISNUMBER(SEARCH($A103,'Diags Raw Data'!$A$6:$A$3821))),--('Diags Raw Data'!$Q$6:$Q$3821&lt;&gt;"N/A"),'Diags Raw Data'!$U$6:$U$3821)</f>
        <v>0</v>
      </c>
      <c r="O103" s="449">
        <f t="shared" si="14"/>
        <v>0</v>
      </c>
      <c r="P103" s="450">
        <f>SUMIF('Diags Raw Data'!$A$6:$A$3821,"*"&amp;$A103&amp;"*",'Diags Raw Data'!$Z$6:$Z$3821)</f>
        <v>0</v>
      </c>
      <c r="Q103" s="451">
        <f>SUM(SUMIF('Diags Raw Data'!$A$6:$A$3821,"*"&amp;$A103&amp;"*",'Diags Raw Data'!$AA$6:$AA$3821),SUMIF('Diags Raw Data'!$A$6:$A$3821,"*"&amp;$A103&amp;"*",'Diags Raw Data'!$AB$6:$AB$3821))</f>
        <v>0</v>
      </c>
      <c r="R103" s="452">
        <f t="shared" si="15"/>
        <v>0</v>
      </c>
      <c r="S103" s="452">
        <f t="shared" si="16"/>
        <v>0</v>
      </c>
      <c r="T103" s="453">
        <f t="shared" si="17"/>
        <v>0</v>
      </c>
      <c r="U103" s="427" t="s">
        <v>638</v>
      </c>
      <c r="V103" s="182"/>
    </row>
    <row r="104" spans="1:22" x14ac:dyDescent="0.25">
      <c r="A104" s="336" t="s">
        <v>753</v>
      </c>
      <c r="B104" s="423" t="s">
        <v>754</v>
      </c>
      <c r="C104" s="424" t="s">
        <v>280</v>
      </c>
      <c r="D104" s="425" t="str" cm="1">
        <f t="array" ref="D104">_xlfn.TEXTJOIN("",TRUE,IF(ISNUMBER(SEARCH($A104,'Diags Raw Data'!$A$6:$A$3821)),CONCATENATE('Diags Raw Data'!$H$6:$H$3821,", "),""))</f>
        <v/>
      </c>
      <c r="E104" s="341" t="e">
        <f>VLOOKUP(A104,'Diags Raw Data'!$A$6:$D$3821,4,FALSE)</f>
        <v>#N/A</v>
      </c>
      <c r="F104" s="341" t="str">
        <f>VLOOKUP(A104,'Feature Raw Data'!$A$3:$E$3998,5,FALSE)</f>
        <v>Legacy</v>
      </c>
      <c r="G104" s="341" t="str">
        <f t="shared" si="12"/>
        <v>No</v>
      </c>
      <c r="H104" s="341" t="str">
        <f t="shared" si="13"/>
        <v>No</v>
      </c>
      <c r="I104" s="424">
        <f>SUMIF('Diags Raw Data'!$A$6:$A$3821,"*"&amp;$A104&amp;"*",'Diags Raw Data'!$K$6:$K$3821)</f>
        <v>0</v>
      </c>
      <c r="J104" s="426">
        <f>SUMIF('Diags Raw Data'!$A$6:$A$3821,"*"&amp;$A104&amp;"*",'Diags Raw Data'!$L$6:$L$3821)</f>
        <v>0</v>
      </c>
      <c r="K104" s="445" cm="1">
        <f t="array" ref="K104">IF(D104="",0, SUMPRODUCT(--(ISNUMBER(SEARCH($A104,'Diags Raw Data'!$A$6:$A$3821))),'Diags Raw Data'!$L$6:$L$3821,'Diags Raw Data'!$N$6:$N$3821)/J104)</f>
        <v>0</v>
      </c>
      <c r="L104" s="446" cm="1">
        <f t="array" ref="L104">IF(D104="",0, SUMPRODUCT(--(ISNUMBER(SEARCH($A104,'Diags Raw Data'!$A$6:$A$3821))),'Diags Raw Data'!$L$6:$L$3821,'Diags Raw Data'!$P$6:$P$3821)/J104)</f>
        <v>0</v>
      </c>
      <c r="M104" s="447" cm="1">
        <f t="array" ref="M104">SUMPRODUCT(--(ISNUMBER(SEARCH($A104,'Diags Raw Data'!$A$6:$A$3821))),--('Diags Raw Data'!$Q$6:$Q$3821&lt;&gt;"N/A"),'Diags Raw Data'!$R$6:$R$3821)</f>
        <v>0</v>
      </c>
      <c r="N104" s="448" cm="1">
        <f t="array" ref="N104">SUMPRODUCT(--(ISNUMBER(SEARCH($A104,'Diags Raw Data'!$A$6:$A$3821))),--('Diags Raw Data'!$Q$6:$Q$3821&lt;&gt;"N/A"),'Diags Raw Data'!$T$6:$T$3821)+SUMPRODUCT(--(ISNUMBER(SEARCH($A104,'Diags Raw Data'!$A$6:$A$3821))),--('Diags Raw Data'!$Q$6:$Q$3821&lt;&gt;"N/A"),'Diags Raw Data'!$U$6:$U$3821)</f>
        <v>0</v>
      </c>
      <c r="O104" s="449">
        <f t="shared" si="14"/>
        <v>0</v>
      </c>
      <c r="P104" s="450">
        <f>SUMIF('Diags Raw Data'!$A$6:$A$3821,"*"&amp;$A104&amp;"*",'Diags Raw Data'!$Z$6:$Z$3821)</f>
        <v>0</v>
      </c>
      <c r="Q104" s="451">
        <f>SUM(SUMIF('Diags Raw Data'!$A$6:$A$3821,"*"&amp;$A104&amp;"*",'Diags Raw Data'!$AA$6:$AA$3821),SUMIF('Diags Raw Data'!$A$6:$A$3821,"*"&amp;$A104&amp;"*",'Diags Raw Data'!$AB$6:$AB$3821))</f>
        <v>0</v>
      </c>
      <c r="R104" s="452">
        <f t="shared" si="15"/>
        <v>0</v>
      </c>
      <c r="S104" s="452">
        <f t="shared" si="16"/>
        <v>0</v>
      </c>
      <c r="T104" s="453">
        <f t="shared" si="17"/>
        <v>0</v>
      </c>
      <c r="U104" s="427" t="s">
        <v>638</v>
      </c>
      <c r="V104" s="182"/>
    </row>
    <row r="105" spans="1:22" ht="15.75" thickBot="1" x14ac:dyDescent="0.3">
      <c r="A105" s="338" t="s">
        <v>574</v>
      </c>
      <c r="B105" s="423" t="s">
        <v>755</v>
      </c>
      <c r="C105" s="424" t="s">
        <v>280</v>
      </c>
      <c r="D105" s="425" t="str" cm="1">
        <f t="array" ref="D105">_xlfn.TEXTJOIN("",TRUE,IF(ISNUMBER(SEARCH($A105,'Diags Raw Data'!$A$6:$A$3821)),CONCATENATE('Diags Raw Data'!$H$6:$H$3821,", "),""))</f>
        <v xml:space="preserve">CE012.1, </v>
      </c>
      <c r="E105" s="341" t="str">
        <f>VLOOKUP(A105,'Diags Raw Data'!$A$6:$D$3821,4,FALSE)</f>
        <v>CE</v>
      </c>
      <c r="F105" s="341" t="str">
        <f>VLOOKUP(A105,'Feature Raw Data'!$A$3:$E$3998,5,FALSE)</f>
        <v>Legacy</v>
      </c>
      <c r="G105" s="341" t="str">
        <f t="shared" si="12"/>
        <v>Yes</v>
      </c>
      <c r="H105" s="341" t="str">
        <f t="shared" si="13"/>
        <v>Yes</v>
      </c>
      <c r="I105" s="424">
        <f>SUMIF('Diags Raw Data'!$A$6:$A$3821,"*"&amp;$A105&amp;"*",'Diags Raw Data'!$K$6:$K$3821)</f>
        <v>1</v>
      </c>
      <c r="J105" s="426">
        <f>SUMIF('Diags Raw Data'!$A$6:$A$3821,"*"&amp;$A105&amp;"*",'Diags Raw Data'!$L$6:$L$3821)</f>
        <v>1</v>
      </c>
      <c r="K105" s="445" cm="1">
        <f t="array" ref="K105">IF(D105="",0, SUMPRODUCT(--(ISNUMBER(SEARCH($A105,'Diags Raw Data'!$A$6:$A$3821))),'Diags Raw Data'!$L$6:$L$3821,'Diags Raw Data'!$N$6:$N$3821)/J105)</f>
        <v>1</v>
      </c>
      <c r="L105" s="446" cm="1">
        <f t="array" ref="L105">IF(D105="",0, SUMPRODUCT(--(ISNUMBER(SEARCH($A105,'Diags Raw Data'!$A$6:$A$3821))),'Diags Raw Data'!$L$6:$L$3821,'Diags Raw Data'!$P$6:$P$3821)/J105)</f>
        <v>1</v>
      </c>
      <c r="M105" s="447" cm="1">
        <f t="array" ref="M105">SUMPRODUCT(--(ISNUMBER(SEARCH($A105,'Diags Raw Data'!$A$6:$A$3821))),--('Diags Raw Data'!$Q$6:$Q$3821&lt;&gt;"N/A"),'Diags Raw Data'!$R$6:$R$3821)</f>
        <v>2</v>
      </c>
      <c r="N105" s="448" cm="1">
        <f t="array" ref="N105">SUMPRODUCT(--(ISNUMBER(SEARCH($A105,'Diags Raw Data'!$A$6:$A$3821))),--('Diags Raw Data'!$Q$6:$Q$3821&lt;&gt;"N/A"),'Diags Raw Data'!$T$6:$T$3821)+SUMPRODUCT(--(ISNUMBER(SEARCH($A105,'Diags Raw Data'!$A$6:$A$3821))),--('Diags Raw Data'!$Q$6:$Q$3821&lt;&gt;"N/A"),'Diags Raw Data'!$U$6:$U$3821)</f>
        <v>0</v>
      </c>
      <c r="O105" s="449">
        <f t="shared" si="14"/>
        <v>0</v>
      </c>
      <c r="P105" s="450">
        <v>0</v>
      </c>
      <c r="Q105" s="451">
        <f>SUM(SUMIF('Diags Raw Data'!$A$6:$A$3821,"*"&amp;$A105&amp;"*",'Diags Raw Data'!$AA$6:$AA$3821),SUMIF('Diags Raw Data'!$A$6:$A$3821,"*"&amp;$A105&amp;"*",'Diags Raw Data'!$AB$6:$AB$3821))</f>
        <v>0</v>
      </c>
      <c r="R105" s="452">
        <f t="shared" si="15"/>
        <v>0</v>
      </c>
      <c r="S105" s="452">
        <f t="shared" si="16"/>
        <v>0</v>
      </c>
      <c r="T105" s="453">
        <f t="shared" si="17"/>
        <v>0</v>
      </c>
      <c r="U105" s="427" t="s">
        <v>613</v>
      </c>
      <c r="V105" s="182"/>
    </row>
    <row r="106" spans="1:22" ht="15.75" thickBot="1" x14ac:dyDescent="0.3">
      <c r="A106" s="338" t="s">
        <v>576</v>
      </c>
      <c r="B106" s="423" t="s">
        <v>756</v>
      </c>
      <c r="C106" s="424" t="s">
        <v>280</v>
      </c>
      <c r="D106" s="425" t="str" cm="1">
        <f t="array" ref="D106">_xlfn.TEXTJOIN("",TRUE,IF(ISNUMBER(SEARCH($A106,'Diags Raw Data'!$A$6:$A$3821)),CONCATENATE('Diags Raw Data'!$H$6:$H$3821,", "),""))</f>
        <v xml:space="preserve">CE013.1-3, </v>
      </c>
      <c r="E106" s="341" t="str">
        <f>VLOOKUP(A106,'Diags Raw Data'!$A$6:$D$3821,4,FALSE)</f>
        <v>CE</v>
      </c>
      <c r="F106" s="341" t="str">
        <f>VLOOKUP(A106,'Feature Raw Data'!$A$3:$E$3998,5,FALSE)</f>
        <v>Legacy</v>
      </c>
      <c r="G106" s="341" t="str">
        <f t="shared" si="12"/>
        <v>Yes</v>
      </c>
      <c r="H106" s="341" t="str">
        <f t="shared" si="13"/>
        <v>Yes</v>
      </c>
      <c r="I106" s="424">
        <f>SUMIF('Diags Raw Data'!$A$6:$A$3821,"*"&amp;$A106&amp;"*",'Diags Raw Data'!$K$6:$K$3821)</f>
        <v>1</v>
      </c>
      <c r="J106" s="426">
        <f>SUMIF('Diags Raw Data'!$A$6:$A$3821,"*"&amp;$A106&amp;"*",'Diags Raw Data'!$L$6:$L$3821)</f>
        <v>3</v>
      </c>
      <c r="K106" s="445" cm="1">
        <f t="array" ref="K106">IF(D106="",0, SUMPRODUCT(--(ISNUMBER(SEARCH($A106,'Diags Raw Data'!$A$6:$A$3821))),'Diags Raw Data'!$L$6:$L$3821,'Diags Raw Data'!$N$6:$N$3821)/J106)</f>
        <v>1</v>
      </c>
      <c r="L106" s="446" cm="1">
        <f t="array" ref="L106">IF(D106="",0, SUMPRODUCT(--(ISNUMBER(SEARCH($A106,'Diags Raw Data'!$A$6:$A$3821))),'Diags Raw Data'!$L$6:$L$3821,'Diags Raw Data'!$P$6:$P$3821)/J106)</f>
        <v>1</v>
      </c>
      <c r="M106" s="447" cm="1">
        <f t="array" ref="M106">SUMPRODUCT(--(ISNUMBER(SEARCH($A106,'Diags Raw Data'!$A$6:$A$3821))),--('Diags Raw Data'!$Q$6:$Q$3821&lt;&gt;"N/A"),'Diags Raw Data'!$R$6:$R$3821)</f>
        <v>4</v>
      </c>
      <c r="N106" s="448" cm="1">
        <f t="array" ref="N106">SUMPRODUCT(--(ISNUMBER(SEARCH($A106,'Diags Raw Data'!$A$6:$A$3821))),--('Diags Raw Data'!$Q$6:$Q$3821&lt;&gt;"N/A"),'Diags Raw Data'!$T$6:$T$3821)+SUMPRODUCT(--(ISNUMBER(SEARCH($A106,'Diags Raw Data'!$A$6:$A$3821))),--('Diags Raw Data'!$Q$6:$Q$3821&lt;&gt;"N/A"),'Diags Raw Data'!$U$6:$U$3821)</f>
        <v>0</v>
      </c>
      <c r="O106" s="449">
        <f t="shared" si="14"/>
        <v>0</v>
      </c>
      <c r="P106" s="450">
        <v>0</v>
      </c>
      <c r="Q106" s="451">
        <f>SUM(SUMIF('Diags Raw Data'!$A$6:$A$3821,"*"&amp;$A106&amp;"*",'Diags Raw Data'!$AA$6:$AA$3821),SUMIF('Diags Raw Data'!$A$6:$A$3821,"*"&amp;$A106&amp;"*",'Diags Raw Data'!$AB$6:$AB$3821))</f>
        <v>0</v>
      </c>
      <c r="R106" s="452">
        <f t="shared" si="15"/>
        <v>0</v>
      </c>
      <c r="S106" s="452">
        <f t="shared" si="16"/>
        <v>0</v>
      </c>
      <c r="T106" s="453">
        <f t="shared" si="17"/>
        <v>0</v>
      </c>
      <c r="U106" s="427" t="s">
        <v>47</v>
      </c>
      <c r="V106" s="182"/>
    </row>
    <row r="107" spans="1:22" ht="15.75" thickBot="1" x14ac:dyDescent="0.3">
      <c r="A107" s="338" t="s">
        <v>557</v>
      </c>
      <c r="B107" s="423" t="s">
        <v>757</v>
      </c>
      <c r="C107" s="424" t="s">
        <v>280</v>
      </c>
      <c r="D107" s="425" t="str" cm="1">
        <f t="array" ref="D107">_xlfn.TEXTJOIN("",TRUE,IF(ISNUMBER(SEARCH($A107,'Diags Raw Data'!$A$6:$A$3821)),CONCATENATE('Diags Raw Data'!$H$6:$H$3821,", "),""))</f>
        <v xml:space="preserve">DWB002.201-202, DWB018.201-202, </v>
      </c>
      <c r="E107" s="341" t="str">
        <f>VLOOKUP(A107,'Diags Raw Data'!$A$6:$D$3821,4,FALSE)</f>
        <v>DWB</v>
      </c>
      <c r="F107" s="341" t="str">
        <f>VLOOKUP(A107,'Feature Raw Data'!$A$3:$E$3998,5,FALSE)</f>
        <v>Legacy</v>
      </c>
      <c r="G107" s="341" t="str">
        <f t="shared" si="0"/>
        <v>Yes</v>
      </c>
      <c r="H107" s="341" t="str">
        <f t="shared" si="1"/>
        <v>Yes</v>
      </c>
      <c r="I107" s="424">
        <f>SUMIF('Diags Raw Data'!$A$6:$A$3821,"*"&amp;$A107&amp;"*",'Diags Raw Data'!$K$6:$K$3821)</f>
        <v>2</v>
      </c>
      <c r="J107" s="426">
        <f>SUMIF('Diags Raw Data'!$A$6:$A$3821,"*"&amp;$A107&amp;"*",'Diags Raw Data'!$L$6:$L$3821)</f>
        <v>4</v>
      </c>
      <c r="K107" s="445" cm="1">
        <f t="array" ref="K107">IF(D107="",0, SUMPRODUCT(--(ISNUMBER(SEARCH($A107,'Diags Raw Data'!$A$6:$A$3821))),'Diags Raw Data'!$L$6:$L$3821,'Diags Raw Data'!$N$6:$N$3821)/J107)</f>
        <v>1</v>
      </c>
      <c r="L107" s="446" cm="1">
        <f t="array" ref="L107">IF(D107="",0, SUMPRODUCT(--(ISNUMBER(SEARCH($A107,'Diags Raw Data'!$A$6:$A$3821))),'Diags Raw Data'!$L$6:$L$3821,'Diags Raw Data'!$P$6:$P$3821)/J107)</f>
        <v>1</v>
      </c>
      <c r="M107" s="447" cm="1">
        <f t="array" ref="M107">SUMPRODUCT(--(ISNUMBER(SEARCH($A107,'Diags Raw Data'!$A$6:$A$3821))),--('Diags Raw Data'!$Q$6:$Q$3821&lt;&gt;"N/A"),'Diags Raw Data'!$R$6:$R$3821)</f>
        <v>4</v>
      </c>
      <c r="N107" s="448" cm="1">
        <f t="array" ref="N107">SUMPRODUCT(--(ISNUMBER(SEARCH($A107,'Diags Raw Data'!$A$6:$A$3821))),--('Diags Raw Data'!$Q$6:$Q$3821&lt;&gt;"N/A"),'Diags Raw Data'!$T$6:$T$3821)+SUMPRODUCT(--(ISNUMBER(SEARCH($A107,'Diags Raw Data'!$A$6:$A$3821))),--('Diags Raw Data'!$Q$6:$Q$3821&lt;&gt;"N/A"),'Diags Raw Data'!$U$6:$U$3821)</f>
        <v>0</v>
      </c>
      <c r="O107" s="449">
        <f t="shared" si="2"/>
        <v>0</v>
      </c>
      <c r="P107" s="450">
        <v>0</v>
      </c>
      <c r="Q107" s="451">
        <f>SUM(SUMIF('Diags Raw Data'!$A$6:$A$3821,"*"&amp;$A107&amp;"*",'Diags Raw Data'!$AA$6:$AA$3821),SUMIF('Diags Raw Data'!$A$6:$A$3821,"*"&amp;$A107&amp;"*",'Diags Raw Data'!$AB$6:$AB$3821))</f>
        <v>0</v>
      </c>
      <c r="R107" s="452">
        <f t="shared" si="3"/>
        <v>0</v>
      </c>
      <c r="S107" s="452">
        <f t="shared" si="4"/>
        <v>0</v>
      </c>
      <c r="T107" s="453">
        <f t="shared" si="5"/>
        <v>0</v>
      </c>
      <c r="U107" s="427" t="s">
        <v>47</v>
      </c>
      <c r="V107" s="182"/>
    </row>
    <row r="108" spans="1:22" ht="15.75" thickBot="1" x14ac:dyDescent="0.3">
      <c r="A108" s="338" t="s">
        <v>758</v>
      </c>
      <c r="B108" s="423" t="s">
        <v>759</v>
      </c>
      <c r="C108" s="424" t="s">
        <v>280</v>
      </c>
      <c r="D108" s="425" t="str" cm="1">
        <f t="array" ref="D108">_xlfn.TEXTJOIN("",TRUE,IF(ISNUMBER(SEARCH($A108,'Diags Raw Data'!$A$6:$A$3821)),CONCATENATE('Diags Raw Data'!$H$6:$H$3821,", "),""))</f>
        <v/>
      </c>
      <c r="E108" s="341" t="e">
        <f>VLOOKUP(A108,'Diags Raw Data'!$A$6:$D$3821,4,FALSE)</f>
        <v>#N/A</v>
      </c>
      <c r="F108" s="341" t="str">
        <f>VLOOKUP(A108,'Feature Raw Data'!$A$3:$E$3998,5,FALSE)</f>
        <v>Legacy</v>
      </c>
      <c r="G108" s="341" t="str">
        <f t="shared" si="0"/>
        <v>No</v>
      </c>
      <c r="H108" s="341" t="str">
        <f t="shared" si="1"/>
        <v>No</v>
      </c>
      <c r="I108" s="424">
        <f>SUMIF('Diags Raw Data'!$A$6:$A$3821,"*"&amp;$A108&amp;"*",'Diags Raw Data'!$K$6:$K$3821)</f>
        <v>0</v>
      </c>
      <c r="J108" s="426">
        <f>SUMIF('Diags Raw Data'!$A$6:$A$3821,"*"&amp;$A108&amp;"*",'Diags Raw Data'!$L$6:$L$3821)</f>
        <v>0</v>
      </c>
      <c r="K108" s="445" cm="1">
        <f t="array" ref="K108">IF(D108="",0, SUMPRODUCT(--(ISNUMBER(SEARCH($A108,'Diags Raw Data'!$A$6:$A$3821))),'Diags Raw Data'!$L$6:$L$3821,'Diags Raw Data'!$N$6:$N$3821)/J108)</f>
        <v>0</v>
      </c>
      <c r="L108" s="446" cm="1">
        <f t="array" ref="L108">IF(D108="",0, SUMPRODUCT(--(ISNUMBER(SEARCH($A108,'Diags Raw Data'!$A$6:$A$3821))),'Diags Raw Data'!$L$6:$L$3821,'Diags Raw Data'!$P$6:$P$3821)/J108)</f>
        <v>0</v>
      </c>
      <c r="M108" s="447" cm="1">
        <f t="array" ref="M108">SUMPRODUCT(--(ISNUMBER(SEARCH($A108,'Diags Raw Data'!$A$6:$A$3821))),--('Diags Raw Data'!$Q$6:$Q$3821&lt;&gt;"N/A"),'Diags Raw Data'!$R$6:$R$3821)</f>
        <v>0</v>
      </c>
      <c r="N108" s="448" cm="1">
        <f t="array" ref="N108">SUMPRODUCT(--(ISNUMBER(SEARCH($A108,'Diags Raw Data'!$A$6:$A$3821))),--('Diags Raw Data'!$Q$6:$Q$3821&lt;&gt;"N/A"),'Diags Raw Data'!$T$6:$T$3821)+SUMPRODUCT(--(ISNUMBER(SEARCH($A108,'Diags Raw Data'!$A$6:$A$3821))),--('Diags Raw Data'!$Q$6:$Q$3821&lt;&gt;"N/A"),'Diags Raw Data'!$U$6:$U$3821)</f>
        <v>0</v>
      </c>
      <c r="O108" s="449">
        <f t="shared" si="2"/>
        <v>0</v>
      </c>
      <c r="P108" s="450">
        <v>0</v>
      </c>
      <c r="Q108" s="451">
        <f>SUM(SUMIF('Diags Raw Data'!$A$6:$A$3821,"*"&amp;$A108&amp;"*",'Diags Raw Data'!$AA$6:$AA$3821),SUMIF('Diags Raw Data'!$A$6:$A$3821,"*"&amp;$A108&amp;"*",'Diags Raw Data'!$AB$6:$AB$3821))</f>
        <v>0</v>
      </c>
      <c r="R108" s="452">
        <f t="shared" si="3"/>
        <v>0</v>
      </c>
      <c r="S108" s="452">
        <f t="shared" si="4"/>
        <v>0</v>
      </c>
      <c r="T108" s="453">
        <f t="shared" si="5"/>
        <v>0</v>
      </c>
      <c r="U108" s="427" t="s">
        <v>47</v>
      </c>
      <c r="V108" s="182"/>
    </row>
    <row r="109" spans="1:22" s="187" customFormat="1" ht="15.75" thickBot="1" x14ac:dyDescent="0.3">
      <c r="A109" s="338" t="s">
        <v>760</v>
      </c>
      <c r="B109" s="423" t="s">
        <v>761</v>
      </c>
      <c r="C109" s="424" t="s">
        <v>280</v>
      </c>
      <c r="D109" s="425" t="str" cm="1">
        <f t="array" ref="D109">_xlfn.TEXTJOIN("",TRUE,IF(ISNUMBER(SEARCH($A109,'Diags Raw Data'!$A$6:$A$3821)),CONCATENATE('Diags Raw Data'!$H$6:$H$3821,", "),""))</f>
        <v xml:space="preserve">DMU001.101-103, DMU003.1, </v>
      </c>
      <c r="E109" s="341" t="str">
        <f>VLOOKUP(A109,'Diags Raw Data'!$A$6:$D$3821,4,FALSE)</f>
        <v>DMU</v>
      </c>
      <c r="F109" s="341" t="str">
        <f>VLOOKUP(A109,'Feature Raw Data'!$A$3:$E$3998,5,FALSE)</f>
        <v>Legacy</v>
      </c>
      <c r="G109" s="341" t="str">
        <f t="shared" si="0"/>
        <v>Yes</v>
      </c>
      <c r="H109" s="341" t="str">
        <f t="shared" si="1"/>
        <v>Yes</v>
      </c>
      <c r="I109" s="424">
        <f>SUMIF('Diags Raw Data'!$A$6:$A$3821,"*"&amp;$A109&amp;"*",'Diags Raw Data'!$K$6:$K$3821)</f>
        <v>2</v>
      </c>
      <c r="J109" s="426">
        <f>SUMIF('Diags Raw Data'!$A$6:$A$3821,"*"&amp;$A109&amp;"*",'Diags Raw Data'!$L$6:$L$3821)</f>
        <v>4</v>
      </c>
      <c r="K109" s="445" cm="1">
        <f t="array" ref="K109">IF(D109="",0, SUMPRODUCT(--(ISNUMBER(SEARCH($A109,'Diags Raw Data'!$A$6:$A$3821))),'Diags Raw Data'!$L$6:$L$3821,'Diags Raw Data'!$N$6:$N$3821)/J109)</f>
        <v>1</v>
      </c>
      <c r="L109" s="446" cm="1">
        <f t="array" ref="L109">IF(D109="",0, SUMPRODUCT(--(ISNUMBER(SEARCH($A109,'Diags Raw Data'!$A$6:$A$3821))),'Diags Raw Data'!$L$6:$L$3821,'Diags Raw Data'!$P$6:$P$3821)/J109)</f>
        <v>1</v>
      </c>
      <c r="M109" s="447" cm="1">
        <f t="array" ref="M109">SUMPRODUCT(--(ISNUMBER(SEARCH($A109,'Diags Raw Data'!$A$6:$A$3821))),--('Diags Raw Data'!$Q$6:$Q$3821&lt;&gt;"N/A"),'Diags Raw Data'!$R$6:$R$3821)</f>
        <v>2</v>
      </c>
      <c r="N109" s="448" cm="1">
        <f t="array" ref="N109">SUMPRODUCT(--(ISNUMBER(SEARCH($A109,'Diags Raw Data'!$A$6:$A$3821))),--('Diags Raw Data'!$Q$6:$Q$3821&lt;&gt;"N/A"),'Diags Raw Data'!$T$6:$T$3821)+SUMPRODUCT(--(ISNUMBER(SEARCH($A109,'Diags Raw Data'!$A$6:$A$3821))),--('Diags Raw Data'!$Q$6:$Q$3821&lt;&gt;"N/A"),'Diags Raw Data'!$U$6:$U$3821)</f>
        <v>0</v>
      </c>
      <c r="O109" s="449">
        <f t="shared" si="2"/>
        <v>0</v>
      </c>
      <c r="P109" s="450">
        <v>0</v>
      </c>
      <c r="Q109" s="451">
        <f>SUM(SUMIF('Diags Raw Data'!$A$6:$A$3821,"*"&amp;$A109&amp;"*",'Diags Raw Data'!$AA$6:$AA$3821),SUMIF('Diags Raw Data'!$A$6:$A$3821,"*"&amp;$A109&amp;"*",'Diags Raw Data'!$AB$6:$AB$3821))</f>
        <v>0</v>
      </c>
      <c r="R109" s="452">
        <f t="shared" si="3"/>
        <v>0</v>
      </c>
      <c r="S109" s="452">
        <f t="shared" si="4"/>
        <v>0</v>
      </c>
      <c r="T109" s="453">
        <f t="shared" si="5"/>
        <v>0</v>
      </c>
      <c r="U109" s="427" t="s">
        <v>47</v>
      </c>
      <c r="V109" s="186"/>
    </row>
    <row r="110" spans="1:22" ht="15.75" thickBot="1" x14ac:dyDescent="0.3">
      <c r="A110" s="338" t="s">
        <v>762</v>
      </c>
      <c r="B110" s="423" t="s">
        <v>763</v>
      </c>
      <c r="C110" s="424" t="s">
        <v>280</v>
      </c>
      <c r="D110" s="425" t="str" cm="1">
        <f t="array" ref="D110">_xlfn.TEXTJOIN("",TRUE,IF(ISNUMBER(SEARCH($A110,'Diags Raw Data'!$A$6:$A$3821)),CONCATENATE('Diags Raw Data'!$H$6:$H$3821,", "),""))</f>
        <v xml:space="preserve">DCHB004.1,2,4,7,9,10,12,13,15,16,18-19,22,25,28, </v>
      </c>
      <c r="E110" s="341" t="str">
        <f>VLOOKUP(A110,'Diags Raw Data'!$A$6:$D$3821,4,FALSE)</f>
        <v>DCHB</v>
      </c>
      <c r="F110" s="341" t="str">
        <f>VLOOKUP(A110,'Feature Raw Data'!$A$3:$E$3998,5,FALSE)</f>
        <v>Legacy</v>
      </c>
      <c r="G110" s="341" t="str">
        <f t="shared" ref="G110:G141" si="18">IF(D110="","No","Yes")</f>
        <v>Yes</v>
      </c>
      <c r="H110" s="341" t="str">
        <f t="shared" ref="H110:H141" si="19">IF(D110="","No","Yes")</f>
        <v>Yes</v>
      </c>
      <c r="I110" s="424">
        <f>SUMIF('Diags Raw Data'!$A$6:$A$3821,"*"&amp;$A110&amp;"*",'Diags Raw Data'!$K$6:$K$3821)</f>
        <v>1</v>
      </c>
      <c r="J110" s="426">
        <f>SUMIF('Diags Raw Data'!$A$6:$A$3821,"*"&amp;$A110&amp;"*",'Diags Raw Data'!$L$6:$L$3821)</f>
        <v>15</v>
      </c>
      <c r="K110" s="445" cm="1">
        <f t="array" ref="K110">IF(D110="",0, SUMPRODUCT(--(ISNUMBER(SEARCH($A110,'Diags Raw Data'!$A$6:$A$3821))),'Diags Raw Data'!$L$6:$L$3821,'Diags Raw Data'!$N$6:$N$3821)/J110)</f>
        <v>1</v>
      </c>
      <c r="L110" s="446" cm="1">
        <f t="array" ref="L110">IF(D110="",0, SUMPRODUCT(--(ISNUMBER(SEARCH($A110,'Diags Raw Data'!$A$6:$A$3821))),'Diags Raw Data'!$L$6:$L$3821,'Diags Raw Data'!$P$6:$P$3821)/J110)</f>
        <v>1</v>
      </c>
      <c r="M110" s="447" cm="1">
        <f t="array" ref="M110">SUMPRODUCT(--(ISNUMBER(SEARCH($A110,'Diags Raw Data'!$A$6:$A$3821))),--('Diags Raw Data'!$Q$6:$Q$3821&lt;&gt;"N/A"),'Diags Raw Data'!$R$6:$R$3821)</f>
        <v>24</v>
      </c>
      <c r="N110" s="448" cm="1">
        <f t="array" ref="N110">SUMPRODUCT(--(ISNUMBER(SEARCH($A110,'Diags Raw Data'!$A$6:$A$3821))),--('Diags Raw Data'!$Q$6:$Q$3821&lt;&gt;"N/A"),'Diags Raw Data'!$T$6:$T$3821)+SUMPRODUCT(--(ISNUMBER(SEARCH($A110,'Diags Raw Data'!$A$6:$A$3821))),--('Diags Raw Data'!$Q$6:$Q$3821&lt;&gt;"N/A"),'Diags Raw Data'!$U$6:$U$3821)</f>
        <v>0</v>
      </c>
      <c r="O110" s="449">
        <f t="shared" si="2"/>
        <v>0</v>
      </c>
      <c r="P110" s="450">
        <f>SUMIF('Diags Raw Data'!$A$6:$A$3821,"*"&amp;$A110&amp;"*",'Diags Raw Data'!$Z$6:$Z$3821)</f>
        <v>0</v>
      </c>
      <c r="Q110" s="451">
        <f>SUM(SUMIF('Diags Raw Data'!$A$6:$A$3821,"*"&amp;$A110&amp;"*",'Diags Raw Data'!$AA$6:$AA$3821),SUMIF('Diags Raw Data'!$A$6:$A$3821,"*"&amp;$A110&amp;"*",'Diags Raw Data'!$AB$6:$AB$3821))</f>
        <v>0</v>
      </c>
      <c r="R110" s="452">
        <f t="shared" si="3"/>
        <v>0</v>
      </c>
      <c r="S110" s="452">
        <f t="shared" si="4"/>
        <v>0</v>
      </c>
      <c r="T110" s="453">
        <f t="shared" si="5"/>
        <v>0</v>
      </c>
      <c r="U110" s="427" t="s">
        <v>47</v>
      </c>
      <c r="V110" s="182"/>
    </row>
    <row r="111" spans="1:22" ht="15.75" thickBot="1" x14ac:dyDescent="0.3">
      <c r="A111" s="338" t="s">
        <v>764</v>
      </c>
      <c r="B111" s="423" t="s">
        <v>765</v>
      </c>
      <c r="C111" s="424" t="s">
        <v>280</v>
      </c>
      <c r="D111" s="425" t="str" cm="1">
        <f t="array" ref="D111">_xlfn.TEXTJOIN("",TRUE,IF(ISNUMBER(SEARCH($A111,'Diags Raw Data'!$A$6:$A$3821)),CONCATENATE('Diags Raw Data'!$H$6:$H$3821,", "),""))</f>
        <v xml:space="preserve">OTG800.1-2, OTG804.1, OTG805.1, </v>
      </c>
      <c r="E111" s="341" t="str">
        <f>VLOOKUP(A111,'Diags Raw Data'!$A$6:$D$3821,4,FALSE)</f>
        <v>OTG</v>
      </c>
      <c r="F111" s="341" t="str">
        <f>VLOOKUP(A111,'Feature Raw Data'!$A$3:$E$3998,5,FALSE)</f>
        <v>Legacy</v>
      </c>
      <c r="G111" s="341" t="str">
        <f t="shared" si="18"/>
        <v>Yes</v>
      </c>
      <c r="H111" s="341" t="str">
        <f t="shared" si="19"/>
        <v>Yes</v>
      </c>
      <c r="I111" s="424">
        <f>SUMIF('Diags Raw Data'!$A$6:$A$3821,"*"&amp;$A111&amp;"*",'Diags Raw Data'!$K$6:$K$3821)</f>
        <v>3</v>
      </c>
      <c r="J111" s="426">
        <f>SUMIF('Diags Raw Data'!$A$6:$A$3821,"*"&amp;$A111&amp;"*",'Diags Raw Data'!$L$6:$L$3821)</f>
        <v>4</v>
      </c>
      <c r="K111" s="445" cm="1">
        <f t="array" ref="K111">IF(D111="",0, SUMPRODUCT(--(ISNUMBER(SEARCH($A111,'Diags Raw Data'!$A$6:$A$3821))),'Diags Raw Data'!$L$6:$L$3821,'Diags Raw Data'!$N$6:$N$3821)/J111)</f>
        <v>1</v>
      </c>
      <c r="L111" s="446" cm="1">
        <f t="array" ref="L111">IF(D111="",0, SUMPRODUCT(--(ISNUMBER(SEARCH($A111,'Diags Raw Data'!$A$6:$A$3821))),'Diags Raw Data'!$L$6:$L$3821,'Diags Raw Data'!$P$6:$P$3821)/J111)</f>
        <v>1</v>
      </c>
      <c r="M111" s="447" cm="1">
        <f t="array" ref="M111">SUMPRODUCT(--(ISNUMBER(SEARCH($A111,'Diags Raw Data'!$A$6:$A$3821))),--('Diags Raw Data'!$Q$6:$Q$3821&lt;&gt;"N/A"),'Diags Raw Data'!$R$6:$R$3821)</f>
        <v>4</v>
      </c>
      <c r="N111" s="448" cm="1">
        <f t="array" ref="N111">SUMPRODUCT(--(ISNUMBER(SEARCH($A111,'Diags Raw Data'!$A$6:$A$3821))),--('Diags Raw Data'!$Q$6:$Q$3821&lt;&gt;"N/A"),'Diags Raw Data'!$T$6:$T$3821)+SUMPRODUCT(--(ISNUMBER(SEARCH($A111,'Diags Raw Data'!$A$6:$A$3821))),--('Diags Raw Data'!$Q$6:$Q$3821&lt;&gt;"N/A"),'Diags Raw Data'!$U$6:$U$3821)</f>
        <v>0</v>
      </c>
      <c r="O111" s="449">
        <f t="shared" si="2"/>
        <v>0</v>
      </c>
      <c r="P111" s="450">
        <f>SUMIF('Diags Raw Data'!$A$6:$A$3821,"*"&amp;$A111&amp;"*",'Diags Raw Data'!$Z$6:$Z$3821)</f>
        <v>0</v>
      </c>
      <c r="Q111" s="451">
        <f>SUM(SUMIF('Diags Raw Data'!$A$6:$A$3821,"*"&amp;$A111&amp;"*",'Diags Raw Data'!$AA$6:$AA$3821),SUMIF('Diags Raw Data'!$A$6:$A$3821,"*"&amp;$A111&amp;"*",'Diags Raw Data'!$AB$6:$AB$3821))</f>
        <v>0</v>
      </c>
      <c r="R111" s="452">
        <f t="shared" si="3"/>
        <v>0</v>
      </c>
      <c r="S111" s="452">
        <f t="shared" si="4"/>
        <v>0</v>
      </c>
      <c r="T111" s="453">
        <f t="shared" si="5"/>
        <v>0</v>
      </c>
      <c r="U111" s="427" t="s">
        <v>47</v>
      </c>
      <c r="V111" s="182"/>
    </row>
    <row r="112" spans="1:22" ht="15.75" thickBot="1" x14ac:dyDescent="0.3">
      <c r="A112" s="338" t="s">
        <v>580</v>
      </c>
      <c r="B112" s="423" t="s">
        <v>766</v>
      </c>
      <c r="C112" s="424" t="s">
        <v>280</v>
      </c>
      <c r="D112" s="425" t="str" cm="1">
        <f t="array" ref="D112">_xlfn.TEXTJOIN("",TRUE,IF(ISNUMBER(SEARCH($A112,'Diags Raw Data'!$A$6:$A$3821)),CONCATENATE('Diags Raw Data'!$H$6:$H$3821,", "),""))</f>
        <v xml:space="preserve">DMU002.1, </v>
      </c>
      <c r="E112" s="341" t="str">
        <f>VLOOKUP(A112,'Diags Raw Data'!$A$6:$D$3821,4,FALSE)</f>
        <v>DMU</v>
      </c>
      <c r="F112" s="341" t="str">
        <f>VLOOKUP(A112,'Feature Raw Data'!$A$3:$E$3998,5,FALSE)</f>
        <v>Legacy</v>
      </c>
      <c r="G112" s="341" t="str">
        <f t="shared" si="18"/>
        <v>Yes</v>
      </c>
      <c r="H112" s="341" t="str">
        <f t="shared" si="19"/>
        <v>Yes</v>
      </c>
      <c r="I112" s="424">
        <f>SUMIF('Diags Raw Data'!$A$6:$A$3821,"*"&amp;$A112&amp;"*",'Diags Raw Data'!$K$6:$K$3821)</f>
        <v>1</v>
      </c>
      <c r="J112" s="426">
        <f>SUMIF('Diags Raw Data'!$A$6:$A$3821,"*"&amp;$A112&amp;"*",'Diags Raw Data'!$L$6:$L$3821)</f>
        <v>1</v>
      </c>
      <c r="K112" s="445" cm="1">
        <f t="array" ref="K112">IF(D112="",0, SUMPRODUCT(--(ISNUMBER(SEARCH($A112,'Diags Raw Data'!$A$6:$A$3821))),'Diags Raw Data'!$L$6:$L$3821,'Diags Raw Data'!$N$6:$N$3821)/J112)</f>
        <v>1</v>
      </c>
      <c r="L112" s="446" cm="1">
        <f t="array" ref="L112">IF(D112="",0, SUMPRODUCT(--(ISNUMBER(SEARCH($A112,'Diags Raw Data'!$A$6:$A$3821))),'Diags Raw Data'!$L$6:$L$3821,'Diags Raw Data'!$P$6:$P$3821)/J112)</f>
        <v>1</v>
      </c>
      <c r="M112" s="447" cm="1">
        <f t="array" ref="M112">SUMPRODUCT(--(ISNUMBER(SEARCH($A112,'Diags Raw Data'!$A$6:$A$3821))),--('Diags Raw Data'!$Q$6:$Q$3821&lt;&gt;"N/A"),'Diags Raw Data'!$R$6:$R$3821)</f>
        <v>1</v>
      </c>
      <c r="N112" s="448" cm="1">
        <f t="array" ref="N112">SUMPRODUCT(--(ISNUMBER(SEARCH($A112,'Diags Raw Data'!$A$6:$A$3821))),--('Diags Raw Data'!$Q$6:$Q$3821&lt;&gt;"N/A"),'Diags Raw Data'!$T$6:$T$3821)+SUMPRODUCT(--(ISNUMBER(SEARCH($A112,'Diags Raw Data'!$A$6:$A$3821))),--('Diags Raw Data'!$Q$6:$Q$3821&lt;&gt;"N/A"),'Diags Raw Data'!$U$6:$U$3821)</f>
        <v>0</v>
      </c>
      <c r="O112" s="449">
        <f t="shared" si="2"/>
        <v>0</v>
      </c>
      <c r="P112" s="450">
        <v>0</v>
      </c>
      <c r="Q112" s="451">
        <f>SUM(SUMIF('Diags Raw Data'!$A$6:$A$3821,"*"&amp;$A112&amp;"*",'Diags Raw Data'!$AA$6:$AA$3821),SUMIF('Diags Raw Data'!$A$6:$A$3821,"*"&amp;$A112&amp;"*",'Diags Raw Data'!$AB$6:$AB$3821))</f>
        <v>0</v>
      </c>
      <c r="R112" s="452">
        <f t="shared" si="3"/>
        <v>0</v>
      </c>
      <c r="S112" s="452">
        <f t="shared" si="4"/>
        <v>0</v>
      </c>
      <c r="T112" s="453">
        <f t="shared" si="5"/>
        <v>0</v>
      </c>
      <c r="U112" s="427" t="s">
        <v>47</v>
      </c>
      <c r="V112" s="182"/>
    </row>
    <row r="113" spans="1:22" ht="15.75" thickBot="1" x14ac:dyDescent="0.3">
      <c r="A113" s="338" t="s">
        <v>585</v>
      </c>
      <c r="B113" s="423" t="s">
        <v>767</v>
      </c>
      <c r="C113" s="424" t="s">
        <v>280</v>
      </c>
      <c r="D113" s="425" t="str" cm="1">
        <f t="array" ref="D113">_xlfn.TEXTJOIN("",TRUE,IF(ISNUMBER(SEARCH($A113,'Diags Raw Data'!$A$6:$A$3821)),CONCATENATE('Diags Raw Data'!$H$6:$H$3821,", "),""))</f>
        <v xml:space="preserve">DISP002.1-4, </v>
      </c>
      <c r="E113" s="341" t="str">
        <f>VLOOKUP(A113,'Diags Raw Data'!$A$6:$D$3821,4,FALSE)</f>
        <v>DISP</v>
      </c>
      <c r="F113" s="341" t="str">
        <f>VLOOKUP(A113,'Feature Raw Data'!$A$3:$E$3998,5,FALSE)</f>
        <v>Legacy</v>
      </c>
      <c r="G113" s="341" t="str">
        <f t="shared" si="18"/>
        <v>Yes</v>
      </c>
      <c r="H113" s="341" t="str">
        <f t="shared" si="19"/>
        <v>Yes</v>
      </c>
      <c r="I113" s="424">
        <f>SUMIF('Diags Raw Data'!$A$6:$A$3821,"*"&amp;$A113&amp;"*",'Diags Raw Data'!$K$6:$K$3821)</f>
        <v>1</v>
      </c>
      <c r="J113" s="426">
        <f>SUMIF('Diags Raw Data'!$A$6:$A$3821,"*"&amp;$A113&amp;"*",'Diags Raw Data'!$L$6:$L$3821)</f>
        <v>4</v>
      </c>
      <c r="K113" s="445" cm="1">
        <f t="array" ref="K113">IF(D113="",0, SUMPRODUCT(--(ISNUMBER(SEARCH($A113,'Diags Raw Data'!$A$6:$A$3821))),'Diags Raw Data'!$L$6:$L$3821,'Diags Raw Data'!$N$6:$N$3821)/J113)</f>
        <v>1</v>
      </c>
      <c r="L113" s="446" cm="1">
        <f t="array" ref="L113">IF(D113="",0, SUMPRODUCT(--(ISNUMBER(SEARCH($A113,'Diags Raw Data'!$A$6:$A$3821))),'Diags Raw Data'!$L$6:$L$3821,'Diags Raw Data'!$P$6:$P$3821)/J113)</f>
        <v>1</v>
      </c>
      <c r="M113" s="447" cm="1">
        <f t="array" ref="M113">SUMPRODUCT(--(ISNUMBER(SEARCH($A113,'Diags Raw Data'!$A$6:$A$3821))),--('Diags Raw Data'!$Q$6:$Q$3821&lt;&gt;"N/A"),'Diags Raw Data'!$R$6:$R$3821)</f>
        <v>1</v>
      </c>
      <c r="N113" s="448" cm="1">
        <f t="array" ref="N113">SUMPRODUCT(--(ISNUMBER(SEARCH($A113,'Diags Raw Data'!$A$6:$A$3821))),--('Diags Raw Data'!$Q$6:$Q$3821&lt;&gt;"N/A"),'Diags Raw Data'!$T$6:$T$3821)+SUMPRODUCT(--(ISNUMBER(SEARCH($A113,'Diags Raw Data'!$A$6:$A$3821))),--('Diags Raw Data'!$Q$6:$Q$3821&lt;&gt;"N/A"),'Diags Raw Data'!$U$6:$U$3821)</f>
        <v>0</v>
      </c>
      <c r="O113" s="449">
        <f t="shared" si="2"/>
        <v>0</v>
      </c>
      <c r="P113" s="450">
        <v>0</v>
      </c>
      <c r="Q113" s="451">
        <f>SUM(SUMIF('Diags Raw Data'!$A$6:$A$3821,"*"&amp;$A113&amp;"*",'Diags Raw Data'!$AA$6:$AA$3821),SUMIF('Diags Raw Data'!$A$6:$A$3821,"*"&amp;$A113&amp;"*",'Diags Raw Data'!$AB$6:$AB$3821))</f>
        <v>0</v>
      </c>
      <c r="R113" s="452">
        <f t="shared" si="3"/>
        <v>0</v>
      </c>
      <c r="S113" s="452">
        <f t="shared" si="4"/>
        <v>0</v>
      </c>
      <c r="T113" s="453">
        <f t="shared" si="5"/>
        <v>0</v>
      </c>
      <c r="U113" s="427" t="s">
        <v>47</v>
      </c>
      <c r="V113" s="182"/>
    </row>
    <row r="114" spans="1:22" ht="15.75" thickBot="1" x14ac:dyDescent="0.3">
      <c r="A114" s="338" t="s">
        <v>587</v>
      </c>
      <c r="B114" s="423" t="s">
        <v>768</v>
      </c>
      <c r="C114" s="424" t="s">
        <v>280</v>
      </c>
      <c r="D114" s="425" t="str" cm="1">
        <f t="array" ref="D114">_xlfn.TEXTJOIN("",TRUE,IF(ISNUMBER(SEARCH($A114,'Diags Raw Data'!$A$6:$A$3821)),CONCATENATE('Diags Raw Data'!$H$6:$H$3821,", "),""))</f>
        <v xml:space="preserve">DISP007.1-2, </v>
      </c>
      <c r="E114" s="341" t="str">
        <f>VLOOKUP(A114,'Diags Raw Data'!$A$6:$D$3821,4,FALSE)</f>
        <v>DISP</v>
      </c>
      <c r="F114" s="341" t="str">
        <f>VLOOKUP(A114,'Feature Raw Data'!$A$3:$E$3998,5,FALSE)</f>
        <v>Legacy</v>
      </c>
      <c r="G114" s="341" t="str">
        <f t="shared" si="18"/>
        <v>Yes</v>
      </c>
      <c r="H114" s="341" t="str">
        <f t="shared" si="19"/>
        <v>Yes</v>
      </c>
      <c r="I114" s="424">
        <f>SUMIF('Diags Raw Data'!$A$6:$A$3821,"*"&amp;$A114&amp;"*",'Diags Raw Data'!$K$6:$K$3821)</f>
        <v>1</v>
      </c>
      <c r="J114" s="426">
        <f>SUMIF('Diags Raw Data'!$A$6:$A$3821,"*"&amp;$A114&amp;"*",'Diags Raw Data'!$L$6:$L$3821)</f>
        <v>2</v>
      </c>
      <c r="K114" s="445" cm="1">
        <f t="array" ref="K114">IF(D114="",0, SUMPRODUCT(--(ISNUMBER(SEARCH($A114,'Diags Raw Data'!$A$6:$A$3821))),'Diags Raw Data'!$L$6:$L$3821,'Diags Raw Data'!$N$6:$N$3821)/J114)</f>
        <v>1</v>
      </c>
      <c r="L114" s="446" cm="1">
        <f t="array" ref="L114">IF(D114="",0, SUMPRODUCT(--(ISNUMBER(SEARCH($A114,'Diags Raw Data'!$A$6:$A$3821))),'Diags Raw Data'!$L$6:$L$3821,'Diags Raw Data'!$P$6:$P$3821)/J114)</f>
        <v>1</v>
      </c>
      <c r="M114" s="447" cm="1">
        <f t="array" ref="M114">SUMPRODUCT(--(ISNUMBER(SEARCH($A114,'Diags Raw Data'!$A$6:$A$3821))),--('Diags Raw Data'!$Q$6:$Q$3821&lt;&gt;"N/A"),'Diags Raw Data'!$R$6:$R$3821)</f>
        <v>1</v>
      </c>
      <c r="N114" s="448" cm="1">
        <f t="array" ref="N114">SUMPRODUCT(--(ISNUMBER(SEARCH($A114,'Diags Raw Data'!$A$6:$A$3821))),--('Diags Raw Data'!$Q$6:$Q$3821&lt;&gt;"N/A"),'Diags Raw Data'!$T$6:$T$3821)+SUMPRODUCT(--(ISNUMBER(SEARCH($A114,'Diags Raw Data'!$A$6:$A$3821))),--('Diags Raw Data'!$Q$6:$Q$3821&lt;&gt;"N/A"),'Diags Raw Data'!$U$6:$U$3821)</f>
        <v>0</v>
      </c>
      <c r="O114" s="449">
        <f t="shared" si="2"/>
        <v>0</v>
      </c>
      <c r="P114" s="450">
        <v>0</v>
      </c>
      <c r="Q114" s="451">
        <f>SUM(SUMIF('Diags Raw Data'!$A$6:$A$3821,"*"&amp;$A114&amp;"*",'Diags Raw Data'!$AA$6:$AA$3821),SUMIF('Diags Raw Data'!$A$6:$A$3821,"*"&amp;$A114&amp;"*",'Diags Raw Data'!$AB$6:$AB$3821))</f>
        <v>0</v>
      </c>
      <c r="R114" s="452">
        <f t="shared" si="3"/>
        <v>0</v>
      </c>
      <c r="S114" s="452">
        <f t="shared" si="4"/>
        <v>0</v>
      </c>
      <c r="T114" s="453">
        <f t="shared" si="5"/>
        <v>0</v>
      </c>
      <c r="U114" s="427" t="s">
        <v>47</v>
      </c>
      <c r="V114" s="182"/>
    </row>
    <row r="115" spans="1:22" ht="15.75" thickBot="1" x14ac:dyDescent="0.3">
      <c r="A115" s="338" t="s">
        <v>769</v>
      </c>
      <c r="B115" s="423" t="s">
        <v>770</v>
      </c>
      <c r="C115" s="424" t="s">
        <v>280</v>
      </c>
      <c r="D115" s="425" t="str" cm="1">
        <f t="array" ref="D115">_xlfn.TEXTJOIN("",TRUE,IF(ISNUMBER(SEARCH($A115,'Diags Raw Data'!$A$6:$A$3821)),CONCATENATE('Diags Raw Data'!$H$6:$H$3821,", "),""))</f>
        <v xml:space="preserve">DISP001.1-4, </v>
      </c>
      <c r="E115" s="341" t="str">
        <f>VLOOKUP(A115,'Diags Raw Data'!$A$6:$D$3821,4,FALSE)</f>
        <v>DISP</v>
      </c>
      <c r="F115" s="341" t="str">
        <f>VLOOKUP(A115,'Feature Raw Data'!$A$3:$E$3998,5,FALSE)</f>
        <v>Legacy</v>
      </c>
      <c r="G115" s="341" t="str">
        <f t="shared" si="18"/>
        <v>Yes</v>
      </c>
      <c r="H115" s="341" t="str">
        <f t="shared" si="19"/>
        <v>Yes</v>
      </c>
      <c r="I115" s="424">
        <f>SUMIF('Diags Raw Data'!$A$6:$A$3821,"*"&amp;$A115&amp;"*",'Diags Raw Data'!$K$6:$K$3821)</f>
        <v>1</v>
      </c>
      <c r="J115" s="426">
        <f>SUMIF('Diags Raw Data'!$A$6:$A$3821,"*"&amp;$A115&amp;"*",'Diags Raw Data'!$L$6:$L$3821)</f>
        <v>4</v>
      </c>
      <c r="K115" s="445" cm="1">
        <f t="array" ref="K115">IF(D115="",0, SUMPRODUCT(--(ISNUMBER(SEARCH($A115,'Diags Raw Data'!$A$6:$A$3821))),'Diags Raw Data'!$L$6:$L$3821,'Diags Raw Data'!$N$6:$N$3821)/J115)</f>
        <v>1</v>
      </c>
      <c r="L115" s="446" cm="1">
        <f t="array" ref="L115">IF(D115="",0, SUMPRODUCT(--(ISNUMBER(SEARCH($A115,'Diags Raw Data'!$A$6:$A$3821))),'Diags Raw Data'!$L$6:$L$3821,'Diags Raw Data'!$P$6:$P$3821)/J115)</f>
        <v>1</v>
      </c>
      <c r="M115" s="447" cm="1">
        <f t="array" ref="M115">SUMPRODUCT(--(ISNUMBER(SEARCH($A115,'Diags Raw Data'!$A$6:$A$3821))),--('Diags Raw Data'!$Q$6:$Q$3821&lt;&gt;"N/A"),'Diags Raw Data'!$R$6:$R$3821)</f>
        <v>1</v>
      </c>
      <c r="N115" s="448" cm="1">
        <f t="array" ref="N115">SUMPRODUCT(--(ISNUMBER(SEARCH($A115,'Diags Raw Data'!$A$6:$A$3821))),--('Diags Raw Data'!$Q$6:$Q$3821&lt;&gt;"N/A"),'Diags Raw Data'!$T$6:$T$3821)+SUMPRODUCT(--(ISNUMBER(SEARCH($A115,'Diags Raw Data'!$A$6:$A$3821))),--('Diags Raw Data'!$Q$6:$Q$3821&lt;&gt;"N/A"),'Diags Raw Data'!$U$6:$U$3821)</f>
        <v>0</v>
      </c>
      <c r="O115" s="449">
        <f t="shared" si="2"/>
        <v>0</v>
      </c>
      <c r="P115" s="450">
        <v>0</v>
      </c>
      <c r="Q115" s="451">
        <f>SUM(SUMIF('Diags Raw Data'!$A$6:$A$3821,"*"&amp;$A115&amp;"*",'Diags Raw Data'!$AA$6:$AA$3821),SUMIF('Diags Raw Data'!$A$6:$A$3821,"*"&amp;$A115&amp;"*",'Diags Raw Data'!$AB$6:$AB$3821))</f>
        <v>0</v>
      </c>
      <c r="R115" s="452">
        <f t="shared" si="3"/>
        <v>0</v>
      </c>
      <c r="S115" s="452">
        <f t="shared" si="4"/>
        <v>0</v>
      </c>
      <c r="T115" s="453">
        <f t="shared" si="5"/>
        <v>0</v>
      </c>
      <c r="U115" s="427" t="s">
        <v>47</v>
      </c>
      <c r="V115" s="182"/>
    </row>
    <row r="116" spans="1:22" ht="15.75" thickBot="1" x14ac:dyDescent="0.3">
      <c r="A116" s="338" t="s">
        <v>771</v>
      </c>
      <c r="B116" s="423" t="s">
        <v>772</v>
      </c>
      <c r="C116" s="424" t="s">
        <v>280</v>
      </c>
      <c r="D116" s="425" t="str" cm="1">
        <f t="array" ref="D116">_xlfn.TEXTJOIN("",TRUE,IF(ISNUMBER(SEARCH($A116,'Diags Raw Data'!$A$6:$A$3821)),CONCATENATE('Diags Raw Data'!$H$6:$H$3821,", "),""))</f>
        <v/>
      </c>
      <c r="E116" s="341" t="e">
        <f>VLOOKUP(A116,'Diags Raw Data'!$A$6:$D$3821,4,FALSE)</f>
        <v>#N/A</v>
      </c>
      <c r="F116" s="341" t="str">
        <f>VLOOKUP(A116,'Feature Raw Data'!$A$3:$E$3998,5,FALSE)</f>
        <v>Legacy</v>
      </c>
      <c r="G116" s="341" t="str">
        <f t="shared" si="18"/>
        <v>No</v>
      </c>
      <c r="H116" s="341" t="str">
        <f t="shared" si="19"/>
        <v>No</v>
      </c>
      <c r="I116" s="424">
        <f>SUMIF('Diags Raw Data'!$A$6:$A$3821,"*"&amp;$A116&amp;"*",'Diags Raw Data'!$K$6:$K$3821)</f>
        <v>0</v>
      </c>
      <c r="J116" s="426">
        <f>SUMIF('Diags Raw Data'!$A$6:$A$3821,"*"&amp;$A116&amp;"*",'Diags Raw Data'!$L$6:$L$3821)</f>
        <v>0</v>
      </c>
      <c r="K116" s="445" cm="1">
        <f t="array" ref="K116">IF(D116="",0, SUMPRODUCT(--(ISNUMBER(SEARCH($A116,'Diags Raw Data'!$A$6:$A$3821))),'Diags Raw Data'!$L$6:$L$3821,'Diags Raw Data'!$N$6:$N$3821)/J116)</f>
        <v>0</v>
      </c>
      <c r="L116" s="446" cm="1">
        <f t="array" ref="L116">IF(D116="",0, SUMPRODUCT(--(ISNUMBER(SEARCH($A116,'Diags Raw Data'!$A$6:$A$3821))),'Diags Raw Data'!$L$6:$L$3821,'Diags Raw Data'!$P$6:$P$3821)/J116)</f>
        <v>0</v>
      </c>
      <c r="M116" s="447" cm="1">
        <f t="array" ref="M116">SUMPRODUCT(--(ISNUMBER(SEARCH($A116,'Diags Raw Data'!$A$6:$A$3821))),--('Diags Raw Data'!$Q$6:$Q$3821&lt;&gt;"N/A"),'Diags Raw Data'!$R$6:$R$3821)</f>
        <v>0</v>
      </c>
      <c r="N116" s="448" cm="1">
        <f t="array" ref="N116">SUMPRODUCT(--(ISNUMBER(SEARCH($A116,'Diags Raw Data'!$A$6:$A$3821))),--('Diags Raw Data'!$Q$6:$Q$3821&lt;&gt;"N/A"),'Diags Raw Data'!$T$6:$T$3821)+SUMPRODUCT(--(ISNUMBER(SEARCH($A116,'Diags Raw Data'!$A$6:$A$3821))),--('Diags Raw Data'!$Q$6:$Q$3821&lt;&gt;"N/A"),'Diags Raw Data'!$U$6:$U$3821)</f>
        <v>0</v>
      </c>
      <c r="O116" s="449">
        <f t="shared" si="2"/>
        <v>0</v>
      </c>
      <c r="P116" s="450">
        <f>SUMIF('Diags Raw Data'!$A$6:$A$3821,"*"&amp;$A116&amp;"*",'Diags Raw Data'!$Z$6:$Z$3821)</f>
        <v>0</v>
      </c>
      <c r="Q116" s="451">
        <f>SUM(SUMIF('Diags Raw Data'!$A$6:$A$3821,"*"&amp;$A116&amp;"*",'Diags Raw Data'!$AA$6:$AA$3821),SUMIF('Diags Raw Data'!$A$6:$A$3821,"*"&amp;$A116&amp;"*",'Diags Raw Data'!$AB$6:$AB$3821))</f>
        <v>0</v>
      </c>
      <c r="R116" s="452">
        <f t="shared" si="3"/>
        <v>0</v>
      </c>
      <c r="S116" s="452">
        <f t="shared" si="4"/>
        <v>0</v>
      </c>
      <c r="T116" s="453">
        <f t="shared" si="5"/>
        <v>0</v>
      </c>
      <c r="U116" s="427" t="s">
        <v>47</v>
      </c>
      <c r="V116" s="182"/>
    </row>
    <row r="117" spans="1:22" ht="15.75" thickBot="1" x14ac:dyDescent="0.3">
      <c r="A117" s="338" t="s">
        <v>773</v>
      </c>
      <c r="B117" s="423" t="s">
        <v>774</v>
      </c>
      <c r="C117" s="424" t="s">
        <v>280</v>
      </c>
      <c r="D117" s="425" t="str" cm="1">
        <f t="array" ref="D117">_xlfn.TEXTJOIN("",TRUE,IF(ISNUMBER(SEARCH($A117,'Diags Raw Data'!$A$6:$A$3821)),CONCATENATE('Diags Raw Data'!$H$6:$H$3821,", "),""))</f>
        <v xml:space="preserve">DCHB060.1, DCHB061.1, </v>
      </c>
      <c r="E117" s="341" t="str">
        <f>VLOOKUP(A117,'Diags Raw Data'!$A$6:$D$3821,4,FALSE)</f>
        <v>DCHB</v>
      </c>
      <c r="F117" s="341" t="str">
        <f>VLOOKUP(A117,'Feature Raw Data'!$A$3:$E$3998,5,FALSE)</f>
        <v>Legacy</v>
      </c>
      <c r="G117" s="341" t="str">
        <f t="shared" si="18"/>
        <v>Yes</v>
      </c>
      <c r="H117" s="341" t="str">
        <f t="shared" si="19"/>
        <v>Yes</v>
      </c>
      <c r="I117" s="424">
        <f>SUMIF('Diags Raw Data'!$A$6:$A$3821,"*"&amp;$A117&amp;"*",'Diags Raw Data'!$K$6:$K$3821)</f>
        <v>16</v>
      </c>
      <c r="J117" s="426">
        <f>SUMIF('Diags Raw Data'!$A$6:$A$3821,"*"&amp;$A117&amp;"*",'Diags Raw Data'!$L$6:$L$3821)</f>
        <v>2</v>
      </c>
      <c r="K117" s="445" cm="1">
        <f t="array" ref="K117">IF(D117="",0, SUMPRODUCT(--(ISNUMBER(SEARCH($A117,'Diags Raw Data'!$A$6:$A$3821))),'Diags Raw Data'!$L$6:$L$3821,'Diags Raw Data'!$N$6:$N$3821)/J117)</f>
        <v>1</v>
      </c>
      <c r="L117" s="446" cm="1">
        <f t="array" ref="L117">IF(D117="",0, SUMPRODUCT(--(ISNUMBER(SEARCH($A117,'Diags Raw Data'!$A$6:$A$3821))),'Diags Raw Data'!$L$6:$L$3821,'Diags Raw Data'!$P$6:$P$3821)/J117)</f>
        <v>1</v>
      </c>
      <c r="M117" s="447" cm="1">
        <f t="array" ref="M117">SUMPRODUCT(--(ISNUMBER(SEARCH($A117,'Diags Raw Data'!$A$6:$A$3821))),--('Diags Raw Data'!$Q$6:$Q$3821&lt;&gt;"N/A"),'Diags Raw Data'!$R$6:$R$3821)</f>
        <v>2</v>
      </c>
      <c r="N117" s="448" cm="1">
        <f t="array" ref="N117">SUMPRODUCT(--(ISNUMBER(SEARCH($A117,'Diags Raw Data'!$A$6:$A$3821))),--('Diags Raw Data'!$Q$6:$Q$3821&lt;&gt;"N/A"),'Diags Raw Data'!$T$6:$T$3821)+SUMPRODUCT(--(ISNUMBER(SEARCH($A117,'Diags Raw Data'!$A$6:$A$3821))),--('Diags Raw Data'!$Q$6:$Q$3821&lt;&gt;"N/A"),'Diags Raw Data'!$U$6:$U$3821)</f>
        <v>0</v>
      </c>
      <c r="O117" s="449">
        <f t="shared" si="2"/>
        <v>0</v>
      </c>
      <c r="P117" s="450">
        <v>0</v>
      </c>
      <c r="Q117" s="451">
        <f>SUM(SUMIF('Diags Raw Data'!$A$6:$A$3821,"*"&amp;$A117&amp;"*",'Diags Raw Data'!$AA$6:$AA$3821),SUMIF('Diags Raw Data'!$A$6:$A$3821,"*"&amp;$A117&amp;"*",'Diags Raw Data'!$AB$6:$AB$3821))</f>
        <v>0</v>
      </c>
      <c r="R117" s="452">
        <f t="shared" si="3"/>
        <v>0</v>
      </c>
      <c r="S117" s="452">
        <f t="shared" si="4"/>
        <v>0</v>
      </c>
      <c r="T117" s="453">
        <f t="shared" si="5"/>
        <v>0</v>
      </c>
      <c r="U117" s="427" t="s">
        <v>47</v>
      </c>
      <c r="V117" s="182"/>
    </row>
    <row r="118" spans="1:22" ht="75.75" thickBot="1" x14ac:dyDescent="0.3">
      <c r="A118" s="338" t="s">
        <v>546</v>
      </c>
      <c r="B118" s="423" t="s">
        <v>775</v>
      </c>
      <c r="C118" s="424" t="s">
        <v>280</v>
      </c>
      <c r="D118" s="425" t="str" cm="1">
        <f t="array" ref="D118">_xlfn.TEXTJOIN("",TRUE,IF(ISNUMBER(SEARCH($A118,'Diags Raw Data'!$A$6:$A$3821)),CONCATENATE('Diags Raw Data'!$H$6:$H$3821,", "),""))</f>
        <v xml:space="preserve">DIO650.001-016,101-115, DIO651.001-017,101-114, DIO652.001-034,101-108,110-120,201-232,301-308,900-906, DIO653.001-016,101-115, DIO654.001-017,101-114, DIO655.001-034,101-108,110-120,201-232,301-308,900-906, DIO656.001-016,101-115, DIO657.001-017,101-114, DIO658.001-034,101-108,110-120,201-232,301-308,900-906, DIO659.1, DIO660.1-7, DIO661.1-7, DIO662.1, </v>
      </c>
      <c r="E118" s="341" t="str">
        <f>VLOOKUP(A118,'Diags Raw Data'!$A$6:$D$3821,4,FALSE)</f>
        <v>DIO</v>
      </c>
      <c r="F118" s="341" t="str">
        <f>VLOOKUP(A118,'Feature Raw Data'!$A$3:$E$3998,5,FALSE)</f>
        <v>Delta</v>
      </c>
      <c r="G118" s="341" t="str">
        <f t="shared" si="18"/>
        <v>Yes</v>
      </c>
      <c r="H118" s="341" t="str">
        <f t="shared" si="19"/>
        <v>Yes</v>
      </c>
      <c r="I118" s="424">
        <f>SUMIF('Diags Raw Data'!$A$6:$A$3821,"*"&amp;$A118&amp;"*",'Diags Raw Data'!$K$6:$K$3821)</f>
        <v>9</v>
      </c>
      <c r="J118" s="426">
        <f>SUMIF('Diags Raw Data'!$A$6:$A$3821,"*"&amp;$A118&amp;"*",'Diags Raw Data'!$L$6:$L$3821)</f>
        <v>502</v>
      </c>
      <c r="K118" s="445" cm="1">
        <f t="array" ref="K118">IF(D118="",0, SUMPRODUCT(--(ISNUMBER(SEARCH($A118,'Diags Raw Data'!$A$6:$A$3821))),'Diags Raw Data'!$L$6:$L$3821,'Diags Raw Data'!$N$6:$N$3821)/J118)</f>
        <v>1</v>
      </c>
      <c r="L118" s="446" cm="1">
        <f t="array" ref="L118">IF(D118="",0, SUMPRODUCT(--(ISNUMBER(SEARCH($A118,'Diags Raw Data'!$A$6:$A$3821))),'Diags Raw Data'!$L$6:$L$3821,'Diags Raw Data'!$P$6:$P$3821)/J118)</f>
        <v>1</v>
      </c>
      <c r="M118" s="447" cm="1">
        <f t="array" ref="M118">SUMPRODUCT(--(ISNUMBER(SEARCH($A118,'Diags Raw Data'!$A$6:$A$3821))),--('Diags Raw Data'!$Q$6:$Q$3821&lt;&gt;"N/A"),'Diags Raw Data'!$R$6:$R$3821)</f>
        <v>38</v>
      </c>
      <c r="N118" s="448" cm="1">
        <f t="array" ref="N118">SUMPRODUCT(--(ISNUMBER(SEARCH($A118,'Diags Raw Data'!$A$6:$A$3821))),--('Diags Raw Data'!$Q$6:$Q$3821&lt;&gt;"N/A"),'Diags Raw Data'!$T$6:$T$3821)+SUMPRODUCT(--(ISNUMBER(SEARCH($A118,'Diags Raw Data'!$A$6:$A$3821))),--('Diags Raw Data'!$Q$6:$Q$3821&lt;&gt;"N/A"),'Diags Raw Data'!$U$6:$U$3821)</f>
        <v>0</v>
      </c>
      <c r="O118" s="449">
        <f t="shared" si="2"/>
        <v>0</v>
      </c>
      <c r="P118" s="450">
        <f>SUMIF('Diags Raw Data'!$A$6:$A$3821,"*"&amp;$A118&amp;"*",'Diags Raw Data'!$Z$6:$Z$3821)</f>
        <v>0</v>
      </c>
      <c r="Q118" s="451">
        <f>SUM(SUMIF('Diags Raw Data'!$A$6:$A$3821,"*"&amp;$A118&amp;"*",'Diags Raw Data'!$AA$6:$AA$3821),SUMIF('Diags Raw Data'!$A$6:$A$3821,"*"&amp;$A118&amp;"*",'Diags Raw Data'!$AB$6:$AB$3821))</f>
        <v>0</v>
      </c>
      <c r="R118" s="452">
        <f t="shared" si="3"/>
        <v>0</v>
      </c>
      <c r="S118" s="452">
        <f t="shared" si="4"/>
        <v>0</v>
      </c>
      <c r="T118" s="453">
        <f t="shared" si="5"/>
        <v>0</v>
      </c>
      <c r="U118" s="427" t="s">
        <v>776</v>
      </c>
      <c r="V118" s="182"/>
    </row>
    <row r="119" spans="1:22" ht="15.75" thickBot="1" x14ac:dyDescent="0.3">
      <c r="A119" s="338" t="s">
        <v>777</v>
      </c>
      <c r="B119" s="423" t="s">
        <v>778</v>
      </c>
      <c r="C119" s="424" t="s">
        <v>280</v>
      </c>
      <c r="D119" s="425" t="str" cm="1">
        <f t="array" ref="D119">_xlfn.TEXTJOIN("",TRUE,IF(ISNUMBER(SEARCH($A119,'Diags Raw Data'!$A$6:$A$3821)),CONCATENATE('Diags Raw Data'!$H$6:$H$3821,", "),""))</f>
        <v/>
      </c>
      <c r="E119" s="341" t="e">
        <f>VLOOKUP(A119,'Diags Raw Data'!$A$6:$D$3821,4,FALSE)</f>
        <v>#N/A</v>
      </c>
      <c r="F119" s="341" t="str">
        <f>VLOOKUP(A119,'Feature Raw Data'!$A$3:$E$3998,5,FALSE)</f>
        <v>Legacy</v>
      </c>
      <c r="G119" s="341" t="str">
        <f t="shared" si="18"/>
        <v>No</v>
      </c>
      <c r="H119" s="341" t="str">
        <f t="shared" si="19"/>
        <v>No</v>
      </c>
      <c r="I119" s="424">
        <f>SUMIF('Diags Raw Data'!$A$6:$A$3821,"*"&amp;$A119&amp;"*",'Diags Raw Data'!$K$6:$K$3821)</f>
        <v>0</v>
      </c>
      <c r="J119" s="426">
        <f>SUMIF('Diags Raw Data'!$A$6:$A$3821,"*"&amp;$A119&amp;"*",'Diags Raw Data'!$L$6:$L$3821)</f>
        <v>0</v>
      </c>
      <c r="K119" s="445" cm="1">
        <f t="array" ref="K119">IF(D119="",0, SUMPRODUCT(--(ISNUMBER(SEARCH($A119,'Diags Raw Data'!$A$6:$A$3821))),'Diags Raw Data'!$L$6:$L$3821,'Diags Raw Data'!$N$6:$N$3821)/J119)</f>
        <v>0</v>
      </c>
      <c r="L119" s="446" cm="1">
        <f t="array" ref="L119">IF(D119="",0, SUMPRODUCT(--(ISNUMBER(SEARCH($A119,'Diags Raw Data'!$A$6:$A$3821))),'Diags Raw Data'!$L$6:$L$3821,'Diags Raw Data'!$P$6:$P$3821)/J119)</f>
        <v>0</v>
      </c>
      <c r="M119" s="447" cm="1">
        <f t="array" ref="M119">SUMPRODUCT(--(ISNUMBER(SEARCH($A119,'Diags Raw Data'!$A$6:$A$3821))),--('Diags Raw Data'!$Q$6:$Q$3821&lt;&gt;"N/A"),'Diags Raw Data'!$R$6:$R$3821)</f>
        <v>0</v>
      </c>
      <c r="N119" s="448" cm="1">
        <f t="array" ref="N119">SUMPRODUCT(--(ISNUMBER(SEARCH($A119,'Diags Raw Data'!$A$6:$A$3821))),--('Diags Raw Data'!$Q$6:$Q$3821&lt;&gt;"N/A"),'Diags Raw Data'!$T$6:$T$3821)+SUMPRODUCT(--(ISNUMBER(SEARCH($A119,'Diags Raw Data'!$A$6:$A$3821))),--('Diags Raw Data'!$Q$6:$Q$3821&lt;&gt;"N/A"),'Diags Raw Data'!$U$6:$U$3821)</f>
        <v>0</v>
      </c>
      <c r="O119" s="449">
        <f t="shared" si="2"/>
        <v>0</v>
      </c>
      <c r="P119" s="450">
        <f>SUMIF('Diags Raw Data'!$A$6:$A$3821,"*"&amp;$A119&amp;"*",'Diags Raw Data'!$Z$6:$Z$3821)</f>
        <v>0</v>
      </c>
      <c r="Q119" s="451">
        <f>SUM(SUMIF('Diags Raw Data'!$A$6:$A$3821,"*"&amp;$A119&amp;"*",'Diags Raw Data'!$AA$6:$AA$3821),SUMIF('Diags Raw Data'!$A$6:$A$3821,"*"&amp;$A119&amp;"*",'Diags Raw Data'!$AB$6:$AB$3821))</f>
        <v>0</v>
      </c>
      <c r="R119" s="452">
        <f t="shared" si="3"/>
        <v>0</v>
      </c>
      <c r="S119" s="452">
        <f t="shared" si="4"/>
        <v>0</v>
      </c>
      <c r="T119" s="453">
        <f t="shared" si="5"/>
        <v>0</v>
      </c>
      <c r="U119" s="427" t="s">
        <v>47</v>
      </c>
      <c r="V119" s="182"/>
    </row>
    <row r="120" spans="1:22" ht="15.75" thickBot="1" x14ac:dyDescent="0.3">
      <c r="A120" s="338" t="s">
        <v>779</v>
      </c>
      <c r="B120" s="423" t="s">
        <v>780</v>
      </c>
      <c r="C120" s="424" t="s">
        <v>280</v>
      </c>
      <c r="D120" s="425" t="str" cm="1">
        <f t="array" ref="D120">_xlfn.TEXTJOIN("",TRUE,IF(ISNUMBER(SEARCH($A120,'Diags Raw Data'!$A$6:$A$3821)),CONCATENATE('Diags Raw Data'!$H$6:$H$3821,", "),""))</f>
        <v xml:space="preserve">DIO620.1-12,101-109,201-210,301-310,401-410,507-510,512,607-610,612-613,707-710,712-713, </v>
      </c>
      <c r="E120" s="341" t="str">
        <f>VLOOKUP(A120,'Diags Raw Data'!$A$6:$D$3821,4,FALSE)</f>
        <v>DIO</v>
      </c>
      <c r="F120" s="341" t="str">
        <f>VLOOKUP(A120,'Feature Raw Data'!$A$3:$E$3998,5,FALSE)</f>
        <v>Legacy</v>
      </c>
      <c r="G120" s="341" t="str">
        <f t="shared" si="18"/>
        <v>Yes</v>
      </c>
      <c r="H120" s="341" t="str">
        <f t="shared" si="19"/>
        <v>Yes</v>
      </c>
      <c r="I120" s="424">
        <f>SUMIF('Diags Raw Data'!$A$6:$A$3821,"*"&amp;$A120&amp;"*",'Diags Raw Data'!$K$6:$K$3821)</f>
        <v>63</v>
      </c>
      <c r="J120" s="426">
        <f>SUMIF('Diags Raw Data'!$A$6:$A$3821,"*"&amp;$A120&amp;"*",'Diags Raw Data'!$L$6:$L$3821)</f>
        <v>63</v>
      </c>
      <c r="K120" s="445" cm="1">
        <f t="array" ref="K120">IF(D120="",0, SUMPRODUCT(--(ISNUMBER(SEARCH($A120,'Diags Raw Data'!$A$6:$A$3821))),'Diags Raw Data'!$L$6:$L$3821,'Diags Raw Data'!$N$6:$N$3821)/J120)</f>
        <v>1</v>
      </c>
      <c r="L120" s="446" cm="1">
        <f t="array" ref="L120">IF(D120="",0, SUMPRODUCT(--(ISNUMBER(SEARCH($A120,'Diags Raw Data'!$A$6:$A$3821))),'Diags Raw Data'!$L$6:$L$3821,'Diags Raw Data'!$P$6:$P$3821)/J120)</f>
        <v>1</v>
      </c>
      <c r="M120" s="447" cm="1">
        <f t="array" ref="M120">SUMPRODUCT(--(ISNUMBER(SEARCH($A120,'Diags Raw Data'!$A$6:$A$3821))),--('Diags Raw Data'!$Q$6:$Q$3821&lt;&gt;"N/A"),'Diags Raw Data'!$R$6:$R$3821)</f>
        <v>63</v>
      </c>
      <c r="N120" s="448" cm="1">
        <f t="array" ref="N120">SUMPRODUCT(--(ISNUMBER(SEARCH($A120,'Diags Raw Data'!$A$6:$A$3821))),--('Diags Raw Data'!$Q$6:$Q$3821&lt;&gt;"N/A"),'Diags Raw Data'!$T$6:$T$3821)+SUMPRODUCT(--(ISNUMBER(SEARCH($A120,'Diags Raw Data'!$A$6:$A$3821))),--('Diags Raw Data'!$Q$6:$Q$3821&lt;&gt;"N/A"),'Diags Raw Data'!$U$6:$U$3821)</f>
        <v>0</v>
      </c>
      <c r="O120" s="449">
        <f t="shared" si="2"/>
        <v>0</v>
      </c>
      <c r="P120" s="450">
        <v>0</v>
      </c>
      <c r="Q120" s="451">
        <f>SUM(SUMIF('Diags Raw Data'!$A$6:$A$3821,"*"&amp;$A120&amp;"*",'Diags Raw Data'!$AA$6:$AA$3821),SUMIF('Diags Raw Data'!$A$6:$A$3821,"*"&amp;$A120&amp;"*",'Diags Raw Data'!$AB$6:$AB$3821))</f>
        <v>0</v>
      </c>
      <c r="R120" s="452">
        <f t="shared" si="3"/>
        <v>0</v>
      </c>
      <c r="S120" s="452">
        <f t="shared" si="4"/>
        <v>0</v>
      </c>
      <c r="T120" s="453">
        <f t="shared" si="5"/>
        <v>0</v>
      </c>
      <c r="U120" s="427" t="s">
        <v>47</v>
      </c>
      <c r="V120" s="182"/>
    </row>
    <row r="121" spans="1:22" ht="15.75" thickBot="1" x14ac:dyDescent="0.3">
      <c r="A121" s="338" t="s">
        <v>781</v>
      </c>
      <c r="B121" s="423" t="s">
        <v>782</v>
      </c>
      <c r="C121" s="424" t="s">
        <v>280</v>
      </c>
      <c r="D121" s="425" t="str" cm="1">
        <f t="array" ref="D121">_xlfn.TEXTJOIN("",TRUE,IF(ISNUMBER(SEARCH($A121,'Diags Raw Data'!$A$6:$A$3821)),CONCATENATE('Diags Raw Data'!$H$6:$H$3821,", "),""))</f>
        <v/>
      </c>
      <c r="E121" s="341" t="e">
        <f>VLOOKUP(A121,'Diags Raw Data'!$A$6:$D$3821,4,FALSE)</f>
        <v>#N/A</v>
      </c>
      <c r="F121" s="341" t="str">
        <f>VLOOKUP(A121,'Feature Raw Data'!$A$3:$E$3998,5,FALSE)</f>
        <v>Legacy</v>
      </c>
      <c r="G121" s="341" t="str">
        <f t="shared" si="18"/>
        <v>No</v>
      </c>
      <c r="H121" s="341" t="str">
        <f t="shared" si="19"/>
        <v>No</v>
      </c>
      <c r="I121" s="424">
        <f>SUMIF('Diags Raw Data'!$A$6:$A$3821,"*"&amp;$A121&amp;"*",'Diags Raw Data'!$K$6:$K$3821)</f>
        <v>0</v>
      </c>
      <c r="J121" s="426">
        <f>SUMIF('Diags Raw Data'!$A$6:$A$3821,"*"&amp;$A121&amp;"*",'Diags Raw Data'!$L$6:$L$3821)</f>
        <v>0</v>
      </c>
      <c r="K121" s="445" cm="1">
        <f t="array" ref="K121">IF(D121="",0, SUMPRODUCT(--(ISNUMBER(SEARCH($A121,'Diags Raw Data'!$A$6:$A$3821))),'Diags Raw Data'!$L$6:$L$3821,'Diags Raw Data'!$N$6:$N$3821)/J121)</f>
        <v>0</v>
      </c>
      <c r="L121" s="446" cm="1">
        <f t="array" ref="L121">IF(D121="",0, SUMPRODUCT(--(ISNUMBER(SEARCH($A121,'Diags Raw Data'!$A$6:$A$3821))),'Diags Raw Data'!$L$6:$L$3821,'Diags Raw Data'!$P$6:$P$3821)/J121)</f>
        <v>0</v>
      </c>
      <c r="M121" s="447" cm="1">
        <f t="array" ref="M121">SUMPRODUCT(--(ISNUMBER(SEARCH($A121,'Diags Raw Data'!$A$6:$A$3821))),--('Diags Raw Data'!$Q$6:$Q$3821&lt;&gt;"N/A"),'Diags Raw Data'!$R$6:$R$3821)</f>
        <v>0</v>
      </c>
      <c r="N121" s="448" cm="1">
        <f t="array" ref="N121">SUMPRODUCT(--(ISNUMBER(SEARCH($A121,'Diags Raw Data'!$A$6:$A$3821))),--('Diags Raw Data'!$Q$6:$Q$3821&lt;&gt;"N/A"),'Diags Raw Data'!$T$6:$T$3821)+SUMPRODUCT(--(ISNUMBER(SEARCH($A121,'Diags Raw Data'!$A$6:$A$3821))),--('Diags Raw Data'!$Q$6:$Q$3821&lt;&gt;"N/A"),'Diags Raw Data'!$U$6:$U$3821)</f>
        <v>0</v>
      </c>
      <c r="O121" s="449">
        <f t="shared" si="2"/>
        <v>0</v>
      </c>
      <c r="P121" s="450">
        <f>SUMIF('Diags Raw Data'!$A$6:$A$3821,"*"&amp;$A121&amp;"*",'Diags Raw Data'!$Z$6:$Z$3821)</f>
        <v>0</v>
      </c>
      <c r="Q121" s="451">
        <f>SUM(SUMIF('Diags Raw Data'!$A$6:$A$3821,"*"&amp;$A121&amp;"*",'Diags Raw Data'!$AA$6:$AA$3821),SUMIF('Diags Raw Data'!$A$6:$A$3821,"*"&amp;$A121&amp;"*",'Diags Raw Data'!$AB$6:$AB$3821))</f>
        <v>0</v>
      </c>
      <c r="R121" s="452">
        <f t="shared" si="3"/>
        <v>0</v>
      </c>
      <c r="S121" s="452">
        <f t="shared" si="4"/>
        <v>0</v>
      </c>
      <c r="T121" s="453">
        <f t="shared" si="5"/>
        <v>0</v>
      </c>
      <c r="U121" s="427" t="s">
        <v>47</v>
      </c>
      <c r="V121" s="182"/>
    </row>
    <row r="122" spans="1:22" ht="15.75" thickBot="1" x14ac:dyDescent="0.3">
      <c r="A122" s="338" t="s">
        <v>783</v>
      </c>
      <c r="B122" s="423" t="s">
        <v>784</v>
      </c>
      <c r="C122" s="424" t="s">
        <v>280</v>
      </c>
      <c r="D122" s="425" t="str" cm="1">
        <f t="array" ref="D122">_xlfn.TEXTJOIN("",TRUE,IF(ISNUMBER(SEARCH($A122,'Diags Raw Data'!$A$6:$A$3821)),CONCATENATE('Diags Raw Data'!$H$6:$H$3821,", "),""))</f>
        <v/>
      </c>
      <c r="E122" s="341" t="e">
        <f>VLOOKUP(A122,'Diags Raw Data'!$A$6:$D$3821,4,FALSE)</f>
        <v>#N/A</v>
      </c>
      <c r="F122" s="341" t="str">
        <f>VLOOKUP(A122,'Feature Raw Data'!$A$3:$E$3998,5,FALSE)</f>
        <v>Legacy</v>
      </c>
      <c r="G122" s="341" t="str">
        <f t="shared" si="18"/>
        <v>No</v>
      </c>
      <c r="H122" s="341" t="str">
        <f t="shared" si="19"/>
        <v>No</v>
      </c>
      <c r="I122" s="424">
        <f>SUMIF('Diags Raw Data'!$A$6:$A$3821,"*"&amp;$A122&amp;"*",'Diags Raw Data'!$K$6:$K$3821)</f>
        <v>0</v>
      </c>
      <c r="J122" s="426">
        <f>SUMIF('Diags Raw Data'!$A$6:$A$3821,"*"&amp;$A122&amp;"*",'Diags Raw Data'!$L$6:$L$3821)</f>
        <v>0</v>
      </c>
      <c r="K122" s="445" cm="1">
        <f t="array" ref="K122">IF(D122="",0, SUMPRODUCT(--(ISNUMBER(SEARCH($A122,'Diags Raw Data'!$A$6:$A$3821))),'Diags Raw Data'!$L$6:$L$3821,'Diags Raw Data'!$N$6:$N$3821)/J122)</f>
        <v>0</v>
      </c>
      <c r="L122" s="446" cm="1">
        <f t="array" ref="L122">IF(D122="",0, SUMPRODUCT(--(ISNUMBER(SEARCH($A122,'Diags Raw Data'!$A$6:$A$3821))),'Diags Raw Data'!$L$6:$L$3821,'Diags Raw Data'!$P$6:$P$3821)/J122)</f>
        <v>0</v>
      </c>
      <c r="M122" s="447" cm="1">
        <f t="array" ref="M122">SUMPRODUCT(--(ISNUMBER(SEARCH($A122,'Diags Raw Data'!$A$6:$A$3821))),--('Diags Raw Data'!$Q$6:$Q$3821&lt;&gt;"N/A"),'Diags Raw Data'!$R$6:$R$3821)</f>
        <v>0</v>
      </c>
      <c r="N122" s="448" cm="1">
        <f t="array" ref="N122">SUMPRODUCT(--(ISNUMBER(SEARCH($A122,'Diags Raw Data'!$A$6:$A$3821))),--('Diags Raw Data'!$Q$6:$Q$3821&lt;&gt;"N/A"),'Diags Raw Data'!$T$6:$T$3821)+SUMPRODUCT(--(ISNUMBER(SEARCH($A122,'Diags Raw Data'!$A$6:$A$3821))),--('Diags Raw Data'!$Q$6:$Q$3821&lt;&gt;"N/A"),'Diags Raw Data'!$U$6:$U$3821)</f>
        <v>0</v>
      </c>
      <c r="O122" s="449">
        <f t="shared" si="2"/>
        <v>0</v>
      </c>
      <c r="P122" s="450">
        <f>SUMIF('Diags Raw Data'!$A$6:$A$3821,"*"&amp;$A122&amp;"*",'Diags Raw Data'!$Z$6:$Z$3821)</f>
        <v>0</v>
      </c>
      <c r="Q122" s="451">
        <f>SUM(SUMIF('Diags Raw Data'!$A$6:$A$3821,"*"&amp;$A122&amp;"*",'Diags Raw Data'!$AA$6:$AA$3821),SUMIF('Diags Raw Data'!$A$6:$A$3821,"*"&amp;$A122&amp;"*",'Diags Raw Data'!$AB$6:$AB$3821))</f>
        <v>0</v>
      </c>
      <c r="R122" s="452">
        <f t="shared" si="3"/>
        <v>0</v>
      </c>
      <c r="S122" s="452">
        <f t="shared" si="4"/>
        <v>0</v>
      </c>
      <c r="T122" s="453">
        <f t="shared" si="5"/>
        <v>0</v>
      </c>
      <c r="U122" s="427" t="s">
        <v>47</v>
      </c>
      <c r="V122" s="182"/>
    </row>
    <row r="123" spans="1:22" ht="15.75" thickBot="1" x14ac:dyDescent="0.3">
      <c r="A123" s="338" t="s">
        <v>785</v>
      </c>
      <c r="B123" s="423" t="s">
        <v>786</v>
      </c>
      <c r="C123" s="424" t="s">
        <v>280</v>
      </c>
      <c r="D123" s="425" t="str" cm="1">
        <f t="array" ref="D123">_xlfn.TEXTJOIN("",TRUE,IF(ISNUMBER(SEARCH($A123,'Diags Raw Data'!$A$6:$A$3821)),CONCATENATE('Diags Raw Data'!$H$6:$H$3821,", "),""))</f>
        <v xml:space="preserve">DMU003.1, </v>
      </c>
      <c r="E123" s="341" t="str">
        <f>VLOOKUP(A123,'Diags Raw Data'!$A$6:$D$3821,4,FALSE)</f>
        <v>DMU</v>
      </c>
      <c r="F123" s="341" t="str">
        <f>VLOOKUP(A123,'Feature Raw Data'!$A$3:$E$3998,5,FALSE)</f>
        <v>Legacy</v>
      </c>
      <c r="G123" s="341" t="str">
        <f t="shared" si="18"/>
        <v>Yes</v>
      </c>
      <c r="H123" s="341" t="str">
        <f t="shared" si="19"/>
        <v>Yes</v>
      </c>
      <c r="I123" s="424">
        <f>SUMIF('Diags Raw Data'!$A$6:$A$3821,"*"&amp;$A123&amp;"*",'Diags Raw Data'!$K$6:$K$3821)</f>
        <v>1</v>
      </c>
      <c r="J123" s="426">
        <f>SUMIF('Diags Raw Data'!$A$6:$A$3821,"*"&amp;$A123&amp;"*",'Diags Raw Data'!$L$6:$L$3821)</f>
        <v>1</v>
      </c>
      <c r="K123" s="445" cm="1">
        <f t="array" ref="K123">IF(D123="",0, SUMPRODUCT(--(ISNUMBER(SEARCH($A123,'Diags Raw Data'!$A$6:$A$3821))),'Diags Raw Data'!$L$6:$L$3821,'Diags Raw Data'!$N$6:$N$3821)/J123)</f>
        <v>1</v>
      </c>
      <c r="L123" s="446" cm="1">
        <f t="array" ref="L123">IF(D123="",0, SUMPRODUCT(--(ISNUMBER(SEARCH($A123,'Diags Raw Data'!$A$6:$A$3821))),'Diags Raw Data'!$L$6:$L$3821,'Diags Raw Data'!$P$6:$P$3821)/J123)</f>
        <v>1</v>
      </c>
      <c r="M123" s="447" cm="1">
        <f t="array" ref="M123">SUMPRODUCT(--(ISNUMBER(SEARCH($A123,'Diags Raw Data'!$A$6:$A$3821))),--('Diags Raw Data'!$Q$6:$Q$3821&lt;&gt;"N/A"),'Diags Raw Data'!$R$6:$R$3821)</f>
        <v>1</v>
      </c>
      <c r="N123" s="448" cm="1">
        <f t="array" ref="N123">SUMPRODUCT(--(ISNUMBER(SEARCH($A123,'Diags Raw Data'!$A$6:$A$3821))),--('Diags Raw Data'!$Q$6:$Q$3821&lt;&gt;"N/A"),'Diags Raw Data'!$T$6:$T$3821)+SUMPRODUCT(--(ISNUMBER(SEARCH($A123,'Diags Raw Data'!$A$6:$A$3821))),--('Diags Raw Data'!$Q$6:$Q$3821&lt;&gt;"N/A"),'Diags Raw Data'!$U$6:$U$3821)</f>
        <v>0</v>
      </c>
      <c r="O123" s="449">
        <f t="shared" si="2"/>
        <v>0</v>
      </c>
      <c r="P123" s="450">
        <v>0</v>
      </c>
      <c r="Q123" s="451">
        <f>SUM(SUMIF('Diags Raw Data'!$A$6:$A$3821,"*"&amp;$A123&amp;"*",'Diags Raw Data'!$AA$6:$AA$3821),SUMIF('Diags Raw Data'!$A$6:$A$3821,"*"&amp;$A123&amp;"*",'Diags Raw Data'!$AB$6:$AB$3821))</f>
        <v>0</v>
      </c>
      <c r="R123" s="452">
        <f t="shared" si="3"/>
        <v>0</v>
      </c>
      <c r="S123" s="452">
        <f t="shared" si="4"/>
        <v>0</v>
      </c>
      <c r="T123" s="453">
        <f t="shared" si="5"/>
        <v>0</v>
      </c>
      <c r="U123" s="427" t="s">
        <v>787</v>
      </c>
      <c r="V123" s="182"/>
    </row>
    <row r="124" spans="1:22" ht="15.75" thickBot="1" x14ac:dyDescent="0.3">
      <c r="A124" s="338" t="s">
        <v>788</v>
      </c>
      <c r="B124" s="423" t="s">
        <v>789</v>
      </c>
      <c r="C124" s="424" t="s">
        <v>280</v>
      </c>
      <c r="D124" s="425" t="str" cm="1">
        <f t="array" ref="D124">_xlfn.TEXTJOIN("",TRUE,IF(ISNUMBER(SEARCH($A124,'Diags Raw Data'!$A$6:$A$3821)),CONCATENATE('Diags Raw Data'!$H$6:$H$3821,", "),""))</f>
        <v xml:space="preserve">DMU001.101-103, </v>
      </c>
      <c r="E124" s="341" t="str">
        <f>VLOOKUP(A124,'Diags Raw Data'!$A$6:$D$3821,4,FALSE)</f>
        <v>DMU</v>
      </c>
      <c r="F124" s="341" t="str">
        <f>VLOOKUP(A124,'Feature Raw Data'!$A$3:$E$3998,5,FALSE)</f>
        <v>Legacy</v>
      </c>
      <c r="G124" s="341" t="str">
        <f t="shared" si="18"/>
        <v>Yes</v>
      </c>
      <c r="H124" s="341" t="str">
        <f t="shared" si="19"/>
        <v>Yes</v>
      </c>
      <c r="I124" s="424">
        <f>SUMIF('Diags Raw Data'!$A$6:$A$3821,"*"&amp;$A124&amp;"*",'Diags Raw Data'!$K$6:$K$3821)</f>
        <v>1</v>
      </c>
      <c r="J124" s="426">
        <f>SUMIF('Diags Raw Data'!$A$6:$A$3821,"*"&amp;$A124&amp;"*",'Diags Raw Data'!$L$6:$L$3821)</f>
        <v>3</v>
      </c>
      <c r="K124" s="445" cm="1">
        <f t="array" ref="K124">IF(D124="",0, SUMPRODUCT(--(ISNUMBER(SEARCH($A124,'Diags Raw Data'!$A$6:$A$3821))),'Diags Raw Data'!$L$6:$L$3821,'Diags Raw Data'!$N$6:$N$3821)/J124)</f>
        <v>1</v>
      </c>
      <c r="L124" s="446" cm="1">
        <f t="array" ref="L124">IF(D124="",0, SUMPRODUCT(--(ISNUMBER(SEARCH($A124,'Diags Raw Data'!$A$6:$A$3821))),'Diags Raw Data'!$L$6:$L$3821,'Diags Raw Data'!$P$6:$P$3821)/J124)</f>
        <v>1</v>
      </c>
      <c r="M124" s="447" cm="1">
        <f t="array" ref="M124">SUMPRODUCT(--(ISNUMBER(SEARCH($A124,'Diags Raw Data'!$A$6:$A$3821))),--('Diags Raw Data'!$Q$6:$Q$3821&lt;&gt;"N/A"),'Diags Raw Data'!$R$6:$R$3821)</f>
        <v>1</v>
      </c>
      <c r="N124" s="448" cm="1">
        <f t="array" ref="N124">SUMPRODUCT(--(ISNUMBER(SEARCH($A124,'Diags Raw Data'!$A$6:$A$3821))),--('Diags Raw Data'!$Q$6:$Q$3821&lt;&gt;"N/A"),'Diags Raw Data'!$T$6:$T$3821)+SUMPRODUCT(--(ISNUMBER(SEARCH($A124,'Diags Raw Data'!$A$6:$A$3821))),--('Diags Raw Data'!$Q$6:$Q$3821&lt;&gt;"N/A"),'Diags Raw Data'!$U$6:$U$3821)</f>
        <v>0</v>
      </c>
      <c r="O124" s="449">
        <f t="shared" si="2"/>
        <v>0</v>
      </c>
      <c r="P124" s="450">
        <v>0</v>
      </c>
      <c r="Q124" s="451">
        <f>SUM(SUMIF('Diags Raw Data'!$A$6:$A$3821,"*"&amp;$A124&amp;"*",'Diags Raw Data'!$AA$6:$AA$3821),SUMIF('Diags Raw Data'!$A$6:$A$3821,"*"&amp;$A124&amp;"*",'Diags Raw Data'!$AB$6:$AB$3821))</f>
        <v>0</v>
      </c>
      <c r="R124" s="452">
        <f t="shared" si="3"/>
        <v>0</v>
      </c>
      <c r="S124" s="452">
        <f t="shared" si="4"/>
        <v>0</v>
      </c>
      <c r="T124" s="453">
        <f t="shared" si="5"/>
        <v>0</v>
      </c>
      <c r="U124" s="427" t="s">
        <v>787</v>
      </c>
      <c r="V124" s="182"/>
    </row>
    <row r="125" spans="1:22" ht="15.75" thickBot="1" x14ac:dyDescent="0.3">
      <c r="A125" s="338" t="s">
        <v>790</v>
      </c>
      <c r="B125" s="423" t="s">
        <v>791</v>
      </c>
      <c r="C125" s="424" t="s">
        <v>280</v>
      </c>
      <c r="D125" s="425" t="str" cm="1">
        <f t="array" ref="D125">_xlfn.TEXTJOIN("",TRUE,IF(ISNUMBER(SEARCH($A125,'Diags Raw Data'!$A$6:$A$3821)),CONCATENATE('Diags Raw Data'!$H$6:$H$3821,", "),""))</f>
        <v/>
      </c>
      <c r="E125" s="341" t="e">
        <f>VLOOKUP(A125,'Diags Raw Data'!$A$6:$D$3821,4,FALSE)</f>
        <v>#N/A</v>
      </c>
      <c r="F125" s="341" t="str">
        <f>VLOOKUP(A125,'Feature Raw Data'!$A$3:$E$3998,5,FALSE)</f>
        <v>Legacy</v>
      </c>
      <c r="G125" s="341" t="str">
        <f t="shared" si="18"/>
        <v>No</v>
      </c>
      <c r="H125" s="341" t="str">
        <f t="shared" si="19"/>
        <v>No</v>
      </c>
      <c r="I125" s="424">
        <f>SUMIF('Diags Raw Data'!$A$6:$A$3821,"*"&amp;$A125&amp;"*",'Diags Raw Data'!$K$6:$K$3821)</f>
        <v>0</v>
      </c>
      <c r="J125" s="426">
        <f>SUMIF('Diags Raw Data'!$A$6:$A$3821,"*"&amp;$A125&amp;"*",'Diags Raw Data'!$L$6:$L$3821)</f>
        <v>0</v>
      </c>
      <c r="K125" s="445" cm="1">
        <f t="array" ref="K125">IF(D125="",0, SUMPRODUCT(--(ISNUMBER(SEARCH($A125,'Diags Raw Data'!$A$6:$A$3821))),'Diags Raw Data'!$L$6:$L$3821,'Diags Raw Data'!$N$6:$N$3821)/J125)</f>
        <v>0</v>
      </c>
      <c r="L125" s="446" cm="1">
        <f t="array" ref="L125">IF(D125="",0, SUMPRODUCT(--(ISNUMBER(SEARCH($A125,'Diags Raw Data'!$A$6:$A$3821))),'Diags Raw Data'!$L$6:$L$3821,'Diags Raw Data'!$P$6:$P$3821)/J125)</f>
        <v>0</v>
      </c>
      <c r="M125" s="447" cm="1">
        <f t="array" ref="M125">SUMPRODUCT(--(ISNUMBER(SEARCH($A125,'Diags Raw Data'!$A$6:$A$3821))),--('Diags Raw Data'!$Q$6:$Q$3821&lt;&gt;"N/A"),'Diags Raw Data'!$R$6:$R$3821)</f>
        <v>0</v>
      </c>
      <c r="N125" s="448" cm="1">
        <f t="array" ref="N125">SUMPRODUCT(--(ISNUMBER(SEARCH($A125,'Diags Raw Data'!$A$6:$A$3821))),--('Diags Raw Data'!$Q$6:$Q$3821&lt;&gt;"N/A"),'Diags Raw Data'!$T$6:$T$3821)+SUMPRODUCT(--(ISNUMBER(SEARCH($A125,'Diags Raw Data'!$A$6:$A$3821))),--('Diags Raw Data'!$Q$6:$Q$3821&lt;&gt;"N/A"),'Diags Raw Data'!$U$6:$U$3821)</f>
        <v>0</v>
      </c>
      <c r="O125" s="449">
        <f t="shared" si="2"/>
        <v>0</v>
      </c>
      <c r="P125" s="450">
        <f>SUMIF('Diags Raw Data'!$A$6:$A$3821,"*"&amp;$A125&amp;"*",'Diags Raw Data'!$Z$6:$Z$3821)</f>
        <v>0</v>
      </c>
      <c r="Q125" s="451">
        <f>SUM(SUMIF('Diags Raw Data'!$A$6:$A$3821,"*"&amp;$A125&amp;"*",'Diags Raw Data'!$AA$6:$AA$3821),SUMIF('Diags Raw Data'!$A$6:$A$3821,"*"&amp;$A125&amp;"*",'Diags Raw Data'!$AB$6:$AB$3821))</f>
        <v>0</v>
      </c>
      <c r="R125" s="452">
        <f t="shared" si="3"/>
        <v>0</v>
      </c>
      <c r="S125" s="452">
        <f t="shared" si="4"/>
        <v>0</v>
      </c>
      <c r="T125" s="453">
        <f t="shared" si="5"/>
        <v>0</v>
      </c>
      <c r="U125" s="427" t="s">
        <v>787</v>
      </c>
      <c r="V125" s="182"/>
    </row>
    <row r="126" spans="1:22" ht="15.75" thickBot="1" x14ac:dyDescent="0.3">
      <c r="A126" s="338" t="s">
        <v>533</v>
      </c>
      <c r="B126" s="423" t="s">
        <v>792</v>
      </c>
      <c r="C126" s="424" t="s">
        <v>280</v>
      </c>
      <c r="D126" s="425" t="str" cm="1">
        <f t="array" ref="D126">_xlfn.TEXTJOIN("",TRUE,IF(ISNUMBER(SEARCH($A126,'Diags Raw Data'!$A$6:$A$3821)),CONCATENATE('Diags Raw Data'!$H$6:$H$3821,", "),""))</f>
        <v xml:space="preserve">DIO602.301-307, DIO603.301-307, DIO604.301, </v>
      </c>
      <c r="E126" s="341" t="str">
        <f>VLOOKUP(A126,'Diags Raw Data'!$A$6:$D$3821,4,FALSE)</f>
        <v>DIO</v>
      </c>
      <c r="F126" s="341" t="str">
        <f>VLOOKUP(A126,'Feature Raw Data'!$A$3:$E$3998,5,FALSE)</f>
        <v>Legacy</v>
      </c>
      <c r="G126" s="341" t="str">
        <f t="shared" si="18"/>
        <v>Yes</v>
      </c>
      <c r="H126" s="341" t="str">
        <f t="shared" si="19"/>
        <v>Yes</v>
      </c>
      <c r="I126" s="424">
        <f>SUMIF('Diags Raw Data'!$A$6:$A$3821,"*"&amp;$A126&amp;"*",'Diags Raw Data'!$K$6:$K$3821)</f>
        <v>3</v>
      </c>
      <c r="J126" s="426">
        <f>SUMIF('Diags Raw Data'!$A$6:$A$3821,"*"&amp;$A126&amp;"*",'Diags Raw Data'!$L$6:$L$3821)</f>
        <v>15</v>
      </c>
      <c r="K126" s="445" cm="1">
        <f t="array" ref="K126">IF(D126="",0, SUMPRODUCT(--(ISNUMBER(SEARCH($A126,'Diags Raw Data'!$A$6:$A$3821))),'Diags Raw Data'!$L$6:$L$3821,'Diags Raw Data'!$N$6:$N$3821)/J126)</f>
        <v>1</v>
      </c>
      <c r="L126" s="446" cm="1">
        <f t="array" ref="L126">IF(D126="",0, SUMPRODUCT(--(ISNUMBER(SEARCH($A126,'Diags Raw Data'!$A$6:$A$3821))),'Diags Raw Data'!$L$6:$L$3821,'Diags Raw Data'!$P$6:$P$3821)/J126)</f>
        <v>1</v>
      </c>
      <c r="M126" s="447" cm="1">
        <f t="array" ref="M126">SUMPRODUCT(--(ISNUMBER(SEARCH($A126,'Diags Raw Data'!$A$6:$A$3821))),--('Diags Raw Data'!$Q$6:$Q$3821&lt;&gt;"N/A"),'Diags Raw Data'!$R$6:$R$3821)</f>
        <v>15</v>
      </c>
      <c r="N126" s="448" cm="1">
        <f t="array" ref="N126">SUMPRODUCT(--(ISNUMBER(SEARCH($A126,'Diags Raw Data'!$A$6:$A$3821))),--('Diags Raw Data'!$Q$6:$Q$3821&lt;&gt;"N/A"),'Diags Raw Data'!$T$6:$T$3821)+SUMPRODUCT(--(ISNUMBER(SEARCH($A126,'Diags Raw Data'!$A$6:$A$3821))),--('Diags Raw Data'!$Q$6:$Q$3821&lt;&gt;"N/A"),'Diags Raw Data'!$U$6:$U$3821)</f>
        <v>0</v>
      </c>
      <c r="O126" s="449">
        <f t="shared" si="2"/>
        <v>0</v>
      </c>
      <c r="P126" s="450">
        <v>0</v>
      </c>
      <c r="Q126" s="451">
        <f>SUM(SUMIF('Diags Raw Data'!$A$6:$A$3821,"*"&amp;$A126&amp;"*",'Diags Raw Data'!$AA$6:$AA$3821),SUMIF('Diags Raw Data'!$A$6:$A$3821,"*"&amp;$A126&amp;"*",'Diags Raw Data'!$AB$6:$AB$3821))</f>
        <v>0</v>
      </c>
      <c r="R126" s="452">
        <f t="shared" si="3"/>
        <v>0</v>
      </c>
      <c r="S126" s="452">
        <f t="shared" si="4"/>
        <v>0</v>
      </c>
      <c r="T126" s="453">
        <f t="shared" si="5"/>
        <v>0</v>
      </c>
      <c r="U126" s="427" t="s">
        <v>787</v>
      </c>
      <c r="V126" s="182"/>
    </row>
    <row r="127" spans="1:22" ht="15.75" thickBot="1" x14ac:dyDescent="0.3">
      <c r="A127" s="338" t="s">
        <v>537</v>
      </c>
      <c r="B127" s="423" t="s">
        <v>793</v>
      </c>
      <c r="C127" s="424" t="s">
        <v>280</v>
      </c>
      <c r="D127" s="425" t="str" cm="1">
        <f t="array" ref="D127">_xlfn.TEXTJOIN("",TRUE,IF(ISNUMBER(SEARCH($A127,'Diags Raw Data'!$A$6:$A$3821)),CONCATENATE('Diags Raw Data'!$H$6:$H$3821,", "),""))</f>
        <v xml:space="preserve">DIO605.301, </v>
      </c>
      <c r="E127" s="341" t="str">
        <f>VLOOKUP(A127,'Diags Raw Data'!$A$6:$D$3821,4,FALSE)</f>
        <v>DIO</v>
      </c>
      <c r="F127" s="341" t="str">
        <f>VLOOKUP(A127,'Feature Raw Data'!$A$3:$E$3998,5,FALSE)</f>
        <v>Legacy</v>
      </c>
      <c r="G127" s="341" t="str">
        <f t="shared" si="18"/>
        <v>Yes</v>
      </c>
      <c r="H127" s="341" t="str">
        <f t="shared" si="19"/>
        <v>Yes</v>
      </c>
      <c r="I127" s="424">
        <f>SUMIF('Diags Raw Data'!$A$6:$A$3821,"*"&amp;$A127&amp;"*",'Diags Raw Data'!$K$6:$K$3821)</f>
        <v>1</v>
      </c>
      <c r="J127" s="426">
        <f>SUMIF('Diags Raw Data'!$A$6:$A$3821,"*"&amp;$A127&amp;"*",'Diags Raw Data'!$L$6:$L$3821)</f>
        <v>1</v>
      </c>
      <c r="K127" s="445" cm="1">
        <f t="array" ref="K127">IF(D127="",0, SUMPRODUCT(--(ISNUMBER(SEARCH($A127,'Diags Raw Data'!$A$6:$A$3821))),'Diags Raw Data'!$L$6:$L$3821,'Diags Raw Data'!$N$6:$N$3821)/J127)</f>
        <v>1</v>
      </c>
      <c r="L127" s="446" cm="1">
        <f t="array" ref="L127">IF(D127="",0, SUMPRODUCT(--(ISNUMBER(SEARCH($A127,'Diags Raw Data'!$A$6:$A$3821))),'Diags Raw Data'!$L$6:$L$3821,'Diags Raw Data'!$P$6:$P$3821)/J127)</f>
        <v>1</v>
      </c>
      <c r="M127" s="447" cm="1">
        <f t="array" ref="M127">SUMPRODUCT(--(ISNUMBER(SEARCH($A127,'Diags Raw Data'!$A$6:$A$3821))),--('Diags Raw Data'!$Q$6:$Q$3821&lt;&gt;"N/A"),'Diags Raw Data'!$R$6:$R$3821)</f>
        <v>1</v>
      </c>
      <c r="N127" s="448" cm="1">
        <f t="array" ref="N127">SUMPRODUCT(--(ISNUMBER(SEARCH($A127,'Diags Raw Data'!$A$6:$A$3821))),--('Diags Raw Data'!$Q$6:$Q$3821&lt;&gt;"N/A"),'Diags Raw Data'!$T$6:$T$3821)+SUMPRODUCT(--(ISNUMBER(SEARCH($A127,'Diags Raw Data'!$A$6:$A$3821))),--('Diags Raw Data'!$Q$6:$Q$3821&lt;&gt;"N/A"),'Diags Raw Data'!$U$6:$U$3821)</f>
        <v>0</v>
      </c>
      <c r="O127" s="449">
        <f t="shared" si="2"/>
        <v>0</v>
      </c>
      <c r="P127" s="450">
        <v>0</v>
      </c>
      <c r="Q127" s="451">
        <f>SUM(SUMIF('Diags Raw Data'!$A$6:$A$3821,"*"&amp;$A127&amp;"*",'Diags Raw Data'!$AA$6:$AA$3821),SUMIF('Diags Raw Data'!$A$6:$A$3821,"*"&amp;$A127&amp;"*",'Diags Raw Data'!$AB$6:$AB$3821))</f>
        <v>0</v>
      </c>
      <c r="R127" s="452">
        <f t="shared" si="3"/>
        <v>0</v>
      </c>
      <c r="S127" s="452">
        <f t="shared" si="4"/>
        <v>0</v>
      </c>
      <c r="T127" s="453">
        <f t="shared" si="5"/>
        <v>0</v>
      </c>
      <c r="U127" s="427" t="s">
        <v>787</v>
      </c>
      <c r="V127" s="182"/>
    </row>
    <row r="128" spans="1:22" ht="15.75" thickBot="1" x14ac:dyDescent="0.3">
      <c r="A128" s="338" t="s">
        <v>539</v>
      </c>
      <c r="B128" s="423" t="s">
        <v>794</v>
      </c>
      <c r="C128" s="424" t="s">
        <v>280</v>
      </c>
      <c r="D128" s="425" t="str" cm="1">
        <f t="array" ref="D128">_xlfn.TEXTJOIN("",TRUE,IF(ISNUMBER(SEARCH($A128,'Diags Raw Data'!$A$6:$A$3821)),CONCATENATE('Diags Raw Data'!$H$6:$H$3821,", "),""))</f>
        <v xml:space="preserve">DIO606.1-2, DIO607, </v>
      </c>
      <c r="E128" s="341" t="str">
        <f>VLOOKUP(A128,'Diags Raw Data'!$A$6:$D$3821,4,FALSE)</f>
        <v>DIO</v>
      </c>
      <c r="F128" s="341" t="str">
        <f>VLOOKUP(A128,'Feature Raw Data'!$A$3:$E$3998,5,FALSE)</f>
        <v>Legacy</v>
      </c>
      <c r="G128" s="341" t="str">
        <f t="shared" si="18"/>
        <v>Yes</v>
      </c>
      <c r="H128" s="341" t="str">
        <f t="shared" si="19"/>
        <v>Yes</v>
      </c>
      <c r="I128" s="424">
        <f>SUMIF('Diags Raw Data'!$A$6:$A$3821,"*"&amp;$A128&amp;"*",'Diags Raw Data'!$K$6:$K$3821)</f>
        <v>2</v>
      </c>
      <c r="J128" s="426">
        <f>SUMIF('Diags Raw Data'!$A$6:$A$3821,"*"&amp;$A128&amp;"*",'Diags Raw Data'!$L$6:$L$3821)</f>
        <v>3</v>
      </c>
      <c r="K128" s="445" cm="1">
        <f t="array" ref="K128">IF(D128="",0, SUMPRODUCT(--(ISNUMBER(SEARCH($A128,'Diags Raw Data'!$A$6:$A$3821))),'Diags Raw Data'!$L$6:$L$3821,'Diags Raw Data'!$N$6:$N$3821)/J128)</f>
        <v>1</v>
      </c>
      <c r="L128" s="446" cm="1">
        <f t="array" ref="L128">IF(D128="",0, SUMPRODUCT(--(ISNUMBER(SEARCH($A128,'Diags Raw Data'!$A$6:$A$3821))),'Diags Raw Data'!$L$6:$L$3821,'Diags Raw Data'!$P$6:$P$3821)/J128)</f>
        <v>1</v>
      </c>
      <c r="M128" s="447" cm="1">
        <f t="array" ref="M128">SUMPRODUCT(--(ISNUMBER(SEARCH($A128,'Diags Raw Data'!$A$6:$A$3821))),--('Diags Raw Data'!$Q$6:$Q$3821&lt;&gt;"N/A"),'Diags Raw Data'!$R$6:$R$3821)</f>
        <v>3</v>
      </c>
      <c r="N128" s="448" cm="1">
        <f t="array" ref="N128">SUMPRODUCT(--(ISNUMBER(SEARCH($A128,'Diags Raw Data'!$A$6:$A$3821))),--('Diags Raw Data'!$Q$6:$Q$3821&lt;&gt;"N/A"),'Diags Raw Data'!$T$6:$T$3821)+SUMPRODUCT(--(ISNUMBER(SEARCH($A128,'Diags Raw Data'!$A$6:$A$3821))),--('Diags Raw Data'!$Q$6:$Q$3821&lt;&gt;"N/A"),'Diags Raw Data'!$U$6:$U$3821)</f>
        <v>0</v>
      </c>
      <c r="O128" s="449">
        <f t="shared" si="2"/>
        <v>0</v>
      </c>
      <c r="P128" s="450">
        <v>0</v>
      </c>
      <c r="Q128" s="451">
        <f>SUM(SUMIF('Diags Raw Data'!$A$6:$A$3821,"*"&amp;$A128&amp;"*",'Diags Raw Data'!$AA$6:$AA$3821),SUMIF('Diags Raw Data'!$A$6:$A$3821,"*"&amp;$A128&amp;"*",'Diags Raw Data'!$AB$6:$AB$3821))</f>
        <v>0</v>
      </c>
      <c r="R128" s="452">
        <f t="shared" si="3"/>
        <v>0</v>
      </c>
      <c r="S128" s="452">
        <f t="shared" si="4"/>
        <v>0</v>
      </c>
      <c r="T128" s="453">
        <f t="shared" si="5"/>
        <v>0</v>
      </c>
      <c r="U128" s="427" t="s">
        <v>787</v>
      </c>
      <c r="V128" s="182"/>
    </row>
    <row r="129" spans="1:22" ht="15.75" thickBot="1" x14ac:dyDescent="0.3">
      <c r="A129" s="338" t="s">
        <v>543</v>
      </c>
      <c r="B129" s="423" t="s">
        <v>795</v>
      </c>
      <c r="C129" s="424" t="s">
        <v>280</v>
      </c>
      <c r="D129" s="425" t="str" cm="1">
        <f t="array" ref="D129">_xlfn.TEXTJOIN("",TRUE,IF(ISNUMBER(SEARCH($A129,'Diags Raw Data'!$A$6:$A$3821)),CONCATENATE('Diags Raw Data'!$H$6:$H$3821,", "),""))</f>
        <v xml:space="preserve">DIO608, </v>
      </c>
      <c r="E129" s="341" t="str">
        <f>VLOOKUP(A129,'Diags Raw Data'!$A$6:$D$3821,4,FALSE)</f>
        <v>DIO</v>
      </c>
      <c r="F129" s="341" t="str">
        <f>VLOOKUP(A129,'Feature Raw Data'!$A$3:$E$3998,5,FALSE)</f>
        <v>Legacy</v>
      </c>
      <c r="G129" s="341" t="str">
        <f t="shared" si="18"/>
        <v>Yes</v>
      </c>
      <c r="H129" s="341" t="str">
        <f t="shared" si="19"/>
        <v>Yes</v>
      </c>
      <c r="I129" s="424">
        <f>SUMIF('Diags Raw Data'!$A$6:$A$3821,"*"&amp;$A129&amp;"*",'Diags Raw Data'!$K$6:$K$3821)</f>
        <v>1</v>
      </c>
      <c r="J129" s="426">
        <f>SUMIF('Diags Raw Data'!$A$6:$A$3821,"*"&amp;$A129&amp;"*",'Diags Raw Data'!$L$6:$L$3821)</f>
        <v>1</v>
      </c>
      <c r="K129" s="445" cm="1">
        <f t="array" ref="K129">IF(D129="",0, SUMPRODUCT(--(ISNUMBER(SEARCH($A129,'Diags Raw Data'!$A$6:$A$3821))),'Diags Raw Data'!$L$6:$L$3821,'Diags Raw Data'!$N$6:$N$3821)/J129)</f>
        <v>1</v>
      </c>
      <c r="L129" s="446" cm="1">
        <f t="array" ref="L129">IF(D129="",0, SUMPRODUCT(--(ISNUMBER(SEARCH($A129,'Diags Raw Data'!$A$6:$A$3821))),'Diags Raw Data'!$L$6:$L$3821,'Diags Raw Data'!$P$6:$P$3821)/J129)</f>
        <v>1</v>
      </c>
      <c r="M129" s="447" cm="1">
        <f t="array" ref="M129">SUMPRODUCT(--(ISNUMBER(SEARCH($A129,'Diags Raw Data'!$A$6:$A$3821))),--('Diags Raw Data'!$Q$6:$Q$3821&lt;&gt;"N/A"),'Diags Raw Data'!$R$6:$R$3821)</f>
        <v>1</v>
      </c>
      <c r="N129" s="448" cm="1">
        <f t="array" ref="N129">SUMPRODUCT(--(ISNUMBER(SEARCH($A129,'Diags Raw Data'!$A$6:$A$3821))),--('Diags Raw Data'!$Q$6:$Q$3821&lt;&gt;"N/A"),'Diags Raw Data'!$T$6:$T$3821)+SUMPRODUCT(--(ISNUMBER(SEARCH($A129,'Diags Raw Data'!$A$6:$A$3821))),--('Diags Raw Data'!$Q$6:$Q$3821&lt;&gt;"N/A"),'Diags Raw Data'!$U$6:$U$3821)</f>
        <v>0</v>
      </c>
      <c r="O129" s="449">
        <f t="shared" si="2"/>
        <v>0</v>
      </c>
      <c r="P129" s="450">
        <v>0</v>
      </c>
      <c r="Q129" s="451">
        <f>SUM(SUMIF('Diags Raw Data'!$A$6:$A$3821,"*"&amp;$A129&amp;"*",'Diags Raw Data'!$AA$6:$AA$3821),SUMIF('Diags Raw Data'!$A$6:$A$3821,"*"&amp;$A129&amp;"*",'Diags Raw Data'!$AB$6:$AB$3821))</f>
        <v>0</v>
      </c>
      <c r="R129" s="452">
        <f t="shared" si="3"/>
        <v>0</v>
      </c>
      <c r="S129" s="452">
        <f t="shared" si="4"/>
        <v>0</v>
      </c>
      <c r="T129" s="453">
        <f t="shared" si="5"/>
        <v>0</v>
      </c>
      <c r="U129" s="427" t="s">
        <v>787</v>
      </c>
      <c r="V129" s="182"/>
    </row>
    <row r="130" spans="1:22" ht="15.75" thickBot="1" x14ac:dyDescent="0.3">
      <c r="A130" s="338" t="s">
        <v>387</v>
      </c>
      <c r="B130" s="423" t="s">
        <v>796</v>
      </c>
      <c r="C130" s="424" t="s">
        <v>280</v>
      </c>
      <c r="D130" s="425" t="str" cm="1">
        <f t="array" ref="D130">_xlfn.TEXTJOIN("",TRUE,IF(ISNUMBER(SEARCH($A130,'Diags Raw Data'!$A$6:$A$3821)),CONCATENATE('Diags Raw Data'!$H$6:$H$3821,", "),""))</f>
        <v xml:space="preserve">MPC017.1-3, </v>
      </c>
      <c r="E130" s="341" t="str">
        <f>VLOOKUP(A130,'Diags Raw Data'!$A$6:$D$3821,4,FALSE)</f>
        <v>MPC</v>
      </c>
      <c r="F130" s="341" t="str">
        <f>VLOOKUP(A130,'Feature Raw Data'!$A$3:$E$3998,5,FALSE)</f>
        <v>Legacy</v>
      </c>
      <c r="G130" s="341" t="str">
        <f t="shared" si="18"/>
        <v>Yes</v>
      </c>
      <c r="H130" s="341" t="str">
        <f t="shared" si="19"/>
        <v>Yes</v>
      </c>
      <c r="I130" s="424">
        <f>SUMIF('Diags Raw Data'!$A$6:$A$3821,"*"&amp;$A130&amp;"*",'Diags Raw Data'!$K$6:$K$3821)</f>
        <v>1</v>
      </c>
      <c r="J130" s="426">
        <f>SUMIF('Diags Raw Data'!$A$6:$A$3821,"*"&amp;$A130&amp;"*",'Diags Raw Data'!$L$6:$L$3821)</f>
        <v>3</v>
      </c>
      <c r="K130" s="445" cm="1">
        <f t="array" ref="K130">IF(D130="",0, SUMPRODUCT(--(ISNUMBER(SEARCH($A130,'Diags Raw Data'!$A$6:$A$3821))),'Diags Raw Data'!$L$6:$L$3821,'Diags Raw Data'!$N$6:$N$3821)/J130)</f>
        <v>1</v>
      </c>
      <c r="L130" s="446" cm="1">
        <f t="array" ref="L130">IF(D130="",0, SUMPRODUCT(--(ISNUMBER(SEARCH($A130,'Diags Raw Data'!$A$6:$A$3821))),'Diags Raw Data'!$L$6:$L$3821,'Diags Raw Data'!$P$6:$P$3821)/J130)</f>
        <v>1</v>
      </c>
      <c r="M130" s="447" cm="1">
        <f t="array" ref="M130">SUMPRODUCT(--(ISNUMBER(SEARCH($A130,'Diags Raw Data'!$A$6:$A$3821))),--('Diags Raw Data'!$Q$6:$Q$3821&lt;&gt;"N/A"),'Diags Raw Data'!$R$6:$R$3821)</f>
        <v>3</v>
      </c>
      <c r="N130" s="448" cm="1">
        <f t="array" ref="N130">SUMPRODUCT(--(ISNUMBER(SEARCH($A130,'Diags Raw Data'!$A$6:$A$3821))),--('Diags Raw Data'!$Q$6:$Q$3821&lt;&gt;"N/A"),'Diags Raw Data'!$T$6:$T$3821)+SUMPRODUCT(--(ISNUMBER(SEARCH($A130,'Diags Raw Data'!$A$6:$A$3821))),--('Diags Raw Data'!$Q$6:$Q$3821&lt;&gt;"N/A"),'Diags Raw Data'!$U$6:$U$3821)</f>
        <v>0</v>
      </c>
      <c r="O130" s="449">
        <f t="shared" si="2"/>
        <v>0</v>
      </c>
      <c r="P130" s="450">
        <f>SUMIF('Diags Raw Data'!$A$6:$A$3821,"*"&amp;$A130&amp;"*",'Diags Raw Data'!$Z$6:$Z$3821)</f>
        <v>0</v>
      </c>
      <c r="Q130" s="451">
        <f>SUM(SUMIF('Diags Raw Data'!$A$6:$A$3821,"*"&amp;$A130&amp;"*",'Diags Raw Data'!$AA$6:$AA$3821),SUMIF('Diags Raw Data'!$A$6:$A$3821,"*"&amp;$A130&amp;"*",'Diags Raw Data'!$AB$6:$AB$3821))</f>
        <v>0</v>
      </c>
      <c r="R130" s="452">
        <f t="shared" si="3"/>
        <v>0</v>
      </c>
      <c r="S130" s="452">
        <f t="shared" si="4"/>
        <v>0</v>
      </c>
      <c r="T130" s="453">
        <f t="shared" si="5"/>
        <v>0</v>
      </c>
      <c r="U130" s="427" t="s">
        <v>787</v>
      </c>
      <c r="V130" s="182"/>
    </row>
    <row r="131" spans="1:22" ht="15.75" thickBot="1" x14ac:dyDescent="0.3">
      <c r="A131" s="338" t="s">
        <v>389</v>
      </c>
      <c r="B131" s="423" t="s">
        <v>797</v>
      </c>
      <c r="C131" s="424" t="s">
        <v>280</v>
      </c>
      <c r="D131" s="425" t="str" cm="1">
        <f t="array" ref="D131">_xlfn.TEXTJOIN("",TRUE,IF(ISNUMBER(SEARCH($A131,'Diags Raw Data'!$A$6:$A$3821)),CONCATENATE('Diags Raw Data'!$H$6:$H$3821,", "),""))</f>
        <v xml:space="preserve">MPC012.1, MPC013.1, </v>
      </c>
      <c r="E131" s="341" t="str">
        <f>VLOOKUP(A131,'Diags Raw Data'!$A$6:$D$3821,4,FALSE)</f>
        <v>MPC</v>
      </c>
      <c r="F131" s="341" t="str">
        <f>VLOOKUP(A131,'Feature Raw Data'!$A$3:$E$3998,5,FALSE)</f>
        <v>Legacy</v>
      </c>
      <c r="G131" s="341" t="str">
        <f t="shared" si="18"/>
        <v>Yes</v>
      </c>
      <c r="H131" s="341" t="str">
        <f t="shared" si="19"/>
        <v>Yes</v>
      </c>
      <c r="I131" s="424">
        <f>SUMIF('Diags Raw Data'!$A$6:$A$3821,"*"&amp;$A131&amp;"*",'Diags Raw Data'!$K$6:$K$3821)</f>
        <v>2</v>
      </c>
      <c r="J131" s="426">
        <f>SUMIF('Diags Raw Data'!$A$6:$A$3821,"*"&amp;$A131&amp;"*",'Diags Raw Data'!$L$6:$L$3821)</f>
        <v>2</v>
      </c>
      <c r="K131" s="445" cm="1">
        <f t="array" ref="K131">IF(D131="",0, SUMPRODUCT(--(ISNUMBER(SEARCH($A131,'Diags Raw Data'!$A$6:$A$3821))),'Diags Raw Data'!$L$6:$L$3821,'Diags Raw Data'!$N$6:$N$3821)/J131)</f>
        <v>1</v>
      </c>
      <c r="L131" s="446" cm="1">
        <f t="array" ref="L131">IF(D131="",0, SUMPRODUCT(--(ISNUMBER(SEARCH($A131,'Diags Raw Data'!$A$6:$A$3821))),'Diags Raw Data'!$L$6:$L$3821,'Diags Raw Data'!$P$6:$P$3821)/J131)</f>
        <v>1</v>
      </c>
      <c r="M131" s="447" cm="1">
        <f t="array" ref="M131">SUMPRODUCT(--(ISNUMBER(SEARCH($A131,'Diags Raw Data'!$A$6:$A$3821))),--('Diags Raw Data'!$Q$6:$Q$3821&lt;&gt;"N/A"),'Diags Raw Data'!$R$6:$R$3821)</f>
        <v>2</v>
      </c>
      <c r="N131" s="448" cm="1">
        <f t="array" ref="N131">SUMPRODUCT(--(ISNUMBER(SEARCH($A131,'Diags Raw Data'!$A$6:$A$3821))),--('Diags Raw Data'!$Q$6:$Q$3821&lt;&gt;"N/A"),'Diags Raw Data'!$T$6:$T$3821)+SUMPRODUCT(--(ISNUMBER(SEARCH($A131,'Diags Raw Data'!$A$6:$A$3821))),--('Diags Raw Data'!$Q$6:$Q$3821&lt;&gt;"N/A"),'Diags Raw Data'!$U$6:$U$3821)</f>
        <v>0</v>
      </c>
      <c r="O131" s="449">
        <f t="shared" si="2"/>
        <v>0</v>
      </c>
      <c r="P131" s="450">
        <f>SUMIF('Diags Raw Data'!$A$6:$A$3821,"*"&amp;$A131&amp;"*",'Diags Raw Data'!$Z$6:$Z$3821)</f>
        <v>0</v>
      </c>
      <c r="Q131" s="451">
        <f>SUM(SUMIF('Diags Raw Data'!$A$6:$A$3821,"*"&amp;$A131&amp;"*",'Diags Raw Data'!$AA$6:$AA$3821),SUMIF('Diags Raw Data'!$A$6:$A$3821,"*"&amp;$A131&amp;"*",'Diags Raw Data'!$AB$6:$AB$3821))</f>
        <v>0</v>
      </c>
      <c r="R131" s="452">
        <f t="shared" si="3"/>
        <v>0</v>
      </c>
      <c r="S131" s="452">
        <f t="shared" si="4"/>
        <v>0</v>
      </c>
      <c r="T131" s="453">
        <f t="shared" si="5"/>
        <v>0</v>
      </c>
      <c r="U131" s="427" t="s">
        <v>787</v>
      </c>
      <c r="V131" s="182"/>
    </row>
    <row r="132" spans="1:22" ht="15.75" thickBot="1" x14ac:dyDescent="0.3">
      <c r="A132" s="338" t="s">
        <v>366</v>
      </c>
      <c r="B132" s="423" t="s">
        <v>798</v>
      </c>
      <c r="C132" s="424" t="s">
        <v>280</v>
      </c>
      <c r="D132" s="425" t="str" cm="1">
        <f t="array" ref="D132">_xlfn.TEXTJOIN("",TRUE,IF(ISNUMBER(SEARCH($A132,'Diags Raw Data'!$A$6:$A$3821)),CONCATENATE('Diags Raw Data'!$H$6:$H$3821,", "),""))</f>
        <v xml:space="preserve">DPP046.1, </v>
      </c>
      <c r="E132" s="341" t="str">
        <f>VLOOKUP(A132,'Diags Raw Data'!$A$6:$D$3821,4,FALSE)</f>
        <v>DPP</v>
      </c>
      <c r="F132" s="341" t="str">
        <f>VLOOKUP(A132,'Feature Raw Data'!$A$3:$E$3998,5,FALSE)</f>
        <v>Legacy</v>
      </c>
      <c r="G132" s="341" t="str">
        <f t="shared" si="18"/>
        <v>Yes</v>
      </c>
      <c r="H132" s="341" t="str">
        <f t="shared" si="19"/>
        <v>Yes</v>
      </c>
      <c r="I132" s="424">
        <f>SUMIF('Diags Raw Data'!$A$6:$A$3821,"*"&amp;$A132&amp;"*",'Diags Raw Data'!$K$6:$K$3821)</f>
        <v>1</v>
      </c>
      <c r="J132" s="426">
        <f>SUMIF('Diags Raw Data'!$A$6:$A$3821,"*"&amp;$A132&amp;"*",'Diags Raw Data'!$L$6:$L$3821)</f>
        <v>1</v>
      </c>
      <c r="K132" s="445" cm="1">
        <f t="array" ref="K132">IF(D132="",0, SUMPRODUCT(--(ISNUMBER(SEARCH($A132,'Diags Raw Data'!$A$6:$A$3821))),'Diags Raw Data'!$L$6:$L$3821,'Diags Raw Data'!$N$6:$N$3821)/J132)</f>
        <v>1</v>
      </c>
      <c r="L132" s="446" cm="1">
        <f t="array" ref="L132">IF(D132="",0, SUMPRODUCT(--(ISNUMBER(SEARCH($A132,'Diags Raw Data'!$A$6:$A$3821))),'Diags Raw Data'!$L$6:$L$3821,'Diags Raw Data'!$P$6:$P$3821)/J132)</f>
        <v>1</v>
      </c>
      <c r="M132" s="447" cm="1">
        <f t="array" ref="M132">SUMPRODUCT(--(ISNUMBER(SEARCH($A132,'Diags Raw Data'!$A$6:$A$3821))),--('Diags Raw Data'!$Q$6:$Q$3821&lt;&gt;"N/A"),'Diags Raw Data'!$R$6:$R$3821)</f>
        <v>1</v>
      </c>
      <c r="N132" s="448" cm="1">
        <f t="array" ref="N132">SUMPRODUCT(--(ISNUMBER(SEARCH($A132,'Diags Raw Data'!$A$6:$A$3821))),--('Diags Raw Data'!$Q$6:$Q$3821&lt;&gt;"N/A"),'Diags Raw Data'!$T$6:$T$3821)+SUMPRODUCT(--(ISNUMBER(SEARCH($A132,'Diags Raw Data'!$A$6:$A$3821))),--('Diags Raw Data'!$Q$6:$Q$3821&lt;&gt;"N/A"),'Diags Raw Data'!$U$6:$U$3821)</f>
        <v>0</v>
      </c>
      <c r="O132" s="449">
        <f t="shared" si="2"/>
        <v>0</v>
      </c>
      <c r="P132" s="450">
        <f>SUMIF('Diags Raw Data'!$A$6:$A$3821,"*"&amp;$A132&amp;"*",'Diags Raw Data'!$Z$6:$Z$3821)</f>
        <v>0</v>
      </c>
      <c r="Q132" s="451">
        <f>SUM(SUMIF('Diags Raw Data'!$A$6:$A$3821,"*"&amp;$A132&amp;"*",'Diags Raw Data'!$AA$6:$AA$3821),SUMIF('Diags Raw Data'!$A$6:$A$3821,"*"&amp;$A132&amp;"*",'Diags Raw Data'!$AB$6:$AB$3821))</f>
        <v>0</v>
      </c>
      <c r="R132" s="452">
        <f t="shared" si="3"/>
        <v>0</v>
      </c>
      <c r="S132" s="452">
        <f t="shared" si="4"/>
        <v>0</v>
      </c>
      <c r="T132" s="453">
        <f t="shared" si="5"/>
        <v>0</v>
      </c>
      <c r="U132" s="427" t="s">
        <v>787</v>
      </c>
      <c r="V132" s="182"/>
    </row>
    <row r="133" spans="1:22" ht="15.75" thickBot="1" x14ac:dyDescent="0.3">
      <c r="A133" s="338" t="s">
        <v>370</v>
      </c>
      <c r="B133" s="423" t="s">
        <v>799</v>
      </c>
      <c r="C133" s="424" t="s">
        <v>280</v>
      </c>
      <c r="D133" s="425" t="str" cm="1">
        <f t="array" ref="D133">_xlfn.TEXTJOIN("",TRUE,IF(ISNUMBER(SEARCH($A133,'Diags Raw Data'!$A$6:$A$3821)),CONCATENATE('Diags Raw Data'!$H$6:$H$3821,", "),""))</f>
        <v xml:space="preserve">DPP049.1-5, DPP050.1-5, </v>
      </c>
      <c r="E133" s="341" t="str">
        <f>VLOOKUP(A133,'Diags Raw Data'!$A$6:$D$3821,4,FALSE)</f>
        <v>DPP</v>
      </c>
      <c r="F133" s="341" t="str">
        <f>VLOOKUP(A133,'Feature Raw Data'!$A$3:$E$3998,5,FALSE)</f>
        <v>Legacy</v>
      </c>
      <c r="G133" s="341" t="str">
        <f t="shared" si="18"/>
        <v>Yes</v>
      </c>
      <c r="H133" s="341" t="str">
        <f t="shared" si="19"/>
        <v>Yes</v>
      </c>
      <c r="I133" s="424">
        <f>SUMIF('Diags Raw Data'!$A$6:$A$3821,"*"&amp;$A133&amp;"*",'Diags Raw Data'!$K$6:$K$3821)</f>
        <v>2</v>
      </c>
      <c r="J133" s="426">
        <f>SUMIF('Diags Raw Data'!$A$6:$A$3821,"*"&amp;$A133&amp;"*",'Diags Raw Data'!$L$6:$L$3821)</f>
        <v>10</v>
      </c>
      <c r="K133" s="445" cm="1">
        <f t="array" ref="K133">IF(D133="",0, SUMPRODUCT(--(ISNUMBER(SEARCH($A133,'Diags Raw Data'!$A$6:$A$3821))),'Diags Raw Data'!$L$6:$L$3821,'Diags Raw Data'!$N$6:$N$3821)/J133)</f>
        <v>1</v>
      </c>
      <c r="L133" s="446" cm="1">
        <f t="array" ref="L133">IF(D133="",0, SUMPRODUCT(--(ISNUMBER(SEARCH($A133,'Diags Raw Data'!$A$6:$A$3821))),'Diags Raw Data'!$L$6:$L$3821,'Diags Raw Data'!$P$6:$P$3821)/J133)</f>
        <v>1</v>
      </c>
      <c r="M133" s="447" cm="1">
        <f t="array" ref="M133">SUMPRODUCT(--(ISNUMBER(SEARCH($A133,'Diags Raw Data'!$A$6:$A$3821))),--('Diags Raw Data'!$Q$6:$Q$3821&lt;&gt;"N/A"),'Diags Raw Data'!$R$6:$R$3821)</f>
        <v>10</v>
      </c>
      <c r="N133" s="448" cm="1">
        <f t="array" ref="N133">SUMPRODUCT(--(ISNUMBER(SEARCH($A133,'Diags Raw Data'!$A$6:$A$3821))),--('Diags Raw Data'!$Q$6:$Q$3821&lt;&gt;"N/A"),'Diags Raw Data'!$T$6:$T$3821)+SUMPRODUCT(--(ISNUMBER(SEARCH($A133,'Diags Raw Data'!$A$6:$A$3821))),--('Diags Raw Data'!$Q$6:$Q$3821&lt;&gt;"N/A"),'Diags Raw Data'!$U$6:$U$3821)</f>
        <v>0</v>
      </c>
      <c r="O133" s="449">
        <f t="shared" si="2"/>
        <v>0</v>
      </c>
      <c r="P133" s="450">
        <f>SUMIF('Diags Raw Data'!$A$6:$A$3821,"*"&amp;$A133&amp;"*",'Diags Raw Data'!$Z$6:$Z$3821)</f>
        <v>0</v>
      </c>
      <c r="Q133" s="451">
        <f>SUM(SUMIF('Diags Raw Data'!$A$6:$A$3821,"*"&amp;$A133&amp;"*",'Diags Raw Data'!$AA$6:$AA$3821),SUMIF('Diags Raw Data'!$A$6:$A$3821,"*"&amp;$A133&amp;"*",'Diags Raw Data'!$AB$6:$AB$3821))</f>
        <v>0</v>
      </c>
      <c r="R133" s="452">
        <f t="shared" si="3"/>
        <v>0</v>
      </c>
      <c r="S133" s="452">
        <f t="shared" si="4"/>
        <v>0</v>
      </c>
      <c r="T133" s="453">
        <f t="shared" si="5"/>
        <v>0</v>
      </c>
      <c r="U133" s="427" t="s">
        <v>787</v>
      </c>
      <c r="V133" s="182"/>
    </row>
    <row r="134" spans="1:22" ht="15.75" thickBot="1" x14ac:dyDescent="0.3">
      <c r="A134" s="338" t="s">
        <v>800</v>
      </c>
      <c r="B134" s="423" t="s">
        <v>801</v>
      </c>
      <c r="C134" s="424" t="s">
        <v>280</v>
      </c>
      <c r="D134" s="425" t="str" cm="1">
        <f t="array" ref="D134">_xlfn.TEXTJOIN("",TRUE,IF(ISNUMBER(SEARCH($A134,'Diags Raw Data'!$A$6:$A$3821)),CONCATENATE('Diags Raw Data'!$H$6:$H$3821,", "),""))</f>
        <v xml:space="preserve">DPP052.1-2, </v>
      </c>
      <c r="E134" s="341" t="str">
        <f>VLOOKUP(A134,'Diags Raw Data'!$A$6:$D$3821,4,FALSE)</f>
        <v>DPP</v>
      </c>
      <c r="F134" s="341" t="str">
        <f>VLOOKUP(A134,'Feature Raw Data'!$A$3:$E$3998,5,FALSE)</f>
        <v>Legacy</v>
      </c>
      <c r="G134" s="341" t="str">
        <f t="shared" si="18"/>
        <v>Yes</v>
      </c>
      <c r="H134" s="341" t="str">
        <f t="shared" si="19"/>
        <v>Yes</v>
      </c>
      <c r="I134" s="424">
        <f>SUMIF('Diags Raw Data'!$A$6:$A$3821,"*"&amp;$A134&amp;"*",'Diags Raw Data'!$K$6:$K$3821)</f>
        <v>1</v>
      </c>
      <c r="J134" s="426">
        <f>SUMIF('Diags Raw Data'!$A$6:$A$3821,"*"&amp;$A134&amp;"*",'Diags Raw Data'!$L$6:$L$3821)</f>
        <v>2</v>
      </c>
      <c r="K134" s="445" cm="1">
        <f t="array" ref="K134">IF(D134="",0, SUMPRODUCT(--(ISNUMBER(SEARCH($A134,'Diags Raw Data'!$A$6:$A$3821))),'Diags Raw Data'!$L$6:$L$3821,'Diags Raw Data'!$N$6:$N$3821)/J134)</f>
        <v>1</v>
      </c>
      <c r="L134" s="446" cm="1">
        <f t="array" ref="L134">IF(D134="",0, SUMPRODUCT(--(ISNUMBER(SEARCH($A134,'Diags Raw Data'!$A$6:$A$3821))),'Diags Raw Data'!$L$6:$L$3821,'Diags Raw Data'!$P$6:$P$3821)/J134)</f>
        <v>1</v>
      </c>
      <c r="M134" s="447" cm="1">
        <f t="array" ref="M134">SUMPRODUCT(--(ISNUMBER(SEARCH($A134,'Diags Raw Data'!$A$6:$A$3821))),--('Diags Raw Data'!$Q$6:$Q$3821&lt;&gt;"N/A"),'Diags Raw Data'!$R$6:$R$3821)</f>
        <v>2</v>
      </c>
      <c r="N134" s="448" cm="1">
        <f t="array" ref="N134">SUMPRODUCT(--(ISNUMBER(SEARCH($A134,'Diags Raw Data'!$A$6:$A$3821))),--('Diags Raw Data'!$Q$6:$Q$3821&lt;&gt;"N/A"),'Diags Raw Data'!$T$6:$T$3821)+SUMPRODUCT(--(ISNUMBER(SEARCH($A134,'Diags Raw Data'!$A$6:$A$3821))),--('Diags Raw Data'!$Q$6:$Q$3821&lt;&gt;"N/A"),'Diags Raw Data'!$U$6:$U$3821)</f>
        <v>0</v>
      </c>
      <c r="O134" s="449">
        <f t="shared" si="2"/>
        <v>0</v>
      </c>
      <c r="P134" s="450">
        <f>SUMIF('Diags Raw Data'!$A$6:$A$3821,"*"&amp;$A134&amp;"*",'Diags Raw Data'!$Z$6:$Z$3821)</f>
        <v>0</v>
      </c>
      <c r="Q134" s="451">
        <f>SUM(SUMIF('Diags Raw Data'!$A$6:$A$3821,"*"&amp;$A134&amp;"*",'Diags Raw Data'!$AA$6:$AA$3821),SUMIF('Diags Raw Data'!$A$6:$A$3821,"*"&amp;$A134&amp;"*",'Diags Raw Data'!$AB$6:$AB$3821))</f>
        <v>0</v>
      </c>
      <c r="R134" s="452">
        <f t="shared" si="3"/>
        <v>0</v>
      </c>
      <c r="S134" s="452">
        <f t="shared" si="4"/>
        <v>0</v>
      </c>
      <c r="T134" s="453">
        <f t="shared" si="5"/>
        <v>0</v>
      </c>
      <c r="U134" s="427" t="s">
        <v>787</v>
      </c>
      <c r="V134" s="182"/>
    </row>
    <row r="135" spans="1:22" ht="15.75" thickBot="1" x14ac:dyDescent="0.3">
      <c r="A135" s="338" t="s">
        <v>376</v>
      </c>
      <c r="B135" s="423" t="s">
        <v>802</v>
      </c>
      <c r="C135" s="424" t="s">
        <v>280</v>
      </c>
      <c r="D135" s="425" t="str" cm="1">
        <f t="array" ref="D135">_xlfn.TEXTJOIN("",TRUE,IF(ISNUMBER(SEARCH($A135,'Diags Raw Data'!$A$6:$A$3821)),CONCATENATE('Diags Raw Data'!$H$6:$H$3821,", "),""))</f>
        <v xml:space="preserve">DPP053.1-16, </v>
      </c>
      <c r="E135" s="341" t="str">
        <f>VLOOKUP(A135,'Diags Raw Data'!$A$6:$D$3821,4,FALSE)</f>
        <v>DPP</v>
      </c>
      <c r="F135" s="341" t="str">
        <f>VLOOKUP(A135,'Feature Raw Data'!$A$3:$E$3998,5,FALSE)</f>
        <v>Legacy</v>
      </c>
      <c r="G135" s="341" t="str">
        <f t="shared" si="18"/>
        <v>Yes</v>
      </c>
      <c r="H135" s="341" t="str">
        <f t="shared" si="19"/>
        <v>Yes</v>
      </c>
      <c r="I135" s="424">
        <f>SUMIF('Diags Raw Data'!$A$6:$A$3821,"*"&amp;$A135&amp;"*",'Diags Raw Data'!$K$6:$K$3821)</f>
        <v>1</v>
      </c>
      <c r="J135" s="426">
        <f>SUMIF('Diags Raw Data'!$A$6:$A$3821,"*"&amp;$A135&amp;"*",'Diags Raw Data'!$L$6:$L$3821)</f>
        <v>16</v>
      </c>
      <c r="K135" s="445" cm="1">
        <f t="array" ref="K135">IF(D135="",0, SUMPRODUCT(--(ISNUMBER(SEARCH($A135,'Diags Raw Data'!$A$6:$A$3821))),'Diags Raw Data'!$L$6:$L$3821,'Diags Raw Data'!$N$6:$N$3821)/J135)</f>
        <v>1</v>
      </c>
      <c r="L135" s="446" cm="1">
        <f t="array" ref="L135">IF(D135="",0, SUMPRODUCT(--(ISNUMBER(SEARCH($A135,'Diags Raw Data'!$A$6:$A$3821))),'Diags Raw Data'!$L$6:$L$3821,'Diags Raw Data'!$P$6:$P$3821)/J135)</f>
        <v>1</v>
      </c>
      <c r="M135" s="447" cm="1">
        <f t="array" ref="M135">SUMPRODUCT(--(ISNUMBER(SEARCH($A135,'Diags Raw Data'!$A$6:$A$3821))),--('Diags Raw Data'!$Q$6:$Q$3821&lt;&gt;"N/A"),'Diags Raw Data'!$R$6:$R$3821)</f>
        <v>16</v>
      </c>
      <c r="N135" s="448" cm="1">
        <f t="array" ref="N135">SUMPRODUCT(--(ISNUMBER(SEARCH($A135,'Diags Raw Data'!$A$6:$A$3821))),--('Diags Raw Data'!$Q$6:$Q$3821&lt;&gt;"N/A"),'Diags Raw Data'!$T$6:$T$3821)+SUMPRODUCT(--(ISNUMBER(SEARCH($A135,'Diags Raw Data'!$A$6:$A$3821))),--('Diags Raw Data'!$Q$6:$Q$3821&lt;&gt;"N/A"),'Diags Raw Data'!$U$6:$U$3821)</f>
        <v>0</v>
      </c>
      <c r="O135" s="449">
        <f t="shared" si="2"/>
        <v>0</v>
      </c>
      <c r="P135" s="450">
        <f>SUMIF('Diags Raw Data'!$A$6:$A$3821,"*"&amp;$A135&amp;"*",'Diags Raw Data'!$Z$6:$Z$3821)</f>
        <v>0</v>
      </c>
      <c r="Q135" s="451">
        <f>SUM(SUMIF('Diags Raw Data'!$A$6:$A$3821,"*"&amp;$A135&amp;"*",'Diags Raw Data'!$AA$6:$AA$3821),SUMIF('Diags Raw Data'!$A$6:$A$3821,"*"&amp;$A135&amp;"*",'Diags Raw Data'!$AB$6:$AB$3821))</f>
        <v>0</v>
      </c>
      <c r="R135" s="452">
        <f t="shared" si="3"/>
        <v>0</v>
      </c>
      <c r="S135" s="452">
        <f t="shared" si="4"/>
        <v>0</v>
      </c>
      <c r="T135" s="453">
        <f t="shared" si="5"/>
        <v>0</v>
      </c>
      <c r="U135" s="427" t="s">
        <v>787</v>
      </c>
      <c r="V135" s="182"/>
    </row>
    <row r="136" spans="1:22" ht="15.75" thickBot="1" x14ac:dyDescent="0.3">
      <c r="A136" s="338" t="s">
        <v>803</v>
      </c>
      <c r="B136" s="423" t="s">
        <v>804</v>
      </c>
      <c r="C136" s="424" t="s">
        <v>280</v>
      </c>
      <c r="D136" s="425" t="str" cm="1">
        <f t="array" ref="D136">_xlfn.TEXTJOIN("",TRUE,IF(ISNUMBER(SEARCH($A136,'Diags Raw Data'!$A$6:$A$3821)),CONCATENATE('Diags Raw Data'!$H$6:$H$3821,", "),""))</f>
        <v/>
      </c>
      <c r="E136" s="341" t="e">
        <f>VLOOKUP(A136,'Diags Raw Data'!$A$6:$D$3821,4,FALSE)</f>
        <v>#N/A</v>
      </c>
      <c r="F136" s="341" t="str">
        <f>VLOOKUP(A136,'Feature Raw Data'!$A$3:$E$3998,5,FALSE)</f>
        <v>Legacy</v>
      </c>
      <c r="G136" s="341" t="str">
        <f t="shared" si="18"/>
        <v>No</v>
      </c>
      <c r="H136" s="341" t="str">
        <f t="shared" si="19"/>
        <v>No</v>
      </c>
      <c r="I136" s="424">
        <f>SUMIF('Diags Raw Data'!$A$6:$A$3821,"*"&amp;$A136&amp;"*",'Diags Raw Data'!$K$6:$K$3821)</f>
        <v>0</v>
      </c>
      <c r="J136" s="426">
        <f>SUMIF('Diags Raw Data'!$A$6:$A$3821,"*"&amp;$A136&amp;"*",'Diags Raw Data'!$L$6:$L$3821)</f>
        <v>0</v>
      </c>
      <c r="K136" s="445" cm="1">
        <f t="array" ref="K136">IF(D136="",0, SUMPRODUCT(--(ISNUMBER(SEARCH($A136,'Diags Raw Data'!$A$6:$A$3821))),'Diags Raw Data'!$L$6:$L$3821,'Diags Raw Data'!$N$6:$N$3821)/J136)</f>
        <v>0</v>
      </c>
      <c r="L136" s="446" cm="1">
        <f t="array" ref="L136">IF(D136="",0, SUMPRODUCT(--(ISNUMBER(SEARCH($A136,'Diags Raw Data'!$A$6:$A$3821))),'Diags Raw Data'!$L$6:$L$3821,'Diags Raw Data'!$P$6:$P$3821)/J136)</f>
        <v>0</v>
      </c>
      <c r="M136" s="447" cm="1">
        <f t="array" ref="M136">SUMPRODUCT(--(ISNUMBER(SEARCH($A136,'Diags Raw Data'!$A$6:$A$3821))),--('Diags Raw Data'!$Q$6:$Q$3821&lt;&gt;"N/A"),'Diags Raw Data'!$R$6:$R$3821)</f>
        <v>0</v>
      </c>
      <c r="N136" s="448" cm="1">
        <f t="array" ref="N136">SUMPRODUCT(--(ISNUMBER(SEARCH($A136,'Diags Raw Data'!$A$6:$A$3821))),--('Diags Raw Data'!$Q$6:$Q$3821&lt;&gt;"N/A"),'Diags Raw Data'!$T$6:$T$3821)+SUMPRODUCT(--(ISNUMBER(SEARCH($A136,'Diags Raw Data'!$A$6:$A$3821))),--('Diags Raw Data'!$Q$6:$Q$3821&lt;&gt;"N/A"),'Diags Raw Data'!$U$6:$U$3821)</f>
        <v>0</v>
      </c>
      <c r="O136" s="449">
        <f t="shared" si="2"/>
        <v>0</v>
      </c>
      <c r="P136" s="450">
        <f>SUMIF('Diags Raw Data'!$A$6:$A$3821,"*"&amp;$A136&amp;"*",'Diags Raw Data'!$Z$6:$Z$3821)</f>
        <v>0</v>
      </c>
      <c r="Q136" s="451">
        <f>SUM(SUMIF('Diags Raw Data'!$A$6:$A$3821,"*"&amp;$A136&amp;"*",'Diags Raw Data'!$AA$6:$AA$3821),SUMIF('Diags Raw Data'!$A$6:$A$3821,"*"&amp;$A136&amp;"*",'Diags Raw Data'!$AB$6:$AB$3821))</f>
        <v>0</v>
      </c>
      <c r="R136" s="452">
        <f t="shared" si="3"/>
        <v>0</v>
      </c>
      <c r="S136" s="452">
        <f t="shared" si="4"/>
        <v>0</v>
      </c>
      <c r="T136" s="453">
        <f t="shared" si="5"/>
        <v>0</v>
      </c>
      <c r="U136" s="427" t="s">
        <v>776</v>
      </c>
      <c r="V136" s="182"/>
    </row>
    <row r="137" spans="1:22" ht="17.25" customHeight="1" thickBot="1" x14ac:dyDescent="0.3">
      <c r="A137" s="338" t="s">
        <v>805</v>
      </c>
      <c r="B137" s="423" t="s">
        <v>806</v>
      </c>
      <c r="C137" s="424" t="s">
        <v>280</v>
      </c>
      <c r="D137" s="425" t="str" cm="1">
        <f t="array" ref="D137">_xlfn.TEXTJOIN("",TRUE,IF(ISNUMBER(SEARCH($A137,'Diags Raw Data'!$A$6:$A$3821)),CONCATENATE('Diags Raw Data'!$H$6:$H$3821,", "),""))</f>
        <v/>
      </c>
      <c r="E137" s="341" t="e">
        <f>VLOOKUP(A137,'Diags Raw Data'!$A$6:$D$3821,4,FALSE)</f>
        <v>#N/A</v>
      </c>
      <c r="F137" s="341" t="str">
        <f>VLOOKUP(A137,'Feature Raw Data'!$A$3:$E$3998,5,FALSE)</f>
        <v>Legacy</v>
      </c>
      <c r="G137" s="341" t="str">
        <f t="shared" si="18"/>
        <v>No</v>
      </c>
      <c r="H137" s="341" t="str">
        <f t="shared" si="19"/>
        <v>No</v>
      </c>
      <c r="I137" s="424">
        <f>SUMIF('Diags Raw Data'!$A$6:$A$3821,"*"&amp;$A137&amp;"*",'Diags Raw Data'!$K$6:$K$3821)</f>
        <v>0</v>
      </c>
      <c r="J137" s="426">
        <f>SUMIF('Diags Raw Data'!$A$6:$A$3821,"*"&amp;$A137&amp;"*",'Diags Raw Data'!$L$6:$L$3821)</f>
        <v>0</v>
      </c>
      <c r="K137" s="445" cm="1">
        <f t="array" ref="K137">IF(D137="",0, SUMPRODUCT(--(ISNUMBER(SEARCH($A137,'Diags Raw Data'!$A$6:$A$3821))),'Diags Raw Data'!$L$6:$L$3821,'Diags Raw Data'!$N$6:$N$3821)/J137)</f>
        <v>0</v>
      </c>
      <c r="L137" s="446" cm="1">
        <f t="array" ref="L137">IF(D137="",0, SUMPRODUCT(--(ISNUMBER(SEARCH($A137,'Diags Raw Data'!$A$6:$A$3821))),'Diags Raw Data'!$L$6:$L$3821,'Diags Raw Data'!$P$6:$P$3821)/J137)</f>
        <v>0</v>
      </c>
      <c r="M137" s="447" cm="1">
        <f t="array" ref="M137">SUMPRODUCT(--(ISNUMBER(SEARCH($A137,'Diags Raw Data'!$A$6:$A$3821))),--('Diags Raw Data'!$Q$6:$Q$3821&lt;&gt;"N/A"),'Diags Raw Data'!$R$6:$R$3821)</f>
        <v>0</v>
      </c>
      <c r="N137" s="448" cm="1">
        <f t="array" ref="N137">SUMPRODUCT(--(ISNUMBER(SEARCH($A137,'Diags Raw Data'!$A$6:$A$3821))),--('Diags Raw Data'!$Q$6:$Q$3821&lt;&gt;"N/A"),'Diags Raw Data'!$T$6:$T$3821)+SUMPRODUCT(--(ISNUMBER(SEARCH($A137,'Diags Raw Data'!$A$6:$A$3821))),--('Diags Raw Data'!$Q$6:$Q$3821&lt;&gt;"N/A"),'Diags Raw Data'!$U$6:$U$3821)</f>
        <v>0</v>
      </c>
      <c r="O137" s="449">
        <f t="shared" si="2"/>
        <v>0</v>
      </c>
      <c r="P137" s="450">
        <f>SUMIF('Diags Raw Data'!$A$6:$A$3821,"*"&amp;$A137&amp;"*",'Diags Raw Data'!$Z$6:$Z$3821)</f>
        <v>0</v>
      </c>
      <c r="Q137" s="451">
        <f>SUM(SUMIF('Diags Raw Data'!$A$6:$A$3821,"*"&amp;$A137&amp;"*",'Diags Raw Data'!$AA$6:$AA$3821),SUMIF('Diags Raw Data'!$A$6:$A$3821,"*"&amp;$A137&amp;"*",'Diags Raw Data'!$AB$6:$AB$3821))</f>
        <v>0</v>
      </c>
      <c r="R137" s="452">
        <f t="shared" si="3"/>
        <v>0</v>
      </c>
      <c r="S137" s="452">
        <f t="shared" si="4"/>
        <v>0</v>
      </c>
      <c r="T137" s="453">
        <f t="shared" si="5"/>
        <v>0</v>
      </c>
      <c r="U137" s="427" t="s">
        <v>776</v>
      </c>
      <c r="V137" s="182"/>
    </row>
    <row r="138" spans="1:22" ht="15.75" thickBot="1" x14ac:dyDescent="0.3">
      <c r="A138" s="338" t="s">
        <v>807</v>
      </c>
      <c r="B138" s="423" t="s">
        <v>808</v>
      </c>
      <c r="C138" s="424" t="s">
        <v>280</v>
      </c>
      <c r="D138" s="425" t="str" cm="1">
        <f t="array" ref="D138">_xlfn.TEXTJOIN("",TRUE,IF(ISNUMBER(SEARCH($A138,'Diags Raw Data'!$A$6:$A$3821)),CONCATENATE('Diags Raw Data'!$H$6:$H$3821,", "),""))</f>
        <v/>
      </c>
      <c r="E138" s="341" t="e">
        <f>VLOOKUP(A138,'Diags Raw Data'!$A$6:$D$3821,4,FALSE)</f>
        <v>#N/A</v>
      </c>
      <c r="F138" s="341" t="str">
        <f>VLOOKUP(A138,'Feature Raw Data'!$A$3:$E$3998,5,FALSE)</f>
        <v>Legacy</v>
      </c>
      <c r="G138" s="341" t="str">
        <f t="shared" si="18"/>
        <v>No</v>
      </c>
      <c r="H138" s="341" t="str">
        <f t="shared" si="19"/>
        <v>No</v>
      </c>
      <c r="I138" s="424">
        <f>SUMIF('Diags Raw Data'!$A$6:$A$3821,"*"&amp;$A138&amp;"*",'Diags Raw Data'!$K$6:$K$3821)</f>
        <v>0</v>
      </c>
      <c r="J138" s="426">
        <f>SUMIF('Diags Raw Data'!$A$6:$A$3821,"*"&amp;$A138&amp;"*",'Diags Raw Data'!$L$6:$L$3821)</f>
        <v>0</v>
      </c>
      <c r="K138" s="445" cm="1">
        <f t="array" ref="K138">IF(D138="",0, SUMPRODUCT(--(ISNUMBER(SEARCH($A138,'Diags Raw Data'!$A$6:$A$3821))),'Diags Raw Data'!$L$6:$L$3821,'Diags Raw Data'!$N$6:$N$3821)/J138)</f>
        <v>0</v>
      </c>
      <c r="L138" s="446" cm="1">
        <f t="array" ref="L138">IF(D138="",0, SUMPRODUCT(--(ISNUMBER(SEARCH($A138,'Diags Raw Data'!$A$6:$A$3821))),'Diags Raw Data'!$L$6:$L$3821,'Diags Raw Data'!$P$6:$P$3821)/J138)</f>
        <v>0</v>
      </c>
      <c r="M138" s="447" cm="1">
        <f t="array" ref="M138">SUMPRODUCT(--(ISNUMBER(SEARCH($A138,'Diags Raw Data'!$A$6:$A$3821))),--('Diags Raw Data'!$Q$6:$Q$3821&lt;&gt;"N/A"),'Diags Raw Data'!$R$6:$R$3821)</f>
        <v>0</v>
      </c>
      <c r="N138" s="448" cm="1">
        <f t="array" ref="N138">SUMPRODUCT(--(ISNUMBER(SEARCH($A138,'Diags Raw Data'!$A$6:$A$3821))),--('Diags Raw Data'!$Q$6:$Q$3821&lt;&gt;"N/A"),'Diags Raw Data'!$T$6:$T$3821)+SUMPRODUCT(--(ISNUMBER(SEARCH($A138,'Diags Raw Data'!$A$6:$A$3821))),--('Diags Raw Data'!$Q$6:$Q$3821&lt;&gt;"N/A"),'Diags Raw Data'!$U$6:$U$3821)</f>
        <v>0</v>
      </c>
      <c r="O138" s="449">
        <f t="shared" si="2"/>
        <v>0</v>
      </c>
      <c r="P138" s="450">
        <f>SUMIF('Diags Raw Data'!$A$6:$A$3821,"*"&amp;$A138&amp;"*",'Diags Raw Data'!$Z$6:$Z$3821)</f>
        <v>0</v>
      </c>
      <c r="Q138" s="451">
        <f>SUM(SUMIF('Diags Raw Data'!$A$6:$A$3821,"*"&amp;$A138&amp;"*",'Diags Raw Data'!$AA$6:$AA$3821),SUMIF('Diags Raw Data'!$A$6:$A$3821,"*"&amp;$A138&amp;"*",'Diags Raw Data'!$AB$6:$AB$3821))</f>
        <v>0</v>
      </c>
      <c r="R138" s="452">
        <f t="shared" si="3"/>
        <v>0</v>
      </c>
      <c r="S138" s="452">
        <f t="shared" si="4"/>
        <v>0</v>
      </c>
      <c r="T138" s="453">
        <f t="shared" si="5"/>
        <v>0</v>
      </c>
      <c r="U138" s="427" t="s">
        <v>776</v>
      </c>
      <c r="V138" s="182"/>
    </row>
    <row r="139" spans="1:22" ht="15.75" thickBot="1" x14ac:dyDescent="0.3">
      <c r="A139" s="338" t="s">
        <v>809</v>
      </c>
      <c r="B139" s="423" t="s">
        <v>810</v>
      </c>
      <c r="C139" s="424" t="s">
        <v>280</v>
      </c>
      <c r="D139" s="425" t="str" cm="1">
        <f t="array" ref="D139">_xlfn.TEXTJOIN("",TRUE,IF(ISNUMBER(SEARCH($A139,'Diags Raw Data'!$A$6:$A$3821)),CONCATENATE('Diags Raw Data'!$H$6:$H$3821,", "),""))</f>
        <v/>
      </c>
      <c r="E139" s="341" t="e">
        <f>VLOOKUP(A139,'Diags Raw Data'!$A$6:$D$3821,4,FALSE)</f>
        <v>#N/A</v>
      </c>
      <c r="F139" s="341" t="str">
        <f>VLOOKUP(A139,'Feature Raw Data'!$A$3:$E$3998,5,FALSE)</f>
        <v>Legacy</v>
      </c>
      <c r="G139" s="341" t="str">
        <f t="shared" si="18"/>
        <v>No</v>
      </c>
      <c r="H139" s="341" t="str">
        <f t="shared" si="19"/>
        <v>No</v>
      </c>
      <c r="I139" s="424">
        <f>SUMIF('Diags Raw Data'!$A$6:$A$3821,"*"&amp;$A139&amp;"*",'Diags Raw Data'!$K$6:$K$3821)</f>
        <v>0</v>
      </c>
      <c r="J139" s="426">
        <f>SUMIF('Diags Raw Data'!$A$6:$A$3821,"*"&amp;$A139&amp;"*",'Diags Raw Data'!$L$6:$L$3821)</f>
        <v>0</v>
      </c>
      <c r="K139" s="445" cm="1">
        <f t="array" ref="K139">IF(D139="",0, SUMPRODUCT(--(ISNUMBER(SEARCH($A139,'Diags Raw Data'!$A$6:$A$3821))),'Diags Raw Data'!$L$6:$L$3821,'Diags Raw Data'!$N$6:$N$3821)/J139)</f>
        <v>0</v>
      </c>
      <c r="L139" s="446" cm="1">
        <f t="array" ref="L139">IF(D139="",0, SUMPRODUCT(--(ISNUMBER(SEARCH($A139,'Diags Raw Data'!$A$6:$A$3821))),'Diags Raw Data'!$L$6:$L$3821,'Diags Raw Data'!$P$6:$P$3821)/J139)</f>
        <v>0</v>
      </c>
      <c r="M139" s="447" cm="1">
        <f t="array" ref="M139">SUMPRODUCT(--(ISNUMBER(SEARCH($A139,'Diags Raw Data'!$A$6:$A$3821))),--('Diags Raw Data'!$Q$6:$Q$3821&lt;&gt;"N/A"),'Diags Raw Data'!$R$6:$R$3821)</f>
        <v>0</v>
      </c>
      <c r="N139" s="448" cm="1">
        <f t="array" ref="N139">SUMPRODUCT(--(ISNUMBER(SEARCH($A139,'Diags Raw Data'!$A$6:$A$3821))),--('Diags Raw Data'!$Q$6:$Q$3821&lt;&gt;"N/A"),'Diags Raw Data'!$T$6:$T$3821)+SUMPRODUCT(--(ISNUMBER(SEARCH($A139,'Diags Raw Data'!$A$6:$A$3821))),--('Diags Raw Data'!$Q$6:$Q$3821&lt;&gt;"N/A"),'Diags Raw Data'!$U$6:$U$3821)</f>
        <v>0</v>
      </c>
      <c r="O139" s="449">
        <f t="shared" si="2"/>
        <v>0</v>
      </c>
      <c r="P139" s="450">
        <f>SUMIF('Diags Raw Data'!$A$6:$A$3821,"*"&amp;$A139&amp;"*",'Diags Raw Data'!$Z$6:$Z$3821)</f>
        <v>0</v>
      </c>
      <c r="Q139" s="451">
        <f>SUM(SUMIF('Diags Raw Data'!$A$6:$A$3821,"*"&amp;$A139&amp;"*",'Diags Raw Data'!$AA$6:$AA$3821),SUMIF('Diags Raw Data'!$A$6:$A$3821,"*"&amp;$A139&amp;"*",'Diags Raw Data'!$AB$6:$AB$3821))</f>
        <v>0</v>
      </c>
      <c r="R139" s="452">
        <f t="shared" si="3"/>
        <v>0</v>
      </c>
      <c r="S139" s="452">
        <f t="shared" si="4"/>
        <v>0</v>
      </c>
      <c r="T139" s="453">
        <f t="shared" si="5"/>
        <v>0</v>
      </c>
      <c r="U139" s="427" t="s">
        <v>776</v>
      </c>
      <c r="V139" s="182"/>
    </row>
    <row r="140" spans="1:22" ht="15.75" thickBot="1" x14ac:dyDescent="0.3">
      <c r="A140" s="338" t="s">
        <v>811</v>
      </c>
      <c r="B140" s="423" t="s">
        <v>812</v>
      </c>
      <c r="C140" s="424" t="s">
        <v>280</v>
      </c>
      <c r="D140" s="425" t="str" cm="1">
        <f t="array" ref="D140">_xlfn.TEXTJOIN("",TRUE,IF(ISNUMBER(SEARCH($A140,'Diags Raw Data'!$A$6:$A$3821)),CONCATENATE('Diags Raw Data'!$H$6:$H$3821,", "),""))</f>
        <v/>
      </c>
      <c r="E140" s="341" t="e">
        <f>VLOOKUP(A140,'Diags Raw Data'!$A$6:$D$3821,4,FALSE)</f>
        <v>#N/A</v>
      </c>
      <c r="F140" s="341" t="str">
        <f>VLOOKUP(A140,'Feature Raw Data'!$A$3:$E$3998,5,FALSE)</f>
        <v>Legacy</v>
      </c>
      <c r="G140" s="341" t="str">
        <f t="shared" si="18"/>
        <v>No</v>
      </c>
      <c r="H140" s="341" t="str">
        <f t="shared" si="19"/>
        <v>No</v>
      </c>
      <c r="I140" s="424">
        <f>SUMIF('Diags Raw Data'!$A$6:$A$3821,"*"&amp;$A140&amp;"*",'Diags Raw Data'!$K$6:$K$3821)</f>
        <v>0</v>
      </c>
      <c r="J140" s="426">
        <f>SUMIF('Diags Raw Data'!$A$6:$A$3821,"*"&amp;$A140&amp;"*",'Diags Raw Data'!$L$6:$L$3821)</f>
        <v>0</v>
      </c>
      <c r="K140" s="445" cm="1">
        <f t="array" ref="K140">IF(D140="",0, SUMPRODUCT(--(ISNUMBER(SEARCH($A140,'Diags Raw Data'!$A$6:$A$3821))),'Diags Raw Data'!$L$6:$L$3821,'Diags Raw Data'!$N$6:$N$3821)/J140)</f>
        <v>0</v>
      </c>
      <c r="L140" s="446" cm="1">
        <f t="array" ref="L140">IF(D140="",0, SUMPRODUCT(--(ISNUMBER(SEARCH($A140,'Diags Raw Data'!$A$6:$A$3821))),'Diags Raw Data'!$L$6:$L$3821,'Diags Raw Data'!$P$6:$P$3821)/J140)</f>
        <v>0</v>
      </c>
      <c r="M140" s="447" cm="1">
        <f t="array" ref="M140">SUMPRODUCT(--(ISNUMBER(SEARCH($A140,'Diags Raw Data'!$A$6:$A$3821))),--('Diags Raw Data'!$Q$6:$Q$3821&lt;&gt;"N/A"),'Diags Raw Data'!$R$6:$R$3821)</f>
        <v>0</v>
      </c>
      <c r="N140" s="448" cm="1">
        <f t="array" ref="N140">SUMPRODUCT(--(ISNUMBER(SEARCH($A140,'Diags Raw Data'!$A$6:$A$3821))),--('Diags Raw Data'!$Q$6:$Q$3821&lt;&gt;"N/A"),'Diags Raw Data'!$T$6:$T$3821)+SUMPRODUCT(--(ISNUMBER(SEARCH($A140,'Diags Raw Data'!$A$6:$A$3821))),--('Diags Raw Data'!$Q$6:$Q$3821&lt;&gt;"N/A"),'Diags Raw Data'!$U$6:$U$3821)</f>
        <v>0</v>
      </c>
      <c r="O140" s="449">
        <f t="shared" si="2"/>
        <v>0</v>
      </c>
      <c r="P140" s="450">
        <f>SUMIF('Diags Raw Data'!$A$6:$A$3821,"*"&amp;$A140&amp;"*",'Diags Raw Data'!$Z$6:$Z$3821)</f>
        <v>0</v>
      </c>
      <c r="Q140" s="451">
        <f>SUM(SUMIF('Diags Raw Data'!$A$6:$A$3821,"*"&amp;$A140&amp;"*",'Diags Raw Data'!$AA$6:$AA$3821),SUMIF('Diags Raw Data'!$A$6:$A$3821,"*"&amp;$A140&amp;"*",'Diags Raw Data'!$AB$6:$AB$3821))</f>
        <v>0</v>
      </c>
      <c r="R140" s="452">
        <f t="shared" si="3"/>
        <v>0</v>
      </c>
      <c r="S140" s="452">
        <f t="shared" si="4"/>
        <v>0</v>
      </c>
      <c r="T140" s="453">
        <f t="shared" si="5"/>
        <v>0</v>
      </c>
      <c r="U140" s="427" t="s">
        <v>776</v>
      </c>
      <c r="V140" s="182"/>
    </row>
    <row r="141" spans="1:22" ht="15.75" thickBot="1" x14ac:dyDescent="0.3">
      <c r="A141" s="338" t="s">
        <v>813</v>
      </c>
      <c r="B141" s="423" t="s">
        <v>814</v>
      </c>
      <c r="C141" s="424" t="s">
        <v>280</v>
      </c>
      <c r="D141" s="425" t="str" cm="1">
        <f t="array" ref="D141">_xlfn.TEXTJOIN("",TRUE,IF(ISNUMBER(SEARCH($A141,'Diags Raw Data'!$A$6:$A$3821)),CONCATENATE('Diags Raw Data'!$H$6:$H$3821,", "),""))</f>
        <v/>
      </c>
      <c r="E141" s="341" t="e">
        <f>VLOOKUP(A141,'Diags Raw Data'!$A$6:$D$3821,4,FALSE)</f>
        <v>#N/A</v>
      </c>
      <c r="F141" s="341" t="str">
        <f>VLOOKUP(A141,'Feature Raw Data'!$A$3:$E$3998,5,FALSE)</f>
        <v>Legacy</v>
      </c>
      <c r="G141" s="341" t="str">
        <f t="shared" si="18"/>
        <v>No</v>
      </c>
      <c r="H141" s="341" t="str">
        <f t="shared" si="19"/>
        <v>No</v>
      </c>
      <c r="I141" s="424">
        <f>SUMIF('Diags Raw Data'!$A$6:$A$3821,"*"&amp;$A141&amp;"*",'Diags Raw Data'!$K$6:$K$3821)</f>
        <v>0</v>
      </c>
      <c r="J141" s="426">
        <f>SUMIF('Diags Raw Data'!$A$6:$A$3821,"*"&amp;$A141&amp;"*",'Diags Raw Data'!$L$6:$L$3821)</f>
        <v>0</v>
      </c>
      <c r="K141" s="445" cm="1">
        <f t="array" ref="K141">IF(D141="",0, SUMPRODUCT(--(ISNUMBER(SEARCH($A141,'Diags Raw Data'!$A$6:$A$3821))),'Diags Raw Data'!$L$6:$L$3821,'Diags Raw Data'!$N$6:$N$3821)/J141)</f>
        <v>0</v>
      </c>
      <c r="L141" s="446" cm="1">
        <f t="array" ref="L141">IF(D141="",0, SUMPRODUCT(--(ISNUMBER(SEARCH($A141,'Diags Raw Data'!$A$6:$A$3821))),'Diags Raw Data'!$L$6:$L$3821,'Diags Raw Data'!$P$6:$P$3821)/J141)</f>
        <v>0</v>
      </c>
      <c r="M141" s="447" cm="1">
        <f t="array" ref="M141">SUMPRODUCT(--(ISNUMBER(SEARCH($A141,'Diags Raw Data'!$A$6:$A$3821))),--('Diags Raw Data'!$Q$6:$Q$3821&lt;&gt;"N/A"),'Diags Raw Data'!$R$6:$R$3821)</f>
        <v>0</v>
      </c>
      <c r="N141" s="448" cm="1">
        <f t="array" ref="N141">SUMPRODUCT(--(ISNUMBER(SEARCH($A141,'Diags Raw Data'!$A$6:$A$3821))),--('Diags Raw Data'!$Q$6:$Q$3821&lt;&gt;"N/A"),'Diags Raw Data'!$T$6:$T$3821)+SUMPRODUCT(--(ISNUMBER(SEARCH($A141,'Diags Raw Data'!$A$6:$A$3821))),--('Diags Raw Data'!$Q$6:$Q$3821&lt;&gt;"N/A"),'Diags Raw Data'!$U$6:$U$3821)</f>
        <v>0</v>
      </c>
      <c r="O141" s="449">
        <f t="shared" si="2"/>
        <v>0</v>
      </c>
      <c r="P141" s="450">
        <f>SUMIF('Diags Raw Data'!$A$6:$A$3821,"*"&amp;$A141&amp;"*",'Diags Raw Data'!$Z$6:$Z$3821)</f>
        <v>0</v>
      </c>
      <c r="Q141" s="451">
        <f>SUM(SUMIF('Diags Raw Data'!$A$6:$A$3821,"*"&amp;$A141&amp;"*",'Diags Raw Data'!$AA$6:$AA$3821),SUMIF('Diags Raw Data'!$A$6:$A$3821,"*"&amp;$A141&amp;"*",'Diags Raw Data'!$AB$6:$AB$3821))</f>
        <v>0</v>
      </c>
      <c r="R141" s="452">
        <f t="shared" si="3"/>
        <v>0</v>
      </c>
      <c r="S141" s="452">
        <f t="shared" si="4"/>
        <v>0</v>
      </c>
      <c r="T141" s="453">
        <f t="shared" si="5"/>
        <v>0</v>
      </c>
      <c r="U141" s="427" t="s">
        <v>776</v>
      </c>
      <c r="V141" s="182"/>
    </row>
    <row r="142" spans="1:22" ht="15.75" thickBot="1" x14ac:dyDescent="0.3">
      <c r="A142" s="338" t="s">
        <v>815</v>
      </c>
      <c r="B142" s="423" t="s">
        <v>816</v>
      </c>
      <c r="C142" s="424" t="s">
        <v>280</v>
      </c>
      <c r="D142" s="425" t="str" cm="1">
        <f t="array" ref="D142">_xlfn.TEXTJOIN("",TRUE,IF(ISNUMBER(SEARCH($A142,'Diags Raw Data'!$A$6:$A$3821)),CONCATENATE('Diags Raw Data'!$H$6:$H$3821,", "),""))</f>
        <v/>
      </c>
      <c r="E142" s="341" t="e">
        <f>VLOOKUP(A142,'Diags Raw Data'!$A$6:$D$3821,4,FALSE)</f>
        <v>#N/A</v>
      </c>
      <c r="F142" s="341" t="str">
        <f>VLOOKUP(A142,'Feature Raw Data'!$A$3:$E$3998,5,FALSE)</f>
        <v>Legacy</v>
      </c>
      <c r="G142" s="341" t="str">
        <f t="shared" ref="G142:G145" si="20">IF(D142="","No","Yes")</f>
        <v>No</v>
      </c>
      <c r="H142" s="341" t="str">
        <f t="shared" ref="H142:H145" si="21">IF(D142="","No","Yes")</f>
        <v>No</v>
      </c>
      <c r="I142" s="424">
        <f>SUMIF('Diags Raw Data'!$A$6:$A$3821,"*"&amp;$A142&amp;"*",'Diags Raw Data'!$K$6:$K$3821)</f>
        <v>0</v>
      </c>
      <c r="J142" s="426">
        <f>SUMIF('Diags Raw Data'!$A$6:$A$3821,"*"&amp;$A142&amp;"*",'Diags Raw Data'!$L$6:$L$3821)</f>
        <v>0</v>
      </c>
      <c r="K142" s="445" cm="1">
        <f t="array" ref="K142">IF(D142="",0, SUMPRODUCT(--(ISNUMBER(SEARCH($A142,'Diags Raw Data'!$A$6:$A$3821))),'Diags Raw Data'!$L$6:$L$3821,'Diags Raw Data'!$N$6:$N$3821)/J142)</f>
        <v>0</v>
      </c>
      <c r="L142" s="446" cm="1">
        <f t="array" ref="L142">IF(D142="",0, SUMPRODUCT(--(ISNUMBER(SEARCH($A142,'Diags Raw Data'!$A$6:$A$3821))),'Diags Raw Data'!$L$6:$L$3821,'Diags Raw Data'!$P$6:$P$3821)/J142)</f>
        <v>0</v>
      </c>
      <c r="M142" s="447" cm="1">
        <f t="array" ref="M142">SUMPRODUCT(--(ISNUMBER(SEARCH($A142,'Diags Raw Data'!$A$6:$A$3821))),--('Diags Raw Data'!$Q$6:$Q$3821&lt;&gt;"N/A"),'Diags Raw Data'!$R$6:$R$3821)</f>
        <v>0</v>
      </c>
      <c r="N142" s="448" cm="1">
        <f t="array" ref="N142">SUMPRODUCT(--(ISNUMBER(SEARCH($A142,'Diags Raw Data'!$A$6:$A$3821))),--('Diags Raw Data'!$Q$6:$Q$3821&lt;&gt;"N/A"),'Diags Raw Data'!$T$6:$T$3821)+SUMPRODUCT(--(ISNUMBER(SEARCH($A142,'Diags Raw Data'!$A$6:$A$3821))),--('Diags Raw Data'!$Q$6:$Q$3821&lt;&gt;"N/A"),'Diags Raw Data'!$U$6:$U$3821)</f>
        <v>0</v>
      </c>
      <c r="O142" s="449">
        <f t="shared" si="2"/>
        <v>0</v>
      </c>
      <c r="P142" s="450">
        <f>SUMIF('Diags Raw Data'!$A$6:$A$3821,"*"&amp;$A142&amp;"*",'Diags Raw Data'!$Z$6:$Z$3821)</f>
        <v>0</v>
      </c>
      <c r="Q142" s="451">
        <f>SUM(SUMIF('Diags Raw Data'!$A$6:$A$3821,"*"&amp;$A142&amp;"*",'Diags Raw Data'!$AA$6:$AA$3821),SUMIF('Diags Raw Data'!$A$6:$A$3821,"*"&amp;$A142&amp;"*",'Diags Raw Data'!$AB$6:$AB$3821))</f>
        <v>0</v>
      </c>
      <c r="R142" s="452">
        <f t="shared" ref="R142:R145" si="22">IF((J142=0),0,P142/J142)</f>
        <v>0</v>
      </c>
      <c r="S142" s="452">
        <f t="shared" ref="S142:S145" si="23">IF((P142=0),0,Q142/P142)</f>
        <v>0</v>
      </c>
      <c r="T142" s="453">
        <f t="shared" ref="T142:T145" si="24">R142*S142</f>
        <v>0</v>
      </c>
      <c r="U142" s="427" t="s">
        <v>776</v>
      </c>
      <c r="V142" s="182"/>
    </row>
    <row r="143" spans="1:22" ht="15.75" thickBot="1" x14ac:dyDescent="0.3">
      <c r="A143" s="338" t="s">
        <v>817</v>
      </c>
      <c r="B143" s="423" t="s">
        <v>818</v>
      </c>
      <c r="C143" s="424" t="s">
        <v>280</v>
      </c>
      <c r="D143" s="425" t="str" cm="1">
        <f t="array" ref="D143">_xlfn.TEXTJOIN("",TRUE,IF(ISNUMBER(SEARCH($A143,'Diags Raw Data'!$A$6:$A$3821)),CONCATENATE('Diags Raw Data'!$H$6:$H$3821,", "),""))</f>
        <v/>
      </c>
      <c r="E143" s="341" t="e">
        <f>VLOOKUP(A143,'Diags Raw Data'!$A$6:$D$3821,4,FALSE)</f>
        <v>#N/A</v>
      </c>
      <c r="F143" s="341" t="str">
        <f>VLOOKUP(A143,'Feature Raw Data'!$A$3:$E$3998,5,FALSE)</f>
        <v>Legacy</v>
      </c>
      <c r="G143" s="341" t="str">
        <f t="shared" si="20"/>
        <v>No</v>
      </c>
      <c r="H143" s="341" t="str">
        <f t="shared" si="21"/>
        <v>No</v>
      </c>
      <c r="I143" s="424">
        <f>SUMIF('Diags Raw Data'!$A$6:$A$3821,"*"&amp;$A143&amp;"*",'Diags Raw Data'!$K$6:$K$3821)</f>
        <v>0</v>
      </c>
      <c r="J143" s="426">
        <f>SUMIF('Diags Raw Data'!$A$6:$A$3821,"*"&amp;$A143&amp;"*",'Diags Raw Data'!$L$6:$L$3821)</f>
        <v>0</v>
      </c>
      <c r="K143" s="445" cm="1">
        <f t="array" ref="K143">IF(D143="",0, SUMPRODUCT(--(ISNUMBER(SEARCH($A143,'Diags Raw Data'!$A$6:$A$3821))),'Diags Raw Data'!$L$6:$L$3821,'Diags Raw Data'!$N$6:$N$3821)/J143)</f>
        <v>0</v>
      </c>
      <c r="L143" s="446" cm="1">
        <f t="array" ref="L143">IF(D143="",0, SUMPRODUCT(--(ISNUMBER(SEARCH($A143,'Diags Raw Data'!$A$6:$A$3821))),'Diags Raw Data'!$L$6:$L$3821,'Diags Raw Data'!$P$6:$P$3821)/J143)</f>
        <v>0</v>
      </c>
      <c r="M143" s="447" cm="1">
        <f t="array" ref="M143">SUMPRODUCT(--(ISNUMBER(SEARCH($A143,'Diags Raw Data'!$A$6:$A$3821))),--('Diags Raw Data'!$Q$6:$Q$3821&lt;&gt;"N/A"),'Diags Raw Data'!$R$6:$R$3821)</f>
        <v>0</v>
      </c>
      <c r="N143" s="448" cm="1">
        <f t="array" ref="N143">SUMPRODUCT(--(ISNUMBER(SEARCH($A143,'Diags Raw Data'!$A$6:$A$3821))),--('Diags Raw Data'!$Q$6:$Q$3821&lt;&gt;"N/A"),'Diags Raw Data'!$T$6:$T$3821)+SUMPRODUCT(--(ISNUMBER(SEARCH($A143,'Diags Raw Data'!$A$6:$A$3821))),--('Diags Raw Data'!$Q$6:$Q$3821&lt;&gt;"N/A"),'Diags Raw Data'!$U$6:$U$3821)</f>
        <v>0</v>
      </c>
      <c r="O143" s="449">
        <f t="shared" ref="O143:O145" si="25">IF((M143=0),0,N143/M143)</f>
        <v>0</v>
      </c>
      <c r="P143" s="450">
        <f>SUMIF('Diags Raw Data'!$A$6:$A$3821,"*"&amp;$A143&amp;"*",'Diags Raw Data'!$Z$6:$Z$3821)</f>
        <v>0</v>
      </c>
      <c r="Q143" s="451">
        <f>SUM(SUMIF('Diags Raw Data'!$A$6:$A$3821,"*"&amp;$A143&amp;"*",'Diags Raw Data'!$AA$6:$AA$3821),SUMIF('Diags Raw Data'!$A$6:$A$3821,"*"&amp;$A143&amp;"*",'Diags Raw Data'!$AB$6:$AB$3821))</f>
        <v>0</v>
      </c>
      <c r="R143" s="452">
        <f t="shared" si="22"/>
        <v>0</v>
      </c>
      <c r="S143" s="452">
        <f t="shared" si="23"/>
        <v>0</v>
      </c>
      <c r="T143" s="453">
        <f t="shared" si="24"/>
        <v>0</v>
      </c>
      <c r="U143" s="427" t="s">
        <v>776</v>
      </c>
      <c r="V143" s="182"/>
    </row>
    <row r="144" spans="1:22" ht="15.75" thickBot="1" x14ac:dyDescent="0.3">
      <c r="A144" s="338" t="s">
        <v>819</v>
      </c>
      <c r="B144" s="423" t="s">
        <v>820</v>
      </c>
      <c r="C144" s="424" t="s">
        <v>280</v>
      </c>
      <c r="D144" s="425" t="str" cm="1">
        <f t="array" ref="D144">_xlfn.TEXTJOIN("",TRUE,IF(ISNUMBER(SEARCH($A144,'Diags Raw Data'!$A$6:$A$3821)),CONCATENATE('Diags Raw Data'!$H$6:$H$3821,", "),""))</f>
        <v/>
      </c>
      <c r="E144" s="341" t="e">
        <f>VLOOKUP(A144,'Diags Raw Data'!$A$6:$D$3821,4,FALSE)</f>
        <v>#N/A</v>
      </c>
      <c r="F144" s="341" t="str">
        <f>VLOOKUP(A144,'Feature Raw Data'!$A$3:$E$3998,5,FALSE)</f>
        <v>Legacy</v>
      </c>
      <c r="G144" s="341" t="str">
        <f t="shared" si="20"/>
        <v>No</v>
      </c>
      <c r="H144" s="341" t="str">
        <f t="shared" si="21"/>
        <v>No</v>
      </c>
      <c r="I144" s="424">
        <f>SUMIF('Diags Raw Data'!$A$6:$A$3821,"*"&amp;$A144&amp;"*",'Diags Raw Data'!$K$6:$K$3821)</f>
        <v>0</v>
      </c>
      <c r="J144" s="426">
        <f>SUMIF('Diags Raw Data'!$A$6:$A$3821,"*"&amp;$A144&amp;"*",'Diags Raw Data'!$L$6:$L$3821)</f>
        <v>0</v>
      </c>
      <c r="K144" s="445" cm="1">
        <f t="array" ref="K144">IF(D144="",0, SUMPRODUCT(--(ISNUMBER(SEARCH($A144,'Diags Raw Data'!$A$6:$A$3821))),'Diags Raw Data'!$L$6:$L$3821,'Diags Raw Data'!$N$6:$N$3821)/J144)</f>
        <v>0</v>
      </c>
      <c r="L144" s="446" cm="1">
        <f t="array" ref="L144">IF(D144="",0, SUMPRODUCT(--(ISNUMBER(SEARCH($A144,'Diags Raw Data'!$A$6:$A$3821))),'Diags Raw Data'!$L$6:$L$3821,'Diags Raw Data'!$P$6:$P$3821)/J144)</f>
        <v>0</v>
      </c>
      <c r="M144" s="447" cm="1">
        <f t="array" ref="M144">SUMPRODUCT(--(ISNUMBER(SEARCH($A144,'Diags Raw Data'!$A$6:$A$3821))),--('Diags Raw Data'!$Q$6:$Q$3821&lt;&gt;"N/A"),'Diags Raw Data'!$R$6:$R$3821)</f>
        <v>0</v>
      </c>
      <c r="N144" s="448" cm="1">
        <f t="array" ref="N144">SUMPRODUCT(--(ISNUMBER(SEARCH($A144,'Diags Raw Data'!$A$6:$A$3821))),--('Diags Raw Data'!$Q$6:$Q$3821&lt;&gt;"N/A"),'Diags Raw Data'!$T$6:$T$3821)+SUMPRODUCT(--(ISNUMBER(SEARCH($A144,'Diags Raw Data'!$A$6:$A$3821))),--('Diags Raw Data'!$Q$6:$Q$3821&lt;&gt;"N/A"),'Diags Raw Data'!$U$6:$U$3821)</f>
        <v>0</v>
      </c>
      <c r="O144" s="449">
        <f t="shared" si="25"/>
        <v>0</v>
      </c>
      <c r="P144" s="450">
        <f>SUMIF('Diags Raw Data'!$A$6:$A$3821,"*"&amp;$A144&amp;"*",'Diags Raw Data'!$Z$6:$Z$3821)</f>
        <v>0</v>
      </c>
      <c r="Q144" s="451">
        <f>SUM(SUMIF('Diags Raw Data'!$A$6:$A$3821,"*"&amp;$A144&amp;"*",'Diags Raw Data'!$AA$6:$AA$3821),SUMIF('Diags Raw Data'!$A$6:$A$3821,"*"&amp;$A144&amp;"*",'Diags Raw Data'!$AB$6:$AB$3821))</f>
        <v>0</v>
      </c>
      <c r="R144" s="452">
        <f t="shared" si="22"/>
        <v>0</v>
      </c>
      <c r="S144" s="452">
        <f t="shared" si="23"/>
        <v>0</v>
      </c>
      <c r="T144" s="453">
        <f t="shared" si="24"/>
        <v>0</v>
      </c>
      <c r="U144" s="427" t="s">
        <v>776</v>
      </c>
      <c r="V144" s="182"/>
    </row>
    <row r="145" spans="1:22" ht="15.75" thickBot="1" x14ac:dyDescent="0.3">
      <c r="A145" s="338" t="s">
        <v>821</v>
      </c>
      <c r="B145" s="423" t="s">
        <v>822</v>
      </c>
      <c r="C145" s="424" t="s">
        <v>259</v>
      </c>
      <c r="D145" s="425" t="str" cm="1">
        <f t="array" ref="D145">_xlfn.TEXTJOIN("",TRUE,IF(ISNUMBER(SEARCH($A145,'Diags Raw Data'!$A$6:$A$3821)),CONCATENATE('Diags Raw Data'!$H$6:$H$3821,", "),""))</f>
        <v/>
      </c>
      <c r="E145" s="341" t="e">
        <f>VLOOKUP(A145,'Diags Raw Data'!$A$6:$D$3821,4,FALSE)</f>
        <v>#N/A</v>
      </c>
      <c r="F145" s="341" t="str">
        <f>VLOOKUP(A145,'Feature Raw Data'!$A$3:$E$3998,5,FALSE)</f>
        <v>Legacy</v>
      </c>
      <c r="G145" s="341" t="str">
        <f t="shared" si="20"/>
        <v>No</v>
      </c>
      <c r="H145" s="341" t="str">
        <f t="shared" si="21"/>
        <v>No</v>
      </c>
      <c r="I145" s="424">
        <f>SUMIF('Diags Raw Data'!$A$6:$A$3821,"*"&amp;$A145&amp;"*",'Diags Raw Data'!$K$6:$K$3821)</f>
        <v>0</v>
      </c>
      <c r="J145" s="426">
        <f>SUMIF('Diags Raw Data'!$A$6:$A$3821,"*"&amp;$A145&amp;"*",'Diags Raw Data'!$L$6:$L$3821)</f>
        <v>0</v>
      </c>
      <c r="K145" s="445" cm="1">
        <f t="array" ref="K145">IF(D145="",0, SUMPRODUCT(--(ISNUMBER(SEARCH($A145,'Diags Raw Data'!$A$6:$A$3821))),'Diags Raw Data'!$L$6:$L$3821,'Diags Raw Data'!$N$6:$N$3821)/J145)</f>
        <v>0</v>
      </c>
      <c r="L145" s="446" cm="1">
        <f t="array" ref="L145">IF(D145="",0, SUMPRODUCT(--(ISNUMBER(SEARCH($A145,'Diags Raw Data'!$A$6:$A$3821))),'Diags Raw Data'!$L$6:$L$3821,'Diags Raw Data'!$P$6:$P$3821)/J145)</f>
        <v>0</v>
      </c>
      <c r="M145" s="447" cm="1">
        <f t="array" ref="M145">SUMPRODUCT(--(ISNUMBER(SEARCH($A145,'Diags Raw Data'!$A$6:$A$3821))),--('Diags Raw Data'!$Q$6:$Q$3821&lt;&gt;"N/A"),'Diags Raw Data'!$R$6:$R$3821)</f>
        <v>0</v>
      </c>
      <c r="N145" s="448" cm="1">
        <f t="array" ref="N145">SUMPRODUCT(--(ISNUMBER(SEARCH($A145,'Diags Raw Data'!$A$6:$A$3821))),--('Diags Raw Data'!$Q$6:$Q$3821&lt;&gt;"N/A"),'Diags Raw Data'!$T$6:$T$3821)+SUMPRODUCT(--(ISNUMBER(SEARCH($A145,'Diags Raw Data'!$A$6:$A$3821))),--('Diags Raw Data'!$Q$6:$Q$3821&lt;&gt;"N/A"),'Diags Raw Data'!$U$6:$U$3821)</f>
        <v>0</v>
      </c>
      <c r="O145" s="449">
        <f t="shared" si="25"/>
        <v>0</v>
      </c>
      <c r="P145" s="450">
        <f>SUMIF('Diags Raw Data'!$A$6:$A$3821,"*"&amp;$A145&amp;"*",'Diags Raw Data'!$Z$6:$Z$3821)</f>
        <v>0</v>
      </c>
      <c r="Q145" s="451">
        <f>SUM(SUMIF('Diags Raw Data'!$A$6:$A$3821,"*"&amp;$A145&amp;"*",'Diags Raw Data'!$AA$6:$AA$3821),SUMIF('Diags Raw Data'!$A$6:$A$3821,"*"&amp;$A145&amp;"*",'Diags Raw Data'!$AB$6:$AB$3821))</f>
        <v>0</v>
      </c>
      <c r="R145" s="452">
        <f t="shared" si="22"/>
        <v>0</v>
      </c>
      <c r="S145" s="452">
        <f t="shared" si="23"/>
        <v>0</v>
      </c>
      <c r="T145" s="453">
        <f t="shared" si="24"/>
        <v>0</v>
      </c>
      <c r="U145" s="427" t="s">
        <v>776</v>
      </c>
      <c r="V145" s="182"/>
    </row>
    <row r="146" spans="1:22" x14ac:dyDescent="0.25">
      <c r="A146" s="367"/>
      <c r="B146" s="396"/>
      <c r="C146" s="340"/>
      <c r="D146" s="82"/>
      <c r="E146" s="181"/>
      <c r="F146" s="181"/>
      <c r="G146" s="181"/>
      <c r="H146" s="181"/>
      <c r="I146" s="340"/>
      <c r="J146" s="195"/>
      <c r="K146" s="454"/>
      <c r="L146" s="455"/>
      <c r="M146" s="456"/>
      <c r="N146" s="457"/>
      <c r="O146" s="458"/>
      <c r="P146" s="459"/>
      <c r="Q146" s="460"/>
      <c r="R146" s="461"/>
      <c r="S146" s="461"/>
      <c r="T146" s="462"/>
      <c r="U146" s="368"/>
      <c r="V146" s="182"/>
    </row>
    <row r="147" spans="1:22" x14ac:dyDescent="0.25">
      <c r="A147" s="367"/>
      <c r="B147" s="396"/>
      <c r="C147" s="340"/>
      <c r="E147" s="181"/>
      <c r="F147" s="181"/>
      <c r="G147" s="181"/>
      <c r="H147" s="181"/>
      <c r="I147" s="340"/>
      <c r="J147" s="195"/>
      <c r="K147" s="454"/>
      <c r="L147" s="455"/>
      <c r="M147" s="456"/>
      <c r="N147" s="457"/>
      <c r="O147" s="458"/>
      <c r="P147" s="459"/>
      <c r="Q147" s="460"/>
      <c r="R147" s="461"/>
      <c r="S147" s="461"/>
      <c r="T147" s="462"/>
      <c r="U147" s="368"/>
      <c r="V147" s="182"/>
    </row>
    <row r="148" spans="1:22" ht="15.75" thickBot="1" x14ac:dyDescent="0.3">
      <c r="A148" s="373"/>
      <c r="B148" s="397"/>
      <c r="C148" s="374"/>
      <c r="D148" s="375"/>
      <c r="E148" s="376"/>
      <c r="F148" s="376"/>
      <c r="G148" s="376"/>
      <c r="H148" s="376"/>
      <c r="I148" s="374"/>
      <c r="J148" s="377"/>
      <c r="K148" s="463"/>
      <c r="L148" s="464"/>
      <c r="M148" s="465"/>
      <c r="N148" s="466"/>
      <c r="O148" s="467"/>
      <c r="P148" s="468"/>
      <c r="Q148" s="469"/>
      <c r="R148" s="470"/>
      <c r="S148" s="470"/>
      <c r="T148" s="471"/>
      <c r="U148" s="378"/>
      <c r="V148" s="182"/>
    </row>
    <row r="149" spans="1:22" x14ac:dyDescent="0.25">
      <c r="A149" s="591" t="s">
        <v>823</v>
      </c>
      <c r="B149" s="641"/>
      <c r="C149" s="641"/>
      <c r="D149" s="641"/>
      <c r="E149" s="641"/>
      <c r="F149" s="641"/>
      <c r="G149" s="641"/>
      <c r="H149" s="641"/>
      <c r="I149" s="641"/>
      <c r="J149" s="641"/>
      <c r="K149" s="641"/>
      <c r="L149" s="641"/>
      <c r="M149" s="641"/>
      <c r="N149" s="641"/>
      <c r="O149" s="641"/>
      <c r="P149" s="641"/>
      <c r="Q149" s="641"/>
      <c r="R149" s="641"/>
      <c r="S149" s="641"/>
      <c r="T149" s="641"/>
      <c r="U149" s="642"/>
      <c r="V149" s="182"/>
    </row>
    <row r="150" spans="1:22" ht="15.75" thickBot="1" x14ac:dyDescent="0.3">
      <c r="A150" s="643"/>
      <c r="B150" s="644"/>
      <c r="C150" s="644"/>
      <c r="D150" s="644"/>
      <c r="E150" s="644"/>
      <c r="F150" s="644"/>
      <c r="G150" s="644"/>
      <c r="H150" s="644"/>
      <c r="I150" s="644"/>
      <c r="J150" s="644"/>
      <c r="K150" s="644"/>
      <c r="L150" s="644"/>
      <c r="M150" s="644"/>
      <c r="N150" s="644"/>
      <c r="O150" s="644"/>
      <c r="P150" s="644"/>
      <c r="Q150" s="644"/>
      <c r="R150" s="644"/>
      <c r="S150" s="644"/>
      <c r="T150" s="644"/>
      <c r="U150" s="645"/>
      <c r="V150" s="182"/>
    </row>
    <row r="151" spans="1:22" s="189" customFormat="1" ht="18.75" x14ac:dyDescent="0.25">
      <c r="A151" s="594" t="s">
        <v>302</v>
      </c>
      <c r="B151" s="595"/>
      <c r="C151" s="595"/>
      <c r="D151" s="595"/>
      <c r="E151" s="595"/>
      <c r="F151" s="596"/>
      <c r="G151" s="387">
        <f>COUNTIF(G7:G148,"Yes")</f>
        <v>109</v>
      </c>
      <c r="H151" s="387">
        <f>COUNTIF(H7:H148,"Yes")</f>
        <v>109</v>
      </c>
      <c r="I151" s="592">
        <f>'Diags Raw Data'!K211</f>
        <v>1</v>
      </c>
      <c r="J151" s="628">
        <f>'Diags Raw Data'!L211</f>
        <v>15</v>
      </c>
      <c r="K151" s="618">
        <f>'Diags Raw Data'!N211</f>
        <v>1</v>
      </c>
      <c r="L151" s="620">
        <f>'Diags Raw Data'!P211</f>
        <v>1</v>
      </c>
      <c r="M151" s="622">
        <f>'Diags Raw Data'!R211</f>
        <v>15</v>
      </c>
      <c r="N151" s="614" t="e">
        <f>SUM('Diags Raw Data'!T211+'Diags Raw Data'!U211)</f>
        <v>#VALUE!</v>
      </c>
      <c r="O151" s="646" t="e">
        <f>IF((M151=0),0,N151/M151)</f>
        <v>#VALUE!</v>
      </c>
      <c r="P151" s="648">
        <v>0</v>
      </c>
      <c r="Q151" s="604" t="e">
        <f>SUM('Diags Raw Data'!AA211+'Diags Raw Data'!AB211)</f>
        <v>#VALUE!</v>
      </c>
      <c r="R151" s="624">
        <f>IF((J151=0),0,P151/J151)</f>
        <v>0</v>
      </c>
      <c r="S151" s="624">
        <f>IF((P151=0),0,Q151/P151)</f>
        <v>0</v>
      </c>
      <c r="T151" s="624">
        <f>R151*S151</f>
        <v>0</v>
      </c>
      <c r="U151" s="626"/>
      <c r="V151" s="188"/>
    </row>
    <row r="152" spans="1:22" ht="19.5" thickBot="1" x14ac:dyDescent="0.3">
      <c r="A152" s="597"/>
      <c r="B152" s="598"/>
      <c r="C152" s="598"/>
      <c r="D152" s="598"/>
      <c r="E152" s="598"/>
      <c r="F152" s="599"/>
      <c r="G152" s="388">
        <f>COUNTIF(G7:G148,"Yes")/COUNTA(A7:A148)</f>
        <v>0.78417266187050361</v>
      </c>
      <c r="H152" s="388">
        <f>(COUNTIF(H7:H148,"Yes")/G151)</f>
        <v>1</v>
      </c>
      <c r="I152" s="593"/>
      <c r="J152" s="629"/>
      <c r="K152" s="619"/>
      <c r="L152" s="621"/>
      <c r="M152" s="623"/>
      <c r="N152" s="615"/>
      <c r="O152" s="647"/>
      <c r="P152" s="649"/>
      <c r="Q152" s="605"/>
      <c r="R152" s="625"/>
      <c r="S152" s="625"/>
      <c r="T152" s="625"/>
      <c r="U152" s="627"/>
      <c r="V152" s="182"/>
    </row>
    <row r="153" spans="1:22" x14ac:dyDescent="0.25">
      <c r="A153" s="190"/>
      <c r="B153" s="191"/>
      <c r="C153" s="191"/>
      <c r="D153" s="190"/>
      <c r="E153" s="191"/>
      <c r="F153" s="191"/>
      <c r="G153" s="369"/>
      <c r="H153" s="191"/>
      <c r="I153" s="379"/>
      <c r="J153" s="379"/>
      <c r="K153" s="196"/>
      <c r="L153" s="196"/>
      <c r="M153" s="197"/>
      <c r="N153" s="197"/>
      <c r="O153" s="196"/>
      <c r="P153" s="193"/>
      <c r="Q153" s="193"/>
      <c r="R153" s="200"/>
      <c r="S153" s="200"/>
      <c r="T153" s="201"/>
      <c r="U153" s="190"/>
    </row>
  </sheetData>
  <sheetProtection insertColumns="0" insertRows="0" deleteRows="0" sort="0"/>
  <autoFilter ref="A6:U152" xr:uid="{00000000-0009-0000-0000-000004000000}"/>
  <mergeCells count="36">
    <mergeCell ref="K5:L5"/>
    <mergeCell ref="A5:J5"/>
    <mergeCell ref="M5:O5"/>
    <mergeCell ref="P5:U5"/>
    <mergeCell ref="A151:F152"/>
    <mergeCell ref="A149:U150"/>
    <mergeCell ref="O151:O152"/>
    <mergeCell ref="P151:P152"/>
    <mergeCell ref="N151:N152"/>
    <mergeCell ref="V2:V3"/>
    <mergeCell ref="A4:U4"/>
    <mergeCell ref="K151:K152"/>
    <mergeCell ref="L151:L152"/>
    <mergeCell ref="M151:M152"/>
    <mergeCell ref="T2:T3"/>
    <mergeCell ref="U2:U3"/>
    <mergeCell ref="R2:R3"/>
    <mergeCell ref="S2:S3"/>
    <mergeCell ref="S151:S152"/>
    <mergeCell ref="T151:T152"/>
    <mergeCell ref="U151:U152"/>
    <mergeCell ref="Q151:Q152"/>
    <mergeCell ref="R151:R152"/>
    <mergeCell ref="I151:I152"/>
    <mergeCell ref="J151:J152"/>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sheetPr codeName="Sheet7"/>
  <dimension ref="A1:V65"/>
  <sheetViews>
    <sheetView zoomScaleNormal="100" workbookViewId="0">
      <pane xSplit="1" ySplit="3" topLeftCell="C4" activePane="bottomRight" state="frozen"/>
      <selection pane="topRight" activeCell="B1" sqref="B1"/>
      <selection pane="bottomLeft" activeCell="A4" sqref="A4"/>
      <selection pane="bottomRight" activeCell="G25" sqref="G25"/>
    </sheetView>
  </sheetViews>
  <sheetFormatPr defaultRowHeight="15" x14ac:dyDescent="0.25"/>
  <cols>
    <col min="1" max="1" width="27.7109375" customWidth="1"/>
    <col min="2" max="2" width="15.7109375" customWidth="1"/>
    <col min="3" max="3" width="27.85546875" customWidth="1"/>
    <col min="4" max="4" width="6" customWidth="1"/>
    <col min="5" max="5" width="14.5703125" customWidth="1"/>
    <col min="6" max="6" width="15.140625" customWidth="1"/>
    <col min="7" max="7" width="9.28515625" customWidth="1"/>
    <col min="8" max="11" width="9.140625"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650" t="s">
        <v>824</v>
      </c>
      <c r="B1" s="651"/>
      <c r="C1" s="651"/>
      <c r="D1" s="651"/>
      <c r="E1" s="651"/>
      <c r="F1" s="651"/>
      <c r="G1" s="651"/>
      <c r="H1" s="651"/>
      <c r="I1" s="651"/>
      <c r="J1" s="651"/>
      <c r="K1" s="651"/>
      <c r="L1" s="651"/>
      <c r="M1" s="651"/>
      <c r="N1" s="651"/>
      <c r="O1" s="651"/>
      <c r="P1" s="651"/>
      <c r="Q1" s="651"/>
      <c r="R1" s="651"/>
      <c r="S1" s="651"/>
      <c r="T1" s="651"/>
      <c r="U1" s="651"/>
      <c r="V1" s="652"/>
    </row>
    <row r="2" spans="1:22" ht="15.75" thickBot="1" x14ac:dyDescent="0.3">
      <c r="A2" s="219" t="s">
        <v>825</v>
      </c>
      <c r="B2" s="653" t="s">
        <v>166</v>
      </c>
      <c r="C2" s="653"/>
      <c r="D2" s="653"/>
      <c r="E2" s="653"/>
      <c r="F2" s="653"/>
      <c r="G2" s="654" t="s">
        <v>177</v>
      </c>
      <c r="H2" s="655"/>
      <c r="I2" s="655"/>
      <c r="J2" s="655"/>
      <c r="K2" s="655"/>
      <c r="L2" s="655"/>
      <c r="M2" s="655"/>
      <c r="N2" s="656"/>
      <c r="O2" s="657" t="s">
        <v>144</v>
      </c>
      <c r="P2" s="658"/>
      <c r="Q2" s="658"/>
      <c r="R2" s="658"/>
      <c r="S2" s="658"/>
      <c r="T2" s="658"/>
      <c r="U2" s="658"/>
      <c r="V2" s="659"/>
    </row>
    <row r="3" spans="1:22" s="252" customFormat="1" ht="15.75" thickBot="1" x14ac:dyDescent="0.3">
      <c r="A3" s="256" t="s">
        <v>88</v>
      </c>
      <c r="B3" s="313" t="s">
        <v>167</v>
      </c>
      <c r="C3" s="314" t="s">
        <v>128</v>
      </c>
      <c r="D3" s="315" t="s">
        <v>105</v>
      </c>
      <c r="E3" s="315" t="s">
        <v>173</v>
      </c>
      <c r="F3" s="316" t="s">
        <v>175</v>
      </c>
      <c r="G3" s="317" t="s">
        <v>132</v>
      </c>
      <c r="H3" s="318" t="s">
        <v>30</v>
      </c>
      <c r="I3" s="318" t="s">
        <v>135</v>
      </c>
      <c r="J3" s="318" t="s">
        <v>36</v>
      </c>
      <c r="K3" s="318" t="s">
        <v>138</v>
      </c>
      <c r="L3" s="318" t="s">
        <v>184</v>
      </c>
      <c r="M3" s="318" t="s">
        <v>140</v>
      </c>
      <c r="N3" s="319" t="s">
        <v>187</v>
      </c>
      <c r="O3" s="320" t="s">
        <v>132</v>
      </c>
      <c r="P3" s="321" t="s">
        <v>30</v>
      </c>
      <c r="Q3" s="321" t="s">
        <v>135</v>
      </c>
      <c r="R3" s="321" t="s">
        <v>36</v>
      </c>
      <c r="S3" s="321" t="s">
        <v>138</v>
      </c>
      <c r="T3" s="321" t="s">
        <v>184</v>
      </c>
      <c r="U3" s="321" t="s">
        <v>140</v>
      </c>
      <c r="V3" s="322" t="s">
        <v>187</v>
      </c>
    </row>
    <row r="4" spans="1:22" x14ac:dyDescent="0.25">
      <c r="A4" s="332" t="s">
        <v>394</v>
      </c>
      <c r="B4" s="253">
        <f>SUMIFS('Diags Raw Data'!$L$6:$L$4825,'Diags Raw Data'!$D$6:$D$4825,$A4)</f>
        <v>13</v>
      </c>
      <c r="C4" s="243">
        <f>SUMIFS('Diags Raw Data'!$R$6:$R$4825,'Diags Raw Data'!$D$6:$D$4825,$A4)</f>
        <v>13</v>
      </c>
      <c r="D4" s="243">
        <f>SUMIFS('Diags Raw Data'!$K$6:$K$4825,'Diags Raw Data'!$D$6:$D$4825,$A4)</f>
        <v>2</v>
      </c>
      <c r="E4" s="243">
        <f>SUMIFS('Diags Raw Data'!$O$6:$O$4825,'Diags Raw Data'!$D$6:$D$4825,$A4)</f>
        <v>13</v>
      </c>
      <c r="F4" s="249">
        <f>IF(NOT($B4=0), E4/$B4, "---")</f>
        <v>1</v>
      </c>
      <c r="G4" s="221">
        <f>SUMIFS('Diags Raw Data'!$S$6:$S$4825,'Diags Raw Data'!$D$6:$D$4825,$A4)</f>
        <v>0</v>
      </c>
      <c r="H4" s="222">
        <f>SUMIFS('Diags Raw Data'!$T$6:$T$4825,'Diags Raw Data'!$D$6:$D$4825,$A4)</f>
        <v>0</v>
      </c>
      <c r="I4" s="224">
        <f>SUMIFS('Diags Raw Data'!$U$6:$U$4825,'Diags Raw Data'!$D$6:$D$4825,$A4)</f>
        <v>0</v>
      </c>
      <c r="J4" s="222">
        <f>SUMIFS('Diags Raw Data'!$V$6:$V$4825,'Diags Raw Data'!$D$6:$D$4825,$A4)</f>
        <v>0</v>
      </c>
      <c r="K4" s="224">
        <f>SUMIFS('Diags Raw Data'!$W$6:$W$4825,'Diags Raw Data'!$D$6:$D$4825,$A4)</f>
        <v>0</v>
      </c>
      <c r="L4" s="507">
        <f>IF(NOT($C4=0), G4/$C4, "---")</f>
        <v>0</v>
      </c>
      <c r="M4" s="225" t="str">
        <f>IF(NOT($G4=0), (H4+I4)/$G4, "---")</f>
        <v>---</v>
      </c>
      <c r="N4" s="227">
        <f>IF(NOT($C4=0), (H4+I4)/$C4, "---")</f>
        <v>0</v>
      </c>
      <c r="O4" s="214">
        <v>0</v>
      </c>
      <c r="P4" s="211">
        <f>SUMIFS('Diags Raw Data'!$AA$6:$AA$4825,'Diags Raw Data'!$D$6:$D$4825,$A4)</f>
        <v>0</v>
      </c>
      <c r="Q4" s="213">
        <f>SUMIFS('Diags Raw Data'!$AB$6:$AB$4825,'Diags Raw Data'!$D$6:$D$4825,$A4)</f>
        <v>0</v>
      </c>
      <c r="R4" s="211">
        <f>SUMIFS('Diags Raw Data'!$AC$6:$AC$4825,'Diags Raw Data'!$D$6:$D$4825,$A4)</f>
        <v>0</v>
      </c>
      <c r="S4" s="213">
        <f>SUMIFS('Diags Raw Data'!$AD$6:$AD$4825,'Diags Raw Data'!$D$6:$D$4825,$A4)</f>
        <v>0</v>
      </c>
      <c r="T4" s="510">
        <f>IF(NOT($B4=0), O4/$B4, "---")</f>
        <v>0</v>
      </c>
      <c r="U4" s="226" t="str">
        <f>IF(NOT($O4=0), (P4+Q4)/$O4, "---")</f>
        <v>---</v>
      </c>
      <c r="V4" s="242">
        <f>IF(NOT($B4=0), (P4+Q4)/$B4, "---")</f>
        <v>0</v>
      </c>
    </row>
    <row r="5" spans="1:22" x14ac:dyDescent="0.25">
      <c r="A5" s="332" t="s">
        <v>572</v>
      </c>
      <c r="B5" s="254">
        <f>SUMIFS('Diags Raw Data'!$L$6:$L$4825,'Diags Raw Data'!$D$6:$D$4825,$A5)</f>
        <v>6</v>
      </c>
      <c r="C5" s="244">
        <f>SUMIFS('Diags Raw Data'!$R$6:$R$4825,'Diags Raw Data'!$D$6:$D$4825,$A5)</f>
        <v>10</v>
      </c>
      <c r="D5" s="244">
        <f>SUMIFS('Diags Raw Data'!$K$6:$K$4825,'Diags Raw Data'!$D$6:$D$4825,$A5)</f>
        <v>3</v>
      </c>
      <c r="E5" s="244">
        <f>SUMIFS('Diags Raw Data'!$O$6:$O$4825,'Diags Raw Data'!$D$6:$D$4825,$A5)</f>
        <v>6</v>
      </c>
      <c r="F5" s="250">
        <f t="shared" ref="F5:F15" si="0">IF(NOT($B5=0), E5/$B5, "---")</f>
        <v>1</v>
      </c>
      <c r="G5" s="232">
        <f>SUMIFS('Diags Raw Data'!$S$6:$S$4825,'Diags Raw Data'!$D$6:$D$4825,$A5)</f>
        <v>0</v>
      </c>
      <c r="H5" s="228">
        <f>SUMIFS('Diags Raw Data'!$T$6:$T$4825,'Diags Raw Data'!$D$6:$D$4825,$A5)</f>
        <v>0</v>
      </c>
      <c r="I5" s="229">
        <f>SUMIFS('Diags Raw Data'!$U$6:$U$4825,'Diags Raw Data'!$D$6:$D$4825,$A5)</f>
        <v>0</v>
      </c>
      <c r="J5" s="228">
        <f>SUMIFS('Diags Raw Data'!$V$6:$V$4825,'Diags Raw Data'!$D$6:$D$4825,$A5)</f>
        <v>0</v>
      </c>
      <c r="K5" s="229">
        <f>SUMIFS('Diags Raw Data'!$W$6:$W$4825,'Diags Raw Data'!$D$6:$D$4825,$A5)</f>
        <v>0</v>
      </c>
      <c r="L5" s="508">
        <f t="shared" ref="L5:L18" si="1">IF(NOT($C5=0), G5/$C5, "---")</f>
        <v>0</v>
      </c>
      <c r="M5" s="230" t="str">
        <f t="shared" ref="M5:M18" si="2">IF(NOT($G5=0), (H5+I5)/$G5, "---")</f>
        <v>---</v>
      </c>
      <c r="N5" s="239">
        <f t="shared" ref="N5:N15" si="3">IF(NOT($C5=0), (H5+I5)/$C5, "---")</f>
        <v>0</v>
      </c>
      <c r="O5" s="215">
        <v>0</v>
      </c>
      <c r="P5" s="205">
        <f>SUMIFS('Diags Raw Data'!$AA$6:$AA$4825,'Diags Raw Data'!$D$6:$D$4825,$A5)</f>
        <v>0</v>
      </c>
      <c r="Q5" s="207">
        <f>SUMIFS('Diags Raw Data'!$AB$6:$AB$4825,'Diags Raw Data'!$D$6:$D$4825,$A5)</f>
        <v>0</v>
      </c>
      <c r="R5" s="205">
        <f>SUMIFS('Diags Raw Data'!$AC$6:$AC$4825,'Diags Raw Data'!$D$6:$D$4825,$A5)</f>
        <v>0</v>
      </c>
      <c r="S5" s="207">
        <f>SUMIFS('Diags Raw Data'!$AD$6:$AD$4825,'Diags Raw Data'!$D$6:$D$4825,$A5)</f>
        <v>0</v>
      </c>
      <c r="T5" s="511">
        <f t="shared" ref="T5:T18" si="4">IF(NOT($B5=0), O5/$B5, "---")</f>
        <v>0</v>
      </c>
      <c r="U5" s="231" t="str">
        <f t="shared" ref="U5:U8" si="5">IF(NOT($O5=0), (P5+Q5)/$O5, "---")</f>
        <v>---</v>
      </c>
      <c r="V5" s="233">
        <f t="shared" ref="V5:V18" si="6">IF(NOT($B5=0), (P5+Q5)/$B5, "---")</f>
        <v>0</v>
      </c>
    </row>
    <row r="6" spans="1:22" x14ac:dyDescent="0.25">
      <c r="A6" s="332" t="s">
        <v>264</v>
      </c>
      <c r="B6" s="254">
        <f>SUMIFS('Diags Raw Data'!$L$6:$L$4825,'Diags Raw Data'!$D$6:$D$4825,$A6)</f>
        <v>833</v>
      </c>
      <c r="C6" s="244">
        <f>SUMIFS('Diags Raw Data'!$R$6:$R$4825,'Diags Raw Data'!$D$6:$D$4825,$A6)</f>
        <v>860</v>
      </c>
      <c r="D6" s="244">
        <f>SUMIFS('Diags Raw Data'!$K$6:$K$4825,'Diags Raw Data'!$D$6:$D$4825,$A6)</f>
        <v>64</v>
      </c>
      <c r="E6" s="244">
        <f>SUMIFS('Diags Raw Data'!$O$6:$O$4825,'Diags Raw Data'!$D$6:$D$4825,$A6)</f>
        <v>833</v>
      </c>
      <c r="F6" s="250">
        <f t="shared" si="0"/>
        <v>1</v>
      </c>
      <c r="G6" s="232">
        <f>SUMIFS('Diags Raw Data'!$S$6:$S$4825,'Diags Raw Data'!$D$6:$D$4825,$A6)</f>
        <v>0</v>
      </c>
      <c r="H6" s="228">
        <f>SUMIFS('Diags Raw Data'!$T$6:$T$4825,'Diags Raw Data'!$D$6:$D$4825,$A6)</f>
        <v>0</v>
      </c>
      <c r="I6" s="229">
        <f>SUMIFS('Diags Raw Data'!$U$6:$U$4825,'Diags Raw Data'!$D$6:$D$4825,$A6)</f>
        <v>0</v>
      </c>
      <c r="J6" s="228">
        <f>SUMIFS('Diags Raw Data'!$V$6:$V$4825,'Diags Raw Data'!$D$6:$D$4825,$A6)</f>
        <v>0</v>
      </c>
      <c r="K6" s="229">
        <f>SUMIFS('Diags Raw Data'!$W$6:$W$4825,'Diags Raw Data'!$D$6:$D$4825,$A6)</f>
        <v>0</v>
      </c>
      <c r="L6" s="508">
        <f t="shared" si="1"/>
        <v>0</v>
      </c>
      <c r="M6" s="230" t="str">
        <f t="shared" si="2"/>
        <v>---</v>
      </c>
      <c r="N6" s="239">
        <f t="shared" si="3"/>
        <v>0</v>
      </c>
      <c r="O6" s="215">
        <v>0</v>
      </c>
      <c r="P6" s="205">
        <f>SUMIFS('Diags Raw Data'!$AA$6:$AA$4825,'Diags Raw Data'!$D$6:$D$4825,$A6)</f>
        <v>0</v>
      </c>
      <c r="Q6" s="207">
        <f>SUMIFS('Diags Raw Data'!$AB$6:$AB$4825,'Diags Raw Data'!$D$6:$D$4825,$A6)</f>
        <v>0</v>
      </c>
      <c r="R6" s="205">
        <f>SUMIFS('Diags Raw Data'!$AC$6:$AC$4825,'Diags Raw Data'!$D$6:$D$4825,$A6)</f>
        <v>0</v>
      </c>
      <c r="S6" s="207">
        <f>SUMIFS('Diags Raw Data'!$AD$6:$AD$4825,'Diags Raw Data'!$D$6:$D$4825,$A6)</f>
        <v>0</v>
      </c>
      <c r="T6" s="511">
        <f>IF(NOT($B6=0), O6/$B6, "---")</f>
        <v>0</v>
      </c>
      <c r="U6" s="231" t="str">
        <f t="shared" si="5"/>
        <v>---</v>
      </c>
      <c r="V6" s="233">
        <f t="shared" si="6"/>
        <v>0</v>
      </c>
    </row>
    <row r="7" spans="1:22" x14ac:dyDescent="0.25">
      <c r="A7" s="332" t="s">
        <v>257</v>
      </c>
      <c r="B7" s="254">
        <f>SUMIFS('Diags Raw Data'!$L$6:$L$4825,'Diags Raw Data'!$D$6:$D$4825,$A7)</f>
        <v>1784</v>
      </c>
      <c r="C7" s="244">
        <f>SUMIFS('Diags Raw Data'!$R$6:$R$4825,'Diags Raw Data'!$D$6:$D$4825,$A7)</f>
        <v>1267</v>
      </c>
      <c r="D7" s="244">
        <f>SUMIFS('Diags Raw Data'!$K$6:$K$4825,'Diags Raw Data'!$D$6:$D$4825,$A7)</f>
        <v>226</v>
      </c>
      <c r="E7" s="244">
        <f>SUMIFS('Diags Raw Data'!$O$6:$O$4825,'Diags Raw Data'!$D$6:$D$4825,$A7)</f>
        <v>1784</v>
      </c>
      <c r="F7" s="250">
        <f t="shared" si="0"/>
        <v>1</v>
      </c>
      <c r="G7" s="232">
        <v>0</v>
      </c>
      <c r="H7" s="228">
        <f>SUMIFS('Diags Raw Data'!$T$6:$T$4825,'Diags Raw Data'!$D$6:$D$4825,$A7)</f>
        <v>0</v>
      </c>
      <c r="I7" s="229">
        <f>SUMIFS('Diags Raw Data'!$U$6:$U$4825,'Diags Raw Data'!$D$6:$D$4825,$A7)</f>
        <v>0</v>
      </c>
      <c r="J7" s="228">
        <f>SUMIFS('Diags Raw Data'!$V$6:$V$4825,'Diags Raw Data'!$D$6:$D$4825,$A7)</f>
        <v>0</v>
      </c>
      <c r="K7" s="229">
        <f>SUMIFS('Diags Raw Data'!$W$6:$W$4825,'Diags Raw Data'!$D$6:$D$4825,$A7)</f>
        <v>0</v>
      </c>
      <c r="L7" s="508">
        <f t="shared" si="1"/>
        <v>0</v>
      </c>
      <c r="M7" s="230" t="str">
        <f t="shared" si="2"/>
        <v>---</v>
      </c>
      <c r="N7" s="239">
        <f t="shared" si="3"/>
        <v>0</v>
      </c>
      <c r="O7" s="215">
        <v>0</v>
      </c>
      <c r="P7" s="205">
        <f>SUMIFS('Diags Raw Data'!$AA$6:$AA$4825,'Diags Raw Data'!$D$6:$D$4825,$A7)</f>
        <v>0</v>
      </c>
      <c r="Q7" s="207">
        <f>SUMIFS('Diags Raw Data'!$AB$6:$AB$4825,'Diags Raw Data'!$D$6:$D$4825,$A7)</f>
        <v>0</v>
      </c>
      <c r="R7" s="205">
        <f>SUMIFS('Diags Raw Data'!$AC$6:$AC$4825,'Diags Raw Data'!$D$6:$D$4825,$A7)</f>
        <v>0</v>
      </c>
      <c r="S7" s="207">
        <f>SUMIFS('Diags Raw Data'!$AD$6:$AD$4825,'Diags Raw Data'!$D$6:$D$4825,$A7)</f>
        <v>0</v>
      </c>
      <c r="T7" s="511">
        <f t="shared" si="4"/>
        <v>0</v>
      </c>
      <c r="U7" s="231" t="str">
        <f t="shared" si="5"/>
        <v>---</v>
      </c>
      <c r="V7" s="233">
        <f t="shared" si="6"/>
        <v>0</v>
      </c>
    </row>
    <row r="8" spans="1:22" x14ac:dyDescent="0.25">
      <c r="A8" s="332" t="s">
        <v>583</v>
      </c>
      <c r="B8" s="254">
        <f>SUMIFS('Diags Raw Data'!$L$6:$L$4825,'Diags Raw Data'!$D$6:$D$4825,$A8)</f>
        <v>18</v>
      </c>
      <c r="C8" s="244">
        <f>SUMIFS('Diags Raw Data'!$R$6:$R$4825,'Diags Raw Data'!$D$6:$D$4825,$A8)</f>
        <v>7</v>
      </c>
      <c r="D8" s="244">
        <f>SUMIFS('Diags Raw Data'!$K$6:$K$4825,'Diags Raw Data'!$D$6:$D$4825,$A8)</f>
        <v>8</v>
      </c>
      <c r="E8" s="244">
        <f>SUMIFS('Diags Raw Data'!$O$6:$O$4825,'Diags Raw Data'!$D$6:$D$4825,$A8)</f>
        <v>18</v>
      </c>
      <c r="F8" s="250">
        <f t="shared" si="0"/>
        <v>1</v>
      </c>
      <c r="G8" s="232">
        <f>SUMIFS('Diags Raw Data'!$S$6:$S$4825,'Diags Raw Data'!$D$6:$D$4825,$A8)</f>
        <v>0</v>
      </c>
      <c r="H8" s="228">
        <f>SUMIFS('Diags Raw Data'!$T$6:$T$4825,'Diags Raw Data'!$D$6:$D$4825,$A8)</f>
        <v>0</v>
      </c>
      <c r="I8" s="229">
        <f>SUMIFS('Diags Raw Data'!$U$6:$U$4825,'Diags Raw Data'!$D$6:$D$4825,$A8)</f>
        <v>0</v>
      </c>
      <c r="J8" s="228">
        <f>SUMIFS('Diags Raw Data'!$V$6:$V$4825,'Diags Raw Data'!$D$6:$D$4825,$A8)</f>
        <v>0</v>
      </c>
      <c r="K8" s="229">
        <f>SUMIFS('Diags Raw Data'!$W$6:$W$4825,'Diags Raw Data'!$D$6:$D$4825,$A8)</f>
        <v>0</v>
      </c>
      <c r="L8" s="508">
        <f t="shared" si="1"/>
        <v>0</v>
      </c>
      <c r="M8" s="230" t="str">
        <f t="shared" si="2"/>
        <v>---</v>
      </c>
      <c r="N8" s="239">
        <f t="shared" si="3"/>
        <v>0</v>
      </c>
      <c r="O8" s="215">
        <v>0</v>
      </c>
      <c r="P8" s="205">
        <f>SUMIFS('Diags Raw Data'!$AA$6:$AA$4825,'Diags Raw Data'!$D$6:$D$4825,$A8)</f>
        <v>0</v>
      </c>
      <c r="Q8" s="207">
        <f>SUMIFS('Diags Raw Data'!$AB$6:$AB$4825,'Diags Raw Data'!$D$6:$D$4825,$A8)</f>
        <v>0</v>
      </c>
      <c r="R8" s="205">
        <f>SUMIFS('Diags Raw Data'!$AC$6:$AC$4825,'Diags Raw Data'!$D$6:$D$4825,$A8)</f>
        <v>0</v>
      </c>
      <c r="S8" s="207">
        <f>SUMIFS('Diags Raw Data'!$AD$6:$AD$4825,'Diags Raw Data'!$D$6:$D$4825,$A8)</f>
        <v>0</v>
      </c>
      <c r="T8" s="511">
        <f t="shared" si="4"/>
        <v>0</v>
      </c>
      <c r="U8" s="231" t="str">
        <f t="shared" si="5"/>
        <v>---</v>
      </c>
      <c r="V8" s="233">
        <f t="shared" si="6"/>
        <v>0</v>
      </c>
    </row>
    <row r="9" spans="1:22" x14ac:dyDescent="0.25">
      <c r="A9" s="332" t="s">
        <v>578</v>
      </c>
      <c r="B9" s="254">
        <f>SUMIFS('Diags Raw Data'!$L$6:$L$4825,'Diags Raw Data'!$D$6:$D$4825,$A9)</f>
        <v>9</v>
      </c>
      <c r="C9" s="244">
        <f>SUMIFS('Diags Raw Data'!$R$6:$R$4825,'Diags Raw Data'!$D$6:$D$4825,$A9)</f>
        <v>5</v>
      </c>
      <c r="D9" s="244">
        <f>SUMIFS('Diags Raw Data'!$K$6:$K$4825,'Diags Raw Data'!$D$6:$D$4825,$A9)</f>
        <v>5</v>
      </c>
      <c r="E9" s="244">
        <f>SUMIFS('Diags Raw Data'!$O$6:$O$4825,'Diags Raw Data'!$D$6:$D$4825,$A9)</f>
        <v>9</v>
      </c>
      <c r="F9" s="250">
        <f t="shared" si="0"/>
        <v>1</v>
      </c>
      <c r="G9" s="232">
        <f>SUMIFS('Diags Raw Data'!$S$6:$S$4825,'Diags Raw Data'!$D$6:$D$4825,$A9)</f>
        <v>0</v>
      </c>
      <c r="H9" s="228">
        <f>SUMIFS('Diags Raw Data'!$T$6:$T$4825,'Diags Raw Data'!$D$6:$D$4825,$A9)</f>
        <v>0</v>
      </c>
      <c r="I9" s="229">
        <f>SUMIFS('Diags Raw Data'!$U$6:$U$4825,'Diags Raw Data'!$D$6:$D$4825,$A9)</f>
        <v>0</v>
      </c>
      <c r="J9" s="228">
        <f>SUMIFS('Diags Raw Data'!$V$6:$V$4825,'Diags Raw Data'!$D$6:$D$4825,$A9)</f>
        <v>0</v>
      </c>
      <c r="K9" s="229">
        <f>SUMIFS('Diags Raw Data'!$W$6:$W$4825,'Diags Raw Data'!$D$6:$D$4825,$A9)</f>
        <v>0</v>
      </c>
      <c r="L9" s="508">
        <f t="shared" si="1"/>
        <v>0</v>
      </c>
      <c r="M9" s="230" t="str">
        <f t="shared" si="2"/>
        <v>---</v>
      </c>
      <c r="N9" s="239">
        <f t="shared" si="3"/>
        <v>0</v>
      </c>
      <c r="O9" s="215">
        <v>0</v>
      </c>
      <c r="P9" s="205">
        <f>SUMIFS('Diags Raw Data'!$AA$6:$AA$4825,'Diags Raw Data'!$D$6:$D$4825,$A9)</f>
        <v>0</v>
      </c>
      <c r="Q9" s="207">
        <f>SUMIFS('Diags Raw Data'!$AB$6:$AB$4825,'Diags Raw Data'!$D$6:$D$4825,$A9)</f>
        <v>0</v>
      </c>
      <c r="R9" s="205">
        <f>SUMIFS('Diags Raw Data'!$AC$6:$AC$4825,'Diags Raw Data'!$D$6:$D$4825,$A9)</f>
        <v>0</v>
      </c>
      <c r="S9" s="207">
        <f>SUMIFS('Diags Raw Data'!$AD$6:$AD$4825,'Diags Raw Data'!$D$6:$D$4825,$A9)</f>
        <v>0</v>
      </c>
      <c r="T9" s="511">
        <f t="shared" si="4"/>
        <v>0</v>
      </c>
      <c r="U9" s="231" t="str">
        <f>IF(NOT($O9=0), (P9+Q9)/$O9, "---")</f>
        <v>---</v>
      </c>
      <c r="V9" s="233">
        <f t="shared" si="6"/>
        <v>0</v>
      </c>
    </row>
    <row r="10" spans="1:22" x14ac:dyDescent="0.25">
      <c r="A10" s="332" t="s">
        <v>335</v>
      </c>
      <c r="B10" s="254">
        <f>SUMIFS('Diags Raw Data'!$L$6:$L$4825,'Diags Raw Data'!$D$6:$D$4825,$A10)</f>
        <v>650</v>
      </c>
      <c r="C10" s="244">
        <f>SUMIFS('Diags Raw Data'!$R$6:$R$4825,'Diags Raw Data'!$D$6:$D$4825,$A10)</f>
        <v>650</v>
      </c>
      <c r="D10" s="244">
        <f>SUMIFS('Diags Raw Data'!$K$6:$K$4825,'Diags Raw Data'!$D$6:$D$4825,$A10)</f>
        <v>40</v>
      </c>
      <c r="E10" s="244">
        <f>SUMIFS('Diags Raw Data'!$O$6:$O$4825,'Diags Raw Data'!$D$6:$D$4825,$A10)</f>
        <v>650</v>
      </c>
      <c r="F10" s="250">
        <f t="shared" ref="F10:F12" si="7">IF(NOT($B10=0), E10/$B10, "---")</f>
        <v>1</v>
      </c>
      <c r="G10" s="232">
        <f>SUMIFS('Diags Raw Data'!$S$6:$S$4825,'Diags Raw Data'!$D$6:$D$4825,$A10)</f>
        <v>0</v>
      </c>
      <c r="H10" s="228">
        <f>SUMIFS('Diags Raw Data'!$T$6:$T$4825,'Diags Raw Data'!$D$6:$D$4825,$A10)</f>
        <v>0</v>
      </c>
      <c r="I10" s="229">
        <f>SUMIFS('Diags Raw Data'!$U$6:$U$4825,'Diags Raw Data'!$D$6:$D$4825,$A10)</f>
        <v>0</v>
      </c>
      <c r="J10" s="228">
        <f>SUMIFS('Diags Raw Data'!$V$6:$V$4825,'Diags Raw Data'!$D$6:$D$4825,$A10)</f>
        <v>0</v>
      </c>
      <c r="K10" s="229">
        <f>SUMIFS('Diags Raw Data'!$W$6:$W$4825,'Diags Raw Data'!$D$6:$D$4825,$A10)</f>
        <v>0</v>
      </c>
      <c r="L10" s="508">
        <f t="shared" ref="L10:L12" si="8">IF(NOT($C10=0), G10/$C10, "---")</f>
        <v>0</v>
      </c>
      <c r="M10" s="230" t="str">
        <f t="shared" ref="M10:M12" si="9">IF(NOT($G10=0), (H10+I10)/$G10, "---")</f>
        <v>---</v>
      </c>
      <c r="N10" s="239">
        <f t="shared" ref="N10:N12" si="10">IF(NOT($C10=0), (H10+I10)/$C10, "---")</f>
        <v>0</v>
      </c>
      <c r="O10" s="215">
        <v>0</v>
      </c>
      <c r="P10" s="205">
        <f>SUMIFS('Diags Raw Data'!$AA$6:$AA$4825,'Diags Raw Data'!$D$6:$D$4825,$A10)</f>
        <v>0</v>
      </c>
      <c r="Q10" s="207">
        <f>SUMIFS('Diags Raw Data'!$AB$6:$AB$4825,'Diags Raw Data'!$D$6:$D$4825,$A10)</f>
        <v>0</v>
      </c>
      <c r="R10" s="205">
        <f>SUMIFS('Diags Raw Data'!$AC$6:$AC$4825,'Diags Raw Data'!$D$6:$D$4825,$A10)</f>
        <v>0</v>
      </c>
      <c r="S10" s="207">
        <f>SUMIFS('Diags Raw Data'!$AD$6:$AD$4825,'Diags Raw Data'!$D$6:$D$4825,$A10)</f>
        <v>0</v>
      </c>
      <c r="T10" s="511">
        <f t="shared" ref="T10:T12" si="11">IF(NOT($B10=0), O10/$B10, "---")</f>
        <v>0</v>
      </c>
      <c r="U10" s="231" t="str">
        <f t="shared" ref="U10:U12" si="12">IF(NOT($O10=0), (P10+Q10)/$O10, "---")</f>
        <v>---</v>
      </c>
      <c r="V10" s="233">
        <f t="shared" ref="V10:V12" si="13">IF(NOT($B10=0), (P10+Q10)/$B10, "---")</f>
        <v>0</v>
      </c>
    </row>
    <row r="11" spans="1:22" x14ac:dyDescent="0.25">
      <c r="A11" s="332" t="s">
        <v>417</v>
      </c>
      <c r="B11" s="254">
        <f>SUMIFS('Diags Raw Data'!$L$6:$L$4825,'Diags Raw Data'!$D$6:$D$4825,$A11)</f>
        <v>12</v>
      </c>
      <c r="C11" s="244">
        <f>SUMIFS('Diags Raw Data'!$R$6:$R$4825,'Diags Raw Data'!$D$6:$D$4825,$A11)</f>
        <v>12</v>
      </c>
      <c r="D11" s="244">
        <f>SUMIFS('Diags Raw Data'!$K$6:$K$4825,'Diags Raw Data'!$D$6:$D$4825,$A11)</f>
        <v>4</v>
      </c>
      <c r="E11" s="244">
        <f>SUMIFS('Diags Raw Data'!$O$6:$O$4825,'Diags Raw Data'!$D$6:$D$4825,$A11)</f>
        <v>12</v>
      </c>
      <c r="F11" s="250">
        <f t="shared" si="7"/>
        <v>1</v>
      </c>
      <c r="G11" s="232">
        <f>SUMIFS('Diags Raw Data'!$S$6:$S$4825,'Diags Raw Data'!$D$6:$D$4825,$A11)</f>
        <v>0</v>
      </c>
      <c r="H11" s="228">
        <f>SUMIFS('Diags Raw Data'!$T$6:$T$4825,'Diags Raw Data'!$D$6:$D$4825,$A11)</f>
        <v>0</v>
      </c>
      <c r="I11" s="229">
        <f>SUMIFS('Diags Raw Data'!$U$6:$U$4825,'Diags Raw Data'!$D$6:$D$4825,$A11)</f>
        <v>0</v>
      </c>
      <c r="J11" s="228">
        <f>SUMIFS('Diags Raw Data'!$V$6:$V$4825,'Diags Raw Data'!$D$6:$D$4825,$A11)</f>
        <v>0</v>
      </c>
      <c r="K11" s="229">
        <f>SUMIFS('Diags Raw Data'!$W$6:$W$4825,'Diags Raw Data'!$D$6:$D$4825,$A11)</f>
        <v>0</v>
      </c>
      <c r="L11" s="508">
        <f t="shared" si="8"/>
        <v>0</v>
      </c>
      <c r="M11" s="230" t="str">
        <f t="shared" si="9"/>
        <v>---</v>
      </c>
      <c r="N11" s="239">
        <f t="shared" si="10"/>
        <v>0</v>
      </c>
      <c r="O11" s="215">
        <v>0</v>
      </c>
      <c r="P11" s="205">
        <f>SUMIFS('Diags Raw Data'!$AA$6:$AA$4825,'Diags Raw Data'!$D$6:$D$4825,$A11)</f>
        <v>0</v>
      </c>
      <c r="Q11" s="207">
        <f>SUMIFS('Diags Raw Data'!$AB$6:$AB$4825,'Diags Raw Data'!$D$6:$D$4825,$A11)</f>
        <v>0</v>
      </c>
      <c r="R11" s="205">
        <f>SUMIFS('Diags Raw Data'!$AC$6:$AC$4825,'Diags Raw Data'!$D$6:$D$4825,$A11)</f>
        <v>0</v>
      </c>
      <c r="S11" s="207">
        <f>SUMIFS('Diags Raw Data'!$AD$6:$AD$4825,'Diags Raw Data'!$D$6:$D$4825,$A11)</f>
        <v>0</v>
      </c>
      <c r="T11" s="511">
        <f t="shared" si="11"/>
        <v>0</v>
      </c>
      <c r="U11" s="231" t="str">
        <f t="shared" si="12"/>
        <v>---</v>
      </c>
      <c r="V11" s="233">
        <f t="shared" si="13"/>
        <v>0</v>
      </c>
    </row>
    <row r="12" spans="1:22" x14ac:dyDescent="0.25">
      <c r="A12" s="332" t="s">
        <v>558</v>
      </c>
      <c r="B12" s="254">
        <f>SUMIFS('Diags Raw Data'!$L$6:$L$4825,'Diags Raw Data'!$D$6:$D$4825,$A12)</f>
        <v>6</v>
      </c>
      <c r="C12" s="244">
        <f>SUMIFS('Diags Raw Data'!$R$6:$R$4825,'Diags Raw Data'!$D$6:$D$4825,$A12)</f>
        <v>6</v>
      </c>
      <c r="D12" s="244">
        <f>SUMIFS('Diags Raw Data'!$K$6:$K$4825,'Diags Raw Data'!$D$6:$D$4825,$A12)</f>
        <v>3</v>
      </c>
      <c r="E12" s="244">
        <f>SUMIFS('Diags Raw Data'!$O$6:$O$4825,'Diags Raw Data'!$D$6:$D$4825,$A12)</f>
        <v>6</v>
      </c>
      <c r="F12" s="250">
        <f t="shared" si="7"/>
        <v>1</v>
      </c>
      <c r="G12" s="232">
        <f>SUMIFS('Diags Raw Data'!$S$6:$S$4825,'Diags Raw Data'!$D$6:$D$4825,$A12)</f>
        <v>0</v>
      </c>
      <c r="H12" s="228">
        <f>SUMIFS('Diags Raw Data'!$T$6:$T$4825,'Diags Raw Data'!$D$6:$D$4825,$A12)</f>
        <v>0</v>
      </c>
      <c r="I12" s="229">
        <f>SUMIFS('Diags Raw Data'!$U$6:$U$4825,'Diags Raw Data'!$D$6:$D$4825,$A12)</f>
        <v>0</v>
      </c>
      <c r="J12" s="228">
        <f>SUMIFS('Diags Raw Data'!$V$6:$V$4825,'Diags Raw Data'!$D$6:$D$4825,$A12)</f>
        <v>0</v>
      </c>
      <c r="K12" s="229">
        <f>SUMIFS('Diags Raw Data'!$W$6:$W$4825,'Diags Raw Data'!$D$6:$D$4825,$A12)</f>
        <v>0</v>
      </c>
      <c r="L12" s="508">
        <f t="shared" si="8"/>
        <v>0</v>
      </c>
      <c r="M12" s="230" t="str">
        <f t="shared" si="9"/>
        <v>---</v>
      </c>
      <c r="N12" s="239">
        <f t="shared" si="10"/>
        <v>0</v>
      </c>
      <c r="O12" s="215">
        <v>0</v>
      </c>
      <c r="P12" s="205">
        <f>SUMIFS('Diags Raw Data'!$AA$6:$AA$4825,'Diags Raw Data'!$D$6:$D$4825,$A12)</f>
        <v>0</v>
      </c>
      <c r="Q12" s="207">
        <f>SUMIFS('Diags Raw Data'!$AB$6:$AB$4825,'Diags Raw Data'!$D$6:$D$4825,$A12)</f>
        <v>0</v>
      </c>
      <c r="R12" s="205">
        <f>SUMIFS('Diags Raw Data'!$AC$6:$AC$4825,'Diags Raw Data'!$D$6:$D$4825,$A12)</f>
        <v>0</v>
      </c>
      <c r="S12" s="207">
        <f>SUMIFS('Diags Raw Data'!$AD$6:$AD$4825,'Diags Raw Data'!$D$6:$D$4825,$A12)</f>
        <v>0</v>
      </c>
      <c r="T12" s="511">
        <f t="shared" si="11"/>
        <v>0</v>
      </c>
      <c r="U12" s="231" t="str">
        <f t="shared" si="12"/>
        <v>---</v>
      </c>
      <c r="V12" s="233">
        <f t="shared" si="13"/>
        <v>0</v>
      </c>
    </row>
    <row r="13" spans="1:22" x14ac:dyDescent="0.25">
      <c r="A13" s="332" t="s">
        <v>562</v>
      </c>
      <c r="B13" s="254">
        <f>SUMIFS('Diags Raw Data'!$L$6:$L$4825,'Diags Raw Data'!$D$6:$D$4825,$A13)</f>
        <v>107</v>
      </c>
      <c r="C13" s="244">
        <f>SUMIFS('Diags Raw Data'!$R$6:$R$4825,'Diags Raw Data'!$D$6:$D$4825,$A13)</f>
        <v>21</v>
      </c>
      <c r="D13" s="244">
        <f>SUMIFS('Diags Raw Data'!$K$6:$K$4825,'Diags Raw Data'!$D$6:$D$4825,$A13)</f>
        <v>6</v>
      </c>
      <c r="E13" s="244">
        <f>SUMIFS('Diags Raw Data'!$O$6:$O$4825,'Diags Raw Data'!$D$6:$D$4825,$A13)</f>
        <v>107</v>
      </c>
      <c r="F13" s="250">
        <f>IF(NOT($B13=0), E13/$B13, "---")</f>
        <v>1</v>
      </c>
      <c r="G13" s="232">
        <f>SUMIFS('Diags Raw Data'!$S$6:$S$4825,'Diags Raw Data'!$D$6:$D$4825,$A13)</f>
        <v>0</v>
      </c>
      <c r="H13" s="228">
        <f>SUMIFS('Diags Raw Data'!$T$6:$T$4825,'Diags Raw Data'!$D$6:$D$4825,$A13)</f>
        <v>0</v>
      </c>
      <c r="I13" s="229">
        <f>SUMIFS('Diags Raw Data'!$U$6:$U$4825,'Diags Raw Data'!$D$6:$D$4825,$A13)</f>
        <v>0</v>
      </c>
      <c r="J13" s="228">
        <f>SUMIFS('Diags Raw Data'!$V$6:$V$4825,'Diags Raw Data'!$D$6:$D$4825,$A13)</f>
        <v>0</v>
      </c>
      <c r="K13" s="229">
        <f>SUMIFS('Diags Raw Data'!$W$6:$W$4825,'Diags Raw Data'!$D$6:$D$4825,$A13)</f>
        <v>0</v>
      </c>
      <c r="L13" s="508">
        <f t="shared" si="1"/>
        <v>0</v>
      </c>
      <c r="M13" s="230" t="str">
        <f t="shared" si="2"/>
        <v>---</v>
      </c>
      <c r="N13" s="239">
        <f t="shared" si="3"/>
        <v>0</v>
      </c>
      <c r="O13" s="215">
        <v>0</v>
      </c>
      <c r="P13" s="205">
        <f>SUMIFS('Diags Raw Data'!$AA$6:$AA$4825,'Diags Raw Data'!$D$6:$D$4825,$A13)</f>
        <v>0</v>
      </c>
      <c r="Q13" s="207">
        <f>SUMIFS('Diags Raw Data'!$AB$6:$AB$4825,'Diags Raw Data'!$D$6:$D$4825,$A13)</f>
        <v>0</v>
      </c>
      <c r="R13" s="205">
        <f>SUMIFS('Diags Raw Data'!$AC$6:$AC$4825,'Diags Raw Data'!$D$6:$D$4825,$A13)</f>
        <v>0</v>
      </c>
      <c r="S13" s="207">
        <f>SUMIFS('Diags Raw Data'!$AD$6:$AD$4825,'Diags Raw Data'!$D$6:$D$4825,$A13)</f>
        <v>0</v>
      </c>
      <c r="T13" s="511">
        <f t="shared" si="4"/>
        <v>0</v>
      </c>
      <c r="U13" s="231" t="str">
        <f t="shared" ref="U13:U18" si="14">IF(NOT($O13=0), (P13+Q13)/$O13, "---")</f>
        <v>---</v>
      </c>
      <c r="V13" s="233">
        <f t="shared" si="6"/>
        <v>0</v>
      </c>
    </row>
    <row r="14" spans="1:22" x14ac:dyDescent="0.25">
      <c r="A14" s="332" t="s">
        <v>398</v>
      </c>
      <c r="B14" s="254">
        <f>SUMIFS('Diags Raw Data'!$L$6:$L$4825,'Diags Raw Data'!$D$6:$D$4825,$A14)</f>
        <v>124</v>
      </c>
      <c r="C14" s="244">
        <f>SUMIFS('Diags Raw Data'!$R$6:$R$4825,'Diags Raw Data'!$D$6:$D$4825,$A14)</f>
        <v>124</v>
      </c>
      <c r="D14" s="244">
        <f>SUMIFS('Diags Raw Data'!$K$6:$K$4825,'Diags Raw Data'!$D$6:$D$4825,$A14)</f>
        <v>14</v>
      </c>
      <c r="E14" s="244">
        <f>SUMIFS('Diags Raw Data'!$O$6:$O$4825,'Diags Raw Data'!$D$6:$D$4825,$A14)</f>
        <v>124</v>
      </c>
      <c r="F14" s="250">
        <f t="shared" si="0"/>
        <v>1</v>
      </c>
      <c r="G14" s="232">
        <f>SUMIFS('Diags Raw Data'!$S$6:$S$4825,'Diags Raw Data'!$D$6:$D$4825,$A14)</f>
        <v>0</v>
      </c>
      <c r="H14" s="228">
        <f>SUMIFS('Diags Raw Data'!$T$6:$T$4825,'Diags Raw Data'!$D$6:$D$4825,$A14)</f>
        <v>0</v>
      </c>
      <c r="I14" s="229">
        <f>SUMIFS('Diags Raw Data'!$U$6:$U$4825,'Diags Raw Data'!$D$6:$D$4825,$A14)</f>
        <v>0</v>
      </c>
      <c r="J14" s="228">
        <f>SUMIFS('Diags Raw Data'!$V$6:$V$4825,'Diags Raw Data'!$D$6:$D$4825,$A14)</f>
        <v>0</v>
      </c>
      <c r="K14" s="229">
        <f>SUMIFS('Diags Raw Data'!$W$6:$W$4825,'Diags Raw Data'!$D$6:$D$4825,$A14)</f>
        <v>0</v>
      </c>
      <c r="L14" s="508">
        <f t="shared" si="1"/>
        <v>0</v>
      </c>
      <c r="M14" s="230" t="str">
        <f t="shared" si="2"/>
        <v>---</v>
      </c>
      <c r="N14" s="239">
        <f t="shared" si="3"/>
        <v>0</v>
      </c>
      <c r="O14" s="215">
        <v>0</v>
      </c>
      <c r="P14" s="205">
        <f>SUMIFS('Diags Raw Data'!$AA$6:$AA$4825,'Diags Raw Data'!$D$6:$D$4825,$A14)</f>
        <v>0</v>
      </c>
      <c r="Q14" s="207">
        <f>SUMIFS('Diags Raw Data'!$AB$6:$AB$4825,'Diags Raw Data'!$D$6:$D$4825,$A14)</f>
        <v>0</v>
      </c>
      <c r="R14" s="205">
        <f>SUMIFS('Diags Raw Data'!$AC$6:$AC$4825,'Diags Raw Data'!$D$6:$D$4825,$A14)</f>
        <v>0</v>
      </c>
      <c r="S14" s="207">
        <f>SUMIFS('Diags Raw Data'!$AD$6:$AD$4825,'Diags Raw Data'!$D$6:$D$4825,$A14)</f>
        <v>0</v>
      </c>
      <c r="T14" s="511">
        <f t="shared" si="4"/>
        <v>0</v>
      </c>
      <c r="U14" s="231" t="str">
        <f t="shared" si="14"/>
        <v>---</v>
      </c>
      <c r="V14" s="233">
        <f t="shared" si="6"/>
        <v>0</v>
      </c>
    </row>
    <row r="15" spans="1:22" x14ac:dyDescent="0.25">
      <c r="A15" s="332" t="s">
        <v>378</v>
      </c>
      <c r="B15" s="254">
        <f>SUMIFS('Diags Raw Data'!$L$6:$L$4825,'Diags Raw Data'!$D$6:$D$4825,$A15)</f>
        <v>67</v>
      </c>
      <c r="C15" s="244">
        <f>SUMIFS('Diags Raw Data'!$R$6:$R$4825,'Diags Raw Data'!$D$6:$D$4825,$A15)</f>
        <v>67</v>
      </c>
      <c r="D15" s="244">
        <f>SUMIFS('Diags Raw Data'!$K$6:$K$4825,'Diags Raw Data'!$D$6:$D$4825,$A15)</f>
        <v>13</v>
      </c>
      <c r="E15" s="244">
        <f>SUMIFS('Diags Raw Data'!$O$6:$O$4825,'Diags Raw Data'!$D$6:$D$4825,$A15)</f>
        <v>67</v>
      </c>
      <c r="F15" s="250">
        <f t="shared" si="0"/>
        <v>1</v>
      </c>
      <c r="G15" s="232">
        <f>SUMIFS('Diags Raw Data'!$S$6:$S$4825,'Diags Raw Data'!$D$6:$D$4825,$A15)</f>
        <v>0</v>
      </c>
      <c r="H15" s="228">
        <f>SUMIFS('Diags Raw Data'!$T$6:$T$4825,'Diags Raw Data'!$D$6:$D$4825,$A15)</f>
        <v>0</v>
      </c>
      <c r="I15" s="229">
        <f>SUMIFS('Diags Raw Data'!$U$6:$U$4825,'Diags Raw Data'!$D$6:$D$4825,$A15)</f>
        <v>0</v>
      </c>
      <c r="J15" s="228">
        <f>SUMIFS('Diags Raw Data'!$V$6:$V$4825,'Diags Raw Data'!$D$6:$D$4825,$A15)</f>
        <v>0</v>
      </c>
      <c r="K15" s="229">
        <f>SUMIFS('Diags Raw Data'!$W$6:$W$4825,'Diags Raw Data'!$D$6:$D$4825,$A15)</f>
        <v>0</v>
      </c>
      <c r="L15" s="508">
        <f t="shared" si="1"/>
        <v>0</v>
      </c>
      <c r="M15" s="230" t="str">
        <f t="shared" si="2"/>
        <v>---</v>
      </c>
      <c r="N15" s="239">
        <f t="shared" si="3"/>
        <v>0</v>
      </c>
      <c r="O15" s="215">
        <v>0</v>
      </c>
      <c r="P15" s="205">
        <f>SUMIFS('Diags Raw Data'!$AA$6:$AA$4825,'Diags Raw Data'!$D$6:$D$4825,$A15)</f>
        <v>0</v>
      </c>
      <c r="Q15" s="207">
        <f>SUMIFS('Diags Raw Data'!$AB$6:$AB$4825,'Diags Raw Data'!$D$6:$D$4825,$A15)</f>
        <v>0</v>
      </c>
      <c r="R15" s="205">
        <f>SUMIFS('Diags Raw Data'!$AC$6:$AC$4825,'Diags Raw Data'!$D$6:$D$4825,$A15)</f>
        <v>0</v>
      </c>
      <c r="S15" s="207">
        <f>SUMIFS('Diags Raw Data'!$AD$6:$AD$4825,'Diags Raw Data'!$D$6:$D$4825,$A15)</f>
        <v>0</v>
      </c>
      <c r="T15" s="511">
        <f t="shared" si="4"/>
        <v>0</v>
      </c>
      <c r="U15" s="231" t="str">
        <f t="shared" si="14"/>
        <v>---</v>
      </c>
      <c r="V15" s="233">
        <f t="shared" si="6"/>
        <v>0</v>
      </c>
    </row>
    <row r="16" spans="1:22" x14ac:dyDescent="0.25">
      <c r="A16" s="332" t="s">
        <v>420</v>
      </c>
      <c r="B16" s="254">
        <f>SUMIFS('Diags Raw Data'!$L$6:$L$4825,'Diags Raw Data'!$D$6:$D$4825,$A16)</f>
        <v>73</v>
      </c>
      <c r="C16" s="244">
        <f>SUMIFS('Diags Raw Data'!$R$6:$R$4825,'Diags Raw Data'!$D$6:$D$4825,$A16)</f>
        <v>79</v>
      </c>
      <c r="D16" s="244">
        <f>SUMIFS('Diags Raw Data'!$K$6:$K$4825,'Diags Raw Data'!$D$6:$D$4825,$A16)</f>
        <v>6</v>
      </c>
      <c r="E16" s="244">
        <f>SUMIFS('Diags Raw Data'!$O$6:$O$4825,'Diags Raw Data'!$D$6:$D$4825,$A16)</f>
        <v>73</v>
      </c>
      <c r="F16" s="250">
        <f t="shared" ref="F16" si="15">IF(NOT($B16=0), E16/$B16, "---")</f>
        <v>1</v>
      </c>
      <c r="G16" s="232">
        <f>SUMIFS('Diags Raw Data'!$S$6:$S$4825,'Diags Raw Data'!$D$6:$D$4825,$A16)</f>
        <v>0</v>
      </c>
      <c r="H16" s="228">
        <f>SUMIFS('Diags Raw Data'!$T$6:$T$4825,'Diags Raw Data'!$D$6:$D$4825,$A16)</f>
        <v>0</v>
      </c>
      <c r="I16" s="229">
        <f>SUMIFS('Diags Raw Data'!$U$6:$U$4825,'Diags Raw Data'!$D$6:$D$4825,$A16)</f>
        <v>0</v>
      </c>
      <c r="J16" s="228">
        <f>SUMIFS('Diags Raw Data'!$V$6:$V$4825,'Diags Raw Data'!$D$6:$D$4825,$A16)</f>
        <v>0</v>
      </c>
      <c r="K16" s="229">
        <f>SUMIFS('Diags Raw Data'!$W$6:$W$4825,'Diags Raw Data'!$D$6:$D$4825,$A16)</f>
        <v>0</v>
      </c>
      <c r="L16" s="508">
        <f t="shared" ref="L16" si="16">IF(NOT($C16=0), G16/$C16, "---")</f>
        <v>0</v>
      </c>
      <c r="M16" s="230" t="str">
        <f t="shared" ref="M16" si="17">IF(NOT($G16=0), (H16+I16)/$G16, "---")</f>
        <v>---</v>
      </c>
      <c r="N16" s="239">
        <f t="shared" ref="N16" si="18">IF(NOT($C16=0), (H16+I16)/$C16, "---")</f>
        <v>0</v>
      </c>
      <c r="O16" s="215">
        <v>0</v>
      </c>
      <c r="P16" s="205">
        <f>SUMIFS('Diags Raw Data'!$AA$6:$AA$4825,'Diags Raw Data'!$D$6:$D$4825,$A16)</f>
        <v>0</v>
      </c>
      <c r="Q16" s="207">
        <f>SUMIFS('Diags Raw Data'!$AB$6:$AB$4825,'Diags Raw Data'!$D$6:$D$4825,$A16)</f>
        <v>0</v>
      </c>
      <c r="R16" s="205">
        <f>SUMIFS('Diags Raw Data'!$AC$6:$AC$4825,'Diags Raw Data'!$D$6:$D$4825,$A16)</f>
        <v>0</v>
      </c>
      <c r="S16" s="207">
        <f>SUMIFS('Diags Raw Data'!$AD$6:$AD$4825,'Diags Raw Data'!$D$6:$D$4825,$A16)</f>
        <v>0</v>
      </c>
      <c r="T16" s="511">
        <f t="shared" ref="T16" si="19">IF(NOT($B16=0), O16/$B16, "---")</f>
        <v>0</v>
      </c>
      <c r="U16" s="231" t="str">
        <f t="shared" ref="U16" si="20">IF(NOT($O16=0), (P16+Q16)/$O16, "---")</f>
        <v>---</v>
      </c>
      <c r="V16" s="233">
        <f t="shared" ref="V16" si="21">IF(NOT($B16=0), (P16+Q16)/$B16, "---")</f>
        <v>0</v>
      </c>
    </row>
    <row r="17" spans="1:22" x14ac:dyDescent="0.25">
      <c r="A17" s="332" t="s">
        <v>593</v>
      </c>
      <c r="B17" s="254">
        <f>SUMIFS('Diags Raw Data'!$L$6:$L$4825,'Diags Raw Data'!$D$6:$D$4825,$A17)</f>
        <v>8</v>
      </c>
      <c r="C17" s="244">
        <f>SUMIFS('Diags Raw Data'!$R$6:$R$4825,'Diags Raw Data'!$D$6:$D$4825,$A17)</f>
        <v>0</v>
      </c>
      <c r="D17" s="244">
        <f>SUMIFS('Diags Raw Data'!$K$6:$K$4825,'Diags Raw Data'!$D$6:$D$4825,$A17)</f>
        <v>240</v>
      </c>
      <c r="E17" s="244">
        <f>SUMIFS('Diags Raw Data'!$O$6:$O$4825,'Diags Raw Data'!$D$6:$D$4825,$A17)</f>
        <v>8</v>
      </c>
      <c r="F17" s="250">
        <f t="shared" ref="F17" si="22">IF(NOT($B17=0), E17/$B17, "---")</f>
        <v>1</v>
      </c>
      <c r="G17" s="232">
        <f>SUMIFS('Diags Raw Data'!$S$6:$S$4825,'Diags Raw Data'!$D$6:$D$4825,$A17)</f>
        <v>0</v>
      </c>
      <c r="H17" s="228">
        <f>SUMIFS('Diags Raw Data'!$T$6:$T$4825,'Diags Raw Data'!$D$6:$D$4825,$A17)</f>
        <v>0</v>
      </c>
      <c r="I17" s="229">
        <f>SUMIFS('Diags Raw Data'!$U$6:$U$4825,'Diags Raw Data'!$D$6:$D$4825,$A17)</f>
        <v>0</v>
      </c>
      <c r="J17" s="228">
        <f>SUMIFS('Diags Raw Data'!$V$6:$V$4825,'Diags Raw Data'!$D$6:$D$4825,$A17)</f>
        <v>0</v>
      </c>
      <c r="K17" s="229">
        <f>SUMIFS('Diags Raw Data'!$W$6:$W$4825,'Diags Raw Data'!$D$6:$D$4825,$A17)</f>
        <v>0</v>
      </c>
      <c r="L17" s="508" t="str">
        <f t="shared" ref="L17" si="23">IF(NOT($C17=0), G17/$C17, "---")</f>
        <v>---</v>
      </c>
      <c r="M17" s="230" t="str">
        <f t="shared" ref="M17" si="24">IF(NOT($G17=0), (H17+I17)/$G17, "---")</f>
        <v>---</v>
      </c>
      <c r="N17" s="239" t="str">
        <f t="shared" ref="N17" si="25">IF(NOT($C17=0), (H17+I17)/$C17, "---")</f>
        <v>---</v>
      </c>
      <c r="O17" s="215">
        <v>0</v>
      </c>
      <c r="P17" s="205">
        <f>SUMIFS('Diags Raw Data'!$AA$6:$AA$4825,'Diags Raw Data'!$D$6:$D$4825,$A17)</f>
        <v>0</v>
      </c>
      <c r="Q17" s="207">
        <f>SUMIFS('Diags Raw Data'!$AB$6:$AB$4825,'Diags Raw Data'!$D$6:$D$4825,$A17)</f>
        <v>0</v>
      </c>
      <c r="R17" s="205">
        <f>SUMIFS('Diags Raw Data'!$AC$6:$AC$4825,'Diags Raw Data'!$D$6:$D$4825,$A17)</f>
        <v>0</v>
      </c>
      <c r="S17" s="207">
        <f>SUMIFS('Diags Raw Data'!$AD$6:$AD$4825,'Diags Raw Data'!$D$6:$D$4825,$A17)</f>
        <v>0</v>
      </c>
      <c r="T17" s="511">
        <f t="shared" ref="T17" si="26">IF(NOT($B17=0), O17/$B17, "---")</f>
        <v>0</v>
      </c>
      <c r="U17" s="231" t="str">
        <f t="shared" ref="U17" si="27">IF(NOT($O17=0), (P17+Q17)/$O17, "---")</f>
        <v>---</v>
      </c>
      <c r="V17" s="233">
        <f t="shared" ref="V17" si="28">IF(NOT($B17=0), (P17+Q17)/$B17, "---")</f>
        <v>0</v>
      </c>
    </row>
    <row r="18" spans="1:22" ht="15.75" thickBot="1" x14ac:dyDescent="0.3">
      <c r="A18" s="332" t="s">
        <v>428</v>
      </c>
      <c r="B18" s="255">
        <f>SUMIFS('Diags Raw Data'!$L$6:$L$4825,'Diags Raw Data'!$D$6:$D$4825,$A18)</f>
        <v>926</v>
      </c>
      <c r="C18" s="246">
        <f>SUMIFS('Diags Raw Data'!$R$6:$R$4825,'Diags Raw Data'!$D$6:$D$4825,$A18)</f>
        <v>926</v>
      </c>
      <c r="D18" s="246">
        <f>SUMIFS('Diags Raw Data'!$K$6:$K$4825,'Diags Raw Data'!$D$6:$D$4825,$A18)</f>
        <v>26</v>
      </c>
      <c r="E18" s="246">
        <f>SUMIFS('Diags Raw Data'!$O$6:$O$4825,'Diags Raw Data'!$D$6:$D$4825,$A18)</f>
        <v>926</v>
      </c>
      <c r="F18" s="251">
        <f>IF(NOT($B18=0), E18/$B18, "---")</f>
        <v>1</v>
      </c>
      <c r="G18" s="234">
        <f>SUMIFS('Diags Raw Data'!$S$6:$S$4825,'Diags Raw Data'!$D$6:$D$4825,$A18)</f>
        <v>0</v>
      </c>
      <c r="H18" s="235">
        <f>SUMIFS('Diags Raw Data'!$T$6:$T$4825,'Diags Raw Data'!$D$6:$D$4825,$A18)</f>
        <v>0</v>
      </c>
      <c r="I18" s="236">
        <f>SUMIFS('Diags Raw Data'!$U$6:$U$4825,'Diags Raw Data'!$D$6:$D$4825,$A18)</f>
        <v>0</v>
      </c>
      <c r="J18" s="235">
        <f>SUMIFS('Diags Raw Data'!$V$6:$V$4825,'Diags Raw Data'!$D$6:$D$4825,$A18)</f>
        <v>0</v>
      </c>
      <c r="K18" s="236">
        <f>SUMIFS('Diags Raw Data'!$W$6:$W$4825,'Diags Raw Data'!$D$6:$D$4825,$A18)</f>
        <v>0</v>
      </c>
      <c r="L18" s="509">
        <f t="shared" si="1"/>
        <v>0</v>
      </c>
      <c r="M18" s="237" t="str">
        <f t="shared" si="2"/>
        <v>---</v>
      </c>
      <c r="N18" s="240">
        <f>IF(NOT($C18=0), (H18+I18)/$C18, "---")</f>
        <v>0</v>
      </c>
      <c r="O18" s="216">
        <v>0</v>
      </c>
      <c r="P18" s="208">
        <f>SUMIFS('Diags Raw Data'!$AA$6:$AA$4825,'Diags Raw Data'!$D$6:$D$4825,$A18)</f>
        <v>0</v>
      </c>
      <c r="Q18" s="210">
        <f>SUMIFS('Diags Raw Data'!$AB$6:$AB$4825,'Diags Raw Data'!$D$6:$D$4825,$A18)</f>
        <v>0</v>
      </c>
      <c r="R18" s="208">
        <f>SUMIFS('Diags Raw Data'!$AC$6:$AC$4825,'Diags Raw Data'!$D$6:$D$4825,$A18)</f>
        <v>0</v>
      </c>
      <c r="S18" s="210">
        <f>SUMIFS('Diags Raw Data'!$AD$6:$AD$4825,'Diags Raw Data'!$D$6:$D$4825,$A18)</f>
        <v>0</v>
      </c>
      <c r="T18" s="512">
        <f t="shared" si="4"/>
        <v>0</v>
      </c>
      <c r="U18" s="241" t="str">
        <f t="shared" si="14"/>
        <v>---</v>
      </c>
      <c r="V18" s="238">
        <f t="shared" si="6"/>
        <v>0</v>
      </c>
    </row>
    <row r="19" spans="1:22" ht="16.5" thickBot="1" x14ac:dyDescent="0.3">
      <c r="A19" s="274" t="s">
        <v>826</v>
      </c>
      <c r="B19" s="258">
        <f>SUM(B4:B18)</f>
        <v>4636</v>
      </c>
      <c r="C19" s="259">
        <f>SUM(C4:C18)</f>
        <v>4047</v>
      </c>
      <c r="D19" s="259">
        <f>SUM(D4:D18)</f>
        <v>660</v>
      </c>
      <c r="E19" s="259">
        <f>SUM(E4:E18)</f>
        <v>4636</v>
      </c>
      <c r="F19" s="260" cm="1">
        <f t="array" ref="F19">SUMPRODUCT(--(ISNUMBER(SEARCH("New",'Diags Raw Data'!$M$6:$M$4825))),'Diags Raw Data'!$K$6:$K$4825,'Diags Raw Data'!$P$6:$P$4825)/D19+SUMPRODUCT(--(ISNUMBER(SEARCH("Delta",'Diags Raw Data'!$M$6:$M$4825))),'Diags Raw Data'!$K$6:$K$4825,'Diags Raw Data'!$P$6:$P$4825)/D19+SUMPRODUCT(--(ISNUMBER(SEARCH("Legacy",'Diags Raw Data'!$M$6:$M$4825))),'Diags Raw Data'!$K$6:$K$4825,'Diags Raw Data'!$P$6:$P$4825)/D19</f>
        <v>1</v>
      </c>
      <c r="G19" s="261">
        <f>SUM(G4:G18)</f>
        <v>0</v>
      </c>
      <c r="H19" s="262">
        <f>SUM(H4:H18)</f>
        <v>0</v>
      </c>
      <c r="I19" s="263">
        <f>SUM(I4:I18)</f>
        <v>0</v>
      </c>
      <c r="J19" s="262">
        <f>SUM(J4:J18)</f>
        <v>0</v>
      </c>
      <c r="K19" s="263">
        <f>SUM(K4:K18)</f>
        <v>0</v>
      </c>
      <c r="L19" s="264">
        <f>IF(NOT($C19=0), G19/$C19, "---")</f>
        <v>0</v>
      </c>
      <c r="M19" s="265" t="str">
        <f>IF(NOT($G19=0), (H19+I19)/$G19, "---")</f>
        <v>---</v>
      </c>
      <c r="N19" s="266">
        <f>IF(NOT($C19=0), (H19+I19)/$C19, "---")</f>
        <v>0</v>
      </c>
      <c r="O19" s="267">
        <f>SUM(O4:O18)</f>
        <v>0</v>
      </c>
      <c r="P19" s="268">
        <f>SUM(P4:P18)</f>
        <v>0</v>
      </c>
      <c r="Q19" s="269">
        <f>SUM(Q4:Q18)</f>
        <v>0</v>
      </c>
      <c r="R19" s="268">
        <f>SUM(R4:R18)</f>
        <v>0</v>
      </c>
      <c r="S19" s="269">
        <f>SUM(S4:S18)</f>
        <v>0</v>
      </c>
      <c r="T19" s="270">
        <f>IF(NOT($B19=0), O19/$B19, "---")</f>
        <v>0</v>
      </c>
      <c r="U19" s="271" t="str">
        <f>IF(NOT($O19=0), (P19+Q19)/$O19, "---")</f>
        <v>---</v>
      </c>
      <c r="V19" s="272">
        <f>IF(NOT($B19=0), (P19+Q19)/$B19, "---")</f>
        <v>0</v>
      </c>
    </row>
    <row r="20" spans="1:22" ht="15.75" thickBot="1" x14ac:dyDescent="0.3"/>
    <row r="21" spans="1:22" ht="15.75" thickBot="1" x14ac:dyDescent="0.3">
      <c r="A21" s="217" t="s">
        <v>827</v>
      </c>
      <c r="B21" s="653" t="s">
        <v>166</v>
      </c>
      <c r="C21" s="653"/>
      <c r="D21" s="653"/>
      <c r="E21" s="653"/>
      <c r="F21" s="653"/>
      <c r="G21" s="654" t="s">
        <v>177</v>
      </c>
      <c r="H21" s="655"/>
      <c r="I21" s="655"/>
      <c r="J21" s="655"/>
      <c r="K21" s="655"/>
      <c r="L21" s="655"/>
      <c r="M21" s="655"/>
      <c r="N21" s="656"/>
      <c r="O21" s="657" t="s">
        <v>144</v>
      </c>
      <c r="P21" s="658"/>
      <c r="Q21" s="658"/>
      <c r="R21" s="658"/>
      <c r="S21" s="658"/>
      <c r="T21" s="658"/>
      <c r="U21" s="658"/>
      <c r="V21" s="659"/>
    </row>
    <row r="22" spans="1:22" s="252" customFormat="1" ht="15.75" thickBot="1" x14ac:dyDescent="0.3">
      <c r="A22" s="256" t="s">
        <v>88</v>
      </c>
      <c r="B22" s="313" t="s">
        <v>167</v>
      </c>
      <c r="C22" s="314" t="s">
        <v>128</v>
      </c>
      <c r="D22" s="315" t="s">
        <v>105</v>
      </c>
      <c r="E22" s="315" t="s">
        <v>173</v>
      </c>
      <c r="F22" s="316" t="s">
        <v>175</v>
      </c>
      <c r="G22" s="317" t="s">
        <v>132</v>
      </c>
      <c r="H22" s="318" t="s">
        <v>30</v>
      </c>
      <c r="I22" s="318" t="s">
        <v>135</v>
      </c>
      <c r="J22" s="318" t="s">
        <v>36</v>
      </c>
      <c r="K22" s="318" t="s">
        <v>138</v>
      </c>
      <c r="L22" s="318" t="s">
        <v>184</v>
      </c>
      <c r="M22" s="318" t="s">
        <v>140</v>
      </c>
      <c r="N22" s="319" t="s">
        <v>187</v>
      </c>
      <c r="O22" s="320" t="s">
        <v>132</v>
      </c>
      <c r="P22" s="321" t="s">
        <v>30</v>
      </c>
      <c r="Q22" s="321" t="s">
        <v>135</v>
      </c>
      <c r="R22" s="321" t="s">
        <v>36</v>
      </c>
      <c r="S22" s="321" t="s">
        <v>138</v>
      </c>
      <c r="T22" s="321" t="s">
        <v>184</v>
      </c>
      <c r="U22" s="321" t="s">
        <v>140</v>
      </c>
      <c r="V22" s="322" t="s">
        <v>187</v>
      </c>
    </row>
    <row r="23" spans="1:22" ht="15.75" thickBot="1" x14ac:dyDescent="0.3">
      <c r="A23" s="332" t="s">
        <v>394</v>
      </c>
      <c r="B23" s="253">
        <f>SUMIFS('Diags Raw Data'!$L$6:$L$4825,'Diags Raw Data'!$D$6:$D$4825,$A23,'Diags Raw Data'!$M$6:$M$4825,"New")+SUMIFS('Diags Raw Data'!$L$6:$L$4825,'Diags Raw Data'!$D$6:$D$4825,$A23,'Diags Raw Data'!$M$6:$M$4825,"Delta")</f>
        <v>0</v>
      </c>
      <c r="C23" s="243">
        <f>SUMIFS('Diags Raw Data'!$R$6:$R$4825,'Diags Raw Data'!$D$6:$D$4825,$A23,'Diags Raw Data'!$M$6:$M$4825,"New")+SUMIFS('Diags Raw Data'!$R$6:$R$4825,'Diags Raw Data'!$D$6:$D$4825,$A23,'Diags Raw Data'!$M$6:$M$4825,"Delta")</f>
        <v>0</v>
      </c>
      <c r="D23" s="243">
        <f>SUMIFS('Diags Raw Data'!$K$6:$K$4825,'Diags Raw Data'!$D$6:$D$4825,$A23,'Diags Raw Data'!$M$6:$M$4825,"New")+SUMIFS('Diags Raw Data'!$K$6:$K$4825,'Diags Raw Data'!$D$6:$D$4825,$A23,'Diags Raw Data'!$M$6:$M$4825,"Delta")</f>
        <v>0</v>
      </c>
      <c r="E23" s="243">
        <f>SUMIFS('Diags Raw Data'!$O$6:$O$4825,'Diags Raw Data'!$D$6:$D$4825,$A23,'Diags Raw Data'!$M$6:$M$4825,"New")+SUMIFS('Diags Raw Data'!$O$6:$O$4825,'Diags Raw Data'!$D$6:$D$4825,$A23,'Diags Raw Data'!$M$6:$M$4825,"Delta")</f>
        <v>0</v>
      </c>
      <c r="F23" s="249" t="str">
        <f t="shared" ref="F23" si="29">IF(NOT($B23=0), E23/$B23, "---")</f>
        <v>---</v>
      </c>
      <c r="G23" s="221">
        <f>SUMIFS('Diags Raw Data'!$S$6:$S$4825,'Diags Raw Data'!$D$6:$D$4825,$A23,'Diags Raw Data'!$M$6:$M$4825,"New")+SUMIFS('Diags Raw Data'!$S$6:$S$4825,'Diags Raw Data'!$D$6:$D$4825,$A23,'Diags Raw Data'!$M$6:$M$4825,"Delta")</f>
        <v>0</v>
      </c>
      <c r="H23" s="222">
        <f>SUMIFS('Diags Raw Data'!$T$6:$T$4825,'Diags Raw Data'!$D$6:$D$4825,$A23,'Diags Raw Data'!$M$6:$M$4825,"New")+SUMIFS('Diags Raw Data'!$T$6:$T$4825,'Diags Raw Data'!$D$6:$D$4825,$A23,'Diags Raw Data'!$M$6:$M$4825,"Delta")</f>
        <v>0</v>
      </c>
      <c r="I23" s="222">
        <f>SUMIFS('Diags Raw Data'!$U$6:$U$4825,'Diags Raw Data'!$D$6:$D$4825,$A23,'Diags Raw Data'!$M$6:$M$4825,"New")+SUMIFS('Diags Raw Data'!$U$6:$U$4825,'Diags Raw Data'!$D$6:$D$4825,$A23,'Diags Raw Data'!$M$6:$M$4825,"Delta")</f>
        <v>0</v>
      </c>
      <c r="J23" s="222">
        <f>SUMIFS('Diags Raw Data'!$V$6:$V$4825,'Diags Raw Data'!$D$6:$D$4825,$A23,'Diags Raw Data'!$M$6:$M$4825,"New")+SUMIFS('Diags Raw Data'!$V$6:$V$4825,'Diags Raw Data'!$D$6:$D$4825,$A23,'Diags Raw Data'!$M$6:$M$4825,"Delta")</f>
        <v>0</v>
      </c>
      <c r="K23" s="222">
        <f>SUMIFS('Diags Raw Data'!$W$6:$W$4825,'Diags Raw Data'!$D$6:$D$4825,$A23,'Diags Raw Data'!$M$6:$M$4825,"New")+SUMIFS('Diags Raw Data'!$W$6:$W$4825,'Diags Raw Data'!$D$6:$D$4825,$A23,'Diags Raw Data'!$M$6:$M$4825,"Delta")</f>
        <v>0</v>
      </c>
      <c r="L23" s="223" t="str">
        <f>IF(NOT($C23=0), G23/$C23, "---")</f>
        <v>---</v>
      </c>
      <c r="M23" s="225" t="str">
        <f>IF(NOT($G23=0), (H23+I23)/$G23, "---")</f>
        <v>---</v>
      </c>
      <c r="N23" s="227" t="str">
        <f>IF(NOT($C23=0), (H23+I23)/$C23, "---")</f>
        <v>---</v>
      </c>
      <c r="O23" s="214">
        <f>SUMIFS('Diags Raw Data'!$Z$6:$Z$4825,'Diags Raw Data'!$D$6:$D$4825,$A23,'Diags Raw Data'!$M$6:$M$4825,"New")+SUMIFS('Diags Raw Data'!$Z$6:$Z$4825,'Diags Raw Data'!$D$6:$D$4825,$A23,'Diags Raw Data'!$M$6:$M$4825,"Delta")</f>
        <v>0</v>
      </c>
      <c r="P23" s="211">
        <f>SUMIFS('Diags Raw Data'!$AA$6:$AA$4825,'Diags Raw Data'!$D$6:$D$4825,$A23,'Diags Raw Data'!$M$6:$M$4825,"New")+SUMIFS('Diags Raw Data'!$AA$6:$AA$4825,'Diags Raw Data'!$D$6:$D$4825,$A23,'Diags Raw Data'!$M$6:$M$4825,"Delta")</f>
        <v>0</v>
      </c>
      <c r="Q23" s="211">
        <f>SUMIFS('Diags Raw Data'!$AB$6:$AB$4825,'Diags Raw Data'!$D$6:$D$4825,$A23,'Diags Raw Data'!$M$6:$M$4825,"New")+SUMIFS('Diags Raw Data'!$AB$6:$AB$4825,'Diags Raw Data'!$D$6:$D$4825,$A23,'Diags Raw Data'!$M$6:$M$4825,"Delta")</f>
        <v>0</v>
      </c>
      <c r="R23" s="211">
        <f>SUMIFS('Diags Raw Data'!$AC$6:$AC$4825,'Diags Raw Data'!$D$6:$D$4825,$A23,'Diags Raw Data'!$M$6:$M$4825,"New")+SUMIFS('Diags Raw Data'!$AC$6:$AC$4825,'Diags Raw Data'!$D$6:$D$4825,$A23,'Diags Raw Data'!$M$6:$M$4825,"Delta")</f>
        <v>0</v>
      </c>
      <c r="S23" s="211">
        <f>SUMIFS('Diags Raw Data'!$AD$6:$AD$4825,'Diags Raw Data'!$D$6:$D$4825,$A23,'Diags Raw Data'!$M$6:$M$4825,"New")+SUMIFS('Diags Raw Data'!$AD$6:$AD$4825,'Diags Raw Data'!$D$6:$D$4825,$A23,'Diags Raw Data'!$M$6:$M$4825,"Delta")</f>
        <v>0</v>
      </c>
      <c r="T23" s="212" t="str">
        <f>IF(NOT($B23=0), O23/$B23, "---")</f>
        <v>---</v>
      </c>
      <c r="U23" s="226" t="str">
        <f>IF(NOT($O23=0), (P23+Q23)/$O23, "---")</f>
        <v>---</v>
      </c>
      <c r="V23" s="242" t="str">
        <f>IF(NOT($B23=0), (P23+Q23)/$B23, "---")</f>
        <v>---</v>
      </c>
    </row>
    <row r="24" spans="1:22" ht="15.75" thickBot="1" x14ac:dyDescent="0.3">
      <c r="A24" s="332" t="s">
        <v>572</v>
      </c>
      <c r="B24" s="253">
        <f>SUMIFS('Diags Raw Data'!$L$6:$L$4825,'Diags Raw Data'!$D$6:$D$4825,$A24,'Diags Raw Data'!$M$6:$M$4825,"New")+SUMIFS('Diags Raw Data'!$L$6:$L$4825,'Diags Raw Data'!$D$6:$D$4825,$A24,'Diags Raw Data'!$M$6:$M$4825,"Delta")</f>
        <v>0</v>
      </c>
      <c r="C24" s="243">
        <f>SUMIFS('Diags Raw Data'!$R$6:$R$4825,'Diags Raw Data'!$D$6:$D$4825,$A24,'Diags Raw Data'!$M$6:$M$4825,"New")+SUMIFS('Diags Raw Data'!$R$6:$R$4825,'Diags Raw Data'!$D$6:$D$4825,$A24,'Diags Raw Data'!$M$6:$M$4825,"Delta")</f>
        <v>0</v>
      </c>
      <c r="D24" s="243">
        <f>SUMIFS('Diags Raw Data'!$K$6:$K$4825,'Diags Raw Data'!$D$6:$D$4825,$A24,'Diags Raw Data'!$M$6:$M$4825,"New")+SUMIFS('Diags Raw Data'!$K$6:$K$4825,'Diags Raw Data'!$D$6:$D$4825,$A24,'Diags Raw Data'!$M$6:$M$4825,"Delta")</f>
        <v>0</v>
      </c>
      <c r="E24" s="243">
        <f>SUMIFS('Diags Raw Data'!$O$6:$O$4825,'Diags Raw Data'!$D$6:$D$4825,$A24,'Diags Raw Data'!$M$6:$M$4825,"New")+SUMIFS('Diags Raw Data'!$O$6:$O$4825,'Diags Raw Data'!$D$6:$D$4825,$A24,'Diags Raw Data'!$M$6:$M$4825,"Delta")</f>
        <v>0</v>
      </c>
      <c r="F24" s="249" t="str">
        <f t="shared" ref="F24:F37" si="30">IF(NOT($B24=0), E24/$B24, "---")</f>
        <v>---</v>
      </c>
      <c r="G24" s="221">
        <f>SUMIFS('Diags Raw Data'!$S$6:$S$4825,'Diags Raw Data'!$D$6:$D$4825,$A24,'Diags Raw Data'!$M$6:$M$4825,"New")+SUMIFS('Diags Raw Data'!$S$6:$S$4825,'Diags Raw Data'!$D$6:$D$4825,$A24,'Diags Raw Data'!$M$6:$M$4825,"Delta")</f>
        <v>0</v>
      </c>
      <c r="H24" s="222">
        <f>SUMIFS('Diags Raw Data'!$T$6:$T$4825,'Diags Raw Data'!$D$6:$D$4825,$A24,'Diags Raw Data'!$M$6:$M$4825,"New")+SUMIFS('Diags Raw Data'!$T$6:$T$4825,'Diags Raw Data'!$D$6:$D$4825,$A24,'Diags Raw Data'!$M$6:$M$4825,"Delta")</f>
        <v>0</v>
      </c>
      <c r="I24" s="222">
        <f>SUMIFS('Diags Raw Data'!$U$6:$U$4825,'Diags Raw Data'!$D$6:$D$4825,$A24,'Diags Raw Data'!$M$6:$M$4825,"New")+SUMIFS('Diags Raw Data'!$U$6:$U$4825,'Diags Raw Data'!$D$6:$D$4825,$A24,'Diags Raw Data'!$M$6:$M$4825,"Delta")</f>
        <v>0</v>
      </c>
      <c r="J24" s="222">
        <f>SUMIFS('Diags Raw Data'!$V$6:$V$4825,'Diags Raw Data'!$D$6:$D$4825,$A24,'Diags Raw Data'!$M$6:$M$4825,"New")+SUMIFS('Diags Raw Data'!$V$6:$V$4825,'Diags Raw Data'!$D$6:$D$4825,$A24,'Diags Raw Data'!$M$6:$M$4825,"Delta")</f>
        <v>0</v>
      </c>
      <c r="K24" s="222">
        <f>SUMIFS('Diags Raw Data'!$W$6:$W$4825,'Diags Raw Data'!$D$6:$D$4825,$A24,'Diags Raw Data'!$M$6:$M$4825,"New")+SUMIFS('Diags Raw Data'!$W$6:$W$4825,'Diags Raw Data'!$D$6:$D$4825,$A24,'Diags Raw Data'!$M$6:$M$4825,"Delta")</f>
        <v>0</v>
      </c>
      <c r="L24" s="223" t="str">
        <f t="shared" ref="L24:L37" si="31">IF(NOT($C24=0), G24/$C24, "---")</f>
        <v>---</v>
      </c>
      <c r="M24" s="225" t="str">
        <f t="shared" ref="M24:M37" si="32">IF(NOT($G24=0), (H24+I24)/$G24, "---")</f>
        <v>---</v>
      </c>
      <c r="N24" s="227" t="str">
        <f t="shared" ref="N24:N37" si="33">IF(NOT($C24=0), (H24+I24)/$C24, "---")</f>
        <v>---</v>
      </c>
      <c r="O24" s="214">
        <f>SUMIFS('Diags Raw Data'!$Z$6:$Z$4825,'Diags Raw Data'!$D$6:$D$4825,$A24,'Diags Raw Data'!$M$6:$M$4825,"New")+SUMIFS('Diags Raw Data'!$Z$6:$Z$4825,'Diags Raw Data'!$D$6:$D$4825,$A24,'Diags Raw Data'!$M$6:$M$4825,"Delta")</f>
        <v>0</v>
      </c>
      <c r="P24" s="211">
        <f>SUMIFS('Diags Raw Data'!$AA$6:$AA$4825,'Diags Raw Data'!$D$6:$D$4825,$A24,'Diags Raw Data'!$M$6:$M$4825,"New")+SUMIFS('Diags Raw Data'!$AA$6:$AA$4825,'Diags Raw Data'!$D$6:$D$4825,$A24,'Diags Raw Data'!$M$6:$M$4825,"Delta")</f>
        <v>0</v>
      </c>
      <c r="Q24" s="211">
        <f>SUMIFS('Diags Raw Data'!$AB$6:$AB$4825,'Diags Raw Data'!$D$6:$D$4825,$A24,'Diags Raw Data'!$M$6:$M$4825,"New")+SUMIFS('Diags Raw Data'!$AB$6:$AB$4825,'Diags Raw Data'!$D$6:$D$4825,$A24,'Diags Raw Data'!$M$6:$M$4825,"Delta")</f>
        <v>0</v>
      </c>
      <c r="R24" s="211">
        <f>SUMIFS('Diags Raw Data'!$AC$6:$AC$4825,'Diags Raw Data'!$D$6:$D$4825,$A24,'Diags Raw Data'!$M$6:$M$4825,"New")+SUMIFS('Diags Raw Data'!$AC$6:$AC$4825,'Diags Raw Data'!$D$6:$D$4825,$A24,'Diags Raw Data'!$M$6:$M$4825,"Delta")</f>
        <v>0</v>
      </c>
      <c r="S24" s="211">
        <f>SUMIFS('Diags Raw Data'!$AD$6:$AD$4825,'Diags Raw Data'!$D$6:$D$4825,$A24,'Diags Raw Data'!$M$6:$M$4825,"New")+SUMIFS('Diags Raw Data'!$AD$6:$AD$4825,'Diags Raw Data'!$D$6:$D$4825,$A24,'Diags Raw Data'!$M$6:$M$4825,"Delta")</f>
        <v>0</v>
      </c>
      <c r="T24" s="212" t="str">
        <f t="shared" ref="T24:T37" si="34">IF(NOT($B24=0), O24/$B24, "---")</f>
        <v>---</v>
      </c>
      <c r="U24" s="226" t="str">
        <f t="shared" ref="U24:U37" si="35">IF(NOT($O24=0), (P24+Q24)/$O24, "---")</f>
        <v>---</v>
      </c>
      <c r="V24" s="242" t="str">
        <f t="shared" ref="V24:V37" si="36">IF(NOT($B24=0), (P24+Q24)/$B24, "---")</f>
        <v>---</v>
      </c>
    </row>
    <row r="25" spans="1:22" ht="15.75" thickBot="1" x14ac:dyDescent="0.3">
      <c r="A25" s="332" t="s">
        <v>264</v>
      </c>
      <c r="B25" s="253">
        <f>SUMIFS('Diags Raw Data'!$L$6:$L$4825,'Diags Raw Data'!$D$6:$D$4825,$A25,'Diags Raw Data'!$M$6:$M$4825,"New")+SUMIFS('Diags Raw Data'!$L$6:$L$4825,'Diags Raw Data'!$D$6:$D$4825,$A25,'Diags Raw Data'!$M$6:$M$4825,"Delta")</f>
        <v>0</v>
      </c>
      <c r="C25" s="243">
        <f>SUMIFS('Diags Raw Data'!$R$6:$R$4825,'Diags Raw Data'!$D$6:$D$4825,$A25,'Diags Raw Data'!$M$6:$M$4825,"New")+SUMIFS('Diags Raw Data'!$R$6:$R$4825,'Diags Raw Data'!$D$6:$D$4825,$A25,'Diags Raw Data'!$M$6:$M$4825,"Delta")</f>
        <v>0</v>
      </c>
      <c r="D25" s="243">
        <f>SUMIFS('Diags Raw Data'!$K$6:$K$4825,'Diags Raw Data'!$D$6:$D$4825,$A25,'Diags Raw Data'!$M$6:$M$4825,"New")+SUMIFS('Diags Raw Data'!$K$6:$K$4825,'Diags Raw Data'!$D$6:$D$4825,$A25,'Diags Raw Data'!$M$6:$M$4825,"Delta")</f>
        <v>0</v>
      </c>
      <c r="E25" s="243">
        <f>SUMIFS('Diags Raw Data'!$O$6:$O$4825,'Diags Raw Data'!$D$6:$D$4825,$A25,'Diags Raw Data'!$M$6:$M$4825,"New")+SUMIFS('Diags Raw Data'!$O$6:$O$4825,'Diags Raw Data'!$D$6:$D$4825,$A25,'Diags Raw Data'!$M$6:$M$4825,"Delta")</f>
        <v>0</v>
      </c>
      <c r="F25" s="249" t="str">
        <f t="shared" si="30"/>
        <v>---</v>
      </c>
      <c r="G25" s="221">
        <f>SUMIFS('Diags Raw Data'!$S$6:$S$4825,'Diags Raw Data'!$D$6:$D$4825,$A25,'Diags Raw Data'!$M$6:$M$4825,"New")+SUMIFS('Diags Raw Data'!$S$6:$S$4825,'Diags Raw Data'!$D$6:$D$4825,$A25,'Diags Raw Data'!$M$6:$M$4825,"Delta")</f>
        <v>0</v>
      </c>
      <c r="H25" s="222">
        <f>SUMIFS('Diags Raw Data'!$T$6:$T$4825,'Diags Raw Data'!$D$6:$D$4825,$A25,'Diags Raw Data'!$M$6:$M$4825,"New")+SUMIFS('Diags Raw Data'!$T$6:$T$4825,'Diags Raw Data'!$D$6:$D$4825,$A25,'Diags Raw Data'!$M$6:$M$4825,"Delta")</f>
        <v>0</v>
      </c>
      <c r="I25" s="222">
        <f>SUMIFS('Diags Raw Data'!$U$6:$U$4825,'Diags Raw Data'!$D$6:$D$4825,$A25,'Diags Raw Data'!$M$6:$M$4825,"New")+SUMIFS('Diags Raw Data'!$U$6:$U$4825,'Diags Raw Data'!$D$6:$D$4825,$A25,'Diags Raw Data'!$M$6:$M$4825,"Delta")</f>
        <v>0</v>
      </c>
      <c r="J25" s="222">
        <f>SUMIFS('Diags Raw Data'!$V$6:$V$4825,'Diags Raw Data'!$D$6:$D$4825,$A25,'Diags Raw Data'!$M$6:$M$4825,"New")+SUMIFS('Diags Raw Data'!$V$6:$V$4825,'Diags Raw Data'!$D$6:$D$4825,$A25,'Diags Raw Data'!$M$6:$M$4825,"Delta")</f>
        <v>0</v>
      </c>
      <c r="K25" s="222">
        <f>SUMIFS('Diags Raw Data'!$W$6:$W$4825,'Diags Raw Data'!$D$6:$D$4825,$A25,'Diags Raw Data'!$M$6:$M$4825,"New")+SUMIFS('Diags Raw Data'!$W$6:$W$4825,'Diags Raw Data'!$D$6:$D$4825,$A25,'Diags Raw Data'!$M$6:$M$4825,"Delta")</f>
        <v>0</v>
      </c>
      <c r="L25" s="223" t="str">
        <f t="shared" si="31"/>
        <v>---</v>
      </c>
      <c r="M25" s="225" t="str">
        <f t="shared" si="32"/>
        <v>---</v>
      </c>
      <c r="N25" s="227" t="str">
        <f t="shared" si="33"/>
        <v>---</v>
      </c>
      <c r="O25" s="214">
        <f>SUMIFS('Diags Raw Data'!$Z$6:$Z$4825,'Diags Raw Data'!$D$6:$D$4825,$A25,'Diags Raw Data'!$M$6:$M$4825,"New")+SUMIFS('Diags Raw Data'!$Z$6:$Z$4825,'Diags Raw Data'!$D$6:$D$4825,$A25,'Diags Raw Data'!$M$6:$M$4825,"Delta")</f>
        <v>0</v>
      </c>
      <c r="P25" s="211">
        <f>SUMIFS('Diags Raw Data'!$AA$6:$AA$4825,'Diags Raw Data'!$D$6:$D$4825,$A25,'Diags Raw Data'!$M$6:$M$4825,"New")+SUMIFS('Diags Raw Data'!$AA$6:$AA$4825,'Diags Raw Data'!$D$6:$D$4825,$A25,'Diags Raw Data'!$M$6:$M$4825,"Delta")</f>
        <v>0</v>
      </c>
      <c r="Q25" s="211">
        <f>SUMIFS('Diags Raw Data'!$AB$6:$AB$4825,'Diags Raw Data'!$D$6:$D$4825,$A25,'Diags Raw Data'!$M$6:$M$4825,"New")+SUMIFS('Diags Raw Data'!$AB$6:$AB$4825,'Diags Raw Data'!$D$6:$D$4825,$A25,'Diags Raw Data'!$M$6:$M$4825,"Delta")</f>
        <v>0</v>
      </c>
      <c r="R25" s="211">
        <f>SUMIFS('Diags Raw Data'!$AC$6:$AC$4825,'Diags Raw Data'!$D$6:$D$4825,$A25,'Diags Raw Data'!$M$6:$M$4825,"New")+SUMIFS('Diags Raw Data'!$AC$6:$AC$4825,'Diags Raw Data'!$D$6:$D$4825,$A25,'Diags Raw Data'!$M$6:$M$4825,"Delta")</f>
        <v>0</v>
      </c>
      <c r="S25" s="211">
        <f>SUMIFS('Diags Raw Data'!$AD$6:$AD$4825,'Diags Raw Data'!$D$6:$D$4825,$A25,'Diags Raw Data'!$M$6:$M$4825,"New")+SUMIFS('Diags Raw Data'!$AD$6:$AD$4825,'Diags Raw Data'!$D$6:$D$4825,$A25,'Diags Raw Data'!$M$6:$M$4825,"Delta")</f>
        <v>0</v>
      </c>
      <c r="T25" s="212" t="str">
        <f t="shared" si="34"/>
        <v>---</v>
      </c>
      <c r="U25" s="226" t="str">
        <f t="shared" si="35"/>
        <v>---</v>
      </c>
      <c r="V25" s="242" t="str">
        <f t="shared" si="36"/>
        <v>---</v>
      </c>
    </row>
    <row r="26" spans="1:22" ht="15.75" thickBot="1" x14ac:dyDescent="0.3">
      <c r="A26" s="332" t="s">
        <v>257</v>
      </c>
      <c r="B26" s="253">
        <f>SUMIFS('Diags Raw Data'!$L$6:$L$4825,'Diags Raw Data'!$D$6:$D$4825,$A26,'Diags Raw Data'!$M$6:$M$4825,"New")+SUMIFS('Diags Raw Data'!$L$6:$L$4825,'Diags Raw Data'!$D$6:$D$4825,$A26,'Diags Raw Data'!$M$6:$M$4825,"Delta")</f>
        <v>0</v>
      </c>
      <c r="C26" s="243">
        <f>SUMIFS('Diags Raw Data'!$R$6:$R$4825,'Diags Raw Data'!$D$6:$D$4825,$A26,'Diags Raw Data'!$M$6:$M$4825,"New")+SUMIFS('Diags Raw Data'!$R$6:$R$4825,'Diags Raw Data'!$D$6:$D$4825,$A26,'Diags Raw Data'!$M$6:$M$4825,"Delta")</f>
        <v>0</v>
      </c>
      <c r="D26" s="243">
        <f>SUMIFS('Diags Raw Data'!$K$6:$K$4825,'Diags Raw Data'!$D$6:$D$4825,$A26,'Diags Raw Data'!$M$6:$M$4825,"New")+SUMIFS('Diags Raw Data'!$K$6:$K$4825,'Diags Raw Data'!$D$6:$D$4825,$A26,'Diags Raw Data'!$M$6:$M$4825,"Delta")</f>
        <v>0</v>
      </c>
      <c r="E26" s="243">
        <f>SUMIFS('Diags Raw Data'!$O$6:$O$4825,'Diags Raw Data'!$D$6:$D$4825,$A26,'Diags Raw Data'!$M$6:$M$4825,"New")+SUMIFS('Diags Raw Data'!$O$6:$O$4825,'Diags Raw Data'!$D$6:$D$4825,$A26,'Diags Raw Data'!$M$6:$M$4825,"Delta")</f>
        <v>0</v>
      </c>
      <c r="F26" s="249" t="str">
        <f t="shared" si="30"/>
        <v>---</v>
      </c>
      <c r="G26" s="221">
        <f>SUMIFS('Diags Raw Data'!$S$6:$S$4825,'Diags Raw Data'!$D$6:$D$4825,$A26,'Diags Raw Data'!$M$6:$M$4825,"New")+SUMIFS('Diags Raw Data'!$S$6:$S$4825,'Diags Raw Data'!$D$6:$D$4825,$A26,'Diags Raw Data'!$M$6:$M$4825,"Delta")</f>
        <v>0</v>
      </c>
      <c r="H26" s="222">
        <f>SUMIFS('Diags Raw Data'!$T$6:$T$4825,'Diags Raw Data'!$D$6:$D$4825,$A26,'Diags Raw Data'!$M$6:$M$4825,"New")+SUMIFS('Diags Raw Data'!$T$6:$T$4825,'Diags Raw Data'!$D$6:$D$4825,$A26,'Diags Raw Data'!$M$6:$M$4825,"Delta")</f>
        <v>0</v>
      </c>
      <c r="I26" s="222">
        <f>SUMIFS('Diags Raw Data'!$U$6:$U$4825,'Diags Raw Data'!$D$6:$D$4825,$A26,'Diags Raw Data'!$M$6:$M$4825,"New")+SUMIFS('Diags Raw Data'!$U$6:$U$4825,'Diags Raw Data'!$D$6:$D$4825,$A26,'Diags Raw Data'!$M$6:$M$4825,"Delta")</f>
        <v>0</v>
      </c>
      <c r="J26" s="222">
        <f>SUMIFS('Diags Raw Data'!$V$6:$V$4825,'Diags Raw Data'!$D$6:$D$4825,$A26,'Diags Raw Data'!$M$6:$M$4825,"New")+SUMIFS('Diags Raw Data'!$V$6:$V$4825,'Diags Raw Data'!$D$6:$D$4825,$A26,'Diags Raw Data'!$M$6:$M$4825,"Delta")</f>
        <v>0</v>
      </c>
      <c r="K26" s="222">
        <f>SUMIFS('Diags Raw Data'!$W$6:$W$4825,'Diags Raw Data'!$D$6:$D$4825,$A26,'Diags Raw Data'!$M$6:$M$4825,"New")+SUMIFS('Diags Raw Data'!$W$6:$W$4825,'Diags Raw Data'!$D$6:$D$4825,$A26,'Diags Raw Data'!$M$6:$M$4825,"Delta")</f>
        <v>0</v>
      </c>
      <c r="L26" s="223" t="str">
        <f t="shared" si="31"/>
        <v>---</v>
      </c>
      <c r="M26" s="225" t="str">
        <f t="shared" si="32"/>
        <v>---</v>
      </c>
      <c r="N26" s="227" t="str">
        <f t="shared" si="33"/>
        <v>---</v>
      </c>
      <c r="O26" s="214">
        <f>SUMIFS('Diags Raw Data'!$Z$6:$Z$4825,'Diags Raw Data'!$D$6:$D$4825,$A26,'Diags Raw Data'!$M$6:$M$4825,"New")+SUMIFS('Diags Raw Data'!$Z$6:$Z$4825,'Diags Raw Data'!$D$6:$D$4825,$A26,'Diags Raw Data'!$M$6:$M$4825,"Delta")</f>
        <v>0</v>
      </c>
      <c r="P26" s="211">
        <f>SUMIFS('Diags Raw Data'!$AA$6:$AA$4825,'Diags Raw Data'!$D$6:$D$4825,$A26,'Diags Raw Data'!$M$6:$M$4825,"New")+SUMIFS('Diags Raw Data'!$AA$6:$AA$4825,'Diags Raw Data'!$D$6:$D$4825,$A26,'Diags Raw Data'!$M$6:$M$4825,"Delta")</f>
        <v>0</v>
      </c>
      <c r="Q26" s="211">
        <f>SUMIFS('Diags Raw Data'!$AB$6:$AB$4825,'Diags Raw Data'!$D$6:$D$4825,$A26,'Diags Raw Data'!$M$6:$M$4825,"New")+SUMIFS('Diags Raw Data'!$AB$6:$AB$4825,'Diags Raw Data'!$D$6:$D$4825,$A26,'Diags Raw Data'!$M$6:$M$4825,"Delta")</f>
        <v>0</v>
      </c>
      <c r="R26" s="211">
        <f>SUMIFS('Diags Raw Data'!$AC$6:$AC$4825,'Diags Raw Data'!$D$6:$D$4825,$A26,'Diags Raw Data'!$M$6:$M$4825,"New")+SUMIFS('Diags Raw Data'!$AC$6:$AC$4825,'Diags Raw Data'!$D$6:$D$4825,$A26,'Diags Raw Data'!$M$6:$M$4825,"Delta")</f>
        <v>0</v>
      </c>
      <c r="S26" s="211">
        <f>SUMIFS('Diags Raw Data'!$AD$6:$AD$4825,'Diags Raw Data'!$D$6:$D$4825,$A26,'Diags Raw Data'!$M$6:$M$4825,"New")+SUMIFS('Diags Raw Data'!$AD$6:$AD$4825,'Diags Raw Data'!$D$6:$D$4825,$A26,'Diags Raw Data'!$M$6:$M$4825,"Delta")</f>
        <v>0</v>
      </c>
      <c r="T26" s="212" t="str">
        <f t="shared" si="34"/>
        <v>---</v>
      </c>
      <c r="U26" s="226" t="str">
        <f t="shared" si="35"/>
        <v>---</v>
      </c>
      <c r="V26" s="242" t="str">
        <f t="shared" si="36"/>
        <v>---</v>
      </c>
    </row>
    <row r="27" spans="1:22" ht="15.75" thickBot="1" x14ac:dyDescent="0.3">
      <c r="A27" s="332" t="s">
        <v>583</v>
      </c>
      <c r="B27" s="253">
        <f>SUMIFS('Diags Raw Data'!$L$6:$L$4825,'Diags Raw Data'!$D$6:$D$4825,$A27,'Diags Raw Data'!$M$6:$M$4825,"New")+SUMIFS('Diags Raw Data'!$L$6:$L$4825,'Diags Raw Data'!$D$6:$D$4825,$A27,'Diags Raw Data'!$M$6:$M$4825,"Delta")</f>
        <v>0</v>
      </c>
      <c r="C27" s="243">
        <f>SUMIFS('Diags Raw Data'!$R$6:$R$4825,'Diags Raw Data'!$D$6:$D$4825,$A27,'Diags Raw Data'!$M$6:$M$4825,"New")+SUMIFS('Diags Raw Data'!$R$6:$R$4825,'Diags Raw Data'!$D$6:$D$4825,$A27,'Diags Raw Data'!$M$6:$M$4825,"Delta")</f>
        <v>0</v>
      </c>
      <c r="D27" s="243">
        <f>SUMIFS('Diags Raw Data'!$K$6:$K$4825,'Diags Raw Data'!$D$6:$D$4825,$A27,'Diags Raw Data'!$M$6:$M$4825,"New")+SUMIFS('Diags Raw Data'!$K$6:$K$4825,'Diags Raw Data'!$D$6:$D$4825,$A27,'Diags Raw Data'!$M$6:$M$4825,"Delta")</f>
        <v>0</v>
      </c>
      <c r="E27" s="243">
        <f>SUMIFS('Diags Raw Data'!$O$6:$O$4825,'Diags Raw Data'!$D$6:$D$4825,$A27,'Diags Raw Data'!$M$6:$M$4825,"New")+SUMIFS('Diags Raw Data'!$O$6:$O$4825,'Diags Raw Data'!$D$6:$D$4825,$A27,'Diags Raw Data'!$M$6:$M$4825,"Delta")</f>
        <v>0</v>
      </c>
      <c r="F27" s="249" t="str">
        <f t="shared" si="30"/>
        <v>---</v>
      </c>
      <c r="G27" s="221">
        <f>SUMIFS('Diags Raw Data'!$S$6:$S$4825,'Diags Raw Data'!$D$6:$D$4825,$A27,'Diags Raw Data'!$M$6:$M$4825,"New")+SUMIFS('Diags Raw Data'!$S$6:$S$4825,'Diags Raw Data'!$D$6:$D$4825,$A27,'Diags Raw Data'!$M$6:$M$4825,"Delta")</f>
        <v>0</v>
      </c>
      <c r="H27" s="222">
        <f>SUMIFS('Diags Raw Data'!$T$6:$T$4825,'Diags Raw Data'!$D$6:$D$4825,$A27,'Diags Raw Data'!$M$6:$M$4825,"New")+SUMIFS('Diags Raw Data'!$T$6:$T$4825,'Diags Raw Data'!$D$6:$D$4825,$A27,'Diags Raw Data'!$M$6:$M$4825,"Delta")</f>
        <v>0</v>
      </c>
      <c r="I27" s="222">
        <f>SUMIFS('Diags Raw Data'!$U$6:$U$4825,'Diags Raw Data'!$D$6:$D$4825,$A27,'Diags Raw Data'!$M$6:$M$4825,"New")+SUMIFS('Diags Raw Data'!$U$6:$U$4825,'Diags Raw Data'!$D$6:$D$4825,$A27,'Diags Raw Data'!$M$6:$M$4825,"Delta")</f>
        <v>0</v>
      </c>
      <c r="J27" s="222">
        <f>SUMIFS('Diags Raw Data'!$V$6:$V$4825,'Diags Raw Data'!$D$6:$D$4825,$A27,'Diags Raw Data'!$M$6:$M$4825,"New")+SUMIFS('Diags Raw Data'!$V$6:$V$4825,'Diags Raw Data'!$D$6:$D$4825,$A27,'Diags Raw Data'!$M$6:$M$4825,"Delta")</f>
        <v>0</v>
      </c>
      <c r="K27" s="222">
        <f>SUMIFS('Diags Raw Data'!$W$6:$W$4825,'Diags Raw Data'!$D$6:$D$4825,$A27,'Diags Raw Data'!$M$6:$M$4825,"New")+SUMIFS('Diags Raw Data'!$W$6:$W$4825,'Diags Raw Data'!$D$6:$D$4825,$A27,'Diags Raw Data'!$M$6:$M$4825,"Delta")</f>
        <v>0</v>
      </c>
      <c r="L27" s="223" t="str">
        <f t="shared" si="31"/>
        <v>---</v>
      </c>
      <c r="M27" s="225" t="str">
        <f t="shared" si="32"/>
        <v>---</v>
      </c>
      <c r="N27" s="227" t="str">
        <f t="shared" si="33"/>
        <v>---</v>
      </c>
      <c r="O27" s="214">
        <f>SUMIFS('Diags Raw Data'!$Z$6:$Z$4825,'Diags Raw Data'!$D$6:$D$4825,$A27,'Diags Raw Data'!$M$6:$M$4825,"New")+SUMIFS('Diags Raw Data'!$Z$6:$Z$4825,'Diags Raw Data'!$D$6:$D$4825,$A27,'Diags Raw Data'!$M$6:$M$4825,"Delta")</f>
        <v>0</v>
      </c>
      <c r="P27" s="211">
        <f>SUMIFS('Diags Raw Data'!$AA$6:$AA$4825,'Diags Raw Data'!$D$6:$D$4825,$A27,'Diags Raw Data'!$M$6:$M$4825,"New")+SUMIFS('Diags Raw Data'!$AA$6:$AA$4825,'Diags Raw Data'!$D$6:$D$4825,$A27,'Diags Raw Data'!$M$6:$M$4825,"Delta")</f>
        <v>0</v>
      </c>
      <c r="Q27" s="211">
        <f>SUMIFS('Diags Raw Data'!$AB$6:$AB$4825,'Diags Raw Data'!$D$6:$D$4825,$A27,'Diags Raw Data'!$M$6:$M$4825,"New")+SUMIFS('Diags Raw Data'!$AB$6:$AB$4825,'Diags Raw Data'!$D$6:$D$4825,$A27,'Diags Raw Data'!$M$6:$M$4825,"Delta")</f>
        <v>0</v>
      </c>
      <c r="R27" s="211">
        <f>SUMIFS('Diags Raw Data'!$AC$6:$AC$4825,'Diags Raw Data'!$D$6:$D$4825,$A27,'Diags Raw Data'!$M$6:$M$4825,"New")+SUMIFS('Diags Raw Data'!$AC$6:$AC$4825,'Diags Raw Data'!$D$6:$D$4825,$A27,'Diags Raw Data'!$M$6:$M$4825,"Delta")</f>
        <v>0</v>
      </c>
      <c r="S27" s="211">
        <f>SUMIFS('Diags Raw Data'!$AD$6:$AD$4825,'Diags Raw Data'!$D$6:$D$4825,$A27,'Diags Raw Data'!$M$6:$M$4825,"New")+SUMIFS('Diags Raw Data'!$AD$6:$AD$4825,'Diags Raw Data'!$D$6:$D$4825,$A27,'Diags Raw Data'!$M$6:$M$4825,"Delta")</f>
        <v>0</v>
      </c>
      <c r="T27" s="212" t="str">
        <f t="shared" si="34"/>
        <v>---</v>
      </c>
      <c r="U27" s="226" t="str">
        <f t="shared" si="35"/>
        <v>---</v>
      </c>
      <c r="V27" s="242" t="str">
        <f t="shared" si="36"/>
        <v>---</v>
      </c>
    </row>
    <row r="28" spans="1:22" ht="15.75" thickBot="1" x14ac:dyDescent="0.3">
      <c r="A28" s="332" t="s">
        <v>578</v>
      </c>
      <c r="B28" s="253">
        <f>SUMIFS('Diags Raw Data'!$L$6:$L$4825,'Diags Raw Data'!$D$6:$D$4825,$A28,'Diags Raw Data'!$M$6:$M$4825,"New")+SUMIFS('Diags Raw Data'!$L$6:$L$4825,'Diags Raw Data'!$D$6:$D$4825,$A28,'Diags Raw Data'!$M$6:$M$4825,"Delta")</f>
        <v>0</v>
      </c>
      <c r="C28" s="243">
        <f>SUMIFS('Diags Raw Data'!$R$6:$R$4825,'Diags Raw Data'!$D$6:$D$4825,$A28,'Diags Raw Data'!$M$6:$M$4825,"New")+SUMIFS('Diags Raw Data'!$R$6:$R$4825,'Diags Raw Data'!$D$6:$D$4825,$A28,'Diags Raw Data'!$M$6:$M$4825,"Delta")</f>
        <v>0</v>
      </c>
      <c r="D28" s="243">
        <f>SUMIFS('Diags Raw Data'!$K$6:$K$4825,'Diags Raw Data'!$D$6:$D$4825,$A28,'Diags Raw Data'!$M$6:$M$4825,"New")+SUMIFS('Diags Raw Data'!$K$6:$K$4825,'Diags Raw Data'!$D$6:$D$4825,$A28,'Diags Raw Data'!$M$6:$M$4825,"Delta")</f>
        <v>0</v>
      </c>
      <c r="E28" s="243">
        <f>SUMIFS('Diags Raw Data'!$O$6:$O$4825,'Diags Raw Data'!$D$6:$D$4825,$A28,'Diags Raw Data'!$M$6:$M$4825,"New")+SUMIFS('Diags Raw Data'!$O$6:$O$4825,'Diags Raw Data'!$D$6:$D$4825,$A28,'Diags Raw Data'!$M$6:$M$4825,"Delta")</f>
        <v>0</v>
      </c>
      <c r="F28" s="249" t="str">
        <f t="shared" si="30"/>
        <v>---</v>
      </c>
      <c r="G28" s="221">
        <f>SUMIFS('Diags Raw Data'!$S$6:$S$4825,'Diags Raw Data'!$D$6:$D$4825,$A28,'Diags Raw Data'!$M$6:$M$4825,"New")+SUMIFS('Diags Raw Data'!$S$6:$S$4825,'Diags Raw Data'!$D$6:$D$4825,$A28,'Diags Raw Data'!$M$6:$M$4825,"Delta")</f>
        <v>0</v>
      </c>
      <c r="H28" s="222">
        <f>SUMIFS('Diags Raw Data'!$T$6:$T$4825,'Diags Raw Data'!$D$6:$D$4825,$A28,'Diags Raw Data'!$M$6:$M$4825,"New")+SUMIFS('Diags Raw Data'!$T$6:$T$4825,'Diags Raw Data'!$D$6:$D$4825,$A28,'Diags Raw Data'!$M$6:$M$4825,"Delta")</f>
        <v>0</v>
      </c>
      <c r="I28" s="222">
        <f>SUMIFS('Diags Raw Data'!$U$6:$U$4825,'Diags Raw Data'!$D$6:$D$4825,$A28,'Diags Raw Data'!$M$6:$M$4825,"New")+SUMIFS('Diags Raw Data'!$U$6:$U$4825,'Diags Raw Data'!$D$6:$D$4825,$A28,'Diags Raw Data'!$M$6:$M$4825,"Delta")</f>
        <v>0</v>
      </c>
      <c r="J28" s="222">
        <f>SUMIFS('Diags Raw Data'!$V$6:$V$4825,'Diags Raw Data'!$D$6:$D$4825,$A28,'Diags Raw Data'!$M$6:$M$4825,"New")+SUMIFS('Diags Raw Data'!$V$6:$V$4825,'Diags Raw Data'!$D$6:$D$4825,$A28,'Diags Raw Data'!$M$6:$M$4825,"Delta")</f>
        <v>0</v>
      </c>
      <c r="K28" s="222">
        <f>SUMIFS('Diags Raw Data'!$W$6:$W$4825,'Diags Raw Data'!$D$6:$D$4825,$A28,'Diags Raw Data'!$M$6:$M$4825,"New")+SUMIFS('Diags Raw Data'!$W$6:$W$4825,'Diags Raw Data'!$D$6:$D$4825,$A28,'Diags Raw Data'!$M$6:$M$4825,"Delta")</f>
        <v>0</v>
      </c>
      <c r="L28" s="223" t="str">
        <f t="shared" si="31"/>
        <v>---</v>
      </c>
      <c r="M28" s="225" t="str">
        <f t="shared" si="32"/>
        <v>---</v>
      </c>
      <c r="N28" s="227" t="str">
        <f t="shared" si="33"/>
        <v>---</v>
      </c>
      <c r="O28" s="214">
        <f>SUMIFS('Diags Raw Data'!$Z$6:$Z$4825,'Diags Raw Data'!$D$6:$D$4825,$A28,'Diags Raw Data'!$M$6:$M$4825,"New")+SUMIFS('Diags Raw Data'!$Z$6:$Z$4825,'Diags Raw Data'!$D$6:$D$4825,$A28,'Diags Raw Data'!$M$6:$M$4825,"Delta")</f>
        <v>0</v>
      </c>
      <c r="P28" s="211">
        <f>SUMIFS('Diags Raw Data'!$AA$6:$AA$4825,'Diags Raw Data'!$D$6:$D$4825,$A28,'Diags Raw Data'!$M$6:$M$4825,"New")+SUMIFS('Diags Raw Data'!$AA$6:$AA$4825,'Diags Raw Data'!$D$6:$D$4825,$A28,'Diags Raw Data'!$M$6:$M$4825,"Delta")</f>
        <v>0</v>
      </c>
      <c r="Q28" s="211">
        <f>SUMIFS('Diags Raw Data'!$AB$6:$AB$4825,'Diags Raw Data'!$D$6:$D$4825,$A28,'Diags Raw Data'!$M$6:$M$4825,"New")+SUMIFS('Diags Raw Data'!$AB$6:$AB$4825,'Diags Raw Data'!$D$6:$D$4825,$A28,'Diags Raw Data'!$M$6:$M$4825,"Delta")</f>
        <v>0</v>
      </c>
      <c r="R28" s="211">
        <f>SUMIFS('Diags Raw Data'!$AC$6:$AC$4825,'Diags Raw Data'!$D$6:$D$4825,$A28,'Diags Raw Data'!$M$6:$M$4825,"New")+SUMIFS('Diags Raw Data'!$AC$6:$AC$4825,'Diags Raw Data'!$D$6:$D$4825,$A28,'Diags Raw Data'!$M$6:$M$4825,"Delta")</f>
        <v>0</v>
      </c>
      <c r="S28" s="211">
        <f>SUMIFS('Diags Raw Data'!$AD$6:$AD$4825,'Diags Raw Data'!$D$6:$D$4825,$A28,'Diags Raw Data'!$M$6:$M$4825,"New")+SUMIFS('Diags Raw Data'!$AD$6:$AD$4825,'Diags Raw Data'!$D$6:$D$4825,$A28,'Diags Raw Data'!$M$6:$M$4825,"Delta")</f>
        <v>0</v>
      </c>
      <c r="T28" s="212" t="str">
        <f t="shared" si="34"/>
        <v>---</v>
      </c>
      <c r="U28" s="226" t="str">
        <f t="shared" si="35"/>
        <v>---</v>
      </c>
      <c r="V28" s="242" t="str">
        <f t="shared" si="36"/>
        <v>---</v>
      </c>
    </row>
    <row r="29" spans="1:22" ht="15.75" thickBot="1" x14ac:dyDescent="0.3">
      <c r="A29" s="332" t="s">
        <v>335</v>
      </c>
      <c r="B29" s="253">
        <f>SUMIFS('Diags Raw Data'!$L$6:$L$4825,'Diags Raw Data'!$D$6:$D$4825,$A29,'Diags Raw Data'!$M$6:$M$4825,"New")+SUMIFS('Diags Raw Data'!$L$6:$L$4825,'Diags Raw Data'!$D$6:$D$4825,$A29,'Diags Raw Data'!$M$6:$M$4825,"Delta")</f>
        <v>0</v>
      </c>
      <c r="C29" s="243">
        <f>SUMIFS('Diags Raw Data'!$R$6:$R$4825,'Diags Raw Data'!$D$6:$D$4825,$A29,'Diags Raw Data'!$M$6:$M$4825,"New")+SUMIFS('Diags Raw Data'!$R$6:$R$4825,'Diags Raw Data'!$D$6:$D$4825,$A29,'Diags Raw Data'!$M$6:$M$4825,"Delta")</f>
        <v>0</v>
      </c>
      <c r="D29" s="243">
        <f>SUMIFS('Diags Raw Data'!$K$6:$K$4825,'Diags Raw Data'!$D$6:$D$4825,$A29,'Diags Raw Data'!$M$6:$M$4825,"New")+SUMIFS('Diags Raw Data'!$K$6:$K$4825,'Diags Raw Data'!$D$6:$D$4825,$A29,'Diags Raw Data'!$M$6:$M$4825,"Delta")</f>
        <v>0</v>
      </c>
      <c r="E29" s="243">
        <f>SUMIFS('Diags Raw Data'!$O$6:$O$4825,'Diags Raw Data'!$D$6:$D$4825,$A29,'Diags Raw Data'!$M$6:$M$4825,"New")+SUMIFS('Diags Raw Data'!$O$6:$O$4825,'Diags Raw Data'!$D$6:$D$4825,$A29,'Diags Raw Data'!$M$6:$M$4825,"Delta")</f>
        <v>0</v>
      </c>
      <c r="F29" s="249" t="str">
        <f t="shared" si="30"/>
        <v>---</v>
      </c>
      <c r="G29" s="221">
        <f>SUMIFS('Diags Raw Data'!$S$6:$S$4825,'Diags Raw Data'!$D$6:$D$4825,$A29,'Diags Raw Data'!$M$6:$M$4825,"New")+SUMIFS('Diags Raw Data'!$S$6:$S$4825,'Diags Raw Data'!$D$6:$D$4825,$A29,'Diags Raw Data'!$M$6:$M$4825,"Delta")</f>
        <v>0</v>
      </c>
      <c r="H29" s="222">
        <f>SUMIFS('Diags Raw Data'!$T$6:$T$4825,'Diags Raw Data'!$D$6:$D$4825,$A29,'Diags Raw Data'!$M$6:$M$4825,"New")+SUMIFS('Diags Raw Data'!$T$6:$T$4825,'Diags Raw Data'!$D$6:$D$4825,$A29,'Diags Raw Data'!$M$6:$M$4825,"Delta")</f>
        <v>0</v>
      </c>
      <c r="I29" s="222">
        <f>SUMIFS('Diags Raw Data'!$U$6:$U$4825,'Diags Raw Data'!$D$6:$D$4825,$A29,'Diags Raw Data'!$M$6:$M$4825,"New")+SUMIFS('Diags Raw Data'!$U$6:$U$4825,'Diags Raw Data'!$D$6:$D$4825,$A29,'Diags Raw Data'!$M$6:$M$4825,"Delta")</f>
        <v>0</v>
      </c>
      <c r="J29" s="222">
        <f>SUMIFS('Diags Raw Data'!$V$6:$V$4825,'Diags Raw Data'!$D$6:$D$4825,$A29,'Diags Raw Data'!$M$6:$M$4825,"New")+SUMIFS('Diags Raw Data'!$V$6:$V$4825,'Diags Raw Data'!$D$6:$D$4825,$A29,'Diags Raw Data'!$M$6:$M$4825,"Delta")</f>
        <v>0</v>
      </c>
      <c r="K29" s="222">
        <f>SUMIFS('Diags Raw Data'!$W$6:$W$4825,'Diags Raw Data'!$D$6:$D$4825,$A29,'Diags Raw Data'!$M$6:$M$4825,"New")+SUMIFS('Diags Raw Data'!$W$6:$W$4825,'Diags Raw Data'!$D$6:$D$4825,$A29,'Diags Raw Data'!$M$6:$M$4825,"Delta")</f>
        <v>0</v>
      </c>
      <c r="L29" s="223" t="str">
        <f t="shared" si="31"/>
        <v>---</v>
      </c>
      <c r="M29" s="225" t="str">
        <f t="shared" si="32"/>
        <v>---</v>
      </c>
      <c r="N29" s="227" t="str">
        <f t="shared" si="33"/>
        <v>---</v>
      </c>
      <c r="O29" s="214">
        <f>SUMIFS('Diags Raw Data'!$Z$6:$Z$4825,'Diags Raw Data'!$D$6:$D$4825,$A29,'Diags Raw Data'!$M$6:$M$4825,"New")+SUMIFS('Diags Raw Data'!$Z$6:$Z$4825,'Diags Raw Data'!$D$6:$D$4825,$A29,'Diags Raw Data'!$M$6:$M$4825,"Delta")</f>
        <v>0</v>
      </c>
      <c r="P29" s="211">
        <f>SUMIFS('Diags Raw Data'!$AA$6:$AA$4825,'Diags Raw Data'!$D$6:$D$4825,$A29,'Diags Raw Data'!$M$6:$M$4825,"New")+SUMIFS('Diags Raw Data'!$AA$6:$AA$4825,'Diags Raw Data'!$D$6:$D$4825,$A29,'Diags Raw Data'!$M$6:$M$4825,"Delta")</f>
        <v>0</v>
      </c>
      <c r="Q29" s="211">
        <f>SUMIFS('Diags Raw Data'!$AB$6:$AB$4825,'Diags Raw Data'!$D$6:$D$4825,$A29,'Diags Raw Data'!$M$6:$M$4825,"New")+SUMIFS('Diags Raw Data'!$AB$6:$AB$4825,'Diags Raw Data'!$D$6:$D$4825,$A29,'Diags Raw Data'!$M$6:$M$4825,"Delta")</f>
        <v>0</v>
      </c>
      <c r="R29" s="211">
        <f>SUMIFS('Diags Raw Data'!$AC$6:$AC$4825,'Diags Raw Data'!$D$6:$D$4825,$A29,'Diags Raw Data'!$M$6:$M$4825,"New")+SUMIFS('Diags Raw Data'!$AC$6:$AC$4825,'Diags Raw Data'!$D$6:$D$4825,$A29,'Diags Raw Data'!$M$6:$M$4825,"Delta")</f>
        <v>0</v>
      </c>
      <c r="S29" s="211">
        <f>SUMIFS('Diags Raw Data'!$AD$6:$AD$4825,'Diags Raw Data'!$D$6:$D$4825,$A29,'Diags Raw Data'!$M$6:$M$4825,"New")+SUMIFS('Diags Raw Data'!$AD$6:$AD$4825,'Diags Raw Data'!$D$6:$D$4825,$A29,'Diags Raw Data'!$M$6:$M$4825,"Delta")</f>
        <v>0</v>
      </c>
      <c r="T29" s="212" t="str">
        <f t="shared" si="34"/>
        <v>---</v>
      </c>
      <c r="U29" s="226" t="str">
        <f t="shared" si="35"/>
        <v>---</v>
      </c>
      <c r="V29" s="242" t="str">
        <f t="shared" si="36"/>
        <v>---</v>
      </c>
    </row>
    <row r="30" spans="1:22" ht="15.75" thickBot="1" x14ac:dyDescent="0.3">
      <c r="A30" s="332" t="s">
        <v>417</v>
      </c>
      <c r="B30" s="253">
        <f>SUMIFS('Diags Raw Data'!$L$6:$L$4825,'Diags Raw Data'!$D$6:$D$4825,$A30,'Diags Raw Data'!$M$6:$M$4825,"New")+SUMIFS('Diags Raw Data'!$L$6:$L$4825,'Diags Raw Data'!$D$6:$D$4825,$A30,'Diags Raw Data'!$M$6:$M$4825,"Delta")</f>
        <v>0</v>
      </c>
      <c r="C30" s="243">
        <f>SUMIFS('Diags Raw Data'!$R$6:$R$4825,'Diags Raw Data'!$D$6:$D$4825,$A30,'Diags Raw Data'!$M$6:$M$4825,"New")+SUMIFS('Diags Raw Data'!$R$6:$R$4825,'Diags Raw Data'!$D$6:$D$4825,$A30,'Diags Raw Data'!$M$6:$M$4825,"Delta")</f>
        <v>0</v>
      </c>
      <c r="D30" s="243">
        <f>SUMIFS('Diags Raw Data'!$K$6:$K$4825,'Diags Raw Data'!$D$6:$D$4825,$A30,'Diags Raw Data'!$M$6:$M$4825,"New")+SUMIFS('Diags Raw Data'!$K$6:$K$4825,'Diags Raw Data'!$D$6:$D$4825,$A30,'Diags Raw Data'!$M$6:$M$4825,"Delta")</f>
        <v>0</v>
      </c>
      <c r="E30" s="243">
        <f>SUMIFS('Diags Raw Data'!$O$6:$O$4825,'Diags Raw Data'!$D$6:$D$4825,$A30,'Diags Raw Data'!$M$6:$M$4825,"New")+SUMIFS('Diags Raw Data'!$O$6:$O$4825,'Diags Raw Data'!$D$6:$D$4825,$A30,'Diags Raw Data'!$M$6:$M$4825,"Delta")</f>
        <v>0</v>
      </c>
      <c r="F30" s="249" t="str">
        <f t="shared" si="30"/>
        <v>---</v>
      </c>
      <c r="G30" s="221">
        <f>SUMIFS('Diags Raw Data'!$S$6:$S$4825,'Diags Raw Data'!$D$6:$D$4825,$A30,'Diags Raw Data'!$M$6:$M$4825,"New")+SUMIFS('Diags Raw Data'!$S$6:$S$4825,'Diags Raw Data'!$D$6:$D$4825,$A30,'Diags Raw Data'!$M$6:$M$4825,"Delta")</f>
        <v>0</v>
      </c>
      <c r="H30" s="222">
        <f>SUMIFS('Diags Raw Data'!$T$6:$T$4825,'Diags Raw Data'!$D$6:$D$4825,$A30,'Diags Raw Data'!$M$6:$M$4825,"New")+SUMIFS('Diags Raw Data'!$T$6:$T$4825,'Diags Raw Data'!$D$6:$D$4825,$A30,'Diags Raw Data'!$M$6:$M$4825,"Delta")</f>
        <v>0</v>
      </c>
      <c r="I30" s="222">
        <f>SUMIFS('Diags Raw Data'!$U$6:$U$4825,'Diags Raw Data'!$D$6:$D$4825,$A30,'Diags Raw Data'!$M$6:$M$4825,"New")+SUMIFS('Diags Raw Data'!$U$6:$U$4825,'Diags Raw Data'!$D$6:$D$4825,$A30,'Diags Raw Data'!$M$6:$M$4825,"Delta")</f>
        <v>0</v>
      </c>
      <c r="J30" s="222">
        <f>SUMIFS('Diags Raw Data'!$V$6:$V$4825,'Diags Raw Data'!$D$6:$D$4825,$A30,'Diags Raw Data'!$M$6:$M$4825,"New")+SUMIFS('Diags Raw Data'!$V$6:$V$4825,'Diags Raw Data'!$D$6:$D$4825,$A30,'Diags Raw Data'!$M$6:$M$4825,"Delta")</f>
        <v>0</v>
      </c>
      <c r="K30" s="222">
        <f>SUMIFS('Diags Raw Data'!$W$6:$W$4825,'Diags Raw Data'!$D$6:$D$4825,$A30,'Diags Raw Data'!$M$6:$M$4825,"New")+SUMIFS('Diags Raw Data'!$W$6:$W$4825,'Diags Raw Data'!$D$6:$D$4825,$A30,'Diags Raw Data'!$M$6:$M$4825,"Delta")</f>
        <v>0</v>
      </c>
      <c r="L30" s="223" t="str">
        <f t="shared" si="31"/>
        <v>---</v>
      </c>
      <c r="M30" s="225" t="str">
        <f t="shared" si="32"/>
        <v>---</v>
      </c>
      <c r="N30" s="227" t="str">
        <f t="shared" si="33"/>
        <v>---</v>
      </c>
      <c r="O30" s="214">
        <f>SUMIFS('Diags Raw Data'!$Z$6:$Z$4825,'Diags Raw Data'!$D$6:$D$4825,$A30,'Diags Raw Data'!$M$6:$M$4825,"New")+SUMIFS('Diags Raw Data'!$Z$6:$Z$4825,'Diags Raw Data'!$D$6:$D$4825,$A30,'Diags Raw Data'!$M$6:$M$4825,"Delta")</f>
        <v>0</v>
      </c>
      <c r="P30" s="211">
        <f>SUMIFS('Diags Raw Data'!$AA$6:$AA$4825,'Diags Raw Data'!$D$6:$D$4825,$A30,'Diags Raw Data'!$M$6:$M$4825,"New")+SUMIFS('Diags Raw Data'!$AA$6:$AA$4825,'Diags Raw Data'!$D$6:$D$4825,$A30,'Diags Raw Data'!$M$6:$M$4825,"Delta")</f>
        <v>0</v>
      </c>
      <c r="Q30" s="211">
        <f>SUMIFS('Diags Raw Data'!$AB$6:$AB$4825,'Diags Raw Data'!$D$6:$D$4825,$A30,'Diags Raw Data'!$M$6:$M$4825,"New")+SUMIFS('Diags Raw Data'!$AB$6:$AB$4825,'Diags Raw Data'!$D$6:$D$4825,$A30,'Diags Raw Data'!$M$6:$M$4825,"Delta")</f>
        <v>0</v>
      </c>
      <c r="R30" s="211">
        <f>SUMIFS('Diags Raw Data'!$AC$6:$AC$4825,'Diags Raw Data'!$D$6:$D$4825,$A30,'Diags Raw Data'!$M$6:$M$4825,"New")+SUMIFS('Diags Raw Data'!$AC$6:$AC$4825,'Diags Raw Data'!$D$6:$D$4825,$A30,'Diags Raw Data'!$M$6:$M$4825,"Delta")</f>
        <v>0</v>
      </c>
      <c r="S30" s="211">
        <f>SUMIFS('Diags Raw Data'!$AD$6:$AD$4825,'Diags Raw Data'!$D$6:$D$4825,$A30,'Diags Raw Data'!$M$6:$M$4825,"New")+SUMIFS('Diags Raw Data'!$AD$6:$AD$4825,'Diags Raw Data'!$D$6:$D$4825,$A30,'Diags Raw Data'!$M$6:$M$4825,"Delta")</f>
        <v>0</v>
      </c>
      <c r="T30" s="212" t="str">
        <f t="shared" si="34"/>
        <v>---</v>
      </c>
      <c r="U30" s="226" t="str">
        <f t="shared" si="35"/>
        <v>---</v>
      </c>
      <c r="V30" s="242" t="str">
        <f t="shared" si="36"/>
        <v>---</v>
      </c>
    </row>
    <row r="31" spans="1:22" ht="15.75" thickBot="1" x14ac:dyDescent="0.3">
      <c r="A31" s="332" t="s">
        <v>558</v>
      </c>
      <c r="B31" s="253">
        <f>SUMIFS('Diags Raw Data'!$L$6:$L$4825,'Diags Raw Data'!$D$6:$D$4825,$A31,'Diags Raw Data'!$M$6:$M$4825,"New")+SUMIFS('Diags Raw Data'!$L$6:$L$4825,'Diags Raw Data'!$D$6:$D$4825,$A31,'Diags Raw Data'!$M$6:$M$4825,"Delta")</f>
        <v>0</v>
      </c>
      <c r="C31" s="243">
        <f>SUMIFS('Diags Raw Data'!$R$6:$R$4825,'Diags Raw Data'!$D$6:$D$4825,$A31,'Diags Raw Data'!$M$6:$M$4825,"New")+SUMIFS('Diags Raw Data'!$R$6:$R$4825,'Diags Raw Data'!$D$6:$D$4825,$A31,'Diags Raw Data'!$M$6:$M$4825,"Delta")</f>
        <v>0</v>
      </c>
      <c r="D31" s="243">
        <f>SUMIFS('Diags Raw Data'!$K$6:$K$4825,'Diags Raw Data'!$D$6:$D$4825,$A31,'Diags Raw Data'!$M$6:$M$4825,"New")+SUMIFS('Diags Raw Data'!$K$6:$K$4825,'Diags Raw Data'!$D$6:$D$4825,$A31,'Diags Raw Data'!$M$6:$M$4825,"Delta")</f>
        <v>0</v>
      </c>
      <c r="E31" s="243">
        <f>SUMIFS('Diags Raw Data'!$O$6:$O$4825,'Diags Raw Data'!$D$6:$D$4825,$A31,'Diags Raw Data'!$M$6:$M$4825,"New")+SUMIFS('Diags Raw Data'!$O$6:$O$4825,'Diags Raw Data'!$D$6:$D$4825,$A31,'Diags Raw Data'!$M$6:$M$4825,"Delta")</f>
        <v>0</v>
      </c>
      <c r="F31" s="249" t="str">
        <f t="shared" si="30"/>
        <v>---</v>
      </c>
      <c r="G31" s="221">
        <f>SUMIFS('Diags Raw Data'!$S$6:$S$4825,'Diags Raw Data'!$D$6:$D$4825,$A31,'Diags Raw Data'!$M$6:$M$4825,"New")+SUMIFS('Diags Raw Data'!$S$6:$S$4825,'Diags Raw Data'!$D$6:$D$4825,$A31,'Diags Raw Data'!$M$6:$M$4825,"Delta")</f>
        <v>0</v>
      </c>
      <c r="H31" s="222">
        <f>SUMIFS('Diags Raw Data'!$T$6:$T$4825,'Diags Raw Data'!$D$6:$D$4825,$A31,'Diags Raw Data'!$M$6:$M$4825,"New")+SUMIFS('Diags Raw Data'!$T$6:$T$4825,'Diags Raw Data'!$D$6:$D$4825,$A31,'Diags Raw Data'!$M$6:$M$4825,"Delta")</f>
        <v>0</v>
      </c>
      <c r="I31" s="222">
        <f>SUMIFS('Diags Raw Data'!$U$6:$U$4825,'Diags Raw Data'!$D$6:$D$4825,$A31,'Diags Raw Data'!$M$6:$M$4825,"New")+SUMIFS('Diags Raw Data'!$U$6:$U$4825,'Diags Raw Data'!$D$6:$D$4825,$A31,'Diags Raw Data'!$M$6:$M$4825,"Delta")</f>
        <v>0</v>
      </c>
      <c r="J31" s="222">
        <f>SUMIFS('Diags Raw Data'!$V$6:$V$4825,'Diags Raw Data'!$D$6:$D$4825,$A31,'Diags Raw Data'!$M$6:$M$4825,"New")+SUMIFS('Diags Raw Data'!$V$6:$V$4825,'Diags Raw Data'!$D$6:$D$4825,$A31,'Diags Raw Data'!$M$6:$M$4825,"Delta")</f>
        <v>0</v>
      </c>
      <c r="K31" s="222">
        <f>SUMIFS('Diags Raw Data'!$W$6:$W$4825,'Diags Raw Data'!$D$6:$D$4825,$A31,'Diags Raw Data'!$M$6:$M$4825,"New")+SUMIFS('Diags Raw Data'!$W$6:$W$4825,'Diags Raw Data'!$D$6:$D$4825,$A31,'Diags Raw Data'!$M$6:$M$4825,"Delta")</f>
        <v>0</v>
      </c>
      <c r="L31" s="223" t="str">
        <f t="shared" si="31"/>
        <v>---</v>
      </c>
      <c r="M31" s="225" t="str">
        <f t="shared" si="32"/>
        <v>---</v>
      </c>
      <c r="N31" s="227" t="str">
        <f t="shared" si="33"/>
        <v>---</v>
      </c>
      <c r="O31" s="214">
        <f>SUMIFS('Diags Raw Data'!$Z$6:$Z$4825,'Diags Raw Data'!$D$6:$D$4825,$A31,'Diags Raw Data'!$M$6:$M$4825,"New")+SUMIFS('Diags Raw Data'!$Z$6:$Z$4825,'Diags Raw Data'!$D$6:$D$4825,$A31,'Diags Raw Data'!$M$6:$M$4825,"Delta")</f>
        <v>0</v>
      </c>
      <c r="P31" s="211">
        <f>SUMIFS('Diags Raw Data'!$AA$6:$AA$4825,'Diags Raw Data'!$D$6:$D$4825,$A31,'Diags Raw Data'!$M$6:$M$4825,"New")+SUMIFS('Diags Raw Data'!$AA$6:$AA$4825,'Diags Raw Data'!$D$6:$D$4825,$A31,'Diags Raw Data'!$M$6:$M$4825,"Delta")</f>
        <v>0</v>
      </c>
      <c r="Q31" s="211">
        <f>SUMIFS('Diags Raw Data'!$AB$6:$AB$4825,'Diags Raw Data'!$D$6:$D$4825,$A31,'Diags Raw Data'!$M$6:$M$4825,"New")+SUMIFS('Diags Raw Data'!$AB$6:$AB$4825,'Diags Raw Data'!$D$6:$D$4825,$A31,'Diags Raw Data'!$M$6:$M$4825,"Delta")</f>
        <v>0</v>
      </c>
      <c r="R31" s="211">
        <f>SUMIFS('Diags Raw Data'!$AC$6:$AC$4825,'Diags Raw Data'!$D$6:$D$4825,$A31,'Diags Raw Data'!$M$6:$M$4825,"New")+SUMIFS('Diags Raw Data'!$AC$6:$AC$4825,'Diags Raw Data'!$D$6:$D$4825,$A31,'Diags Raw Data'!$M$6:$M$4825,"Delta")</f>
        <v>0</v>
      </c>
      <c r="S31" s="211">
        <f>SUMIFS('Diags Raw Data'!$AD$6:$AD$4825,'Diags Raw Data'!$D$6:$D$4825,$A31,'Diags Raw Data'!$M$6:$M$4825,"New")+SUMIFS('Diags Raw Data'!$AD$6:$AD$4825,'Diags Raw Data'!$D$6:$D$4825,$A31,'Diags Raw Data'!$M$6:$M$4825,"Delta")</f>
        <v>0</v>
      </c>
      <c r="T31" s="212" t="str">
        <f t="shared" si="34"/>
        <v>---</v>
      </c>
      <c r="U31" s="226" t="str">
        <f t="shared" si="35"/>
        <v>---</v>
      </c>
      <c r="V31" s="242" t="str">
        <f t="shared" si="36"/>
        <v>---</v>
      </c>
    </row>
    <row r="32" spans="1:22" ht="15.75" thickBot="1" x14ac:dyDescent="0.3">
      <c r="A32" s="332" t="s">
        <v>562</v>
      </c>
      <c r="B32" s="253">
        <f>SUMIFS('Diags Raw Data'!$L$6:$L$4825,'Diags Raw Data'!$D$6:$D$4825,$A32,'Diags Raw Data'!$M$6:$M$4825,"New")+SUMIFS('Diags Raw Data'!$L$6:$L$4825,'Diags Raw Data'!$D$6:$D$4825,$A32,'Diags Raw Data'!$M$6:$M$4825,"Delta")</f>
        <v>107</v>
      </c>
      <c r="C32" s="243">
        <f>SUMIFS('Diags Raw Data'!$R$6:$R$4825,'Diags Raw Data'!$D$6:$D$4825,$A32,'Diags Raw Data'!$M$6:$M$4825,"New")+SUMIFS('Diags Raw Data'!$R$6:$R$4825,'Diags Raw Data'!$D$6:$D$4825,$A32,'Diags Raw Data'!$M$6:$M$4825,"Delta")</f>
        <v>21</v>
      </c>
      <c r="D32" s="243">
        <f>SUMIFS('Diags Raw Data'!$K$6:$K$4825,'Diags Raw Data'!$D$6:$D$4825,$A32,'Diags Raw Data'!$M$6:$M$4825,"New")+SUMIFS('Diags Raw Data'!$K$6:$K$4825,'Diags Raw Data'!$D$6:$D$4825,$A32,'Diags Raw Data'!$M$6:$M$4825,"Delta")</f>
        <v>6</v>
      </c>
      <c r="E32" s="243">
        <f>SUMIFS('Diags Raw Data'!$O$6:$O$4825,'Diags Raw Data'!$D$6:$D$4825,$A32,'Diags Raw Data'!$M$6:$M$4825,"New")+SUMIFS('Diags Raw Data'!$O$6:$O$4825,'Diags Raw Data'!$D$6:$D$4825,$A32,'Diags Raw Data'!$M$6:$M$4825,"Delta")</f>
        <v>107</v>
      </c>
      <c r="F32" s="249">
        <f t="shared" si="30"/>
        <v>1</v>
      </c>
      <c r="G32" s="221">
        <f>SUMIFS('Diags Raw Data'!$S$6:$S$4825,'Diags Raw Data'!$D$6:$D$4825,$A32,'Diags Raw Data'!$M$6:$M$4825,"New")+SUMIFS('Diags Raw Data'!$S$6:$S$4825,'Diags Raw Data'!$D$6:$D$4825,$A32,'Diags Raw Data'!$M$6:$M$4825,"Delta")</f>
        <v>0</v>
      </c>
      <c r="H32" s="222">
        <f>SUMIFS('Diags Raw Data'!$T$6:$T$4825,'Diags Raw Data'!$D$6:$D$4825,$A32,'Diags Raw Data'!$M$6:$M$4825,"New")+SUMIFS('Diags Raw Data'!$T$6:$T$4825,'Diags Raw Data'!$D$6:$D$4825,$A32,'Diags Raw Data'!$M$6:$M$4825,"Delta")</f>
        <v>0</v>
      </c>
      <c r="I32" s="222">
        <f>SUMIFS('Diags Raw Data'!$U$6:$U$4825,'Diags Raw Data'!$D$6:$D$4825,$A32,'Diags Raw Data'!$M$6:$M$4825,"New")+SUMIFS('Diags Raw Data'!$U$6:$U$4825,'Diags Raw Data'!$D$6:$D$4825,$A32,'Diags Raw Data'!$M$6:$M$4825,"Delta")</f>
        <v>0</v>
      </c>
      <c r="J32" s="222">
        <f>SUMIFS('Diags Raw Data'!$V$6:$V$4825,'Diags Raw Data'!$D$6:$D$4825,$A32,'Diags Raw Data'!$M$6:$M$4825,"New")+SUMIFS('Diags Raw Data'!$V$6:$V$4825,'Diags Raw Data'!$D$6:$D$4825,$A32,'Diags Raw Data'!$M$6:$M$4825,"Delta")</f>
        <v>0</v>
      </c>
      <c r="K32" s="222">
        <f>SUMIFS('Diags Raw Data'!$W$6:$W$4825,'Diags Raw Data'!$D$6:$D$4825,$A32,'Diags Raw Data'!$M$6:$M$4825,"New")+SUMIFS('Diags Raw Data'!$W$6:$W$4825,'Diags Raw Data'!$D$6:$D$4825,$A32,'Diags Raw Data'!$M$6:$M$4825,"Delta")</f>
        <v>0</v>
      </c>
      <c r="L32" s="223">
        <f t="shared" si="31"/>
        <v>0</v>
      </c>
      <c r="M32" s="225" t="str">
        <f t="shared" si="32"/>
        <v>---</v>
      </c>
      <c r="N32" s="227">
        <f t="shared" si="33"/>
        <v>0</v>
      </c>
      <c r="O32" s="214">
        <v>0</v>
      </c>
      <c r="P32" s="211">
        <f>SUMIFS('Diags Raw Data'!$AA$6:$AA$4825,'Diags Raw Data'!$D$6:$D$4825,$A32,'Diags Raw Data'!$M$6:$M$4825,"New")+SUMIFS('Diags Raw Data'!$AA$6:$AA$4825,'Diags Raw Data'!$D$6:$D$4825,$A32,'Diags Raw Data'!$M$6:$M$4825,"Delta")</f>
        <v>0</v>
      </c>
      <c r="Q32" s="211">
        <f>SUMIFS('Diags Raw Data'!$AB$6:$AB$4825,'Diags Raw Data'!$D$6:$D$4825,$A32,'Diags Raw Data'!$M$6:$M$4825,"New")+SUMIFS('Diags Raw Data'!$AB$6:$AB$4825,'Diags Raw Data'!$D$6:$D$4825,$A32,'Diags Raw Data'!$M$6:$M$4825,"Delta")</f>
        <v>0</v>
      </c>
      <c r="R32" s="211">
        <f>SUMIFS('Diags Raw Data'!$AC$6:$AC$4825,'Diags Raw Data'!$D$6:$D$4825,$A32,'Diags Raw Data'!$M$6:$M$4825,"New")+SUMIFS('Diags Raw Data'!$AC$6:$AC$4825,'Diags Raw Data'!$D$6:$D$4825,$A32,'Diags Raw Data'!$M$6:$M$4825,"Delta")</f>
        <v>0</v>
      </c>
      <c r="S32" s="211">
        <f>SUMIFS('Diags Raw Data'!$AD$6:$AD$4825,'Diags Raw Data'!$D$6:$D$4825,$A32,'Diags Raw Data'!$M$6:$M$4825,"New")+SUMIFS('Diags Raw Data'!$AD$6:$AD$4825,'Diags Raw Data'!$D$6:$D$4825,$A32,'Diags Raw Data'!$M$6:$M$4825,"Delta")</f>
        <v>0</v>
      </c>
      <c r="T32" s="507">
        <f t="shared" si="34"/>
        <v>0</v>
      </c>
      <c r="U32" s="226" t="str">
        <f t="shared" si="35"/>
        <v>---</v>
      </c>
      <c r="V32" s="242">
        <f t="shared" si="36"/>
        <v>0</v>
      </c>
    </row>
    <row r="33" spans="1:22" ht="15.75" thickBot="1" x14ac:dyDescent="0.3">
      <c r="A33" s="332" t="s">
        <v>398</v>
      </c>
      <c r="B33" s="253">
        <f>SUMIFS('Diags Raw Data'!$L$6:$L$4825,'Diags Raw Data'!$D$6:$D$4825,$A33,'Diags Raw Data'!$M$6:$M$4825,"New")+SUMIFS('Diags Raw Data'!$L$6:$L$4825,'Diags Raw Data'!$D$6:$D$4825,$A33,'Diags Raw Data'!$M$6:$M$4825,"Delta")</f>
        <v>0</v>
      </c>
      <c r="C33" s="243">
        <f>SUMIFS('Diags Raw Data'!$R$6:$R$4825,'Diags Raw Data'!$D$6:$D$4825,$A33,'Diags Raw Data'!$M$6:$M$4825,"New")+SUMIFS('Diags Raw Data'!$R$6:$R$4825,'Diags Raw Data'!$D$6:$D$4825,$A33,'Diags Raw Data'!$M$6:$M$4825,"Delta")</f>
        <v>0</v>
      </c>
      <c r="D33" s="243">
        <f>SUMIFS('Diags Raw Data'!$K$6:$K$4825,'Diags Raw Data'!$D$6:$D$4825,$A33,'Diags Raw Data'!$M$6:$M$4825,"New")+SUMIFS('Diags Raw Data'!$K$6:$K$4825,'Diags Raw Data'!$D$6:$D$4825,$A33,'Diags Raw Data'!$M$6:$M$4825,"Delta")</f>
        <v>0</v>
      </c>
      <c r="E33" s="243">
        <f>SUMIFS('Diags Raw Data'!$O$6:$O$4825,'Diags Raw Data'!$D$6:$D$4825,$A33,'Diags Raw Data'!$M$6:$M$4825,"New")+SUMIFS('Diags Raw Data'!$O$6:$O$4825,'Diags Raw Data'!$D$6:$D$4825,$A33,'Diags Raw Data'!$M$6:$M$4825,"Delta")</f>
        <v>0</v>
      </c>
      <c r="F33" s="249" t="str">
        <f t="shared" si="30"/>
        <v>---</v>
      </c>
      <c r="G33" s="221">
        <f>SUMIFS('Diags Raw Data'!$S$6:$S$4825,'Diags Raw Data'!$D$6:$D$4825,$A33,'Diags Raw Data'!$M$6:$M$4825,"New")+SUMIFS('Diags Raw Data'!$S$6:$S$4825,'Diags Raw Data'!$D$6:$D$4825,$A33,'Diags Raw Data'!$M$6:$M$4825,"Delta")</f>
        <v>0</v>
      </c>
      <c r="H33" s="222">
        <f>SUMIFS('Diags Raw Data'!$T$6:$T$4825,'Diags Raw Data'!$D$6:$D$4825,$A33,'Diags Raw Data'!$M$6:$M$4825,"New")+SUMIFS('Diags Raw Data'!$T$6:$T$4825,'Diags Raw Data'!$D$6:$D$4825,$A33,'Diags Raw Data'!$M$6:$M$4825,"Delta")</f>
        <v>0</v>
      </c>
      <c r="I33" s="222">
        <f>SUMIFS('Diags Raw Data'!$U$6:$U$4825,'Diags Raw Data'!$D$6:$D$4825,$A33,'Diags Raw Data'!$M$6:$M$4825,"New")+SUMIFS('Diags Raw Data'!$U$6:$U$4825,'Diags Raw Data'!$D$6:$D$4825,$A33,'Diags Raw Data'!$M$6:$M$4825,"Delta")</f>
        <v>0</v>
      </c>
      <c r="J33" s="222">
        <f>SUMIFS('Diags Raw Data'!$V$6:$V$4825,'Diags Raw Data'!$D$6:$D$4825,$A33,'Diags Raw Data'!$M$6:$M$4825,"New")+SUMIFS('Diags Raw Data'!$V$6:$V$4825,'Diags Raw Data'!$D$6:$D$4825,$A33,'Diags Raw Data'!$M$6:$M$4825,"Delta")</f>
        <v>0</v>
      </c>
      <c r="K33" s="222">
        <f>SUMIFS('Diags Raw Data'!$W$6:$W$4825,'Diags Raw Data'!$D$6:$D$4825,$A33,'Diags Raw Data'!$M$6:$M$4825,"New")+SUMIFS('Diags Raw Data'!$W$6:$W$4825,'Diags Raw Data'!$D$6:$D$4825,$A33,'Diags Raw Data'!$M$6:$M$4825,"Delta")</f>
        <v>0</v>
      </c>
      <c r="L33" s="223" t="str">
        <f t="shared" si="31"/>
        <v>---</v>
      </c>
      <c r="M33" s="225" t="str">
        <f t="shared" si="32"/>
        <v>---</v>
      </c>
      <c r="N33" s="227" t="str">
        <f t="shared" si="33"/>
        <v>---</v>
      </c>
      <c r="O33" s="214">
        <f>SUMIFS('Diags Raw Data'!$Z$6:$Z$4825,'Diags Raw Data'!$D$6:$D$4825,$A33,'Diags Raw Data'!$M$6:$M$4825,"New")+SUMIFS('Diags Raw Data'!$Z$6:$Z$4825,'Diags Raw Data'!$D$6:$D$4825,$A33,'Diags Raw Data'!$M$6:$M$4825,"Delta")</f>
        <v>0</v>
      </c>
      <c r="P33" s="211">
        <f>SUMIFS('Diags Raw Data'!$AA$6:$AA$4825,'Diags Raw Data'!$D$6:$D$4825,$A33,'Diags Raw Data'!$M$6:$M$4825,"New")+SUMIFS('Diags Raw Data'!$AA$6:$AA$4825,'Diags Raw Data'!$D$6:$D$4825,$A33,'Diags Raw Data'!$M$6:$M$4825,"Delta")</f>
        <v>0</v>
      </c>
      <c r="Q33" s="211">
        <f>SUMIFS('Diags Raw Data'!$AB$6:$AB$4825,'Diags Raw Data'!$D$6:$D$4825,$A33,'Diags Raw Data'!$M$6:$M$4825,"New")+SUMIFS('Diags Raw Data'!$AB$6:$AB$4825,'Diags Raw Data'!$D$6:$D$4825,$A33,'Diags Raw Data'!$M$6:$M$4825,"Delta")</f>
        <v>0</v>
      </c>
      <c r="R33" s="211">
        <f>SUMIFS('Diags Raw Data'!$AC$6:$AC$4825,'Diags Raw Data'!$D$6:$D$4825,$A33,'Diags Raw Data'!$M$6:$M$4825,"New")+SUMIFS('Diags Raw Data'!$AC$6:$AC$4825,'Diags Raw Data'!$D$6:$D$4825,$A33,'Diags Raw Data'!$M$6:$M$4825,"Delta")</f>
        <v>0</v>
      </c>
      <c r="S33" s="211">
        <f>SUMIFS('Diags Raw Data'!$AD$6:$AD$4825,'Diags Raw Data'!$D$6:$D$4825,$A33,'Diags Raw Data'!$M$6:$M$4825,"New")+SUMIFS('Diags Raw Data'!$AD$6:$AD$4825,'Diags Raw Data'!$D$6:$D$4825,$A33,'Diags Raw Data'!$M$6:$M$4825,"Delta")</f>
        <v>0</v>
      </c>
      <c r="T33" s="212" t="str">
        <f t="shared" si="34"/>
        <v>---</v>
      </c>
      <c r="U33" s="226" t="str">
        <f t="shared" si="35"/>
        <v>---</v>
      </c>
      <c r="V33" s="242" t="str">
        <f t="shared" si="36"/>
        <v>---</v>
      </c>
    </row>
    <row r="34" spans="1:22" ht="15.75" thickBot="1" x14ac:dyDescent="0.3">
      <c r="A34" s="332" t="s">
        <v>378</v>
      </c>
      <c r="B34" s="253">
        <f>SUMIFS('Diags Raw Data'!$L$6:$L$4825,'Diags Raw Data'!$D$6:$D$4825,$A34,'Diags Raw Data'!$M$6:$M$4825,"New")+SUMIFS('Diags Raw Data'!$L$6:$L$4825,'Diags Raw Data'!$D$6:$D$4825,$A34,'Diags Raw Data'!$M$6:$M$4825,"Delta")</f>
        <v>0</v>
      </c>
      <c r="C34" s="243">
        <f>SUMIFS('Diags Raw Data'!$R$6:$R$4825,'Diags Raw Data'!$D$6:$D$4825,$A34,'Diags Raw Data'!$M$6:$M$4825,"New")+SUMIFS('Diags Raw Data'!$R$6:$R$4825,'Diags Raw Data'!$D$6:$D$4825,$A34,'Diags Raw Data'!$M$6:$M$4825,"Delta")</f>
        <v>0</v>
      </c>
      <c r="D34" s="243">
        <f>SUMIFS('Diags Raw Data'!$K$6:$K$4825,'Diags Raw Data'!$D$6:$D$4825,$A34,'Diags Raw Data'!$M$6:$M$4825,"New")+SUMIFS('Diags Raw Data'!$K$6:$K$4825,'Diags Raw Data'!$D$6:$D$4825,$A34,'Diags Raw Data'!$M$6:$M$4825,"Delta")</f>
        <v>0</v>
      </c>
      <c r="E34" s="243">
        <f>SUMIFS('Diags Raw Data'!$O$6:$O$4825,'Diags Raw Data'!$D$6:$D$4825,$A34,'Diags Raw Data'!$M$6:$M$4825,"New")+SUMIFS('Diags Raw Data'!$O$6:$O$4825,'Diags Raw Data'!$D$6:$D$4825,$A34,'Diags Raw Data'!$M$6:$M$4825,"Delta")</f>
        <v>0</v>
      </c>
      <c r="F34" s="249" t="str">
        <f t="shared" si="30"/>
        <v>---</v>
      </c>
      <c r="G34" s="221">
        <f>SUMIFS('Diags Raw Data'!$S$6:$S$4825,'Diags Raw Data'!$D$6:$D$4825,$A34,'Diags Raw Data'!$M$6:$M$4825,"New")+SUMIFS('Diags Raw Data'!$S$6:$S$4825,'Diags Raw Data'!$D$6:$D$4825,$A34,'Diags Raw Data'!$M$6:$M$4825,"Delta")</f>
        <v>0</v>
      </c>
      <c r="H34" s="222">
        <f>SUMIFS('Diags Raw Data'!$T$6:$T$4825,'Diags Raw Data'!$D$6:$D$4825,$A34,'Diags Raw Data'!$M$6:$M$4825,"New")+SUMIFS('Diags Raw Data'!$T$6:$T$4825,'Diags Raw Data'!$D$6:$D$4825,$A34,'Diags Raw Data'!$M$6:$M$4825,"Delta")</f>
        <v>0</v>
      </c>
      <c r="I34" s="222">
        <f>SUMIFS('Diags Raw Data'!$U$6:$U$4825,'Diags Raw Data'!$D$6:$D$4825,$A34,'Diags Raw Data'!$M$6:$M$4825,"New")+SUMIFS('Diags Raw Data'!$U$6:$U$4825,'Diags Raw Data'!$D$6:$D$4825,$A34,'Diags Raw Data'!$M$6:$M$4825,"Delta")</f>
        <v>0</v>
      </c>
      <c r="J34" s="222">
        <f>SUMIFS('Diags Raw Data'!$V$6:$V$4825,'Diags Raw Data'!$D$6:$D$4825,$A34,'Diags Raw Data'!$M$6:$M$4825,"New")+SUMIFS('Diags Raw Data'!$V$6:$V$4825,'Diags Raw Data'!$D$6:$D$4825,$A34,'Diags Raw Data'!$M$6:$M$4825,"Delta")</f>
        <v>0</v>
      </c>
      <c r="K34" s="222">
        <f>SUMIFS('Diags Raw Data'!$W$6:$W$4825,'Diags Raw Data'!$D$6:$D$4825,$A34,'Diags Raw Data'!$M$6:$M$4825,"New")+SUMIFS('Diags Raw Data'!$W$6:$W$4825,'Diags Raw Data'!$D$6:$D$4825,$A34,'Diags Raw Data'!$M$6:$M$4825,"Delta")</f>
        <v>0</v>
      </c>
      <c r="L34" s="223" t="str">
        <f t="shared" si="31"/>
        <v>---</v>
      </c>
      <c r="M34" s="225" t="str">
        <f t="shared" si="32"/>
        <v>---</v>
      </c>
      <c r="N34" s="227" t="str">
        <f t="shared" si="33"/>
        <v>---</v>
      </c>
      <c r="O34" s="214">
        <f>SUMIFS('Diags Raw Data'!$Z$6:$Z$4825,'Diags Raw Data'!$D$6:$D$4825,$A34,'Diags Raw Data'!$M$6:$M$4825,"New")+SUMIFS('Diags Raw Data'!$Z$6:$Z$4825,'Diags Raw Data'!$D$6:$D$4825,$A34,'Diags Raw Data'!$M$6:$M$4825,"Delta")</f>
        <v>0</v>
      </c>
      <c r="P34" s="211">
        <f>SUMIFS('Diags Raw Data'!$AA$6:$AA$4825,'Diags Raw Data'!$D$6:$D$4825,$A34,'Diags Raw Data'!$M$6:$M$4825,"New")+SUMIFS('Diags Raw Data'!$AA$6:$AA$4825,'Diags Raw Data'!$D$6:$D$4825,$A34,'Diags Raw Data'!$M$6:$M$4825,"Delta")</f>
        <v>0</v>
      </c>
      <c r="Q34" s="211">
        <f>SUMIFS('Diags Raw Data'!$AB$6:$AB$4825,'Diags Raw Data'!$D$6:$D$4825,$A34,'Diags Raw Data'!$M$6:$M$4825,"New")+SUMIFS('Diags Raw Data'!$AB$6:$AB$4825,'Diags Raw Data'!$D$6:$D$4825,$A34,'Diags Raw Data'!$M$6:$M$4825,"Delta")</f>
        <v>0</v>
      </c>
      <c r="R34" s="211">
        <f>SUMIFS('Diags Raw Data'!$AC$6:$AC$4825,'Diags Raw Data'!$D$6:$D$4825,$A34,'Diags Raw Data'!$M$6:$M$4825,"New")+SUMIFS('Diags Raw Data'!$AC$6:$AC$4825,'Diags Raw Data'!$D$6:$D$4825,$A34,'Diags Raw Data'!$M$6:$M$4825,"Delta")</f>
        <v>0</v>
      </c>
      <c r="S34" s="211">
        <f>SUMIFS('Diags Raw Data'!$AD$6:$AD$4825,'Diags Raw Data'!$D$6:$D$4825,$A34,'Diags Raw Data'!$M$6:$M$4825,"New")+SUMIFS('Diags Raw Data'!$AD$6:$AD$4825,'Diags Raw Data'!$D$6:$D$4825,$A34,'Diags Raw Data'!$M$6:$M$4825,"Delta")</f>
        <v>0</v>
      </c>
      <c r="T34" s="212" t="str">
        <f t="shared" si="34"/>
        <v>---</v>
      </c>
      <c r="U34" s="226" t="str">
        <f t="shared" si="35"/>
        <v>---</v>
      </c>
      <c r="V34" s="242" t="str">
        <f t="shared" si="36"/>
        <v>---</v>
      </c>
    </row>
    <row r="35" spans="1:22" ht="15.75" thickBot="1" x14ac:dyDescent="0.3">
      <c r="A35" s="332" t="s">
        <v>420</v>
      </c>
      <c r="B35" s="253">
        <f>SUMIFS('Diags Raw Data'!$L$6:$L$4825,'Diags Raw Data'!$D$6:$D$4825,$A35,'Diags Raw Data'!$M$6:$M$4825,"New")+SUMIFS('Diags Raw Data'!$L$6:$L$4825,'Diags Raw Data'!$D$6:$D$4825,$A35,'Diags Raw Data'!$M$6:$M$4825,"Delta")</f>
        <v>0</v>
      </c>
      <c r="C35" s="243">
        <f>SUMIFS('Diags Raw Data'!$R$6:$R$4825,'Diags Raw Data'!$D$6:$D$4825,$A35,'Diags Raw Data'!$M$6:$M$4825,"New")+SUMIFS('Diags Raw Data'!$R$6:$R$4825,'Diags Raw Data'!$D$6:$D$4825,$A35,'Diags Raw Data'!$M$6:$M$4825,"Delta")</f>
        <v>0</v>
      </c>
      <c r="D35" s="243">
        <f>SUMIFS('Diags Raw Data'!$K$6:$K$4825,'Diags Raw Data'!$D$6:$D$4825,$A35,'Diags Raw Data'!$M$6:$M$4825,"New")+SUMIFS('Diags Raw Data'!$K$6:$K$4825,'Diags Raw Data'!$D$6:$D$4825,$A35,'Diags Raw Data'!$M$6:$M$4825,"Delta")</f>
        <v>0</v>
      </c>
      <c r="E35" s="243">
        <f>SUMIFS('Diags Raw Data'!$O$6:$O$4825,'Diags Raw Data'!$D$6:$D$4825,$A35,'Diags Raw Data'!$M$6:$M$4825,"New")+SUMIFS('Diags Raw Data'!$O$6:$O$4825,'Diags Raw Data'!$D$6:$D$4825,$A35,'Diags Raw Data'!$M$6:$M$4825,"Delta")</f>
        <v>0</v>
      </c>
      <c r="F35" s="249" t="str">
        <f t="shared" si="30"/>
        <v>---</v>
      </c>
      <c r="G35" s="221">
        <f>SUMIFS('Diags Raw Data'!$S$6:$S$4825,'Diags Raw Data'!$D$6:$D$4825,$A35,'Diags Raw Data'!$M$6:$M$4825,"New")+SUMIFS('Diags Raw Data'!$S$6:$S$4825,'Diags Raw Data'!$D$6:$D$4825,$A35,'Diags Raw Data'!$M$6:$M$4825,"Delta")</f>
        <v>0</v>
      </c>
      <c r="H35" s="222">
        <f>SUMIFS('Diags Raw Data'!$T$6:$T$4825,'Diags Raw Data'!$D$6:$D$4825,$A35,'Diags Raw Data'!$M$6:$M$4825,"New")+SUMIFS('Diags Raw Data'!$T$6:$T$4825,'Diags Raw Data'!$D$6:$D$4825,$A35,'Diags Raw Data'!$M$6:$M$4825,"Delta")</f>
        <v>0</v>
      </c>
      <c r="I35" s="222">
        <f>SUMIFS('Diags Raw Data'!$U$6:$U$4825,'Diags Raw Data'!$D$6:$D$4825,$A35,'Diags Raw Data'!$M$6:$M$4825,"New")+SUMIFS('Diags Raw Data'!$U$6:$U$4825,'Diags Raw Data'!$D$6:$D$4825,$A35,'Diags Raw Data'!$M$6:$M$4825,"Delta")</f>
        <v>0</v>
      </c>
      <c r="J35" s="222">
        <f>SUMIFS('Diags Raw Data'!$V$6:$V$4825,'Diags Raw Data'!$D$6:$D$4825,$A35,'Diags Raw Data'!$M$6:$M$4825,"New")+SUMIFS('Diags Raw Data'!$V$6:$V$4825,'Diags Raw Data'!$D$6:$D$4825,$A35,'Diags Raw Data'!$M$6:$M$4825,"Delta")</f>
        <v>0</v>
      </c>
      <c r="K35" s="222">
        <f>SUMIFS('Diags Raw Data'!$W$6:$W$4825,'Diags Raw Data'!$D$6:$D$4825,$A35,'Diags Raw Data'!$M$6:$M$4825,"New")+SUMIFS('Diags Raw Data'!$W$6:$W$4825,'Diags Raw Data'!$D$6:$D$4825,$A35,'Diags Raw Data'!$M$6:$M$4825,"Delta")</f>
        <v>0</v>
      </c>
      <c r="L35" s="223" t="str">
        <f t="shared" si="31"/>
        <v>---</v>
      </c>
      <c r="M35" s="225" t="str">
        <f t="shared" si="32"/>
        <v>---</v>
      </c>
      <c r="N35" s="227" t="str">
        <f t="shared" si="33"/>
        <v>---</v>
      </c>
      <c r="O35" s="214">
        <f>SUMIFS('Diags Raw Data'!$Z$6:$Z$4825,'Diags Raw Data'!$D$6:$D$4825,$A35,'Diags Raw Data'!$M$6:$M$4825,"New")+SUMIFS('Diags Raw Data'!$Z$6:$Z$4825,'Diags Raw Data'!$D$6:$D$4825,$A35,'Diags Raw Data'!$M$6:$M$4825,"Delta")</f>
        <v>0</v>
      </c>
      <c r="P35" s="211">
        <f>SUMIFS('Diags Raw Data'!$AA$6:$AA$4825,'Diags Raw Data'!$D$6:$D$4825,$A35,'Diags Raw Data'!$M$6:$M$4825,"New")+SUMIFS('Diags Raw Data'!$AA$6:$AA$4825,'Diags Raw Data'!$D$6:$D$4825,$A35,'Diags Raw Data'!$M$6:$M$4825,"Delta")</f>
        <v>0</v>
      </c>
      <c r="Q35" s="211">
        <f>SUMIFS('Diags Raw Data'!$AB$6:$AB$4825,'Diags Raw Data'!$D$6:$D$4825,$A35,'Diags Raw Data'!$M$6:$M$4825,"New")+SUMIFS('Diags Raw Data'!$AB$6:$AB$4825,'Diags Raw Data'!$D$6:$D$4825,$A35,'Diags Raw Data'!$M$6:$M$4825,"Delta")</f>
        <v>0</v>
      </c>
      <c r="R35" s="211">
        <f>SUMIFS('Diags Raw Data'!$AC$6:$AC$4825,'Diags Raw Data'!$D$6:$D$4825,$A35,'Diags Raw Data'!$M$6:$M$4825,"New")+SUMIFS('Diags Raw Data'!$AC$6:$AC$4825,'Diags Raw Data'!$D$6:$D$4825,$A35,'Diags Raw Data'!$M$6:$M$4825,"Delta")</f>
        <v>0</v>
      </c>
      <c r="S35" s="211">
        <f>SUMIFS('Diags Raw Data'!$AD$6:$AD$4825,'Diags Raw Data'!$D$6:$D$4825,$A35,'Diags Raw Data'!$M$6:$M$4825,"New")+SUMIFS('Diags Raw Data'!$AD$6:$AD$4825,'Diags Raw Data'!$D$6:$D$4825,$A35,'Diags Raw Data'!$M$6:$M$4825,"Delta")</f>
        <v>0</v>
      </c>
      <c r="T35" s="212" t="str">
        <f t="shared" si="34"/>
        <v>---</v>
      </c>
      <c r="U35" s="226" t="str">
        <f t="shared" si="35"/>
        <v>---</v>
      </c>
      <c r="V35" s="242" t="str">
        <f t="shared" si="36"/>
        <v>---</v>
      </c>
    </row>
    <row r="36" spans="1:22" ht="15.75" thickBot="1" x14ac:dyDescent="0.3">
      <c r="A36" s="332" t="s">
        <v>593</v>
      </c>
      <c r="B36" s="253">
        <f>SUMIFS('Diags Raw Data'!$L$6:$L$4825,'Diags Raw Data'!$D$6:$D$4825,$A36,'Diags Raw Data'!$M$6:$M$4825,"New")+SUMIFS('Diags Raw Data'!$L$6:$L$4825,'Diags Raw Data'!$D$6:$D$4825,$A36,'Diags Raw Data'!$M$6:$M$4825,"Delta")</f>
        <v>8</v>
      </c>
      <c r="C36" s="243">
        <f>SUMIFS('Diags Raw Data'!$R$6:$R$4825,'Diags Raw Data'!$D$6:$D$4825,$A36,'Diags Raw Data'!$M$6:$M$4825,"New")+SUMIFS('Diags Raw Data'!$R$6:$R$4825,'Diags Raw Data'!$D$6:$D$4825,$A36,'Diags Raw Data'!$M$6:$M$4825,"Delta")</f>
        <v>0</v>
      </c>
      <c r="D36" s="243">
        <f>SUMIFS('Diags Raw Data'!$K$6:$K$4825,'Diags Raw Data'!$D$6:$D$4825,$A36,'Diags Raw Data'!$M$6:$M$4825,"New")+SUMIFS('Diags Raw Data'!$K$6:$K$4825,'Diags Raw Data'!$D$6:$D$4825,$A36,'Diags Raw Data'!$M$6:$M$4825,"Delta")</f>
        <v>240</v>
      </c>
      <c r="E36" s="243">
        <f>SUMIFS('Diags Raw Data'!$O$6:$O$4825,'Diags Raw Data'!$D$6:$D$4825,$A36,'Diags Raw Data'!$M$6:$M$4825,"New")+SUMIFS('Diags Raw Data'!$O$6:$O$4825,'Diags Raw Data'!$D$6:$D$4825,$A36,'Diags Raw Data'!$M$6:$M$4825,"Delta")</f>
        <v>8</v>
      </c>
      <c r="F36" s="249">
        <f t="shared" ref="F36" si="37">IF(NOT($B36=0), E36/$B36, "---")</f>
        <v>1</v>
      </c>
      <c r="G36" s="221">
        <f>SUMIFS('Diags Raw Data'!$S$6:$S$4825,'Diags Raw Data'!$D$6:$D$4825,$A36,'Diags Raw Data'!$M$6:$M$4825,"New")+SUMIFS('Diags Raw Data'!$S$6:$S$4825,'Diags Raw Data'!$D$6:$D$4825,$A36,'Diags Raw Data'!$M$6:$M$4825,"Delta")</f>
        <v>0</v>
      </c>
      <c r="H36" s="222">
        <f>SUMIFS('Diags Raw Data'!$T$6:$T$4825,'Diags Raw Data'!$D$6:$D$4825,$A36,'Diags Raw Data'!$M$6:$M$4825,"New")+SUMIFS('Diags Raw Data'!$T$6:$T$4825,'Diags Raw Data'!$D$6:$D$4825,$A36,'Diags Raw Data'!$M$6:$M$4825,"Delta")</f>
        <v>0</v>
      </c>
      <c r="I36" s="222">
        <f>SUMIFS('Diags Raw Data'!$U$6:$U$4825,'Diags Raw Data'!$D$6:$D$4825,$A36,'Diags Raw Data'!$M$6:$M$4825,"New")+SUMIFS('Diags Raw Data'!$U$6:$U$4825,'Diags Raw Data'!$D$6:$D$4825,$A36,'Diags Raw Data'!$M$6:$M$4825,"Delta")</f>
        <v>0</v>
      </c>
      <c r="J36" s="222">
        <f>SUMIFS('Diags Raw Data'!$V$6:$V$4825,'Diags Raw Data'!$D$6:$D$4825,$A36,'Diags Raw Data'!$M$6:$M$4825,"New")+SUMIFS('Diags Raw Data'!$V$6:$V$4825,'Diags Raw Data'!$D$6:$D$4825,$A36,'Diags Raw Data'!$M$6:$M$4825,"Delta")</f>
        <v>0</v>
      </c>
      <c r="K36" s="222">
        <f>SUMIFS('Diags Raw Data'!$W$6:$W$4825,'Diags Raw Data'!$D$6:$D$4825,$A36,'Diags Raw Data'!$M$6:$M$4825,"New")+SUMIFS('Diags Raw Data'!$W$6:$W$4825,'Diags Raw Data'!$D$6:$D$4825,$A36,'Diags Raw Data'!$M$6:$M$4825,"Delta")</f>
        <v>0</v>
      </c>
      <c r="L36" s="223" t="str">
        <f t="shared" ref="L36" si="38">IF(NOT($C36=0), G36/$C36, "---")</f>
        <v>---</v>
      </c>
      <c r="M36" s="225" t="str">
        <f t="shared" ref="M36" si="39">IF(NOT($G36=0), (H36+I36)/$G36, "---")</f>
        <v>---</v>
      </c>
      <c r="N36" s="227" t="str">
        <f t="shared" ref="N36" si="40">IF(NOT($C36=0), (H36+I36)/$C36, "---")</f>
        <v>---</v>
      </c>
      <c r="O36" s="214">
        <f>SUMIFS('Diags Raw Data'!$Z$6:$Z$4825,'Diags Raw Data'!$D$6:$D$4825,$A36,'Diags Raw Data'!$M$6:$M$4825,"New")+SUMIFS('Diags Raw Data'!$Z$6:$Z$4825,'Diags Raw Data'!$D$6:$D$4825,$A36,'Diags Raw Data'!$M$6:$M$4825,"Delta")</f>
        <v>0</v>
      </c>
      <c r="P36" s="211">
        <f>SUMIFS('Diags Raw Data'!$AA$6:$AA$4825,'Diags Raw Data'!$D$6:$D$4825,$A36,'Diags Raw Data'!$M$6:$M$4825,"New")+SUMIFS('Diags Raw Data'!$AA$6:$AA$4825,'Diags Raw Data'!$D$6:$D$4825,$A36,'Diags Raw Data'!$M$6:$M$4825,"Delta")</f>
        <v>0</v>
      </c>
      <c r="Q36" s="211">
        <f>SUMIFS('Diags Raw Data'!$AB$6:$AB$4825,'Diags Raw Data'!$D$6:$D$4825,$A36,'Diags Raw Data'!$M$6:$M$4825,"New")+SUMIFS('Diags Raw Data'!$AB$6:$AB$4825,'Diags Raw Data'!$D$6:$D$4825,$A36,'Diags Raw Data'!$M$6:$M$4825,"Delta")</f>
        <v>0</v>
      </c>
      <c r="R36" s="211">
        <f>SUMIFS('Diags Raw Data'!$AC$6:$AC$4825,'Diags Raw Data'!$D$6:$D$4825,$A36,'Diags Raw Data'!$M$6:$M$4825,"New")+SUMIFS('Diags Raw Data'!$AC$6:$AC$4825,'Diags Raw Data'!$D$6:$D$4825,$A36,'Diags Raw Data'!$M$6:$M$4825,"Delta")</f>
        <v>0</v>
      </c>
      <c r="S36" s="211">
        <f>SUMIFS('Diags Raw Data'!$AD$6:$AD$4825,'Diags Raw Data'!$D$6:$D$4825,$A36,'Diags Raw Data'!$M$6:$M$4825,"New")+SUMIFS('Diags Raw Data'!$AD$6:$AD$4825,'Diags Raw Data'!$D$6:$D$4825,$A36,'Diags Raw Data'!$M$6:$M$4825,"Delta")</f>
        <v>0</v>
      </c>
      <c r="T36" s="212">
        <f t="shared" ref="T36" si="41">IF(NOT($B36=0), O36/$B36, "---")</f>
        <v>0</v>
      </c>
      <c r="U36" s="226" t="str">
        <f t="shared" ref="U36" si="42">IF(NOT($O36=0), (P36+Q36)/$O36, "---")</f>
        <v>---</v>
      </c>
      <c r="V36" s="242">
        <f t="shared" ref="V36" si="43">IF(NOT($B36=0), (P36+Q36)/$B36, "---")</f>
        <v>0</v>
      </c>
    </row>
    <row r="37" spans="1:22" ht="15.75" thickBot="1" x14ac:dyDescent="0.3">
      <c r="A37" s="333" t="s">
        <v>428</v>
      </c>
      <c r="B37" s="253">
        <f>SUMIFS('Diags Raw Data'!$L$6:$L$4825,'Diags Raw Data'!$D$6:$D$4825,$A37,'Diags Raw Data'!$M$6:$M$4825,"New")+SUMIFS('Diags Raw Data'!$L$6:$L$4825,'Diags Raw Data'!$D$6:$D$4825,$A37,'Diags Raw Data'!$M$6:$M$4825,"Delta")</f>
        <v>0</v>
      </c>
      <c r="C37" s="243">
        <f>SUMIFS('Diags Raw Data'!$R$6:$R$4825,'Diags Raw Data'!$D$6:$D$4825,$A37,'Diags Raw Data'!$M$6:$M$4825,"New")+SUMIFS('Diags Raw Data'!$R$6:$R$4825,'Diags Raw Data'!$D$6:$D$4825,$A37,'Diags Raw Data'!$M$6:$M$4825,"Delta")</f>
        <v>0</v>
      </c>
      <c r="D37" s="243">
        <f>SUMIFS('Diags Raw Data'!$K$6:$K$4825,'Diags Raw Data'!$D$6:$D$4825,$A37,'Diags Raw Data'!$M$6:$M$4825,"New")+SUMIFS('Diags Raw Data'!$K$6:$K$4825,'Diags Raw Data'!$D$6:$D$4825,$A37,'Diags Raw Data'!$M$6:$M$4825,"Delta")</f>
        <v>0</v>
      </c>
      <c r="E37" s="243">
        <f>SUMIFS('Diags Raw Data'!$O$6:$O$4825,'Diags Raw Data'!$D$6:$D$4825,$A37,'Diags Raw Data'!$M$6:$M$4825,"New")+SUMIFS('Diags Raw Data'!$O$6:$O$4825,'Diags Raw Data'!$D$6:$D$4825,$A37,'Diags Raw Data'!$M$6:$M$4825,"Delta")</f>
        <v>0</v>
      </c>
      <c r="F37" s="249" t="str">
        <f t="shared" si="30"/>
        <v>---</v>
      </c>
      <c r="G37" s="221">
        <f>SUMIFS('Diags Raw Data'!$S$6:$S$4825,'Diags Raw Data'!$D$6:$D$4825,$A37,'Diags Raw Data'!$M$6:$M$4825,"New")+SUMIFS('Diags Raw Data'!$S$6:$S$4825,'Diags Raw Data'!$D$6:$D$4825,$A37,'Diags Raw Data'!$M$6:$M$4825,"Delta")</f>
        <v>0</v>
      </c>
      <c r="H37" s="222">
        <f>SUMIFS('Diags Raw Data'!$T$6:$T$4825,'Diags Raw Data'!$D$6:$D$4825,$A37,'Diags Raw Data'!$M$6:$M$4825,"New")+SUMIFS('Diags Raw Data'!$T$6:$T$4825,'Diags Raw Data'!$D$6:$D$4825,$A37,'Diags Raw Data'!$M$6:$M$4825,"Delta")</f>
        <v>0</v>
      </c>
      <c r="I37" s="222">
        <f>SUMIFS('Diags Raw Data'!$U$6:$U$4825,'Diags Raw Data'!$D$6:$D$4825,$A37,'Diags Raw Data'!$M$6:$M$4825,"New")+SUMIFS('Diags Raw Data'!$U$6:$U$4825,'Diags Raw Data'!$D$6:$D$4825,$A37,'Diags Raw Data'!$M$6:$M$4825,"Delta")</f>
        <v>0</v>
      </c>
      <c r="J37" s="222">
        <f>SUMIFS('Diags Raw Data'!$V$6:$V$4825,'Diags Raw Data'!$D$6:$D$4825,$A37,'Diags Raw Data'!$M$6:$M$4825,"New")+SUMIFS('Diags Raw Data'!$V$6:$V$4825,'Diags Raw Data'!$D$6:$D$4825,$A37,'Diags Raw Data'!$M$6:$M$4825,"Delta")</f>
        <v>0</v>
      </c>
      <c r="K37" s="222">
        <f>SUMIFS('Diags Raw Data'!$W$6:$W$4825,'Diags Raw Data'!$D$6:$D$4825,$A37,'Diags Raw Data'!$M$6:$M$4825,"New")+SUMIFS('Diags Raw Data'!$W$6:$W$4825,'Diags Raw Data'!$D$6:$D$4825,$A37,'Diags Raw Data'!$M$6:$M$4825,"Delta")</f>
        <v>0</v>
      </c>
      <c r="L37" s="223" t="str">
        <f t="shared" si="31"/>
        <v>---</v>
      </c>
      <c r="M37" s="225" t="str">
        <f t="shared" si="32"/>
        <v>---</v>
      </c>
      <c r="N37" s="227" t="str">
        <f t="shared" si="33"/>
        <v>---</v>
      </c>
      <c r="O37" s="214">
        <f>SUMIFS('Diags Raw Data'!$Z$6:$Z$4825,'Diags Raw Data'!$D$6:$D$4825,$A37,'Diags Raw Data'!$M$6:$M$4825,"New")+SUMIFS('Diags Raw Data'!$Z$6:$Z$4825,'Diags Raw Data'!$D$6:$D$4825,$A37,'Diags Raw Data'!$M$6:$M$4825,"Delta")</f>
        <v>0</v>
      </c>
      <c r="P37" s="211">
        <f>SUMIFS('Diags Raw Data'!$AA$6:$AA$4825,'Diags Raw Data'!$D$6:$D$4825,$A37,'Diags Raw Data'!$M$6:$M$4825,"New")+SUMIFS('Diags Raw Data'!$AA$6:$AA$4825,'Diags Raw Data'!$D$6:$D$4825,$A37,'Diags Raw Data'!$M$6:$M$4825,"Delta")</f>
        <v>0</v>
      </c>
      <c r="Q37" s="211">
        <f>SUMIFS('Diags Raw Data'!$AB$6:$AB$4825,'Diags Raw Data'!$D$6:$D$4825,$A37,'Diags Raw Data'!$M$6:$M$4825,"New")+SUMIFS('Diags Raw Data'!$AB$6:$AB$4825,'Diags Raw Data'!$D$6:$D$4825,$A37,'Diags Raw Data'!$M$6:$M$4825,"Delta")</f>
        <v>0</v>
      </c>
      <c r="R37" s="211">
        <f>SUMIFS('Diags Raw Data'!$AC$6:$AC$4825,'Diags Raw Data'!$D$6:$D$4825,$A37,'Diags Raw Data'!$M$6:$M$4825,"New")+SUMIFS('Diags Raw Data'!$AC$6:$AC$4825,'Diags Raw Data'!$D$6:$D$4825,$A37,'Diags Raw Data'!$M$6:$M$4825,"Delta")</f>
        <v>0</v>
      </c>
      <c r="S37" s="211">
        <f>SUMIFS('Diags Raw Data'!$AD$6:$AD$4825,'Diags Raw Data'!$D$6:$D$4825,$A37,'Diags Raw Data'!$M$6:$M$4825,"New")+SUMIFS('Diags Raw Data'!$AD$6:$AD$4825,'Diags Raw Data'!$D$6:$D$4825,$A37,'Diags Raw Data'!$M$6:$M$4825,"Delta")</f>
        <v>0</v>
      </c>
      <c r="T37" s="212" t="str">
        <f t="shared" si="34"/>
        <v>---</v>
      </c>
      <c r="U37" s="226" t="str">
        <f t="shared" si="35"/>
        <v>---</v>
      </c>
      <c r="V37" s="242" t="str">
        <f t="shared" si="36"/>
        <v>---</v>
      </c>
    </row>
    <row r="38" spans="1:22" ht="16.5" thickBot="1" x14ac:dyDescent="0.3">
      <c r="A38" s="257" t="s">
        <v>828</v>
      </c>
      <c r="B38" s="258">
        <f>SUM(B23:B37)</f>
        <v>115</v>
      </c>
      <c r="C38" s="259">
        <f>SUM(C23:C37)</f>
        <v>21</v>
      </c>
      <c r="D38" s="259">
        <f>SUM(D23:D37)</f>
        <v>246</v>
      </c>
      <c r="E38" s="259">
        <f>SUM(E23:E37)</f>
        <v>115</v>
      </c>
      <c r="F38" s="260" cm="1">
        <f t="array" ref="F38">SUMPRODUCT(--(ISNUMBER(SEARCH("New",'Diags Raw Data'!$M$6:$M$4825))),'Diags Raw Data'!$K$6:$K$4825,'Diags Raw Data'!$P$6:$P$4825)/D38+SUMPRODUCT(--(ISNUMBER(SEARCH("Delta",'Diags Raw Data'!$M$6:$M$4825))),'Diags Raw Data'!$K$6:$K$4825,'Diags Raw Data'!$P$6:$P$4825)/D38</f>
        <v>1</v>
      </c>
      <c r="G38" s="261">
        <f>SUM(G23:G37)</f>
        <v>0</v>
      </c>
      <c r="H38" s="262">
        <f>SUM(H23:H37)</f>
        <v>0</v>
      </c>
      <c r="I38" s="263">
        <f>SUM(I23:I37)</f>
        <v>0</v>
      </c>
      <c r="J38" s="262">
        <f>SUM(J23:J37)</f>
        <v>0</v>
      </c>
      <c r="K38" s="263">
        <f>SUM(K23:K37)</f>
        <v>0</v>
      </c>
      <c r="L38" s="264">
        <f>IF(NOT($C38=0), G38/$C38, "---")</f>
        <v>0</v>
      </c>
      <c r="M38" s="265" t="str">
        <f t="shared" ref="M38" si="44">IF(NOT($G38=0), (H38+I38)/$G38, "---")</f>
        <v>---</v>
      </c>
      <c r="N38" s="266">
        <f>IF(NOT($C38=0), (H38+I38)/$C38, "---")</f>
        <v>0</v>
      </c>
      <c r="O38" s="267">
        <f>SUM(O23:O37)</f>
        <v>0</v>
      </c>
      <c r="P38" s="268">
        <f>SUM(P23:P37)</f>
        <v>0</v>
      </c>
      <c r="Q38" s="269">
        <f>SUM(Q23:Q37)</f>
        <v>0</v>
      </c>
      <c r="R38" s="268">
        <f>SUM(R23:R37)</f>
        <v>0</v>
      </c>
      <c r="S38" s="269">
        <f>SUM(S23:S37)</f>
        <v>0</v>
      </c>
      <c r="T38" s="270">
        <f>IF(NOT($B38=0), O38/$B38, "---")</f>
        <v>0</v>
      </c>
      <c r="U38" s="271" t="str">
        <f t="shared" ref="U38" si="45">IF(NOT($O38=0), (P38+Q38)/$O38, "---")</f>
        <v>---</v>
      </c>
      <c r="V38" s="272">
        <f t="shared" ref="V38" si="46">IF(NOT($B38=0), (P38+Q38)/$B38, "---")</f>
        <v>0</v>
      </c>
    </row>
    <row r="39" spans="1:22" ht="15.75" thickBot="1" x14ac:dyDescent="0.3">
      <c r="A39" s="248"/>
      <c r="B39" s="248"/>
      <c r="C39" s="248"/>
      <c r="D39" s="248"/>
      <c r="E39" s="248"/>
      <c r="F39" s="248"/>
      <c r="G39" s="248"/>
      <c r="H39" s="248"/>
      <c r="I39" s="248"/>
      <c r="J39" s="248"/>
      <c r="K39" s="248"/>
      <c r="L39" s="248"/>
      <c r="M39" s="248"/>
      <c r="N39" s="248"/>
      <c r="O39" s="248"/>
      <c r="P39" s="248"/>
      <c r="Q39" s="248"/>
      <c r="R39" s="248"/>
      <c r="S39" s="248"/>
      <c r="T39" s="248"/>
      <c r="U39" s="248"/>
      <c r="V39" s="248"/>
    </row>
    <row r="40" spans="1:22" ht="15.75" thickBot="1" x14ac:dyDescent="0.3">
      <c r="A40" s="218" t="s">
        <v>33</v>
      </c>
      <c r="B40" s="653" t="s">
        <v>166</v>
      </c>
      <c r="C40" s="653"/>
      <c r="D40" s="653"/>
      <c r="E40" s="653"/>
      <c r="F40" s="653"/>
      <c r="G40" s="654" t="s">
        <v>177</v>
      </c>
      <c r="H40" s="655"/>
      <c r="I40" s="655"/>
      <c r="J40" s="655"/>
      <c r="K40" s="655"/>
      <c r="L40" s="655"/>
      <c r="M40" s="655"/>
      <c r="N40" s="656"/>
      <c r="O40" s="657" t="s">
        <v>144</v>
      </c>
      <c r="P40" s="658"/>
      <c r="Q40" s="658"/>
      <c r="R40" s="658"/>
      <c r="S40" s="658"/>
      <c r="T40" s="658"/>
      <c r="U40" s="658"/>
      <c r="V40" s="659"/>
    </row>
    <row r="41" spans="1:22" s="252" customFormat="1" ht="15.75" thickBot="1" x14ac:dyDescent="0.3">
      <c r="A41" s="256" t="s">
        <v>88</v>
      </c>
      <c r="B41" s="313" t="s">
        <v>167</v>
      </c>
      <c r="C41" s="314" t="s">
        <v>128</v>
      </c>
      <c r="D41" s="315" t="s">
        <v>105</v>
      </c>
      <c r="E41" s="315" t="s">
        <v>173</v>
      </c>
      <c r="F41" s="316" t="s">
        <v>175</v>
      </c>
      <c r="G41" s="317" t="s">
        <v>132</v>
      </c>
      <c r="H41" s="318" t="s">
        <v>30</v>
      </c>
      <c r="I41" s="318" t="s">
        <v>135</v>
      </c>
      <c r="J41" s="318" t="s">
        <v>36</v>
      </c>
      <c r="K41" s="318" t="s">
        <v>138</v>
      </c>
      <c r="L41" s="318" t="s">
        <v>184</v>
      </c>
      <c r="M41" s="318" t="s">
        <v>140</v>
      </c>
      <c r="N41" s="319" t="s">
        <v>187</v>
      </c>
      <c r="O41" s="320" t="s">
        <v>132</v>
      </c>
      <c r="P41" s="321" t="s">
        <v>30</v>
      </c>
      <c r="Q41" s="321" t="s">
        <v>135</v>
      </c>
      <c r="R41" s="321" t="s">
        <v>36</v>
      </c>
      <c r="S41" s="321" t="s">
        <v>138</v>
      </c>
      <c r="T41" s="321" t="s">
        <v>184</v>
      </c>
      <c r="U41" s="321" t="s">
        <v>140</v>
      </c>
      <c r="V41" s="322" t="s">
        <v>187</v>
      </c>
    </row>
    <row r="42" spans="1:22" x14ac:dyDescent="0.25">
      <c r="A42" s="332" t="s">
        <v>394</v>
      </c>
      <c r="B42" s="253">
        <f>SUMIFS('Diags Raw Data'!$L$6:$L$4825,'Diags Raw Data'!$D$6:$D$4825,$A42,'Diags Raw Data'!$M$6:$M$4825,"Legacy")</f>
        <v>13</v>
      </c>
      <c r="C42" s="243">
        <f>SUMIFS('Diags Raw Data'!$R$6:$R$4825,'Diags Raw Data'!$D$6:$D$4825,$A42,'Diags Raw Data'!$M$6:$M$4825,"Legacy")</f>
        <v>13</v>
      </c>
      <c r="D42" s="243">
        <f>SUMIFS('Diags Raw Data'!$K$6:$K$4825,'Diags Raw Data'!$D$6:$D$4825,$A42,'Diags Raw Data'!$M$6:$M$4825,"Legacy")</f>
        <v>2</v>
      </c>
      <c r="E42" s="243">
        <f>SUMIFS('Diags Raw Data'!$O$6:$O$4825,'Diags Raw Data'!$D$6:$D$4825,$A42,'Diags Raw Data'!$M$6:$M$4825,"Legacy")</f>
        <v>13</v>
      </c>
      <c r="F42" s="249">
        <f>IF(NOT($B42=0), E42/$B42, "---")</f>
        <v>1</v>
      </c>
      <c r="G42" s="221">
        <f>SUMIFS('Diags Raw Data'!$S$6:$S$4825,'Diags Raw Data'!$D$6:$D$4825,$A42,'Diags Raw Data'!$M$6:$M$4825,"Legacy")</f>
        <v>0</v>
      </c>
      <c r="H42" s="222">
        <f>SUMIFS('Diags Raw Data'!$T$6:$T$4825,'Diags Raw Data'!$D$6:$D$4825,$A42,'Diags Raw Data'!$M$6:$M$4825,"Legacy")</f>
        <v>0</v>
      </c>
      <c r="I42" s="224">
        <f>SUMIFS('Diags Raw Data'!$U$6:$U$4825,'Diags Raw Data'!$D$6:$D$4825,$A42,'Diags Raw Data'!$M$6:$M$4825,"Legacy")</f>
        <v>0</v>
      </c>
      <c r="J42" s="222">
        <f>SUMIFS('Diags Raw Data'!$V$6:$V$4825,'Diags Raw Data'!$D$6:$D$4825,$A42,'Diags Raw Data'!$M$6:$M$4825,"Legacy")</f>
        <v>0</v>
      </c>
      <c r="K42" s="224">
        <f>SUMIFS('Diags Raw Data'!$W$6:$W$4825,'Diags Raw Data'!$D$6:$D$4825,$A42,'Diags Raw Data'!$M$6:$M$4825,"Legacy")</f>
        <v>0</v>
      </c>
      <c r="L42" s="223">
        <f>IF(NOT($C42=0), G42/$C42, "---")</f>
        <v>0</v>
      </c>
      <c r="M42" s="225" t="str">
        <f>IF(NOT($G42=0), (H42+I42)/$G42, "---")</f>
        <v>---</v>
      </c>
      <c r="N42" s="227">
        <f>IF(NOT($C42=0), (H42+I42)/$C42, "---")</f>
        <v>0</v>
      </c>
      <c r="O42" s="214">
        <v>0</v>
      </c>
      <c r="P42" s="211">
        <f>SUMIFS('Diags Raw Data'!$AA$6:$AA$4825,'Diags Raw Data'!$D$6:$D$4825,$A42,'Diags Raw Data'!$M$6:$M$4825,"Legacy")</f>
        <v>0</v>
      </c>
      <c r="Q42" s="213">
        <f>SUMIFS('Diags Raw Data'!$AB$6:$AB$4825,'Diags Raw Data'!$D$6:$D$4825,$A42,'Diags Raw Data'!$M$6:$M$4825,"Legacy")</f>
        <v>0</v>
      </c>
      <c r="R42" s="211">
        <f>SUMIFS('Diags Raw Data'!$AC$6:$AC$4825,'Diags Raw Data'!$D$6:$D$4825,$A42,'Diags Raw Data'!$M$6:$M$4825,"Legacy")</f>
        <v>0</v>
      </c>
      <c r="S42" s="213">
        <f>SUMIFS('Diags Raw Data'!$AD$6:$AD$4825,'Diags Raw Data'!$D$6:$D$4825,$A42,'Diags Raw Data'!$M$6:$M$4825,"Legacy")</f>
        <v>0</v>
      </c>
      <c r="T42" s="212">
        <f>IF(NOT($B42=0), O42/$B42, "---")</f>
        <v>0</v>
      </c>
      <c r="U42" s="226" t="str">
        <f>IF(NOT($O42=0), (P42+Q42)/$O42, "---")</f>
        <v>---</v>
      </c>
      <c r="V42" s="242">
        <f>IF(NOT($B42=0), (P42+Q42)/$B42, "---")</f>
        <v>0</v>
      </c>
    </row>
    <row r="43" spans="1:22" x14ac:dyDescent="0.25">
      <c r="A43" s="332" t="s">
        <v>572</v>
      </c>
      <c r="B43" s="254">
        <f>SUMIFS('Diags Raw Data'!$L$6:$L$4825,'Diags Raw Data'!$D$6:$D$4825,$A43,'Diags Raw Data'!$M$6:$M$4825,"Legacy")</f>
        <v>6</v>
      </c>
      <c r="C43" s="244">
        <f>SUMIFS('Diags Raw Data'!$R$6:$R$4825,'Diags Raw Data'!$D$6:$D$4825,$A43,'Diags Raw Data'!$M$6:$M$4825,"Legacy")</f>
        <v>10</v>
      </c>
      <c r="D43" s="244">
        <f>SUMIFS('Diags Raw Data'!$K$6:$K$4825,'Diags Raw Data'!$D$6:$D$4825,$A43,'Diags Raw Data'!$M$6:$M$4825,"Legacy")</f>
        <v>3</v>
      </c>
      <c r="E43" s="244">
        <f>SUMIFS('Diags Raw Data'!$O$6:$O$4825,'Diags Raw Data'!$D$6:$D$4825,$A43,'Diags Raw Data'!$M$6:$M$4825,"Legacy")</f>
        <v>6</v>
      </c>
      <c r="F43" s="250">
        <f t="shared" ref="F43:F56" si="47">IF(NOT($B43=0), E43/$B43, "---")</f>
        <v>1</v>
      </c>
      <c r="G43" s="232">
        <f>SUMIFS('Diags Raw Data'!$S$6:$S$4825,'Diags Raw Data'!$D$6:$D$4825,$A43,'Diags Raw Data'!$M$6:$M$4825,"Legacy")</f>
        <v>0</v>
      </c>
      <c r="H43" s="228">
        <f>SUMIFS('Diags Raw Data'!$T$6:$T$4825,'Diags Raw Data'!$D$6:$D$4825,$A43,'Diags Raw Data'!$M$6:$M$4825,"Legacy")</f>
        <v>0</v>
      </c>
      <c r="I43" s="229">
        <f>SUMIFS('Diags Raw Data'!$U$6:$U$4825,'Diags Raw Data'!$D$6:$D$4825,$A43,'Diags Raw Data'!$M$6:$M$4825,"Legacy")</f>
        <v>0</v>
      </c>
      <c r="J43" s="228">
        <f>SUMIFS('Diags Raw Data'!$V$6:$V$4825,'Diags Raw Data'!$D$6:$D$4825,$A43,'Diags Raw Data'!$M$6:$M$4825,"Legacy")</f>
        <v>0</v>
      </c>
      <c r="K43" s="229">
        <f>SUMIFS('Diags Raw Data'!$W$6:$W$4825,'Diags Raw Data'!$D$6:$D$4825,$A43,'Diags Raw Data'!$M$6:$M$4825,"Legacy")</f>
        <v>0</v>
      </c>
      <c r="L43" s="245">
        <f t="shared" ref="L43:L56" si="48">IF(NOT($C43=0), G43/$C43, "---")</f>
        <v>0</v>
      </c>
      <c r="M43" s="230" t="str">
        <f t="shared" ref="M43:M57" si="49">IF(NOT($G43=0), (H43+I43)/$G43, "---")</f>
        <v>---</v>
      </c>
      <c r="N43" s="239">
        <f t="shared" ref="N43:N57" si="50">IF(NOT($C43=0), (H43+I43)/$C43, "---")</f>
        <v>0</v>
      </c>
      <c r="O43" s="215">
        <v>0</v>
      </c>
      <c r="P43" s="205">
        <f>SUMIFS('Diags Raw Data'!$AA$6:$AA$4825,'Diags Raw Data'!$D$6:$D$4825,$A43,'Diags Raw Data'!$M$6:$M$4825,"Legacy")</f>
        <v>0</v>
      </c>
      <c r="Q43" s="207">
        <f>SUMIFS('Diags Raw Data'!$AB$6:$AB$4825,'Diags Raw Data'!$D$6:$D$4825,$A43,'Diags Raw Data'!$M$6:$M$4825,"Legacy")</f>
        <v>0</v>
      </c>
      <c r="R43" s="205">
        <f>SUMIFS('Diags Raw Data'!$AC$6:$AC$4825,'Diags Raw Data'!$D$6:$D$4825,$A43,'Diags Raw Data'!$M$6:$M$4825,"Legacy")</f>
        <v>0</v>
      </c>
      <c r="S43" s="207">
        <f>SUMIFS('Diags Raw Data'!$AD$6:$AD$4825,'Diags Raw Data'!$D$6:$D$4825,$A43,'Diags Raw Data'!$M$6:$M$4825,"Legacy")</f>
        <v>0</v>
      </c>
      <c r="T43" s="206">
        <f t="shared" ref="T43:T56" si="51">IF(NOT($B43=0), O43/$B43, "---")</f>
        <v>0</v>
      </c>
      <c r="U43" s="231" t="str">
        <f t="shared" ref="U43:U57" si="52">IF(NOT($O43=0), (P43+Q43)/$O43, "---")</f>
        <v>---</v>
      </c>
      <c r="V43" s="233">
        <f t="shared" ref="V43:V56" si="53">IF(NOT($B43=0), (P43+Q43)/$B43, "---")</f>
        <v>0</v>
      </c>
    </row>
    <row r="44" spans="1:22" x14ac:dyDescent="0.25">
      <c r="A44" s="332" t="s">
        <v>264</v>
      </c>
      <c r="B44" s="254">
        <f>SUMIFS('Diags Raw Data'!$L$6:$L$4825,'Diags Raw Data'!$D$6:$D$4825,$A44,'Diags Raw Data'!$M$6:$M$4825,"Legacy")</f>
        <v>833</v>
      </c>
      <c r="C44" s="244">
        <f>SUMIFS('Diags Raw Data'!$R$6:$R$4825,'Diags Raw Data'!$D$6:$D$4825,$A44,'Diags Raw Data'!$M$6:$M$4825,"Legacy")</f>
        <v>860</v>
      </c>
      <c r="D44" s="244">
        <f>SUMIFS('Diags Raw Data'!$K$6:$K$4825,'Diags Raw Data'!$D$6:$D$4825,$A44,'Diags Raw Data'!$M$6:$M$4825,"Legacy")</f>
        <v>64</v>
      </c>
      <c r="E44" s="244">
        <f>SUMIFS('Diags Raw Data'!$O$6:$O$4825,'Diags Raw Data'!$D$6:$D$4825,$A44,'Diags Raw Data'!$M$6:$M$4825,"Legacy")</f>
        <v>833</v>
      </c>
      <c r="F44" s="250">
        <f t="shared" si="47"/>
        <v>1</v>
      </c>
      <c r="G44" s="232">
        <f>SUMIFS('Diags Raw Data'!$S$6:$S$4825,'Diags Raw Data'!$D$6:$D$4825,$A44,'Diags Raw Data'!$M$6:$M$4825,"Legacy")</f>
        <v>0</v>
      </c>
      <c r="H44" s="228">
        <f>SUMIFS('Diags Raw Data'!$T$6:$T$4825,'Diags Raw Data'!$D$6:$D$4825,$A44,'Diags Raw Data'!$M$6:$M$4825,"Legacy")</f>
        <v>0</v>
      </c>
      <c r="I44" s="229">
        <f>SUMIFS('Diags Raw Data'!$U$6:$U$4825,'Diags Raw Data'!$D$6:$D$4825,$A44,'Diags Raw Data'!$M$6:$M$4825,"Legacy")</f>
        <v>0</v>
      </c>
      <c r="J44" s="228">
        <f>SUMIFS('Diags Raw Data'!$V$6:$V$4825,'Diags Raw Data'!$D$6:$D$4825,$A44,'Diags Raw Data'!$M$6:$M$4825,"Legacy")</f>
        <v>0</v>
      </c>
      <c r="K44" s="229">
        <f>SUMIFS('Diags Raw Data'!$W$6:$W$4825,'Diags Raw Data'!$D$6:$D$4825,$A44,'Diags Raw Data'!$M$6:$M$4825,"Legacy")</f>
        <v>0</v>
      </c>
      <c r="L44" s="245">
        <f t="shared" si="48"/>
        <v>0</v>
      </c>
      <c r="M44" s="230" t="str">
        <f t="shared" si="49"/>
        <v>---</v>
      </c>
      <c r="N44" s="239">
        <f t="shared" si="50"/>
        <v>0</v>
      </c>
      <c r="O44" s="215">
        <v>0</v>
      </c>
      <c r="P44" s="205">
        <f>SUMIFS('Diags Raw Data'!$AA$6:$AA$4825,'Diags Raw Data'!$D$6:$D$4825,$A44,'Diags Raw Data'!$M$6:$M$4825,"Legacy")</f>
        <v>0</v>
      </c>
      <c r="Q44" s="207">
        <f>SUMIFS('Diags Raw Data'!$AB$6:$AB$4825,'Diags Raw Data'!$D$6:$D$4825,$A44,'Diags Raw Data'!$M$6:$M$4825,"Legacy")</f>
        <v>0</v>
      </c>
      <c r="R44" s="205">
        <f>SUMIFS('Diags Raw Data'!$AC$6:$AC$4825,'Diags Raw Data'!$D$6:$D$4825,$A44,'Diags Raw Data'!$M$6:$M$4825,"Legacy")</f>
        <v>0</v>
      </c>
      <c r="S44" s="207">
        <f>SUMIFS('Diags Raw Data'!$AD$6:$AD$4825,'Diags Raw Data'!$D$6:$D$4825,$A44,'Diags Raw Data'!$M$6:$M$4825,"Legacy")</f>
        <v>0</v>
      </c>
      <c r="T44" s="206">
        <f t="shared" si="51"/>
        <v>0</v>
      </c>
      <c r="U44" s="231" t="str">
        <f t="shared" si="52"/>
        <v>---</v>
      </c>
      <c r="V44" s="233">
        <f t="shared" si="53"/>
        <v>0</v>
      </c>
    </row>
    <row r="45" spans="1:22" x14ac:dyDescent="0.25">
      <c r="A45" s="332" t="s">
        <v>257</v>
      </c>
      <c r="B45" s="254">
        <f>SUMIFS('Diags Raw Data'!$L$6:$L$4825,'Diags Raw Data'!$D$6:$D$4825,$A45,'Diags Raw Data'!$M$6:$M$4825,"Legacy")</f>
        <v>1784</v>
      </c>
      <c r="C45" s="244">
        <f>SUMIFS('Diags Raw Data'!$R$6:$R$4825,'Diags Raw Data'!$D$6:$D$4825,$A45,'Diags Raw Data'!$M$6:$M$4825,"Legacy")</f>
        <v>1267</v>
      </c>
      <c r="D45" s="244">
        <f>SUMIFS('Diags Raw Data'!$K$6:$K$4825,'Diags Raw Data'!$D$6:$D$4825,$A45,'Diags Raw Data'!$M$6:$M$4825,"Legacy")</f>
        <v>226</v>
      </c>
      <c r="E45" s="244">
        <f>SUMIFS('Diags Raw Data'!$O$6:$O$4825,'Diags Raw Data'!$D$6:$D$4825,$A45,'Diags Raw Data'!$M$6:$M$4825,"Legacy")</f>
        <v>1784</v>
      </c>
      <c r="F45" s="250">
        <f t="shared" si="47"/>
        <v>1</v>
      </c>
      <c r="G45" s="232">
        <v>0</v>
      </c>
      <c r="H45" s="228">
        <f>SUMIFS('Diags Raw Data'!$T$6:$T$4825,'Diags Raw Data'!$D$6:$D$4825,$A45,'Diags Raw Data'!$M$6:$M$4825,"Legacy")</f>
        <v>0</v>
      </c>
      <c r="I45" s="229">
        <f>SUMIFS('Diags Raw Data'!$U$6:$U$4825,'Diags Raw Data'!$D$6:$D$4825,$A45,'Diags Raw Data'!$M$6:$M$4825,"Legacy")</f>
        <v>0</v>
      </c>
      <c r="J45" s="228">
        <f>SUMIFS('Diags Raw Data'!$V$6:$V$4825,'Diags Raw Data'!$D$6:$D$4825,$A45,'Diags Raw Data'!$M$6:$M$4825,"Legacy")</f>
        <v>0</v>
      </c>
      <c r="K45" s="229">
        <f>SUMIFS('Diags Raw Data'!$W$6:$W$4825,'Diags Raw Data'!$D$6:$D$4825,$A45,'Diags Raw Data'!$M$6:$M$4825,"Legacy")</f>
        <v>0</v>
      </c>
      <c r="L45" s="245">
        <f t="shared" si="48"/>
        <v>0</v>
      </c>
      <c r="M45" s="230" t="str">
        <f t="shared" si="49"/>
        <v>---</v>
      </c>
      <c r="N45" s="239">
        <f t="shared" si="50"/>
        <v>0</v>
      </c>
      <c r="O45" s="215">
        <v>0</v>
      </c>
      <c r="P45" s="205">
        <f>SUMIFS('Diags Raw Data'!$AA$6:$AA$4825,'Diags Raw Data'!$D$6:$D$4825,$A45,'Diags Raw Data'!$M$6:$M$4825,"Legacy")</f>
        <v>0</v>
      </c>
      <c r="Q45" s="207">
        <f>SUMIFS('Diags Raw Data'!$AB$6:$AB$4825,'Diags Raw Data'!$D$6:$D$4825,$A45,'Diags Raw Data'!$M$6:$M$4825,"Legacy")</f>
        <v>0</v>
      </c>
      <c r="R45" s="205">
        <f>SUMIFS('Diags Raw Data'!$AC$6:$AC$4825,'Diags Raw Data'!$D$6:$D$4825,$A45,'Diags Raw Data'!$M$6:$M$4825,"Legacy")</f>
        <v>0</v>
      </c>
      <c r="S45" s="207">
        <f>SUMIFS('Diags Raw Data'!$AD$6:$AD$4825,'Diags Raw Data'!$D$6:$D$4825,$A45,'Diags Raw Data'!$M$6:$M$4825,"Legacy")</f>
        <v>0</v>
      </c>
      <c r="T45" s="206">
        <f t="shared" si="51"/>
        <v>0</v>
      </c>
      <c r="U45" s="231" t="str">
        <f t="shared" si="52"/>
        <v>---</v>
      </c>
      <c r="V45" s="233">
        <f t="shared" si="53"/>
        <v>0</v>
      </c>
    </row>
    <row r="46" spans="1:22" x14ac:dyDescent="0.25">
      <c r="A46" s="332" t="s">
        <v>583</v>
      </c>
      <c r="B46" s="254">
        <f>SUMIFS('Diags Raw Data'!$L$6:$L$4825,'Diags Raw Data'!$D$6:$D$4825,$A46,'Diags Raw Data'!$M$6:$M$4825,"Legacy")</f>
        <v>18</v>
      </c>
      <c r="C46" s="244">
        <f>SUMIFS('Diags Raw Data'!$R$6:$R$4825,'Diags Raw Data'!$D$6:$D$4825,$A46,'Diags Raw Data'!$M$6:$M$4825,"Legacy")</f>
        <v>7</v>
      </c>
      <c r="D46" s="244">
        <f>SUMIFS('Diags Raw Data'!$K$6:$K$4825,'Diags Raw Data'!$D$6:$D$4825,$A46,'Diags Raw Data'!$M$6:$M$4825,"Legacy")</f>
        <v>8</v>
      </c>
      <c r="E46" s="244">
        <f>SUMIFS('Diags Raw Data'!$O$6:$O$4825,'Diags Raw Data'!$D$6:$D$4825,$A46,'Diags Raw Data'!$M$6:$M$4825,"Legacy")</f>
        <v>18</v>
      </c>
      <c r="F46" s="250">
        <f t="shared" si="47"/>
        <v>1</v>
      </c>
      <c r="G46" s="232">
        <f>SUMIFS('Diags Raw Data'!$S$6:$S$4825,'Diags Raw Data'!$D$6:$D$4825,$A46,'Diags Raw Data'!$M$6:$M$4825,"Legacy")</f>
        <v>0</v>
      </c>
      <c r="H46" s="228">
        <f>SUMIFS('Diags Raw Data'!$T$6:$T$4825,'Diags Raw Data'!$D$6:$D$4825,$A46,'Diags Raw Data'!$M$6:$M$4825,"Legacy")</f>
        <v>0</v>
      </c>
      <c r="I46" s="229">
        <f>SUMIFS('Diags Raw Data'!$U$6:$U$4825,'Diags Raw Data'!$D$6:$D$4825,$A46,'Diags Raw Data'!$M$6:$M$4825,"Legacy")</f>
        <v>0</v>
      </c>
      <c r="J46" s="228">
        <f>SUMIFS('Diags Raw Data'!$V$6:$V$4825,'Diags Raw Data'!$D$6:$D$4825,$A46,'Diags Raw Data'!$M$6:$M$4825,"Legacy")</f>
        <v>0</v>
      </c>
      <c r="K46" s="229">
        <f>SUMIFS('Diags Raw Data'!$W$6:$W$4825,'Diags Raw Data'!$D$6:$D$4825,$A46,'Diags Raw Data'!$M$6:$M$4825,"Legacy")</f>
        <v>0</v>
      </c>
      <c r="L46" s="245">
        <f t="shared" si="48"/>
        <v>0</v>
      </c>
      <c r="M46" s="230" t="str">
        <f t="shared" si="49"/>
        <v>---</v>
      </c>
      <c r="N46" s="239">
        <f t="shared" si="50"/>
        <v>0</v>
      </c>
      <c r="O46" s="215">
        <v>0</v>
      </c>
      <c r="P46" s="205">
        <f>SUMIFS('Diags Raw Data'!$AA$6:$AA$4825,'Diags Raw Data'!$D$6:$D$4825,$A46,'Diags Raw Data'!$M$6:$M$4825,"Legacy")</f>
        <v>0</v>
      </c>
      <c r="Q46" s="207">
        <f>SUMIFS('Diags Raw Data'!$AB$6:$AB$4825,'Diags Raw Data'!$D$6:$D$4825,$A46,'Diags Raw Data'!$M$6:$M$4825,"Legacy")</f>
        <v>0</v>
      </c>
      <c r="R46" s="205">
        <f>SUMIFS('Diags Raw Data'!$AC$6:$AC$4825,'Diags Raw Data'!$D$6:$D$4825,$A46,'Diags Raw Data'!$M$6:$M$4825,"Legacy")</f>
        <v>0</v>
      </c>
      <c r="S46" s="207">
        <f>SUMIFS('Diags Raw Data'!$AD$6:$AD$4825,'Diags Raw Data'!$D$6:$D$4825,$A46,'Diags Raw Data'!$M$6:$M$4825,"Legacy")</f>
        <v>0</v>
      </c>
      <c r="T46" s="206">
        <f t="shared" si="51"/>
        <v>0</v>
      </c>
      <c r="U46" s="231" t="str">
        <f t="shared" si="52"/>
        <v>---</v>
      </c>
      <c r="V46" s="233">
        <f t="shared" si="53"/>
        <v>0</v>
      </c>
    </row>
    <row r="47" spans="1:22" x14ac:dyDescent="0.25">
      <c r="A47" s="332" t="s">
        <v>578</v>
      </c>
      <c r="B47" s="254">
        <f>SUMIFS('Diags Raw Data'!$L$6:$L$4825,'Diags Raw Data'!$D$6:$D$4825,$A47,'Diags Raw Data'!$M$6:$M$4825,"Legacy")</f>
        <v>9</v>
      </c>
      <c r="C47" s="244">
        <f>SUMIFS('Diags Raw Data'!$R$6:$R$4825,'Diags Raw Data'!$D$6:$D$4825,$A47,'Diags Raw Data'!$M$6:$M$4825,"Legacy")</f>
        <v>5</v>
      </c>
      <c r="D47" s="244">
        <f>SUMIFS('Diags Raw Data'!$K$6:$K$4825,'Diags Raw Data'!$D$6:$D$4825,$A47,'Diags Raw Data'!$M$6:$M$4825,"Legacy")</f>
        <v>5</v>
      </c>
      <c r="E47" s="244">
        <f>SUMIFS('Diags Raw Data'!$O$6:$O$4825,'Diags Raw Data'!$D$6:$D$4825,$A47,'Diags Raw Data'!$M$6:$M$4825,"Legacy")</f>
        <v>9</v>
      </c>
      <c r="F47" s="250">
        <f t="shared" si="47"/>
        <v>1</v>
      </c>
      <c r="G47" s="232">
        <f>SUMIFS('Diags Raw Data'!$S$6:$S$4825,'Diags Raw Data'!$D$6:$D$4825,$A47,'Diags Raw Data'!$M$6:$M$4825,"Legacy")</f>
        <v>0</v>
      </c>
      <c r="H47" s="228">
        <f>SUMIFS('Diags Raw Data'!$T$6:$T$4825,'Diags Raw Data'!$D$6:$D$4825,$A47,'Diags Raw Data'!$M$6:$M$4825,"Legacy")</f>
        <v>0</v>
      </c>
      <c r="I47" s="229">
        <f>SUMIFS('Diags Raw Data'!$U$6:$U$4825,'Diags Raw Data'!$D$6:$D$4825,$A47,'Diags Raw Data'!$M$6:$M$4825,"Legacy")</f>
        <v>0</v>
      </c>
      <c r="J47" s="228">
        <f>SUMIFS('Diags Raw Data'!$V$6:$V$4825,'Diags Raw Data'!$D$6:$D$4825,$A47,'Diags Raw Data'!$M$6:$M$4825,"Legacy")</f>
        <v>0</v>
      </c>
      <c r="K47" s="229">
        <f>SUMIFS('Diags Raw Data'!$W$6:$W$4825,'Diags Raw Data'!$D$6:$D$4825,$A47,'Diags Raw Data'!$M$6:$M$4825,"Legacy")</f>
        <v>0</v>
      </c>
      <c r="L47" s="245">
        <f t="shared" si="48"/>
        <v>0</v>
      </c>
      <c r="M47" s="230" t="str">
        <f t="shared" si="49"/>
        <v>---</v>
      </c>
      <c r="N47" s="239">
        <f t="shared" si="50"/>
        <v>0</v>
      </c>
      <c r="O47" s="215">
        <v>0</v>
      </c>
      <c r="P47" s="205">
        <f>SUMIFS('Diags Raw Data'!$AA$6:$AA$4825,'Diags Raw Data'!$D$6:$D$4825,$A47,'Diags Raw Data'!$M$6:$M$4825,"Legacy")</f>
        <v>0</v>
      </c>
      <c r="Q47" s="207">
        <f>SUMIFS('Diags Raw Data'!$AB$6:$AB$4825,'Diags Raw Data'!$D$6:$D$4825,$A47,'Diags Raw Data'!$M$6:$M$4825,"Legacy")</f>
        <v>0</v>
      </c>
      <c r="R47" s="205">
        <f>SUMIFS('Diags Raw Data'!$AC$6:$AC$4825,'Diags Raw Data'!$D$6:$D$4825,$A47,'Diags Raw Data'!$M$6:$M$4825,"Legacy")</f>
        <v>0</v>
      </c>
      <c r="S47" s="207">
        <f>SUMIFS('Diags Raw Data'!$AD$6:$AD$4825,'Diags Raw Data'!$D$6:$D$4825,$A47,'Diags Raw Data'!$M$6:$M$4825,"Legacy")</f>
        <v>0</v>
      </c>
      <c r="T47" s="206">
        <f t="shared" si="51"/>
        <v>0</v>
      </c>
      <c r="U47" s="231" t="str">
        <f t="shared" si="52"/>
        <v>---</v>
      </c>
      <c r="V47" s="233">
        <f t="shared" si="53"/>
        <v>0</v>
      </c>
    </row>
    <row r="48" spans="1:22" x14ac:dyDescent="0.25">
      <c r="A48" s="332" t="s">
        <v>335</v>
      </c>
      <c r="B48" s="254">
        <f>SUMIFS('Diags Raw Data'!$L$6:$L$4825,'Diags Raw Data'!$D$6:$D$4825,$A48,'Diags Raw Data'!$M$6:$M$4825,"Legacy")</f>
        <v>650</v>
      </c>
      <c r="C48" s="244">
        <f>SUMIFS('Diags Raw Data'!$R$6:$R$4825,'Diags Raw Data'!$D$6:$D$4825,$A48,'Diags Raw Data'!$M$6:$M$4825,"Legacy")</f>
        <v>650</v>
      </c>
      <c r="D48" s="244">
        <f>SUMIFS('Diags Raw Data'!$K$6:$K$4825,'Diags Raw Data'!$D$6:$D$4825,$A48,'Diags Raw Data'!$M$6:$M$4825,"Legacy")</f>
        <v>40</v>
      </c>
      <c r="E48" s="244">
        <f>SUMIFS('Diags Raw Data'!$O$6:$O$4825,'Diags Raw Data'!$D$6:$D$4825,$A48,'Diags Raw Data'!$M$6:$M$4825,"Legacy")</f>
        <v>650</v>
      </c>
      <c r="F48" s="250">
        <f t="shared" ref="F48:F51" si="54">IF(NOT($B48=0), E48/$B48, "---")</f>
        <v>1</v>
      </c>
      <c r="G48" s="232">
        <f>SUMIFS('Diags Raw Data'!$S$6:$S$4825,'Diags Raw Data'!$D$6:$D$4825,$A48,'Diags Raw Data'!$M$6:$M$4825,"Legacy")</f>
        <v>0</v>
      </c>
      <c r="H48" s="228">
        <f>SUMIFS('Diags Raw Data'!$T$6:$T$4825,'Diags Raw Data'!$D$6:$D$4825,$A48,'Diags Raw Data'!$M$6:$M$4825,"Legacy")</f>
        <v>0</v>
      </c>
      <c r="I48" s="229">
        <f>SUMIFS('Diags Raw Data'!$U$6:$U$4825,'Diags Raw Data'!$D$6:$D$4825,$A48,'Diags Raw Data'!$M$6:$M$4825,"Legacy")</f>
        <v>0</v>
      </c>
      <c r="J48" s="228">
        <f>SUMIFS('Diags Raw Data'!$V$6:$V$4825,'Diags Raw Data'!$D$6:$D$4825,$A48,'Diags Raw Data'!$M$6:$M$4825,"Legacy")</f>
        <v>0</v>
      </c>
      <c r="K48" s="229">
        <f>SUMIFS('Diags Raw Data'!$W$6:$W$4825,'Diags Raw Data'!$D$6:$D$4825,$A48,'Diags Raw Data'!$M$6:$M$4825,"Legacy")</f>
        <v>0</v>
      </c>
      <c r="L48" s="245">
        <f t="shared" ref="L48:L51" si="55">IF(NOT($C48=0), G48/$C48, "---")</f>
        <v>0</v>
      </c>
      <c r="M48" s="230" t="str">
        <f t="shared" ref="M48:M51" si="56">IF(NOT($G48=0), (H48+I48)/$G48, "---")</f>
        <v>---</v>
      </c>
      <c r="N48" s="239">
        <f t="shared" ref="N48:N51" si="57">IF(NOT($C48=0), (H48+I48)/$C48, "---")</f>
        <v>0</v>
      </c>
      <c r="O48" s="215">
        <v>0</v>
      </c>
      <c r="P48" s="205">
        <f>SUMIFS('Diags Raw Data'!$AA$6:$AA$4825,'Diags Raw Data'!$D$6:$D$4825,$A48,'Diags Raw Data'!$M$6:$M$4825,"Legacy")</f>
        <v>0</v>
      </c>
      <c r="Q48" s="207">
        <f>SUMIFS('Diags Raw Data'!$AB$6:$AB$4825,'Diags Raw Data'!$D$6:$D$4825,$A48,'Diags Raw Data'!$M$6:$M$4825,"Legacy")</f>
        <v>0</v>
      </c>
      <c r="R48" s="205">
        <f>SUMIFS('Diags Raw Data'!$AC$6:$AC$4825,'Diags Raw Data'!$D$6:$D$4825,$A48,'Diags Raw Data'!$M$6:$M$4825,"Legacy")</f>
        <v>0</v>
      </c>
      <c r="S48" s="207">
        <f>SUMIFS('Diags Raw Data'!$AD$6:$AD$4825,'Diags Raw Data'!$D$6:$D$4825,$A48,'Diags Raw Data'!$M$6:$M$4825,"Legacy")</f>
        <v>0</v>
      </c>
      <c r="T48" s="206">
        <f t="shared" ref="T48:T51" si="58">IF(NOT($B48=0), O48/$B48, "---")</f>
        <v>0</v>
      </c>
      <c r="U48" s="231" t="str">
        <f t="shared" ref="U48:U51" si="59">IF(NOT($O48=0), (P48+Q48)/$O48, "---")</f>
        <v>---</v>
      </c>
      <c r="V48" s="233">
        <f t="shared" ref="V48:V51" si="60">IF(NOT($B48=0), (P48+Q48)/$B48, "---")</f>
        <v>0</v>
      </c>
    </row>
    <row r="49" spans="1:22" x14ac:dyDescent="0.25">
      <c r="A49" s="332" t="s">
        <v>417</v>
      </c>
      <c r="B49" s="254">
        <f>SUMIFS('Diags Raw Data'!$L$6:$L$4825,'Diags Raw Data'!$D$6:$D$4825,$A49,'Diags Raw Data'!$M$6:$M$4825,"Legacy")</f>
        <v>12</v>
      </c>
      <c r="C49" s="244">
        <f>SUMIFS('Diags Raw Data'!$R$6:$R$4825,'Diags Raw Data'!$D$6:$D$4825,$A49,'Diags Raw Data'!$M$6:$M$4825,"Legacy")</f>
        <v>12</v>
      </c>
      <c r="D49" s="244">
        <f>SUMIFS('Diags Raw Data'!$K$6:$K$4825,'Diags Raw Data'!$D$6:$D$4825,$A49,'Diags Raw Data'!$M$6:$M$4825,"Legacy")</f>
        <v>4</v>
      </c>
      <c r="E49" s="244">
        <f>SUMIFS('Diags Raw Data'!$O$6:$O$4825,'Diags Raw Data'!$D$6:$D$4825,$A49,'Diags Raw Data'!$M$6:$M$4825,"Legacy")</f>
        <v>12</v>
      </c>
      <c r="F49" s="250">
        <f t="shared" si="54"/>
        <v>1</v>
      </c>
      <c r="G49" s="232">
        <f>SUMIFS('Diags Raw Data'!$S$6:$S$4825,'Diags Raw Data'!$D$6:$D$4825,$A49,'Diags Raw Data'!$M$6:$M$4825,"Legacy")</f>
        <v>0</v>
      </c>
      <c r="H49" s="228">
        <f>SUMIFS('Diags Raw Data'!$T$6:$T$4825,'Diags Raw Data'!$D$6:$D$4825,$A49,'Diags Raw Data'!$M$6:$M$4825,"Legacy")</f>
        <v>0</v>
      </c>
      <c r="I49" s="229">
        <f>SUMIFS('Diags Raw Data'!$U$6:$U$4825,'Diags Raw Data'!$D$6:$D$4825,$A49,'Diags Raw Data'!$M$6:$M$4825,"Legacy")</f>
        <v>0</v>
      </c>
      <c r="J49" s="228">
        <f>SUMIFS('Diags Raw Data'!$V$6:$V$4825,'Diags Raw Data'!$D$6:$D$4825,$A49,'Diags Raw Data'!$M$6:$M$4825,"Legacy")</f>
        <v>0</v>
      </c>
      <c r="K49" s="229">
        <f>SUMIFS('Diags Raw Data'!$W$6:$W$4825,'Diags Raw Data'!$D$6:$D$4825,$A49,'Diags Raw Data'!$M$6:$M$4825,"Legacy")</f>
        <v>0</v>
      </c>
      <c r="L49" s="245">
        <f t="shared" si="55"/>
        <v>0</v>
      </c>
      <c r="M49" s="230" t="str">
        <f t="shared" si="56"/>
        <v>---</v>
      </c>
      <c r="N49" s="239">
        <f t="shared" si="57"/>
        <v>0</v>
      </c>
      <c r="O49" s="215">
        <v>0</v>
      </c>
      <c r="P49" s="205">
        <f>SUMIFS('Diags Raw Data'!$AA$6:$AA$4825,'Diags Raw Data'!$D$6:$D$4825,$A49,'Diags Raw Data'!$M$6:$M$4825,"Legacy")</f>
        <v>0</v>
      </c>
      <c r="Q49" s="207">
        <f>SUMIFS('Diags Raw Data'!$AB$6:$AB$4825,'Diags Raw Data'!$D$6:$D$4825,$A49,'Diags Raw Data'!$M$6:$M$4825,"Legacy")</f>
        <v>0</v>
      </c>
      <c r="R49" s="205">
        <f>SUMIFS('Diags Raw Data'!$AC$6:$AC$4825,'Diags Raw Data'!$D$6:$D$4825,$A49,'Diags Raw Data'!$M$6:$M$4825,"Legacy")</f>
        <v>0</v>
      </c>
      <c r="S49" s="207">
        <f>SUMIFS('Diags Raw Data'!$AD$6:$AD$4825,'Diags Raw Data'!$D$6:$D$4825,$A49,'Diags Raw Data'!$M$6:$M$4825,"Legacy")</f>
        <v>0</v>
      </c>
      <c r="T49" s="206">
        <f t="shared" si="58"/>
        <v>0</v>
      </c>
      <c r="U49" s="231" t="str">
        <f t="shared" si="59"/>
        <v>---</v>
      </c>
      <c r="V49" s="233">
        <f t="shared" si="60"/>
        <v>0</v>
      </c>
    </row>
    <row r="50" spans="1:22" x14ac:dyDescent="0.25">
      <c r="A50" s="332" t="s">
        <v>558</v>
      </c>
      <c r="B50" s="254">
        <f>SUMIFS('Diags Raw Data'!$L$6:$L$4825,'Diags Raw Data'!$D$6:$D$4825,$A50,'Diags Raw Data'!$M$6:$M$4825,"Legacy")</f>
        <v>6</v>
      </c>
      <c r="C50" s="244">
        <f>SUMIFS('Diags Raw Data'!$R$6:$R$4825,'Diags Raw Data'!$D$6:$D$4825,$A50,'Diags Raw Data'!$M$6:$M$4825,"Legacy")</f>
        <v>6</v>
      </c>
      <c r="D50" s="244">
        <f>SUMIFS('Diags Raw Data'!$K$6:$K$4825,'Diags Raw Data'!$D$6:$D$4825,$A50,'Diags Raw Data'!$M$6:$M$4825,"Legacy")</f>
        <v>3</v>
      </c>
      <c r="E50" s="244">
        <f>SUMIFS('Diags Raw Data'!$O$6:$O$4825,'Diags Raw Data'!$D$6:$D$4825,$A50,'Diags Raw Data'!$M$6:$M$4825,"Legacy")</f>
        <v>6</v>
      </c>
      <c r="F50" s="250">
        <f t="shared" si="54"/>
        <v>1</v>
      </c>
      <c r="G50" s="232">
        <f>SUMIFS('Diags Raw Data'!$S$6:$S$4825,'Diags Raw Data'!$D$6:$D$4825,$A50,'Diags Raw Data'!$M$6:$M$4825,"Legacy")</f>
        <v>0</v>
      </c>
      <c r="H50" s="228">
        <f>SUMIFS('Diags Raw Data'!$T$6:$T$4825,'Diags Raw Data'!$D$6:$D$4825,$A50,'Diags Raw Data'!$M$6:$M$4825,"Legacy")</f>
        <v>0</v>
      </c>
      <c r="I50" s="229">
        <f>SUMIFS('Diags Raw Data'!$U$6:$U$4825,'Diags Raw Data'!$D$6:$D$4825,$A50,'Diags Raw Data'!$M$6:$M$4825,"Legacy")</f>
        <v>0</v>
      </c>
      <c r="J50" s="228">
        <f>SUMIFS('Diags Raw Data'!$V$6:$V$4825,'Diags Raw Data'!$D$6:$D$4825,$A50,'Diags Raw Data'!$M$6:$M$4825,"Legacy")</f>
        <v>0</v>
      </c>
      <c r="K50" s="229">
        <f>SUMIFS('Diags Raw Data'!$W$6:$W$4825,'Diags Raw Data'!$D$6:$D$4825,$A50,'Diags Raw Data'!$M$6:$M$4825,"Legacy")</f>
        <v>0</v>
      </c>
      <c r="L50" s="245">
        <f t="shared" si="55"/>
        <v>0</v>
      </c>
      <c r="M50" s="230" t="str">
        <f t="shared" si="56"/>
        <v>---</v>
      </c>
      <c r="N50" s="239">
        <f t="shared" si="57"/>
        <v>0</v>
      </c>
      <c r="O50" s="215">
        <v>0</v>
      </c>
      <c r="P50" s="205">
        <f>SUMIFS('Diags Raw Data'!$AA$6:$AA$4825,'Diags Raw Data'!$D$6:$D$4825,$A50,'Diags Raw Data'!$M$6:$M$4825,"Legacy")</f>
        <v>0</v>
      </c>
      <c r="Q50" s="207">
        <f>SUMIFS('Diags Raw Data'!$AB$6:$AB$4825,'Diags Raw Data'!$D$6:$D$4825,$A50,'Diags Raw Data'!$M$6:$M$4825,"Legacy")</f>
        <v>0</v>
      </c>
      <c r="R50" s="205">
        <f>SUMIFS('Diags Raw Data'!$AC$6:$AC$4825,'Diags Raw Data'!$D$6:$D$4825,$A50,'Diags Raw Data'!$M$6:$M$4825,"Legacy")</f>
        <v>0</v>
      </c>
      <c r="S50" s="207">
        <f>SUMIFS('Diags Raw Data'!$AD$6:$AD$4825,'Diags Raw Data'!$D$6:$D$4825,$A50,'Diags Raw Data'!$M$6:$M$4825,"Legacy")</f>
        <v>0</v>
      </c>
      <c r="T50" s="206">
        <f t="shared" si="58"/>
        <v>0</v>
      </c>
      <c r="U50" s="231" t="str">
        <f t="shared" si="59"/>
        <v>---</v>
      </c>
      <c r="V50" s="233">
        <f t="shared" si="60"/>
        <v>0</v>
      </c>
    </row>
    <row r="51" spans="1:22" x14ac:dyDescent="0.25">
      <c r="A51" s="332" t="s">
        <v>562</v>
      </c>
      <c r="B51" s="254">
        <f>SUMIFS('Diags Raw Data'!$L$6:$L$4825,'Diags Raw Data'!$D$6:$D$4825,$A51,'Diags Raw Data'!$M$6:$M$4825,"Legacy")</f>
        <v>0</v>
      </c>
      <c r="C51" s="244">
        <f>SUMIFS('Diags Raw Data'!$R$6:$R$4825,'Diags Raw Data'!$D$6:$D$4825,$A51,'Diags Raw Data'!$M$6:$M$4825,"Legacy")</f>
        <v>0</v>
      </c>
      <c r="D51" s="244">
        <f>SUMIFS('Diags Raw Data'!$K$6:$K$4825,'Diags Raw Data'!$D$6:$D$4825,$A51,'Diags Raw Data'!$M$6:$M$4825,"Legacy")</f>
        <v>0</v>
      </c>
      <c r="E51" s="244">
        <f>SUMIFS('Diags Raw Data'!$O$6:$O$4825,'Diags Raw Data'!$D$6:$D$4825,$A51,'Diags Raw Data'!$M$6:$M$4825,"Legacy")</f>
        <v>0</v>
      </c>
      <c r="F51" s="250" t="str">
        <f t="shared" si="54"/>
        <v>---</v>
      </c>
      <c r="G51" s="232">
        <f>SUMIFS('Diags Raw Data'!$S$6:$S$4825,'Diags Raw Data'!$D$6:$D$4825,$A51,'Diags Raw Data'!$M$6:$M$4825,"Legacy")</f>
        <v>0</v>
      </c>
      <c r="H51" s="228">
        <f>SUMIFS('Diags Raw Data'!$T$6:$T$4825,'Diags Raw Data'!$D$6:$D$4825,$A51,'Diags Raw Data'!$M$6:$M$4825,"Legacy")</f>
        <v>0</v>
      </c>
      <c r="I51" s="229">
        <f>SUMIFS('Diags Raw Data'!$U$6:$U$4825,'Diags Raw Data'!$D$6:$D$4825,$A51,'Diags Raw Data'!$M$6:$M$4825,"Legacy")</f>
        <v>0</v>
      </c>
      <c r="J51" s="228">
        <f>SUMIFS('Diags Raw Data'!$V$6:$V$4825,'Diags Raw Data'!$D$6:$D$4825,$A51,'Diags Raw Data'!$M$6:$M$4825,"Legacy")</f>
        <v>0</v>
      </c>
      <c r="K51" s="229">
        <f>SUMIFS('Diags Raw Data'!$W$6:$W$4825,'Diags Raw Data'!$D$6:$D$4825,$A51,'Diags Raw Data'!$M$6:$M$4825,"Legacy")</f>
        <v>0</v>
      </c>
      <c r="L51" s="245" t="str">
        <f t="shared" si="55"/>
        <v>---</v>
      </c>
      <c r="M51" s="230" t="str">
        <f t="shared" si="56"/>
        <v>---</v>
      </c>
      <c r="N51" s="239" t="str">
        <f t="shared" si="57"/>
        <v>---</v>
      </c>
      <c r="O51" s="215">
        <f>SUMIFS('Diags Raw Data'!$Z$6:$Z$4825,'Diags Raw Data'!$D$6:$D$4825,$A51,'Diags Raw Data'!$M$6:$M$4825,"Legacy")</f>
        <v>0</v>
      </c>
      <c r="P51" s="205">
        <f>SUMIFS('Diags Raw Data'!$AA$6:$AA$4825,'Diags Raw Data'!$D$6:$D$4825,$A51,'Diags Raw Data'!$M$6:$M$4825,"Legacy")</f>
        <v>0</v>
      </c>
      <c r="Q51" s="207">
        <f>SUMIFS('Diags Raw Data'!$AB$6:$AB$4825,'Diags Raw Data'!$D$6:$D$4825,$A51,'Diags Raw Data'!$M$6:$M$4825,"Legacy")</f>
        <v>0</v>
      </c>
      <c r="R51" s="205">
        <f>SUMIFS('Diags Raw Data'!$AC$6:$AC$4825,'Diags Raw Data'!$D$6:$D$4825,$A51,'Diags Raw Data'!$M$6:$M$4825,"Legacy")</f>
        <v>0</v>
      </c>
      <c r="S51" s="207">
        <f>SUMIFS('Diags Raw Data'!$AD$6:$AD$4825,'Diags Raw Data'!$D$6:$D$4825,$A51,'Diags Raw Data'!$M$6:$M$4825,"Legacy")</f>
        <v>0</v>
      </c>
      <c r="T51" s="206" t="str">
        <f t="shared" si="58"/>
        <v>---</v>
      </c>
      <c r="U51" s="231" t="str">
        <f t="shared" si="59"/>
        <v>---</v>
      </c>
      <c r="V51" s="233" t="str">
        <f t="shared" si="60"/>
        <v>---</v>
      </c>
    </row>
    <row r="52" spans="1:22" x14ac:dyDescent="0.25">
      <c r="A52" s="332" t="s">
        <v>398</v>
      </c>
      <c r="B52" s="254">
        <f>SUMIFS('Diags Raw Data'!$L$6:$L$4825,'Diags Raw Data'!$D$6:$D$4825,$A52,'Diags Raw Data'!$M$6:$M$4825,"Legacy")</f>
        <v>124</v>
      </c>
      <c r="C52" s="244">
        <f>SUMIFS('Diags Raw Data'!$R$6:$R$4825,'Diags Raw Data'!$D$6:$D$4825,$A52,'Diags Raw Data'!$M$6:$M$4825,"Legacy")</f>
        <v>124</v>
      </c>
      <c r="D52" s="244">
        <f>SUMIFS('Diags Raw Data'!$K$6:$K$4825,'Diags Raw Data'!$D$6:$D$4825,$A52,'Diags Raw Data'!$M$6:$M$4825,"Legacy")</f>
        <v>14</v>
      </c>
      <c r="E52" s="244">
        <f>SUMIFS('Diags Raw Data'!$O$6:$O$4825,'Diags Raw Data'!$D$6:$D$4825,$A52,'Diags Raw Data'!$M$6:$M$4825,"Legacy")</f>
        <v>124</v>
      </c>
      <c r="F52" s="250">
        <f t="shared" si="47"/>
        <v>1</v>
      </c>
      <c r="G52" s="232">
        <f>SUMIFS('Diags Raw Data'!$S$6:$S$4825,'Diags Raw Data'!$D$6:$D$4825,$A52,'Diags Raw Data'!$M$6:$M$4825,"Legacy")</f>
        <v>0</v>
      </c>
      <c r="H52" s="228">
        <f>SUMIFS('Diags Raw Data'!$T$6:$T$4825,'Diags Raw Data'!$D$6:$D$4825,$A52,'Diags Raw Data'!$M$6:$M$4825,"Legacy")</f>
        <v>0</v>
      </c>
      <c r="I52" s="229">
        <f>SUMIFS('Diags Raw Data'!$U$6:$U$4825,'Diags Raw Data'!$D$6:$D$4825,$A52,'Diags Raw Data'!$M$6:$M$4825,"Legacy")</f>
        <v>0</v>
      </c>
      <c r="J52" s="228">
        <f>SUMIFS('Diags Raw Data'!$V$6:$V$4825,'Diags Raw Data'!$D$6:$D$4825,$A52,'Diags Raw Data'!$M$6:$M$4825,"Legacy")</f>
        <v>0</v>
      </c>
      <c r="K52" s="229">
        <f>SUMIFS('Diags Raw Data'!$W$6:$W$4825,'Diags Raw Data'!$D$6:$D$4825,$A52,'Diags Raw Data'!$M$6:$M$4825,"Legacy")</f>
        <v>0</v>
      </c>
      <c r="L52" s="245">
        <f t="shared" si="48"/>
        <v>0</v>
      </c>
      <c r="M52" s="230" t="str">
        <f t="shared" si="49"/>
        <v>---</v>
      </c>
      <c r="N52" s="239">
        <f t="shared" si="50"/>
        <v>0</v>
      </c>
      <c r="O52" s="214">
        <v>0</v>
      </c>
      <c r="P52" s="205">
        <f>SUMIFS('Diags Raw Data'!$AA$6:$AA$4825,'Diags Raw Data'!$D$6:$D$4825,$A52,'Diags Raw Data'!$M$6:$M$4825,"Legacy")</f>
        <v>0</v>
      </c>
      <c r="Q52" s="207">
        <f>SUMIFS('Diags Raw Data'!$AB$6:$AB$4825,'Diags Raw Data'!$D$6:$D$4825,$A52,'Diags Raw Data'!$M$6:$M$4825,"Legacy")</f>
        <v>0</v>
      </c>
      <c r="R52" s="205">
        <f>SUMIFS('Diags Raw Data'!$AC$6:$AC$4825,'Diags Raw Data'!$D$6:$D$4825,$A52,'Diags Raw Data'!$M$6:$M$4825,"Legacy")</f>
        <v>0</v>
      </c>
      <c r="S52" s="207">
        <f>SUMIFS('Diags Raw Data'!$AD$6:$AD$4825,'Diags Raw Data'!$D$6:$D$4825,$A52,'Diags Raw Data'!$M$6:$M$4825,"Legacy")</f>
        <v>0</v>
      </c>
      <c r="T52" s="206">
        <f t="shared" si="51"/>
        <v>0</v>
      </c>
      <c r="U52" s="231" t="str">
        <f t="shared" si="52"/>
        <v>---</v>
      </c>
      <c r="V52" s="233">
        <f t="shared" si="53"/>
        <v>0</v>
      </c>
    </row>
    <row r="53" spans="1:22" x14ac:dyDescent="0.25">
      <c r="A53" s="332" t="s">
        <v>378</v>
      </c>
      <c r="B53" s="254">
        <f>SUMIFS('Diags Raw Data'!$L$6:$L$4825,'Diags Raw Data'!$D$6:$D$4825,$A53,'Diags Raw Data'!$M$6:$M$4825,"Legacy")</f>
        <v>67</v>
      </c>
      <c r="C53" s="244">
        <f>SUMIFS('Diags Raw Data'!$R$6:$R$4825,'Diags Raw Data'!$D$6:$D$4825,$A53,'Diags Raw Data'!$M$6:$M$4825,"Legacy")</f>
        <v>67</v>
      </c>
      <c r="D53" s="244">
        <f>SUMIFS('Diags Raw Data'!$K$6:$K$4825,'Diags Raw Data'!$D$6:$D$4825,$A53,'Diags Raw Data'!$M$6:$M$4825,"Legacy")</f>
        <v>13</v>
      </c>
      <c r="E53" s="244">
        <f>SUMIFS('Diags Raw Data'!$O$6:$O$4825,'Diags Raw Data'!$D$6:$D$4825,$A53,'Diags Raw Data'!$M$6:$M$4825,"Legacy")</f>
        <v>67</v>
      </c>
      <c r="F53" s="250">
        <f t="shared" si="47"/>
        <v>1</v>
      </c>
      <c r="G53" s="232">
        <f>SUMIFS('Diags Raw Data'!$S$6:$S$4825,'Diags Raw Data'!$D$6:$D$4825,$A53,'Diags Raw Data'!$M$6:$M$4825,"Legacy")</f>
        <v>0</v>
      </c>
      <c r="H53" s="228">
        <f>SUMIFS('Diags Raw Data'!$T$6:$T$4825,'Diags Raw Data'!$D$6:$D$4825,$A53,'Diags Raw Data'!$M$6:$M$4825,"Legacy")</f>
        <v>0</v>
      </c>
      <c r="I53" s="229">
        <f>SUMIFS('Diags Raw Data'!$U$6:$U$4825,'Diags Raw Data'!$D$6:$D$4825,$A53,'Diags Raw Data'!$M$6:$M$4825,"Legacy")</f>
        <v>0</v>
      </c>
      <c r="J53" s="228">
        <f>SUMIFS('Diags Raw Data'!$V$6:$V$4825,'Diags Raw Data'!$D$6:$D$4825,$A53,'Diags Raw Data'!$M$6:$M$4825,"Legacy")</f>
        <v>0</v>
      </c>
      <c r="K53" s="229">
        <f>SUMIFS('Diags Raw Data'!$W$6:$W$4825,'Diags Raw Data'!$D$6:$D$4825,$A53,'Diags Raw Data'!$M$6:$M$4825,"Legacy")</f>
        <v>0</v>
      </c>
      <c r="L53" s="245">
        <f t="shared" si="48"/>
        <v>0</v>
      </c>
      <c r="M53" s="230" t="str">
        <f t="shared" si="49"/>
        <v>---</v>
      </c>
      <c r="N53" s="239">
        <f t="shared" si="50"/>
        <v>0</v>
      </c>
      <c r="O53" s="215">
        <v>0</v>
      </c>
      <c r="P53" s="205">
        <f>SUMIFS('Diags Raw Data'!$AA$6:$AA$4825,'Diags Raw Data'!$D$6:$D$4825,$A53,'Diags Raw Data'!$M$6:$M$4825,"Legacy")</f>
        <v>0</v>
      </c>
      <c r="Q53" s="207">
        <f>SUMIFS('Diags Raw Data'!$AB$6:$AB$4825,'Diags Raw Data'!$D$6:$D$4825,$A53,'Diags Raw Data'!$M$6:$M$4825,"Legacy")</f>
        <v>0</v>
      </c>
      <c r="R53" s="205">
        <f>SUMIFS('Diags Raw Data'!$AC$6:$AC$4825,'Diags Raw Data'!$D$6:$D$4825,$A53,'Diags Raw Data'!$M$6:$M$4825,"Legacy")</f>
        <v>0</v>
      </c>
      <c r="S53" s="207">
        <f>SUMIFS('Diags Raw Data'!$AD$6:$AD$4825,'Diags Raw Data'!$D$6:$D$4825,$A53,'Diags Raw Data'!$M$6:$M$4825,"Legacy")</f>
        <v>0</v>
      </c>
      <c r="T53" s="206">
        <f t="shared" si="51"/>
        <v>0</v>
      </c>
      <c r="U53" s="231" t="str">
        <f t="shared" si="52"/>
        <v>---</v>
      </c>
      <c r="V53" s="233">
        <f t="shared" si="53"/>
        <v>0</v>
      </c>
    </row>
    <row r="54" spans="1:22" x14ac:dyDescent="0.25">
      <c r="A54" s="332" t="s">
        <v>420</v>
      </c>
      <c r="B54" s="254">
        <f>SUMIFS('Diags Raw Data'!$L$6:$L$4825,'Diags Raw Data'!$D$6:$D$4825,$A54,'Diags Raw Data'!$M$6:$M$4825,"Legacy")</f>
        <v>73</v>
      </c>
      <c r="C54" s="244">
        <f>SUMIFS('Diags Raw Data'!$R$6:$R$4825,'Diags Raw Data'!$D$6:$D$4825,$A54,'Diags Raw Data'!$M$6:$M$4825,"Legacy")</f>
        <v>79</v>
      </c>
      <c r="D54" s="244">
        <f>SUMIFS('Diags Raw Data'!$K$6:$K$4825,'Diags Raw Data'!$D$6:$D$4825,$A54,'Diags Raw Data'!$M$6:$M$4825,"Legacy")</f>
        <v>6</v>
      </c>
      <c r="E54" s="244">
        <f>SUMIFS('Diags Raw Data'!$O$6:$O$4825,'Diags Raw Data'!$D$6:$D$4825,$A54,'Diags Raw Data'!$M$6:$M$4825,"Legacy")</f>
        <v>73</v>
      </c>
      <c r="F54" s="250">
        <f t="shared" si="47"/>
        <v>1</v>
      </c>
      <c r="G54" s="232">
        <f>SUMIFS('Diags Raw Data'!$S$6:$S$4825,'Diags Raw Data'!$D$6:$D$4825,$A54,'Diags Raw Data'!$M$6:$M$4825,"Legacy")</f>
        <v>0</v>
      </c>
      <c r="H54" s="228">
        <f>SUMIFS('Diags Raw Data'!$T$6:$T$4825,'Diags Raw Data'!$D$6:$D$4825,$A54,'Diags Raw Data'!$M$6:$M$4825,"Legacy")</f>
        <v>0</v>
      </c>
      <c r="I54" s="229">
        <f>SUMIFS('Diags Raw Data'!$U$6:$U$4825,'Diags Raw Data'!$D$6:$D$4825,$A54,'Diags Raw Data'!$M$6:$M$4825,"Legacy")</f>
        <v>0</v>
      </c>
      <c r="J54" s="228">
        <f>SUMIFS('Diags Raw Data'!$V$6:$V$4825,'Diags Raw Data'!$D$6:$D$4825,$A54,'Diags Raw Data'!$M$6:$M$4825,"Legacy")</f>
        <v>0</v>
      </c>
      <c r="K54" s="229">
        <f>SUMIFS('Diags Raw Data'!$W$6:$W$4825,'Diags Raw Data'!$D$6:$D$4825,$A54,'Diags Raw Data'!$M$6:$M$4825,"Legacy")</f>
        <v>0</v>
      </c>
      <c r="L54" s="245">
        <f t="shared" si="48"/>
        <v>0</v>
      </c>
      <c r="M54" s="230" t="str">
        <f t="shared" si="49"/>
        <v>---</v>
      </c>
      <c r="N54" s="239">
        <f t="shared" si="50"/>
        <v>0</v>
      </c>
      <c r="O54" s="215">
        <v>0</v>
      </c>
      <c r="P54" s="205">
        <f>SUMIFS('Diags Raw Data'!$AA$6:$AA$4825,'Diags Raw Data'!$D$6:$D$4825,$A54,'Diags Raw Data'!$M$6:$M$4825,"Legacy")</f>
        <v>0</v>
      </c>
      <c r="Q54" s="207">
        <f>SUMIFS('Diags Raw Data'!$AB$6:$AB$4825,'Diags Raw Data'!$D$6:$D$4825,$A54,'Diags Raw Data'!$M$6:$M$4825,"Legacy")</f>
        <v>0</v>
      </c>
      <c r="R54" s="205">
        <f>SUMIFS('Diags Raw Data'!$AC$6:$AC$4825,'Diags Raw Data'!$D$6:$D$4825,$A54,'Diags Raw Data'!$M$6:$M$4825,"Legacy")</f>
        <v>0</v>
      </c>
      <c r="S54" s="207">
        <f>SUMIFS('Diags Raw Data'!$AD$6:$AD$4825,'Diags Raw Data'!$D$6:$D$4825,$A54,'Diags Raw Data'!$M$6:$M$4825,"Legacy")</f>
        <v>0</v>
      </c>
      <c r="T54" s="206">
        <f t="shared" si="51"/>
        <v>0</v>
      </c>
      <c r="U54" s="231" t="str">
        <f t="shared" si="52"/>
        <v>---</v>
      </c>
      <c r="V54" s="233">
        <f t="shared" si="53"/>
        <v>0</v>
      </c>
    </row>
    <row r="55" spans="1:22" x14ac:dyDescent="0.25">
      <c r="A55" s="332" t="s">
        <v>593</v>
      </c>
      <c r="B55" s="254">
        <f>SUMIFS('Diags Raw Data'!$L$6:$L$4825,'Diags Raw Data'!$D$6:$D$4825,$A55,'Diags Raw Data'!$M$6:$M$4825,"Legacy")</f>
        <v>0</v>
      </c>
      <c r="C55" s="244">
        <f>SUMIFS('Diags Raw Data'!$R$6:$R$4825,'Diags Raw Data'!$D$6:$D$4825,$A55,'Diags Raw Data'!$M$6:$M$4825,"Legacy")</f>
        <v>0</v>
      </c>
      <c r="D55" s="244">
        <f>SUMIFS('Diags Raw Data'!$K$6:$K$4825,'Diags Raw Data'!$D$6:$D$4825,$A55,'Diags Raw Data'!$M$6:$M$4825,"Legacy")</f>
        <v>0</v>
      </c>
      <c r="E55" s="244">
        <f>SUMIFS('Diags Raw Data'!$O$6:$O$4825,'Diags Raw Data'!$D$6:$D$4825,$A55,'Diags Raw Data'!$M$6:$M$4825,"Legacy")</f>
        <v>0</v>
      </c>
      <c r="F55" s="250" t="str">
        <f t="shared" ref="F55" si="61">IF(NOT($B55=0), E55/$B55, "---")</f>
        <v>---</v>
      </c>
      <c r="G55" s="232">
        <f>SUMIFS('Diags Raw Data'!$S$6:$S$4825,'Diags Raw Data'!$D$6:$D$4825,$A55,'Diags Raw Data'!$M$6:$M$4825,"Legacy")</f>
        <v>0</v>
      </c>
      <c r="H55" s="228">
        <f>SUMIFS('Diags Raw Data'!$T$6:$T$4825,'Diags Raw Data'!$D$6:$D$4825,$A55,'Diags Raw Data'!$M$6:$M$4825,"Legacy")</f>
        <v>0</v>
      </c>
      <c r="I55" s="229">
        <f>SUMIFS('Diags Raw Data'!$U$6:$U$4825,'Diags Raw Data'!$D$6:$D$4825,$A55,'Diags Raw Data'!$M$6:$M$4825,"Legacy")</f>
        <v>0</v>
      </c>
      <c r="J55" s="228">
        <f>SUMIFS('Diags Raw Data'!$V$6:$V$4825,'Diags Raw Data'!$D$6:$D$4825,$A55,'Diags Raw Data'!$M$6:$M$4825,"Legacy")</f>
        <v>0</v>
      </c>
      <c r="K55" s="229">
        <f>SUMIFS('Diags Raw Data'!$W$6:$W$4825,'Diags Raw Data'!$D$6:$D$4825,$A55,'Diags Raw Data'!$M$6:$M$4825,"Legacy")</f>
        <v>0</v>
      </c>
      <c r="L55" s="245" t="str">
        <f t="shared" ref="L55" si="62">IF(NOT($C55=0), G55/$C55, "---")</f>
        <v>---</v>
      </c>
      <c r="M55" s="230" t="str">
        <f t="shared" ref="M55" si="63">IF(NOT($G55=0), (H55+I55)/$G55, "---")</f>
        <v>---</v>
      </c>
      <c r="N55" s="239" t="str">
        <f t="shared" ref="N55" si="64">IF(NOT($C55=0), (H55+I55)/$C55, "---")</f>
        <v>---</v>
      </c>
      <c r="O55" s="215">
        <v>0</v>
      </c>
      <c r="P55" s="205">
        <f>SUMIFS('Diags Raw Data'!$AA$6:$AA$4825,'Diags Raw Data'!$D$6:$D$4825,$A55,'Diags Raw Data'!$M$6:$M$4825,"Legacy")</f>
        <v>0</v>
      </c>
      <c r="Q55" s="207">
        <f>SUMIFS('Diags Raw Data'!$AB$6:$AB$4825,'Diags Raw Data'!$D$6:$D$4825,$A55,'Diags Raw Data'!$M$6:$M$4825,"Legacy")</f>
        <v>0</v>
      </c>
      <c r="R55" s="205">
        <f>SUMIFS('Diags Raw Data'!$AC$6:$AC$4825,'Diags Raw Data'!$D$6:$D$4825,$A55,'Diags Raw Data'!$M$6:$M$4825,"Legacy")</f>
        <v>0</v>
      </c>
      <c r="S55" s="207">
        <f>SUMIFS('Diags Raw Data'!$AD$6:$AD$4825,'Diags Raw Data'!$D$6:$D$4825,$A55,'Diags Raw Data'!$M$6:$M$4825,"Legacy")</f>
        <v>0</v>
      </c>
      <c r="T55" s="206" t="str">
        <f t="shared" ref="T55" si="65">IF(NOT($B55=0), O55/$B55, "---")</f>
        <v>---</v>
      </c>
      <c r="U55" s="231" t="str">
        <f t="shared" ref="U55" si="66">IF(NOT($O55=0), (P55+Q55)/$O55, "---")</f>
        <v>---</v>
      </c>
      <c r="V55" s="233" t="str">
        <f t="shared" ref="V55" si="67">IF(NOT($B55=0), (P55+Q55)/$B55, "---")</f>
        <v>---</v>
      </c>
    </row>
    <row r="56" spans="1:22" ht="15.75" thickBot="1" x14ac:dyDescent="0.3">
      <c r="A56" s="333" t="s">
        <v>428</v>
      </c>
      <c r="B56" s="255">
        <f>SUMIFS('Diags Raw Data'!$L$6:$L$4825,'Diags Raw Data'!$D$6:$D$4825,$A56,'Diags Raw Data'!$M$6:$M$4825,"Legacy")</f>
        <v>926</v>
      </c>
      <c r="C56" s="246">
        <f>SUMIFS('Diags Raw Data'!$R$6:$R$4825,'Diags Raw Data'!$D$6:$D$4825,$A56,'Diags Raw Data'!$M$6:$M$4825,"Legacy")</f>
        <v>926</v>
      </c>
      <c r="D56" s="246">
        <f>SUMIFS('Diags Raw Data'!$K$6:$K$4825,'Diags Raw Data'!$D$6:$D$4825,$A56,'Diags Raw Data'!$M$6:$M$4825,"Legacy")</f>
        <v>26</v>
      </c>
      <c r="E56" s="246">
        <f>SUMIFS('Diags Raw Data'!$O$6:$O$4825,'Diags Raw Data'!$D$6:$D$4825,$A56,'Diags Raw Data'!$M$6:$M$4825,"Legacy")</f>
        <v>926</v>
      </c>
      <c r="F56" s="251">
        <f t="shared" si="47"/>
        <v>1</v>
      </c>
      <c r="G56" s="234">
        <f>SUMIFS('Diags Raw Data'!$S$6:$S$4825,'Diags Raw Data'!$D$6:$D$4825,$A56,'Diags Raw Data'!$M$6:$M$4825,"Legacy")</f>
        <v>0</v>
      </c>
      <c r="H56" s="235">
        <f>SUMIFS('Diags Raw Data'!$T$6:$T$4825,'Diags Raw Data'!$D$6:$D$4825,$A56,'Diags Raw Data'!$M$6:$M$4825,"Legacy")</f>
        <v>0</v>
      </c>
      <c r="I56" s="236">
        <f>SUMIFS('Diags Raw Data'!$U$6:$U$4825,'Diags Raw Data'!$D$6:$D$4825,$A56,'Diags Raw Data'!$M$6:$M$4825,"Legacy")</f>
        <v>0</v>
      </c>
      <c r="J56" s="235">
        <f>SUMIFS('Diags Raw Data'!$V$6:$V$4825,'Diags Raw Data'!$D$6:$D$4825,$A56,'Diags Raw Data'!$M$6:$M$4825,"Legacy")</f>
        <v>0</v>
      </c>
      <c r="K56" s="236">
        <f>SUMIFS('Diags Raw Data'!$W$6:$W$4825,'Diags Raw Data'!$D$6:$D$4825,$A56,'Diags Raw Data'!$M$6:$M$4825,"Legacy")</f>
        <v>0</v>
      </c>
      <c r="L56" s="247">
        <f t="shared" si="48"/>
        <v>0</v>
      </c>
      <c r="M56" s="237" t="str">
        <f t="shared" si="49"/>
        <v>---</v>
      </c>
      <c r="N56" s="240">
        <f t="shared" si="50"/>
        <v>0</v>
      </c>
      <c r="O56" s="215">
        <v>0</v>
      </c>
      <c r="P56" s="208">
        <f>SUMIFS('Diags Raw Data'!$AA$6:$AA$4825,'Diags Raw Data'!$D$6:$D$4825,$A56,'Diags Raw Data'!$M$6:$M$4825,"Legacy")</f>
        <v>0</v>
      </c>
      <c r="Q56" s="210">
        <f>SUMIFS('Diags Raw Data'!$AB$6:$AB$4825,'Diags Raw Data'!$D$6:$D$4825,$A56,'Diags Raw Data'!$M$6:$M$4825,"Legacy")</f>
        <v>0</v>
      </c>
      <c r="R56" s="208">
        <f>SUMIFS('Diags Raw Data'!$AC$6:$AC$4825,'Diags Raw Data'!$D$6:$D$4825,$A56,'Diags Raw Data'!$M$6:$M$4825,"Legacy")</f>
        <v>0</v>
      </c>
      <c r="S56" s="210">
        <f>SUMIFS('Diags Raw Data'!$AD$6:$AD$4825,'Diags Raw Data'!$D$6:$D$4825,$A56,'Diags Raw Data'!$M$6:$M$4825,"Legacy")</f>
        <v>0</v>
      </c>
      <c r="T56" s="209">
        <f t="shared" si="51"/>
        <v>0</v>
      </c>
      <c r="U56" s="241" t="str">
        <f t="shared" si="52"/>
        <v>---</v>
      </c>
      <c r="V56" s="238">
        <f t="shared" si="53"/>
        <v>0</v>
      </c>
    </row>
    <row r="57" spans="1:22" ht="16.5" thickBot="1" x14ac:dyDescent="0.3">
      <c r="A57" s="273" t="s">
        <v>829</v>
      </c>
      <c r="B57" s="258">
        <f>SUM(B42:B56)</f>
        <v>4521</v>
      </c>
      <c r="C57" s="259">
        <f>SUM(C42:C56)</f>
        <v>4026</v>
      </c>
      <c r="D57" s="259">
        <f>SUM(D42:D56)</f>
        <v>414</v>
      </c>
      <c r="E57" s="259">
        <f>SUM(E42:E56)</f>
        <v>4521</v>
      </c>
      <c r="F57" s="260" cm="1">
        <f t="array" ref="F57">SUMPRODUCT(--(ISNUMBER(SEARCH("Legacy",'Diags Raw Data'!$M$6:$M$4825))),'Diags Raw Data'!$K$6:$K$4825,'Diags Raw Data'!$P$6:$P$4825)/D57</f>
        <v>1</v>
      </c>
      <c r="G57" s="261">
        <f>SUM(G42:G56)</f>
        <v>0</v>
      </c>
      <c r="H57" s="262">
        <f>SUM(H42:H56)</f>
        <v>0</v>
      </c>
      <c r="I57" s="263">
        <f>SUM(I42:I56)</f>
        <v>0</v>
      </c>
      <c r="J57" s="262">
        <f>SUM(J42:J56)</f>
        <v>0</v>
      </c>
      <c r="K57" s="263">
        <f>SUM(K42:K56)</f>
        <v>0</v>
      </c>
      <c r="L57" s="264">
        <f>IF(NOT($C57=0), G57/$C57, "---")</f>
        <v>0</v>
      </c>
      <c r="M57" s="265" t="str">
        <f t="shared" si="49"/>
        <v>---</v>
      </c>
      <c r="N57" s="266">
        <f t="shared" si="50"/>
        <v>0</v>
      </c>
      <c r="O57" s="267">
        <f>SUM(O42:O56)</f>
        <v>0</v>
      </c>
      <c r="P57" s="268">
        <f>SUM(P42:P56)</f>
        <v>0</v>
      </c>
      <c r="Q57" s="269">
        <f>SUM(Q42:Q56)</f>
        <v>0</v>
      </c>
      <c r="R57" s="268">
        <f>SUM(R42:R56)</f>
        <v>0</v>
      </c>
      <c r="S57" s="269">
        <f>SUM(S42:S56)</f>
        <v>0</v>
      </c>
      <c r="T57" s="270">
        <f>IF(NOT($B57=0), O57/$B57, "---")</f>
        <v>0</v>
      </c>
      <c r="U57" s="271" t="str">
        <f t="shared" si="52"/>
        <v>---</v>
      </c>
      <c r="V57" s="272">
        <f>IF(NOT($B57=0), (P57+Q57)/$B57, "---")</f>
        <v>0</v>
      </c>
    </row>
    <row r="58" spans="1:22" x14ac:dyDescent="0.25">
      <c r="A58" s="248"/>
      <c r="B58" s="248"/>
      <c r="C58" s="248"/>
      <c r="D58" s="248"/>
      <c r="E58" s="248"/>
      <c r="F58" s="248"/>
      <c r="G58" s="248"/>
      <c r="H58" s="248"/>
      <c r="I58" s="248"/>
      <c r="J58" s="248"/>
      <c r="K58" s="248"/>
      <c r="L58" s="248"/>
      <c r="M58" s="248"/>
      <c r="N58" s="248"/>
      <c r="O58" s="248"/>
      <c r="P58" s="248"/>
      <c r="Q58" s="248"/>
      <c r="R58" s="248"/>
      <c r="S58" s="248"/>
      <c r="T58" s="248"/>
      <c r="U58" s="248"/>
      <c r="V58" s="248"/>
    </row>
    <row r="60" spans="1:22" x14ac:dyDescent="0.25">
      <c r="F60" s="130"/>
    </row>
    <row r="63" spans="1:22" x14ac:dyDescent="0.25">
      <c r="F63" s="395"/>
    </row>
    <row r="64" spans="1:22" x14ac:dyDescent="0.25">
      <c r="F64" s="394"/>
    </row>
    <row r="65" spans="6:6" x14ac:dyDescent="0.25">
      <c r="F65" s="394"/>
    </row>
  </sheetData>
  <mergeCells count="10">
    <mergeCell ref="A1:V1"/>
    <mergeCell ref="B21:F21"/>
    <mergeCell ref="B40:F40"/>
    <mergeCell ref="G40:N40"/>
    <mergeCell ref="O40:V40"/>
    <mergeCell ref="G21:N21"/>
    <mergeCell ref="O21:V21"/>
    <mergeCell ref="B2:F2"/>
    <mergeCell ref="G2:N2"/>
    <mergeCell ref="O2:V2"/>
  </mergeCells>
  <phoneticPr fontId="30" type="noConversion"/>
  <conditionalFormatting sqref="F4:F18">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23:F3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42:F56">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8">
    <cfRule type="colorScale" priority="10">
      <colorScale>
        <cfvo type="percent" val="0"/>
        <cfvo type="percent" val="50"/>
        <cfvo type="percent" val="100"/>
        <color rgb="FFF8696B"/>
        <color rgb="FFFFEB84"/>
        <color rgb="FF63BE7B"/>
      </colorScale>
    </cfRule>
  </conditionalFormatting>
  <conditionalFormatting sqref="L23:L37 N23:N3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42:L56">
    <cfRule type="colorScale" priority="49">
      <colorScale>
        <cfvo type="percent" val="0"/>
        <cfvo type="percent" val="50"/>
        <cfvo type="percent" val="100"/>
        <color rgb="FFF8696B"/>
        <color rgb="FFFFEB84"/>
        <color rgb="FF63BE7B"/>
      </colorScale>
    </cfRule>
  </conditionalFormatting>
  <conditionalFormatting sqref="L4:N18">
    <cfRule type="colorScale" priority="2">
      <colorScale>
        <cfvo type="percent" val="0"/>
        <cfvo type="percent" val="50"/>
        <cfvo type="percent" val="100"/>
        <color rgb="FFF8696B"/>
        <color rgb="FFFFEB84"/>
        <color rgb="FF63BE7B"/>
      </colorScale>
    </cfRule>
  </conditionalFormatting>
  <conditionalFormatting sqref="L23:N37">
    <cfRule type="colorScale" priority="23">
      <colorScale>
        <cfvo type="percent" val="0"/>
        <cfvo type="percentile" val="50"/>
        <cfvo type="percent" val="100"/>
        <color rgb="FFF8696B"/>
        <color rgb="FFFFEB84"/>
        <color rgb="FF63BE7B"/>
      </colorScale>
    </cfRule>
  </conditionalFormatting>
  <conditionalFormatting sqref="L42:N56">
    <cfRule type="colorScale" priority="21">
      <colorScale>
        <cfvo type="percent" val="0"/>
        <cfvo type="percent" val="50"/>
        <cfvo type="percent" val="100"/>
        <color rgb="FFF8696B"/>
        <color rgb="FFFFEB84"/>
        <color rgb="FF63BE7B"/>
      </colorScale>
    </cfRule>
  </conditionalFormatting>
  <conditionalFormatting sqref="M4:M18">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23:M3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42:M56">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8">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42:N56">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8">
    <cfRule type="colorScale" priority="9">
      <colorScale>
        <cfvo type="percent" val="0"/>
        <cfvo type="percent" val="50"/>
        <cfvo type="percent" val="100"/>
        <color rgb="FFF8696B"/>
        <color rgb="FFFFEB84"/>
        <color rgb="FF63BE7B"/>
      </colorScale>
    </cfRule>
  </conditionalFormatting>
  <conditionalFormatting sqref="T23:T37 V23:V37">
    <cfRule type="colorScale" priority="50">
      <colorScale>
        <cfvo type="percent" val="0"/>
        <cfvo type="percent" val="50"/>
        <cfvo type="percent" val="100"/>
        <color rgb="FFF8696B"/>
        <color rgb="FFFFEB84"/>
        <color rgb="FF63BE7B"/>
      </colorScale>
    </cfRule>
  </conditionalFormatting>
  <conditionalFormatting sqref="T42:T56">
    <cfRule type="colorScale" priority="48">
      <colorScale>
        <cfvo type="percent" val="0"/>
        <cfvo type="percent" val="50"/>
        <cfvo type="percent" val="100"/>
        <color rgb="FFF8696B"/>
        <color rgb="FFFFEB84"/>
        <color rgb="FF63BE7B"/>
      </colorScale>
    </cfRule>
  </conditionalFormatting>
  <conditionalFormatting sqref="T4:V18">
    <cfRule type="colorScale" priority="1">
      <colorScale>
        <cfvo type="percent" val="0"/>
        <cfvo type="percent" val="50"/>
        <cfvo type="percent" val="100"/>
        <color rgb="FFF8696B"/>
        <color rgb="FFFFEB84"/>
        <color rgb="FF63BE7B"/>
      </colorScale>
    </cfRule>
  </conditionalFormatting>
  <conditionalFormatting sqref="T23:V37">
    <cfRule type="colorScale" priority="22">
      <colorScale>
        <cfvo type="percent" val="0"/>
        <cfvo type="percent" val="50"/>
        <cfvo type="percent" val="100"/>
        <color rgb="FFF8696B"/>
        <color rgb="FFFFEB84"/>
        <color rgb="FF63BE7B"/>
      </colorScale>
    </cfRule>
  </conditionalFormatting>
  <conditionalFormatting sqref="T42:V56">
    <cfRule type="colorScale" priority="20">
      <colorScale>
        <cfvo type="percent" val="0"/>
        <cfvo type="percent" val="50"/>
        <cfvo type="percent" val="100"/>
        <color rgb="FFF8696B"/>
        <color rgb="FFFFEB84"/>
        <color rgb="FF63BE7B"/>
      </colorScale>
    </cfRule>
  </conditionalFormatting>
  <conditionalFormatting sqref="U4:U18">
    <cfRule type="colorScale" priority="6">
      <colorScale>
        <cfvo type="percent" val="0"/>
        <cfvo type="percent" val="50"/>
        <cfvo type="percent" val="100"/>
        <color rgb="FFF8696B"/>
        <color rgb="FFFFEB84"/>
        <color rgb="FF63BE7B"/>
      </colorScale>
    </cfRule>
  </conditionalFormatting>
  <conditionalFormatting sqref="U23:U37">
    <cfRule type="colorScale" priority="40">
      <colorScale>
        <cfvo type="percent" val="0"/>
        <cfvo type="percent" val="50"/>
        <cfvo type="percent" val="100"/>
        <color rgb="FFF8696B"/>
        <color rgb="FFFFEB84"/>
        <color rgb="FF63BE7B"/>
      </colorScale>
    </cfRule>
  </conditionalFormatting>
  <conditionalFormatting sqref="U42:U56">
    <cfRule type="colorScale" priority="31">
      <colorScale>
        <cfvo type="percent" val="0"/>
        <cfvo type="percent" val="50"/>
        <cfvo type="percent" val="100"/>
        <color rgb="FFF8696B"/>
        <color rgb="FFFFEB84"/>
        <color rgb="FF63BE7B"/>
      </colorScale>
    </cfRule>
  </conditionalFormatting>
  <conditionalFormatting sqref="V4:V18">
    <cfRule type="colorScale" priority="3">
      <colorScale>
        <cfvo type="percent" val="0"/>
        <cfvo type="percent" val="50"/>
        <cfvo type="percent" val="100"/>
        <color rgb="FFF8696B"/>
        <color rgb="FFFFEB84"/>
        <color rgb="FF63BE7B"/>
      </colorScale>
    </cfRule>
  </conditionalFormatting>
  <conditionalFormatting sqref="V42:V56">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filterMode="1"/>
  <dimension ref="A1:I141"/>
  <sheetViews>
    <sheetView workbookViewId="0">
      <pane ySplit="2" topLeftCell="A105" activePane="bottomLeft" state="frozen"/>
      <selection pane="bottomLeft" activeCell="B141" sqref="B141"/>
    </sheetView>
  </sheetViews>
  <sheetFormatPr defaultRowHeight="15" x14ac:dyDescent="0.25"/>
  <cols>
    <col min="1" max="1" width="16.85546875" bestFit="1" customWidth="1"/>
    <col min="2" max="2" width="59.28515625"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68" t="s">
        <v>830</v>
      </c>
      <c r="B1" s="669"/>
      <c r="C1" s="669"/>
      <c r="D1" s="669"/>
      <c r="E1" s="669"/>
      <c r="F1" s="669"/>
      <c r="G1" s="669"/>
      <c r="H1" s="669"/>
      <c r="I1" s="670"/>
    </row>
    <row r="2" spans="1:9" s="79" customFormat="1" ht="15.75" thickBot="1" x14ac:dyDescent="0.3">
      <c r="A2" s="389" t="s">
        <v>77</v>
      </c>
      <c r="B2" s="390" t="s">
        <v>81</v>
      </c>
      <c r="C2" s="391" t="s">
        <v>96</v>
      </c>
      <c r="D2" s="391" t="s">
        <v>202</v>
      </c>
      <c r="E2" s="392" t="s">
        <v>1</v>
      </c>
    </row>
    <row r="3" spans="1:9" ht="15.75" thickBot="1" x14ac:dyDescent="0.3">
      <c r="A3" s="334" t="s">
        <v>601</v>
      </c>
      <c r="B3" s="335" t="s">
        <v>602</v>
      </c>
      <c r="C3" s="476" t="s">
        <v>280</v>
      </c>
      <c r="D3" s="476" t="s">
        <v>34</v>
      </c>
      <c r="E3" s="479" t="s">
        <v>44</v>
      </c>
      <c r="G3" s="291" t="s">
        <v>77</v>
      </c>
      <c r="H3" s="292" t="s">
        <v>831</v>
      </c>
      <c r="I3" s="472">
        <f>COUNTA(A3:A3998)</f>
        <v>139</v>
      </c>
    </row>
    <row r="4" spans="1:9" ht="15.75" thickBot="1" x14ac:dyDescent="0.3">
      <c r="A4" s="336" t="s">
        <v>604</v>
      </c>
      <c r="B4" s="337" t="s">
        <v>605</v>
      </c>
      <c r="C4" s="477" t="s">
        <v>280</v>
      </c>
      <c r="D4" s="476" t="s">
        <v>34</v>
      </c>
      <c r="E4" s="480" t="s">
        <v>44</v>
      </c>
      <c r="G4" s="660" t="s">
        <v>96</v>
      </c>
      <c r="H4" s="293" t="s">
        <v>832</v>
      </c>
      <c r="I4" s="473">
        <f>COUNTIFS($C3:$C3998,"P1")</f>
        <v>1</v>
      </c>
    </row>
    <row r="5" spans="1:9" ht="15.75" thickBot="1" x14ac:dyDescent="0.3">
      <c r="A5" s="336" t="s">
        <v>606</v>
      </c>
      <c r="B5" s="337" t="s">
        <v>607</v>
      </c>
      <c r="C5" s="477" t="s">
        <v>280</v>
      </c>
      <c r="D5" s="476" t="s">
        <v>34</v>
      </c>
      <c r="E5" s="480" t="s">
        <v>39</v>
      </c>
      <c r="G5" s="661"/>
      <c r="H5" s="294" t="s">
        <v>833</v>
      </c>
      <c r="I5" s="474">
        <f>COUNTIFS($C3:$C3998,"P2")</f>
        <v>138</v>
      </c>
    </row>
    <row r="6" spans="1:9" ht="15.75" thickBot="1" x14ac:dyDescent="0.3">
      <c r="A6" s="336" t="s">
        <v>609</v>
      </c>
      <c r="B6" s="337" t="s">
        <v>610</v>
      </c>
      <c r="C6" s="477" t="s">
        <v>280</v>
      </c>
      <c r="D6" s="476" t="s">
        <v>34</v>
      </c>
      <c r="E6" s="480" t="s">
        <v>39</v>
      </c>
      <c r="G6" s="662"/>
      <c r="H6" s="295" t="s">
        <v>834</v>
      </c>
      <c r="I6" s="475">
        <f>COUNTIFS($C3:$C3998,"P3")</f>
        <v>0</v>
      </c>
    </row>
    <row r="7" spans="1:9" ht="15.75" thickBot="1" x14ac:dyDescent="0.3">
      <c r="A7" s="336" t="s">
        <v>611</v>
      </c>
      <c r="B7" s="337" t="s">
        <v>612</v>
      </c>
      <c r="C7" s="477" t="s">
        <v>280</v>
      </c>
      <c r="D7" s="476" t="s">
        <v>34</v>
      </c>
      <c r="E7" s="480" t="s">
        <v>39</v>
      </c>
      <c r="G7" s="663" t="s">
        <v>202</v>
      </c>
      <c r="H7" s="293" t="s">
        <v>835</v>
      </c>
      <c r="I7" s="473">
        <f>COUNTIFS($D3:$D3998,"Diagnostics")</f>
        <v>121</v>
      </c>
    </row>
    <row r="8" spans="1:9" x14ac:dyDescent="0.25">
      <c r="A8" s="336" t="s">
        <v>614</v>
      </c>
      <c r="B8" s="337" t="s">
        <v>615</v>
      </c>
      <c r="C8" s="477" t="s">
        <v>280</v>
      </c>
      <c r="D8" s="476" t="s">
        <v>34</v>
      </c>
      <c r="E8" s="480" t="s">
        <v>44</v>
      </c>
      <c r="G8" s="664"/>
      <c r="H8" s="294" t="s">
        <v>836</v>
      </c>
      <c r="I8" s="474">
        <f>COUNTIFS($D3:$D3998,"Driver")</f>
        <v>10</v>
      </c>
    </row>
    <row r="9" spans="1:9" x14ac:dyDescent="0.25">
      <c r="A9" s="336" t="s">
        <v>616</v>
      </c>
      <c r="B9" s="337" t="s">
        <v>617</v>
      </c>
      <c r="C9" s="477" t="s">
        <v>280</v>
      </c>
      <c r="D9" s="477" t="s">
        <v>45</v>
      </c>
      <c r="E9" s="480" t="s">
        <v>33</v>
      </c>
      <c r="G9" s="664"/>
      <c r="H9" s="294" t="s">
        <v>837</v>
      </c>
      <c r="I9" s="474">
        <f>COUNTIFS($D3:$D3998,"IPSE")</f>
        <v>7</v>
      </c>
    </row>
    <row r="10" spans="1:9" ht="15.75" thickBot="1" x14ac:dyDescent="0.3">
      <c r="A10" s="336" t="s">
        <v>619</v>
      </c>
      <c r="B10" s="337" t="s">
        <v>620</v>
      </c>
      <c r="C10" s="477" t="s">
        <v>280</v>
      </c>
      <c r="D10" s="477" t="s">
        <v>45</v>
      </c>
      <c r="E10" s="480" t="s">
        <v>33</v>
      </c>
      <c r="G10" s="665"/>
      <c r="H10" s="295" t="s">
        <v>838</v>
      </c>
      <c r="I10" s="475">
        <f>COUNTIFS($D3:$D3998,"N/A")</f>
        <v>1</v>
      </c>
    </row>
    <row r="11" spans="1:9" x14ac:dyDescent="0.25">
      <c r="A11" s="336" t="s">
        <v>319</v>
      </c>
      <c r="B11" s="337" t="s">
        <v>622</v>
      </c>
      <c r="C11" s="477" t="s">
        <v>280</v>
      </c>
      <c r="D11" s="477" t="s">
        <v>34</v>
      </c>
      <c r="E11" s="480" t="s">
        <v>33</v>
      </c>
      <c r="G11" s="663" t="s">
        <v>1</v>
      </c>
      <c r="H11" s="293" t="s">
        <v>839</v>
      </c>
      <c r="I11" s="473">
        <f>COUNTIFS($E3:$E3998,"Legacy")</f>
        <v>130</v>
      </c>
    </row>
    <row r="12" spans="1:9" x14ac:dyDescent="0.25">
      <c r="A12" s="336" t="s">
        <v>393</v>
      </c>
      <c r="B12" s="337" t="s">
        <v>394</v>
      </c>
      <c r="C12" s="477" t="s">
        <v>280</v>
      </c>
      <c r="D12" s="477" t="s">
        <v>40</v>
      </c>
      <c r="E12" s="480" t="s">
        <v>33</v>
      </c>
      <c r="G12" s="664"/>
      <c r="H12" s="294" t="s">
        <v>840</v>
      </c>
      <c r="I12" s="474">
        <f>COUNTIFS($E3:$E3998,"Delta")</f>
        <v>6</v>
      </c>
    </row>
    <row r="13" spans="1:9" ht="15.75" thickBot="1" x14ac:dyDescent="0.3">
      <c r="A13" s="336" t="s">
        <v>623</v>
      </c>
      <c r="B13" s="337" t="s">
        <v>624</v>
      </c>
      <c r="C13" s="477" t="s">
        <v>280</v>
      </c>
      <c r="D13" s="477" t="s">
        <v>40</v>
      </c>
      <c r="E13" s="480" t="s">
        <v>33</v>
      </c>
      <c r="G13" s="665"/>
      <c r="H13" s="295" t="s">
        <v>841</v>
      </c>
      <c r="I13" s="475">
        <f>COUNTIFS($E3:$E3998,"New")</f>
        <v>3</v>
      </c>
    </row>
    <row r="14" spans="1:9" ht="15.75" thickBot="1" x14ac:dyDescent="0.3">
      <c r="A14" s="336" t="s">
        <v>625</v>
      </c>
      <c r="B14" s="337" t="s">
        <v>626</v>
      </c>
      <c r="C14" s="477" t="s">
        <v>280</v>
      </c>
      <c r="D14" s="477" t="s">
        <v>40</v>
      </c>
      <c r="E14" s="480" t="s">
        <v>33</v>
      </c>
      <c r="G14" s="393" t="s">
        <v>207</v>
      </c>
      <c r="H14" s="666"/>
      <c r="I14" s="667"/>
    </row>
    <row r="15" spans="1:9" x14ac:dyDescent="0.25">
      <c r="A15" s="336" t="s">
        <v>627</v>
      </c>
      <c r="B15" s="337" t="s">
        <v>628</v>
      </c>
      <c r="C15" s="477" t="s">
        <v>280</v>
      </c>
      <c r="D15" s="477" t="s">
        <v>40</v>
      </c>
      <c r="E15" s="480" t="s">
        <v>33</v>
      </c>
    </row>
    <row r="16" spans="1:9" x14ac:dyDescent="0.25">
      <c r="A16" s="336" t="s">
        <v>629</v>
      </c>
      <c r="B16" s="337" t="s">
        <v>630</v>
      </c>
      <c r="C16" s="477" t="s">
        <v>280</v>
      </c>
      <c r="D16" s="477" t="s">
        <v>45</v>
      </c>
      <c r="E16" s="480" t="s">
        <v>33</v>
      </c>
    </row>
    <row r="17" spans="1:5" x14ac:dyDescent="0.25">
      <c r="A17" s="336" t="s">
        <v>631</v>
      </c>
      <c r="B17" s="337" t="s">
        <v>632</v>
      </c>
      <c r="C17" s="477" t="s">
        <v>280</v>
      </c>
      <c r="D17" s="477" t="s">
        <v>40</v>
      </c>
      <c r="E17" s="480" t="s">
        <v>33</v>
      </c>
    </row>
    <row r="18" spans="1:5" x14ac:dyDescent="0.25">
      <c r="A18" s="336" t="s">
        <v>633</v>
      </c>
      <c r="B18" s="337" t="s">
        <v>634</v>
      </c>
      <c r="C18" s="477" t="s">
        <v>280</v>
      </c>
      <c r="D18" s="477" t="s">
        <v>45</v>
      </c>
      <c r="E18" s="480" t="s">
        <v>33</v>
      </c>
    </row>
    <row r="19" spans="1:5" x14ac:dyDescent="0.25">
      <c r="A19" s="336" t="s">
        <v>635</v>
      </c>
      <c r="B19" s="337" t="s">
        <v>636</v>
      </c>
      <c r="C19" s="477" t="s">
        <v>280</v>
      </c>
      <c r="D19" s="477" t="s">
        <v>45</v>
      </c>
      <c r="E19" s="480" t="s">
        <v>33</v>
      </c>
    </row>
    <row r="20" spans="1:5" x14ac:dyDescent="0.25">
      <c r="A20" s="336" t="s">
        <v>495</v>
      </c>
      <c r="B20" s="337" t="s">
        <v>637</v>
      </c>
      <c r="C20" s="477" t="s">
        <v>280</v>
      </c>
      <c r="D20" s="477" t="s">
        <v>45</v>
      </c>
      <c r="E20" s="480" t="s">
        <v>33</v>
      </c>
    </row>
    <row r="21" spans="1:5" x14ac:dyDescent="0.25">
      <c r="A21" s="336" t="s">
        <v>327</v>
      </c>
      <c r="B21" s="337" t="s">
        <v>639</v>
      </c>
      <c r="C21" s="477" t="s">
        <v>280</v>
      </c>
      <c r="D21" s="477" t="s">
        <v>34</v>
      </c>
      <c r="E21" s="480" t="s">
        <v>33</v>
      </c>
    </row>
    <row r="22" spans="1:5" x14ac:dyDescent="0.25">
      <c r="A22" s="336" t="s">
        <v>329</v>
      </c>
      <c r="B22" s="337" t="s">
        <v>640</v>
      </c>
      <c r="C22" s="477" t="s">
        <v>280</v>
      </c>
      <c r="D22" s="477" t="s">
        <v>34</v>
      </c>
      <c r="E22" s="480" t="s">
        <v>33</v>
      </c>
    </row>
    <row r="23" spans="1:5" x14ac:dyDescent="0.25">
      <c r="A23" s="336" t="s">
        <v>641</v>
      </c>
      <c r="B23" s="337" t="s">
        <v>642</v>
      </c>
      <c r="C23" s="477" t="s">
        <v>280</v>
      </c>
      <c r="D23" s="477" t="s">
        <v>34</v>
      </c>
      <c r="E23" s="480" t="s">
        <v>33</v>
      </c>
    </row>
    <row r="24" spans="1:5" x14ac:dyDescent="0.25">
      <c r="A24" s="336" t="s">
        <v>644</v>
      </c>
      <c r="B24" s="337" t="s">
        <v>645</v>
      </c>
      <c r="C24" s="477" t="s">
        <v>280</v>
      </c>
      <c r="D24" s="477" t="s">
        <v>34</v>
      </c>
      <c r="E24" s="480" t="s">
        <v>33</v>
      </c>
    </row>
    <row r="25" spans="1:5" x14ac:dyDescent="0.25">
      <c r="A25" s="336" t="s">
        <v>646</v>
      </c>
      <c r="B25" s="337" t="s">
        <v>647</v>
      </c>
      <c r="C25" s="477" t="s">
        <v>280</v>
      </c>
      <c r="D25" s="477" t="s">
        <v>34</v>
      </c>
      <c r="E25" s="480" t="s">
        <v>33</v>
      </c>
    </row>
    <row r="26" spans="1:5" x14ac:dyDescent="0.25">
      <c r="A26" s="336" t="s">
        <v>315</v>
      </c>
      <c r="B26" s="337" t="s">
        <v>648</v>
      </c>
      <c r="C26" s="477" t="s">
        <v>280</v>
      </c>
      <c r="D26" s="477" t="s">
        <v>34</v>
      </c>
      <c r="E26" s="480" t="s">
        <v>33</v>
      </c>
    </row>
    <row r="27" spans="1:5" x14ac:dyDescent="0.25">
      <c r="A27" s="336" t="s">
        <v>650</v>
      </c>
      <c r="B27" s="337" t="s">
        <v>651</v>
      </c>
      <c r="C27" s="477" t="s">
        <v>280</v>
      </c>
      <c r="D27" s="477" t="s">
        <v>34</v>
      </c>
      <c r="E27" s="480" t="s">
        <v>33</v>
      </c>
    </row>
    <row r="28" spans="1:5" x14ac:dyDescent="0.25">
      <c r="A28" s="336" t="s">
        <v>652</v>
      </c>
      <c r="B28" s="337" t="s">
        <v>653</v>
      </c>
      <c r="C28" s="477" t="s">
        <v>280</v>
      </c>
      <c r="D28" s="477" t="s">
        <v>34</v>
      </c>
      <c r="E28" s="480" t="s">
        <v>33</v>
      </c>
    </row>
    <row r="29" spans="1:5" x14ac:dyDescent="0.25">
      <c r="A29" s="336" t="s">
        <v>324</v>
      </c>
      <c r="B29" s="337" t="s">
        <v>654</v>
      </c>
      <c r="C29" s="477" t="s">
        <v>280</v>
      </c>
      <c r="D29" s="477" t="s">
        <v>47</v>
      </c>
      <c r="E29" s="480" t="s">
        <v>33</v>
      </c>
    </row>
    <row r="30" spans="1:5" x14ac:dyDescent="0.25">
      <c r="A30" s="336" t="s">
        <v>655</v>
      </c>
      <c r="B30" s="337" t="s">
        <v>656</v>
      </c>
      <c r="C30" s="477" t="s">
        <v>280</v>
      </c>
      <c r="D30" s="477" t="s">
        <v>34</v>
      </c>
      <c r="E30" s="480" t="s">
        <v>33</v>
      </c>
    </row>
    <row r="31" spans="1:5" x14ac:dyDescent="0.25">
      <c r="A31" s="336" t="s">
        <v>317</v>
      </c>
      <c r="B31" s="337" t="s">
        <v>657</v>
      </c>
      <c r="C31" s="477" t="s">
        <v>280</v>
      </c>
      <c r="D31" s="477" t="s">
        <v>34</v>
      </c>
      <c r="E31" s="480" t="s">
        <v>33</v>
      </c>
    </row>
    <row r="32" spans="1:5" x14ac:dyDescent="0.25">
      <c r="A32" s="336" t="s">
        <v>334</v>
      </c>
      <c r="B32" s="337" t="s">
        <v>658</v>
      </c>
      <c r="C32" s="477" t="s">
        <v>280</v>
      </c>
      <c r="D32" s="477" t="s">
        <v>34</v>
      </c>
      <c r="E32" s="480" t="s">
        <v>33</v>
      </c>
    </row>
    <row r="33" spans="1:5" x14ac:dyDescent="0.25">
      <c r="A33" s="336" t="s">
        <v>337</v>
      </c>
      <c r="B33" s="337" t="s">
        <v>659</v>
      </c>
      <c r="C33" s="477" t="s">
        <v>280</v>
      </c>
      <c r="D33" s="477" t="s">
        <v>34</v>
      </c>
      <c r="E33" s="480" t="s">
        <v>33</v>
      </c>
    </row>
    <row r="34" spans="1:5" x14ac:dyDescent="0.25">
      <c r="A34" s="336" t="s">
        <v>359</v>
      </c>
      <c r="B34" s="337" t="s">
        <v>660</v>
      </c>
      <c r="C34" s="477" t="s">
        <v>280</v>
      </c>
      <c r="D34" s="477" t="s">
        <v>34</v>
      </c>
      <c r="E34" s="480" t="s">
        <v>33</v>
      </c>
    </row>
    <row r="35" spans="1:5" x14ac:dyDescent="0.25">
      <c r="A35" s="336" t="s">
        <v>351</v>
      </c>
      <c r="B35" s="337" t="s">
        <v>661</v>
      </c>
      <c r="C35" s="477" t="s">
        <v>280</v>
      </c>
      <c r="D35" s="477" t="s">
        <v>34</v>
      </c>
      <c r="E35" s="480" t="s">
        <v>33</v>
      </c>
    </row>
    <row r="36" spans="1:5" x14ac:dyDescent="0.25">
      <c r="A36" s="336" t="s">
        <v>373</v>
      </c>
      <c r="B36" s="337" t="s">
        <v>662</v>
      </c>
      <c r="C36" s="477" t="s">
        <v>280</v>
      </c>
      <c r="D36" s="477" t="s">
        <v>34</v>
      </c>
      <c r="E36" s="480" t="s">
        <v>33</v>
      </c>
    </row>
    <row r="37" spans="1:5" x14ac:dyDescent="0.25">
      <c r="A37" s="336" t="s">
        <v>349</v>
      </c>
      <c r="B37" s="337" t="s">
        <v>663</v>
      </c>
      <c r="C37" s="477" t="s">
        <v>280</v>
      </c>
      <c r="D37" s="477" t="s">
        <v>34</v>
      </c>
      <c r="E37" s="480" t="s">
        <v>33</v>
      </c>
    </row>
    <row r="38" spans="1:5" x14ac:dyDescent="0.25">
      <c r="A38" s="336" t="s">
        <v>347</v>
      </c>
      <c r="B38" s="337" t="s">
        <v>664</v>
      </c>
      <c r="C38" s="477" t="s">
        <v>280</v>
      </c>
      <c r="D38" s="477" t="s">
        <v>34</v>
      </c>
      <c r="E38" s="480" t="s">
        <v>33</v>
      </c>
    </row>
    <row r="39" spans="1:5" x14ac:dyDescent="0.25">
      <c r="A39" s="336" t="s">
        <v>665</v>
      </c>
      <c r="B39" s="337" t="s">
        <v>666</v>
      </c>
      <c r="C39" s="477" t="s">
        <v>280</v>
      </c>
      <c r="D39" s="477" t="s">
        <v>34</v>
      </c>
      <c r="E39" s="480" t="s">
        <v>33</v>
      </c>
    </row>
    <row r="40" spans="1:5" x14ac:dyDescent="0.25">
      <c r="A40" s="336" t="s">
        <v>667</v>
      </c>
      <c r="B40" s="337" t="s">
        <v>668</v>
      </c>
      <c r="C40" s="477" t="s">
        <v>280</v>
      </c>
      <c r="D40" s="477" t="s">
        <v>34</v>
      </c>
      <c r="E40" s="480" t="s">
        <v>33</v>
      </c>
    </row>
    <row r="41" spans="1:5" x14ac:dyDescent="0.25">
      <c r="A41" s="336" t="s">
        <v>669</v>
      </c>
      <c r="B41" s="337" t="s">
        <v>670</v>
      </c>
      <c r="C41" s="477" t="s">
        <v>280</v>
      </c>
      <c r="D41" s="477" t="s">
        <v>34</v>
      </c>
      <c r="E41" s="480" t="s">
        <v>33</v>
      </c>
    </row>
    <row r="42" spans="1:5" x14ac:dyDescent="0.25">
      <c r="A42" s="336" t="s">
        <v>671</v>
      </c>
      <c r="B42" s="337" t="s">
        <v>672</v>
      </c>
      <c r="C42" s="477" t="s">
        <v>280</v>
      </c>
      <c r="D42" s="477" t="s">
        <v>34</v>
      </c>
      <c r="E42" s="480" t="s">
        <v>33</v>
      </c>
    </row>
    <row r="43" spans="1:5" x14ac:dyDescent="0.25">
      <c r="A43" s="336" t="s">
        <v>342</v>
      </c>
      <c r="B43" s="337" t="s">
        <v>673</v>
      </c>
      <c r="C43" s="477" t="s">
        <v>280</v>
      </c>
      <c r="D43" s="477" t="s">
        <v>34</v>
      </c>
      <c r="E43" s="480" t="s">
        <v>33</v>
      </c>
    </row>
    <row r="44" spans="1:5" x14ac:dyDescent="0.25">
      <c r="A44" s="336" t="s">
        <v>339</v>
      </c>
      <c r="B44" s="337" t="s">
        <v>674</v>
      </c>
      <c r="C44" s="477" t="s">
        <v>280</v>
      </c>
      <c r="D44" s="477" t="s">
        <v>34</v>
      </c>
      <c r="E44" s="480" t="s">
        <v>33</v>
      </c>
    </row>
    <row r="45" spans="1:5" x14ac:dyDescent="0.25">
      <c r="A45" s="336" t="s">
        <v>675</v>
      </c>
      <c r="B45" s="337" t="s">
        <v>676</v>
      </c>
      <c r="C45" s="477" t="s">
        <v>280</v>
      </c>
      <c r="D45" s="477" t="s">
        <v>34</v>
      </c>
      <c r="E45" s="480" t="s">
        <v>33</v>
      </c>
    </row>
    <row r="46" spans="1:5" x14ac:dyDescent="0.25">
      <c r="A46" s="336" t="s">
        <v>357</v>
      </c>
      <c r="B46" s="337" t="s">
        <v>677</v>
      </c>
      <c r="C46" s="477" t="s">
        <v>280</v>
      </c>
      <c r="D46" s="477" t="s">
        <v>34</v>
      </c>
      <c r="E46" s="480" t="s">
        <v>33</v>
      </c>
    </row>
    <row r="47" spans="1:5" x14ac:dyDescent="0.25">
      <c r="A47" s="336" t="s">
        <v>678</v>
      </c>
      <c r="B47" s="337" t="s">
        <v>679</v>
      </c>
      <c r="C47" s="477" t="s">
        <v>280</v>
      </c>
      <c r="D47" s="477" t="s">
        <v>34</v>
      </c>
      <c r="E47" s="480" t="s">
        <v>33</v>
      </c>
    </row>
    <row r="48" spans="1:5" x14ac:dyDescent="0.25">
      <c r="A48" s="336" t="s">
        <v>345</v>
      </c>
      <c r="B48" s="337" t="s">
        <v>680</v>
      </c>
      <c r="C48" s="477" t="s">
        <v>280</v>
      </c>
      <c r="D48" s="477" t="s">
        <v>34</v>
      </c>
      <c r="E48" s="480" t="s">
        <v>33</v>
      </c>
    </row>
    <row r="49" spans="1:5" x14ac:dyDescent="0.25">
      <c r="A49" s="336" t="s">
        <v>681</v>
      </c>
      <c r="B49" s="337" t="s">
        <v>682</v>
      </c>
      <c r="C49" s="477" t="s">
        <v>280</v>
      </c>
      <c r="D49" s="477" t="s">
        <v>34</v>
      </c>
      <c r="E49" s="480" t="s">
        <v>33</v>
      </c>
    </row>
    <row r="50" spans="1:5" x14ac:dyDescent="0.25">
      <c r="A50" s="336" t="s">
        <v>683</v>
      </c>
      <c r="B50" s="337" t="s">
        <v>684</v>
      </c>
      <c r="C50" s="477" t="s">
        <v>280</v>
      </c>
      <c r="D50" s="477" t="s">
        <v>34</v>
      </c>
      <c r="E50" s="480" t="s">
        <v>33</v>
      </c>
    </row>
    <row r="51" spans="1:5" x14ac:dyDescent="0.25">
      <c r="A51" s="336" t="s">
        <v>685</v>
      </c>
      <c r="B51" s="337" t="s">
        <v>686</v>
      </c>
      <c r="C51" s="477" t="s">
        <v>280</v>
      </c>
      <c r="D51" s="477" t="s">
        <v>34</v>
      </c>
      <c r="E51" s="480" t="s">
        <v>33</v>
      </c>
    </row>
    <row r="52" spans="1:5" x14ac:dyDescent="0.25">
      <c r="A52" s="336" t="s">
        <v>687</v>
      </c>
      <c r="B52" s="337" t="s">
        <v>688</v>
      </c>
      <c r="C52" s="477" t="s">
        <v>280</v>
      </c>
      <c r="D52" s="477" t="s">
        <v>34</v>
      </c>
      <c r="E52" s="480" t="s">
        <v>33</v>
      </c>
    </row>
    <row r="53" spans="1:5" x14ac:dyDescent="0.25">
      <c r="A53" s="336" t="s">
        <v>380</v>
      </c>
      <c r="B53" s="337" t="s">
        <v>689</v>
      </c>
      <c r="C53" s="477" t="s">
        <v>280</v>
      </c>
      <c r="D53" s="477" t="s">
        <v>34</v>
      </c>
      <c r="E53" s="480" t="s">
        <v>33</v>
      </c>
    </row>
    <row r="54" spans="1:5" x14ac:dyDescent="0.25">
      <c r="A54" s="336" t="s">
        <v>690</v>
      </c>
      <c r="B54" s="337" t="s">
        <v>691</v>
      </c>
      <c r="C54" s="477" t="s">
        <v>280</v>
      </c>
      <c r="D54" s="477" t="s">
        <v>34</v>
      </c>
      <c r="E54" s="480" t="s">
        <v>33</v>
      </c>
    </row>
    <row r="55" spans="1:5" x14ac:dyDescent="0.25">
      <c r="A55" s="336" t="s">
        <v>383</v>
      </c>
      <c r="B55" s="337" t="s">
        <v>692</v>
      </c>
      <c r="C55" s="477" t="s">
        <v>280</v>
      </c>
      <c r="D55" s="477" t="s">
        <v>34</v>
      </c>
      <c r="E55" s="480" t="s">
        <v>33</v>
      </c>
    </row>
    <row r="56" spans="1:5" x14ac:dyDescent="0.25">
      <c r="A56" s="336" t="s">
        <v>385</v>
      </c>
      <c r="B56" s="337" t="s">
        <v>693</v>
      </c>
      <c r="C56" s="477" t="s">
        <v>280</v>
      </c>
      <c r="D56" s="477" t="s">
        <v>34</v>
      </c>
      <c r="E56" s="480" t="s">
        <v>33</v>
      </c>
    </row>
    <row r="57" spans="1:5" x14ac:dyDescent="0.25">
      <c r="A57" s="336" t="s">
        <v>520</v>
      </c>
      <c r="B57" s="337" t="s">
        <v>694</v>
      </c>
      <c r="C57" s="477" t="s">
        <v>280</v>
      </c>
      <c r="D57" s="477" t="s">
        <v>34</v>
      </c>
      <c r="E57" s="480" t="s">
        <v>33</v>
      </c>
    </row>
    <row r="58" spans="1:5" x14ac:dyDescent="0.25">
      <c r="A58" s="336" t="s">
        <v>447</v>
      </c>
      <c r="B58" s="337" t="s">
        <v>695</v>
      </c>
      <c r="C58" s="477" t="s">
        <v>280</v>
      </c>
      <c r="D58" s="477" t="s">
        <v>34</v>
      </c>
      <c r="E58" s="480" t="s">
        <v>33</v>
      </c>
    </row>
    <row r="59" spans="1:5" x14ac:dyDescent="0.25">
      <c r="A59" s="336" t="s">
        <v>397</v>
      </c>
      <c r="B59" s="337" t="s">
        <v>696</v>
      </c>
      <c r="C59" s="477" t="s">
        <v>280</v>
      </c>
      <c r="D59" s="477" t="s">
        <v>34</v>
      </c>
      <c r="E59" s="480" t="s">
        <v>33</v>
      </c>
    </row>
    <row r="60" spans="1:5" x14ac:dyDescent="0.25">
      <c r="A60" s="336" t="s">
        <v>405</v>
      </c>
      <c r="B60" s="337" t="s">
        <v>697</v>
      </c>
      <c r="C60" s="477" t="s">
        <v>280</v>
      </c>
      <c r="D60" s="477" t="s">
        <v>34</v>
      </c>
      <c r="E60" s="480" t="s">
        <v>33</v>
      </c>
    </row>
    <row r="61" spans="1:5" x14ac:dyDescent="0.25">
      <c r="A61" s="336" t="s">
        <v>408</v>
      </c>
      <c r="B61" s="337" t="s">
        <v>698</v>
      </c>
      <c r="C61" s="477" t="s">
        <v>280</v>
      </c>
      <c r="D61" s="477" t="s">
        <v>34</v>
      </c>
      <c r="E61" s="480" t="s">
        <v>33</v>
      </c>
    </row>
    <row r="62" spans="1:5" x14ac:dyDescent="0.25">
      <c r="A62" s="336" t="s">
        <v>412</v>
      </c>
      <c r="B62" s="337" t="s">
        <v>699</v>
      </c>
      <c r="C62" s="477" t="s">
        <v>280</v>
      </c>
      <c r="D62" s="477" t="s">
        <v>34</v>
      </c>
      <c r="E62" s="480" t="s">
        <v>33</v>
      </c>
    </row>
    <row r="63" spans="1:5" x14ac:dyDescent="0.25">
      <c r="A63" s="336" t="s">
        <v>700</v>
      </c>
      <c r="B63" s="337" t="s">
        <v>701</v>
      </c>
      <c r="C63" s="477" t="s">
        <v>280</v>
      </c>
      <c r="D63" s="477" t="s">
        <v>34</v>
      </c>
      <c r="E63" s="480" t="s">
        <v>33</v>
      </c>
    </row>
    <row r="64" spans="1:5" x14ac:dyDescent="0.25">
      <c r="A64" s="336" t="s">
        <v>702</v>
      </c>
      <c r="B64" s="337" t="s">
        <v>703</v>
      </c>
      <c r="C64" s="477" t="s">
        <v>280</v>
      </c>
      <c r="D64" s="477" t="s">
        <v>34</v>
      </c>
      <c r="E64" s="480" t="s">
        <v>33</v>
      </c>
    </row>
    <row r="65" spans="1:5" x14ac:dyDescent="0.25">
      <c r="A65" s="336" t="s">
        <v>704</v>
      </c>
      <c r="B65" s="337" t="s">
        <v>705</v>
      </c>
      <c r="C65" s="477" t="s">
        <v>280</v>
      </c>
      <c r="D65" s="477" t="s">
        <v>45</v>
      </c>
      <c r="E65" s="480" t="s">
        <v>33</v>
      </c>
    </row>
    <row r="66" spans="1:5" x14ac:dyDescent="0.25">
      <c r="A66" s="336" t="s">
        <v>706</v>
      </c>
      <c r="B66" s="337" t="s">
        <v>707</v>
      </c>
      <c r="C66" s="477" t="s">
        <v>280</v>
      </c>
      <c r="D66" s="477" t="s">
        <v>34</v>
      </c>
      <c r="E66" s="480" t="s">
        <v>33</v>
      </c>
    </row>
    <row r="67" spans="1:5" x14ac:dyDescent="0.25">
      <c r="A67" s="336" t="s">
        <v>708</v>
      </c>
      <c r="B67" s="337" t="s">
        <v>709</v>
      </c>
      <c r="C67" s="477" t="s">
        <v>280</v>
      </c>
      <c r="D67" s="477" t="s">
        <v>34</v>
      </c>
      <c r="E67" s="480" t="s">
        <v>33</v>
      </c>
    </row>
    <row r="68" spans="1:5" x14ac:dyDescent="0.25">
      <c r="A68" s="336" t="s">
        <v>710</v>
      </c>
      <c r="B68" s="337" t="s">
        <v>711</v>
      </c>
      <c r="C68" s="477" t="s">
        <v>280</v>
      </c>
      <c r="D68" s="477" t="s">
        <v>34</v>
      </c>
      <c r="E68" s="480" t="s">
        <v>33</v>
      </c>
    </row>
    <row r="69" spans="1:5" x14ac:dyDescent="0.25">
      <c r="A69" s="336" t="s">
        <v>419</v>
      </c>
      <c r="B69" s="337" t="s">
        <v>712</v>
      </c>
      <c r="C69" s="477" t="s">
        <v>280</v>
      </c>
      <c r="D69" s="477" t="s">
        <v>34</v>
      </c>
      <c r="E69" s="480" t="s">
        <v>33</v>
      </c>
    </row>
    <row r="70" spans="1:5" x14ac:dyDescent="0.25">
      <c r="A70" s="336" t="s">
        <v>713</v>
      </c>
      <c r="B70" s="337" t="s">
        <v>714</v>
      </c>
      <c r="C70" s="477" t="s">
        <v>280</v>
      </c>
      <c r="D70" s="477" t="s">
        <v>34</v>
      </c>
      <c r="E70" s="480" t="s">
        <v>33</v>
      </c>
    </row>
    <row r="71" spans="1:5" x14ac:dyDescent="0.25">
      <c r="A71" s="336" t="s">
        <v>434</v>
      </c>
      <c r="B71" s="337" t="s">
        <v>715</v>
      </c>
      <c r="C71" s="477" t="s">
        <v>280</v>
      </c>
      <c r="D71" s="477" t="s">
        <v>34</v>
      </c>
      <c r="E71" s="480" t="s">
        <v>33</v>
      </c>
    </row>
    <row r="72" spans="1:5" x14ac:dyDescent="0.25">
      <c r="A72" s="336" t="s">
        <v>500</v>
      </c>
      <c r="B72" s="337" t="s">
        <v>716</v>
      </c>
      <c r="C72" s="477" t="s">
        <v>280</v>
      </c>
      <c r="D72" s="477" t="s">
        <v>34</v>
      </c>
      <c r="E72" s="480" t="s">
        <v>33</v>
      </c>
    </row>
    <row r="73" spans="1:5" x14ac:dyDescent="0.25">
      <c r="A73" s="336" t="s">
        <v>442</v>
      </c>
      <c r="B73" s="337" t="s">
        <v>717</v>
      </c>
      <c r="C73" s="477" t="s">
        <v>280</v>
      </c>
      <c r="D73" s="477" t="s">
        <v>34</v>
      </c>
      <c r="E73" s="480" t="s">
        <v>33</v>
      </c>
    </row>
    <row r="74" spans="1:5" x14ac:dyDescent="0.25">
      <c r="A74" s="336" t="s">
        <v>718</v>
      </c>
      <c r="B74" s="337" t="s">
        <v>719</v>
      </c>
      <c r="C74" s="477" t="s">
        <v>280</v>
      </c>
      <c r="D74" s="477" t="s">
        <v>34</v>
      </c>
      <c r="E74" s="480" t="s">
        <v>33</v>
      </c>
    </row>
    <row r="75" spans="1:5" x14ac:dyDescent="0.25">
      <c r="A75" s="336" t="s">
        <v>436</v>
      </c>
      <c r="B75" s="337" t="s">
        <v>720</v>
      </c>
      <c r="C75" s="477" t="s">
        <v>280</v>
      </c>
      <c r="D75" s="477" t="s">
        <v>34</v>
      </c>
      <c r="E75" s="480" t="s">
        <v>33</v>
      </c>
    </row>
    <row r="76" spans="1:5" x14ac:dyDescent="0.25">
      <c r="A76" s="336" t="s">
        <v>430</v>
      </c>
      <c r="B76" s="337" t="s">
        <v>721</v>
      </c>
      <c r="C76" s="477" t="s">
        <v>280</v>
      </c>
      <c r="D76" s="477" t="s">
        <v>34</v>
      </c>
      <c r="E76" s="480" t="s">
        <v>33</v>
      </c>
    </row>
    <row r="77" spans="1:5" x14ac:dyDescent="0.25">
      <c r="A77" s="336" t="s">
        <v>432</v>
      </c>
      <c r="B77" s="337" t="s">
        <v>722</v>
      </c>
      <c r="C77" s="477" t="s">
        <v>280</v>
      </c>
      <c r="D77" s="477" t="s">
        <v>34</v>
      </c>
      <c r="E77" s="480" t="s">
        <v>33</v>
      </c>
    </row>
    <row r="78" spans="1:5" x14ac:dyDescent="0.25">
      <c r="A78" s="336" t="s">
        <v>438</v>
      </c>
      <c r="B78" s="337" t="s">
        <v>723</v>
      </c>
      <c r="C78" s="477" t="s">
        <v>280</v>
      </c>
      <c r="D78" s="477" t="s">
        <v>34</v>
      </c>
      <c r="E78" s="480" t="s">
        <v>33</v>
      </c>
    </row>
    <row r="79" spans="1:5" x14ac:dyDescent="0.25">
      <c r="A79" s="336" t="s">
        <v>454</v>
      </c>
      <c r="B79" s="337" t="s">
        <v>724</v>
      </c>
      <c r="C79" s="477" t="s">
        <v>280</v>
      </c>
      <c r="D79" s="477" t="s">
        <v>34</v>
      </c>
      <c r="E79" s="480" t="s">
        <v>33</v>
      </c>
    </row>
    <row r="80" spans="1:5" x14ac:dyDescent="0.25">
      <c r="A80" s="336" t="s">
        <v>444</v>
      </c>
      <c r="B80" s="337" t="s">
        <v>725</v>
      </c>
      <c r="C80" s="477" t="s">
        <v>280</v>
      </c>
      <c r="D80" s="477" t="s">
        <v>34</v>
      </c>
      <c r="E80" s="480" t="s">
        <v>33</v>
      </c>
    </row>
    <row r="81" spans="1:5" x14ac:dyDescent="0.25">
      <c r="A81" s="336" t="s">
        <v>726</v>
      </c>
      <c r="B81" s="337" t="s">
        <v>727</v>
      </c>
      <c r="C81" s="477" t="s">
        <v>280</v>
      </c>
      <c r="D81" s="477" t="s">
        <v>34</v>
      </c>
      <c r="E81" s="480" t="s">
        <v>33</v>
      </c>
    </row>
    <row r="82" spans="1:5" x14ac:dyDescent="0.25">
      <c r="A82" s="336" t="s">
        <v>440</v>
      </c>
      <c r="B82" s="337" t="s">
        <v>728</v>
      </c>
      <c r="C82" s="477" t="s">
        <v>280</v>
      </c>
      <c r="D82" s="477" t="s">
        <v>34</v>
      </c>
      <c r="E82" s="480" t="s">
        <v>33</v>
      </c>
    </row>
    <row r="83" spans="1:5" x14ac:dyDescent="0.25">
      <c r="A83" s="336" t="s">
        <v>463</v>
      </c>
      <c r="B83" s="337" t="s">
        <v>491</v>
      </c>
      <c r="C83" s="477" t="s">
        <v>280</v>
      </c>
      <c r="D83" s="477" t="s">
        <v>34</v>
      </c>
      <c r="E83" s="480" t="s">
        <v>33</v>
      </c>
    </row>
    <row r="84" spans="1:5" x14ac:dyDescent="0.25">
      <c r="A84" s="336" t="s">
        <v>729</v>
      </c>
      <c r="B84" s="337" t="s">
        <v>730</v>
      </c>
      <c r="C84" s="477" t="s">
        <v>280</v>
      </c>
      <c r="D84" s="477" t="s">
        <v>34</v>
      </c>
      <c r="E84" s="480" t="s">
        <v>33</v>
      </c>
    </row>
    <row r="85" spans="1:5" x14ac:dyDescent="0.25">
      <c r="A85" s="336" t="s">
        <v>731</v>
      </c>
      <c r="B85" s="337" t="s">
        <v>732</v>
      </c>
      <c r="C85" s="477" t="s">
        <v>280</v>
      </c>
      <c r="D85" s="477" t="s">
        <v>34</v>
      </c>
      <c r="E85" s="480" t="s">
        <v>33</v>
      </c>
    </row>
    <row r="86" spans="1:5" x14ac:dyDescent="0.25">
      <c r="A86" s="336" t="s">
        <v>466</v>
      </c>
      <c r="B86" s="337" t="s">
        <v>733</v>
      </c>
      <c r="C86" s="477" t="s">
        <v>280</v>
      </c>
      <c r="D86" s="477" t="s">
        <v>34</v>
      </c>
      <c r="E86" s="480" t="s">
        <v>33</v>
      </c>
    </row>
    <row r="87" spans="1:5" x14ac:dyDescent="0.25">
      <c r="A87" s="336" t="s">
        <v>493</v>
      </c>
      <c r="B87" s="337" t="s">
        <v>734</v>
      </c>
      <c r="C87" s="477" t="s">
        <v>280</v>
      </c>
      <c r="D87" s="477" t="s">
        <v>34</v>
      </c>
      <c r="E87" s="480" t="s">
        <v>33</v>
      </c>
    </row>
    <row r="88" spans="1:5" x14ac:dyDescent="0.25">
      <c r="A88" s="336" t="s">
        <v>515</v>
      </c>
      <c r="B88" s="337" t="s">
        <v>735</v>
      </c>
      <c r="C88" s="477" t="s">
        <v>280</v>
      </c>
      <c r="D88" s="477" t="s">
        <v>34</v>
      </c>
      <c r="E88" s="480" t="s">
        <v>33</v>
      </c>
    </row>
    <row r="89" spans="1:5" x14ac:dyDescent="0.25">
      <c r="A89" s="336" t="s">
        <v>736</v>
      </c>
      <c r="B89" s="337" t="s">
        <v>737</v>
      </c>
      <c r="C89" s="477" t="s">
        <v>280</v>
      </c>
      <c r="D89" s="477" t="s">
        <v>34</v>
      </c>
      <c r="E89" s="480" t="s">
        <v>33</v>
      </c>
    </row>
    <row r="90" spans="1:5" x14ac:dyDescent="0.25">
      <c r="A90" s="336" t="s">
        <v>738</v>
      </c>
      <c r="B90" s="337" t="s">
        <v>739</v>
      </c>
      <c r="C90" s="477" t="s">
        <v>280</v>
      </c>
      <c r="D90" s="477" t="s">
        <v>34</v>
      </c>
      <c r="E90" s="480" t="s">
        <v>33</v>
      </c>
    </row>
    <row r="91" spans="1:5" x14ac:dyDescent="0.25">
      <c r="A91" s="336" t="s">
        <v>457</v>
      </c>
      <c r="B91" s="337" t="s">
        <v>740</v>
      </c>
      <c r="C91" s="477" t="s">
        <v>280</v>
      </c>
      <c r="D91" s="477" t="s">
        <v>34</v>
      </c>
      <c r="E91" s="480" t="s">
        <v>33</v>
      </c>
    </row>
    <row r="92" spans="1:5" x14ac:dyDescent="0.25">
      <c r="A92" s="336" t="s">
        <v>741</v>
      </c>
      <c r="B92" s="337" t="s">
        <v>742</v>
      </c>
      <c r="C92" s="477" t="s">
        <v>280</v>
      </c>
      <c r="D92" s="477" t="s">
        <v>34</v>
      </c>
      <c r="E92" s="480" t="s">
        <v>33</v>
      </c>
    </row>
    <row r="93" spans="1:5" x14ac:dyDescent="0.25">
      <c r="A93" s="336" t="s">
        <v>743</v>
      </c>
      <c r="B93" s="337" t="s">
        <v>744</v>
      </c>
      <c r="C93" s="477" t="s">
        <v>280</v>
      </c>
      <c r="D93" s="477" t="s">
        <v>34</v>
      </c>
      <c r="E93" s="480" t="s">
        <v>33</v>
      </c>
    </row>
    <row r="94" spans="1:5" x14ac:dyDescent="0.25">
      <c r="A94" s="336" t="s">
        <v>561</v>
      </c>
      <c r="B94" s="337" t="s">
        <v>745</v>
      </c>
      <c r="C94" s="477" t="s">
        <v>280</v>
      </c>
      <c r="D94" s="477" t="s">
        <v>34</v>
      </c>
      <c r="E94" s="480" t="s">
        <v>39</v>
      </c>
    </row>
    <row r="95" spans="1:5" x14ac:dyDescent="0.25">
      <c r="A95" s="336" t="s">
        <v>569</v>
      </c>
      <c r="B95" s="337" t="s">
        <v>746</v>
      </c>
      <c r="C95" s="477" t="s">
        <v>280</v>
      </c>
      <c r="D95" s="477" t="s">
        <v>34</v>
      </c>
      <c r="E95" s="480" t="s">
        <v>39</v>
      </c>
    </row>
    <row r="96" spans="1:5" x14ac:dyDescent="0.25">
      <c r="A96" s="336" t="s">
        <v>747</v>
      </c>
      <c r="B96" s="337" t="s">
        <v>748</v>
      </c>
      <c r="C96" s="477" t="s">
        <v>280</v>
      </c>
      <c r="D96" s="477" t="s">
        <v>34</v>
      </c>
      <c r="E96" s="480" t="s">
        <v>33</v>
      </c>
    </row>
    <row r="97" spans="1:5" x14ac:dyDescent="0.25">
      <c r="A97" s="336" t="s">
        <v>571</v>
      </c>
      <c r="B97" s="337" t="s">
        <v>749</v>
      </c>
      <c r="C97" s="477" t="s">
        <v>280</v>
      </c>
      <c r="D97" s="477" t="s">
        <v>34</v>
      </c>
      <c r="E97" s="480" t="s">
        <v>33</v>
      </c>
    </row>
    <row r="98" spans="1:5" x14ac:dyDescent="0.25">
      <c r="A98" s="336" t="s">
        <v>529</v>
      </c>
      <c r="B98" s="337" t="s">
        <v>750</v>
      </c>
      <c r="C98" s="477" t="s">
        <v>280</v>
      </c>
      <c r="D98" s="477" t="s">
        <v>34</v>
      </c>
      <c r="E98" s="480" t="s">
        <v>33</v>
      </c>
    </row>
    <row r="99" spans="1:5" x14ac:dyDescent="0.25">
      <c r="A99" s="336" t="s">
        <v>751</v>
      </c>
      <c r="B99" s="337" t="s">
        <v>752</v>
      </c>
      <c r="C99" s="477" t="s">
        <v>280</v>
      </c>
      <c r="D99" s="477" t="s">
        <v>34</v>
      </c>
      <c r="E99" s="480" t="s">
        <v>33</v>
      </c>
    </row>
    <row r="100" spans="1:5" x14ac:dyDescent="0.25">
      <c r="A100" s="336" t="s">
        <v>753</v>
      </c>
      <c r="B100" s="337" t="s">
        <v>754</v>
      </c>
      <c r="C100" s="477" t="s">
        <v>280</v>
      </c>
      <c r="D100" s="477" t="s">
        <v>34</v>
      </c>
      <c r="E100" s="480" t="s">
        <v>33</v>
      </c>
    </row>
    <row r="101" spans="1:5" ht="15.75" thickBot="1" x14ac:dyDescent="0.3">
      <c r="A101" s="338" t="s">
        <v>574</v>
      </c>
      <c r="B101" s="339" t="s">
        <v>755</v>
      </c>
      <c r="C101" s="478" t="s">
        <v>280</v>
      </c>
      <c r="D101" s="477" t="s">
        <v>34</v>
      </c>
      <c r="E101" s="480" t="s">
        <v>33</v>
      </c>
    </row>
    <row r="102" spans="1:5" ht="15.75" thickBot="1" x14ac:dyDescent="0.3">
      <c r="A102" s="338" t="s">
        <v>576</v>
      </c>
      <c r="B102" s="339" t="s">
        <v>756</v>
      </c>
      <c r="C102" s="478" t="s">
        <v>280</v>
      </c>
      <c r="D102" s="477" t="s">
        <v>34</v>
      </c>
      <c r="E102" s="480" t="s">
        <v>33</v>
      </c>
    </row>
    <row r="103" spans="1:5" ht="15.75" thickBot="1" x14ac:dyDescent="0.3">
      <c r="A103" s="338" t="s">
        <v>557</v>
      </c>
      <c r="B103" s="339" t="s">
        <v>757</v>
      </c>
      <c r="C103" s="478" t="s">
        <v>280</v>
      </c>
      <c r="D103" s="477" t="s">
        <v>34</v>
      </c>
      <c r="E103" s="480" t="s">
        <v>33</v>
      </c>
    </row>
    <row r="104" spans="1:5" ht="15.75" thickBot="1" x14ac:dyDescent="0.3">
      <c r="A104" s="338" t="s">
        <v>758</v>
      </c>
      <c r="B104" s="339" t="s">
        <v>759</v>
      </c>
      <c r="C104" s="478" t="s">
        <v>280</v>
      </c>
      <c r="D104" s="477" t="s">
        <v>34</v>
      </c>
      <c r="E104" s="480" t="s">
        <v>33</v>
      </c>
    </row>
    <row r="105" spans="1:5" ht="15.75" thickBot="1" x14ac:dyDescent="0.3">
      <c r="A105" s="338" t="s">
        <v>760</v>
      </c>
      <c r="B105" s="339" t="s">
        <v>761</v>
      </c>
      <c r="C105" s="478" t="s">
        <v>280</v>
      </c>
      <c r="D105" s="477" t="s">
        <v>34</v>
      </c>
      <c r="E105" s="480" t="s">
        <v>33</v>
      </c>
    </row>
    <row r="106" spans="1:5" ht="15.75" thickBot="1" x14ac:dyDescent="0.3">
      <c r="A106" s="338" t="s">
        <v>762</v>
      </c>
      <c r="B106" s="339" t="s">
        <v>763</v>
      </c>
      <c r="C106" s="478" t="s">
        <v>280</v>
      </c>
      <c r="D106" s="477" t="s">
        <v>34</v>
      </c>
      <c r="E106" s="480" t="s">
        <v>33</v>
      </c>
    </row>
    <row r="107" spans="1:5" ht="15.75" thickBot="1" x14ac:dyDescent="0.3">
      <c r="A107" s="338" t="s">
        <v>764</v>
      </c>
      <c r="B107" s="339" t="s">
        <v>765</v>
      </c>
      <c r="C107" s="478" t="s">
        <v>280</v>
      </c>
      <c r="D107" s="477" t="s">
        <v>34</v>
      </c>
      <c r="E107" s="480" t="s">
        <v>33</v>
      </c>
    </row>
    <row r="108" spans="1:5" ht="15.75" thickBot="1" x14ac:dyDescent="0.3">
      <c r="A108" s="338" t="s">
        <v>580</v>
      </c>
      <c r="B108" s="339" t="s">
        <v>766</v>
      </c>
      <c r="C108" s="478" t="s">
        <v>280</v>
      </c>
      <c r="D108" s="477" t="s">
        <v>34</v>
      </c>
      <c r="E108" s="480" t="s">
        <v>33</v>
      </c>
    </row>
    <row r="109" spans="1:5" ht="15.75" thickBot="1" x14ac:dyDescent="0.3">
      <c r="A109" s="338" t="s">
        <v>585</v>
      </c>
      <c r="B109" s="339" t="s">
        <v>767</v>
      </c>
      <c r="C109" s="478" t="s">
        <v>280</v>
      </c>
      <c r="D109" s="477" t="s">
        <v>34</v>
      </c>
      <c r="E109" s="480" t="s">
        <v>33</v>
      </c>
    </row>
    <row r="110" spans="1:5" ht="15.75" thickBot="1" x14ac:dyDescent="0.3">
      <c r="A110" s="338" t="s">
        <v>587</v>
      </c>
      <c r="B110" s="339" t="s">
        <v>768</v>
      </c>
      <c r="C110" s="478" t="s">
        <v>280</v>
      </c>
      <c r="D110" s="477" t="s">
        <v>34</v>
      </c>
      <c r="E110" s="480" t="s">
        <v>33</v>
      </c>
    </row>
    <row r="111" spans="1:5" ht="15.75" thickBot="1" x14ac:dyDescent="0.3">
      <c r="A111" s="338" t="s">
        <v>769</v>
      </c>
      <c r="B111" s="339" t="s">
        <v>770</v>
      </c>
      <c r="C111" s="478" t="s">
        <v>280</v>
      </c>
      <c r="D111" s="477" t="s">
        <v>34</v>
      </c>
      <c r="E111" s="480" t="s">
        <v>33</v>
      </c>
    </row>
    <row r="112" spans="1:5" ht="15.75" thickBot="1" x14ac:dyDescent="0.3">
      <c r="A112" s="338" t="s">
        <v>771</v>
      </c>
      <c r="B112" s="339" t="s">
        <v>772</v>
      </c>
      <c r="C112" s="478" t="s">
        <v>280</v>
      </c>
      <c r="D112" s="478" t="s">
        <v>40</v>
      </c>
      <c r="E112" s="480" t="s">
        <v>33</v>
      </c>
    </row>
    <row r="113" spans="1:5" ht="15.75" thickBot="1" x14ac:dyDescent="0.3">
      <c r="A113" s="338" t="s">
        <v>773</v>
      </c>
      <c r="B113" s="339" t="s">
        <v>774</v>
      </c>
      <c r="C113" s="478" t="s">
        <v>280</v>
      </c>
      <c r="D113" s="478" t="s">
        <v>40</v>
      </c>
      <c r="E113" s="480" t="s">
        <v>33</v>
      </c>
    </row>
    <row r="114" spans="1:5" ht="15.75" thickBot="1" x14ac:dyDescent="0.3">
      <c r="A114" s="338" t="s">
        <v>546</v>
      </c>
      <c r="B114" s="339" t="s">
        <v>775</v>
      </c>
      <c r="C114" s="478" t="s">
        <v>280</v>
      </c>
      <c r="D114" s="478" t="s">
        <v>34</v>
      </c>
      <c r="E114" s="480" t="s">
        <v>39</v>
      </c>
    </row>
    <row r="115" spans="1:5" ht="15.75" thickBot="1" x14ac:dyDescent="0.3">
      <c r="A115" s="338" t="s">
        <v>777</v>
      </c>
      <c r="B115" s="339" t="s">
        <v>778</v>
      </c>
      <c r="C115" s="478" t="s">
        <v>280</v>
      </c>
      <c r="D115" s="478" t="s">
        <v>40</v>
      </c>
      <c r="E115" s="480" t="s">
        <v>33</v>
      </c>
    </row>
    <row r="116" spans="1:5" ht="15.75" thickBot="1" x14ac:dyDescent="0.3">
      <c r="A116" s="338" t="s">
        <v>779</v>
      </c>
      <c r="B116" s="339" t="s">
        <v>780</v>
      </c>
      <c r="C116" s="478" t="s">
        <v>280</v>
      </c>
      <c r="D116" s="478" t="s">
        <v>34</v>
      </c>
      <c r="E116" s="480" t="s">
        <v>33</v>
      </c>
    </row>
    <row r="117" spans="1:5" ht="15.75" thickBot="1" x14ac:dyDescent="0.3">
      <c r="A117" s="338" t="s">
        <v>781</v>
      </c>
      <c r="B117" s="339" t="s">
        <v>782</v>
      </c>
      <c r="C117" s="478" t="s">
        <v>280</v>
      </c>
      <c r="D117" s="478" t="s">
        <v>40</v>
      </c>
      <c r="E117" s="480" t="s">
        <v>33</v>
      </c>
    </row>
    <row r="118" spans="1:5" ht="15.75" thickBot="1" x14ac:dyDescent="0.3">
      <c r="A118" s="338" t="s">
        <v>783</v>
      </c>
      <c r="B118" s="339" t="s">
        <v>784</v>
      </c>
      <c r="C118" s="478" t="s">
        <v>280</v>
      </c>
      <c r="D118" s="478" t="s">
        <v>40</v>
      </c>
      <c r="E118" s="480" t="s">
        <v>33</v>
      </c>
    </row>
    <row r="119" spans="1:5" ht="15.75" thickBot="1" x14ac:dyDescent="0.3">
      <c r="A119" s="338" t="s">
        <v>785</v>
      </c>
      <c r="B119" s="339" t="s">
        <v>786</v>
      </c>
      <c r="C119" s="478" t="s">
        <v>280</v>
      </c>
      <c r="D119" s="478" t="s">
        <v>34</v>
      </c>
      <c r="E119" s="480" t="s">
        <v>33</v>
      </c>
    </row>
    <row r="120" spans="1:5" ht="15.75" thickBot="1" x14ac:dyDescent="0.3">
      <c r="A120" s="338" t="s">
        <v>788</v>
      </c>
      <c r="B120" s="339" t="s">
        <v>789</v>
      </c>
      <c r="C120" s="478" t="s">
        <v>280</v>
      </c>
      <c r="D120" s="478" t="s">
        <v>34</v>
      </c>
      <c r="E120" s="480" t="s">
        <v>33</v>
      </c>
    </row>
    <row r="121" spans="1:5" ht="15.75" thickBot="1" x14ac:dyDescent="0.3">
      <c r="A121" s="338" t="s">
        <v>790</v>
      </c>
      <c r="B121" s="339" t="s">
        <v>791</v>
      </c>
      <c r="C121" s="478" t="s">
        <v>280</v>
      </c>
      <c r="D121" s="478" t="s">
        <v>34</v>
      </c>
      <c r="E121" s="480" t="s">
        <v>33</v>
      </c>
    </row>
    <row r="122" spans="1:5" ht="15.75" thickBot="1" x14ac:dyDescent="0.3">
      <c r="A122" s="338" t="s">
        <v>533</v>
      </c>
      <c r="B122" s="339" t="s">
        <v>792</v>
      </c>
      <c r="C122" s="478" t="s">
        <v>280</v>
      </c>
      <c r="D122" s="478" t="s">
        <v>34</v>
      </c>
      <c r="E122" s="480" t="s">
        <v>33</v>
      </c>
    </row>
    <row r="123" spans="1:5" ht="15.75" thickBot="1" x14ac:dyDescent="0.3">
      <c r="A123" s="338" t="s">
        <v>537</v>
      </c>
      <c r="B123" s="339" t="s">
        <v>793</v>
      </c>
      <c r="C123" s="478" t="s">
        <v>280</v>
      </c>
      <c r="D123" s="478" t="s">
        <v>34</v>
      </c>
      <c r="E123" s="480" t="s">
        <v>33</v>
      </c>
    </row>
    <row r="124" spans="1:5" ht="15.75" thickBot="1" x14ac:dyDescent="0.3">
      <c r="A124" s="338" t="s">
        <v>539</v>
      </c>
      <c r="B124" s="339" t="s">
        <v>794</v>
      </c>
      <c r="C124" s="478" t="s">
        <v>280</v>
      </c>
      <c r="D124" s="478" t="s">
        <v>34</v>
      </c>
      <c r="E124" s="480" t="s">
        <v>33</v>
      </c>
    </row>
    <row r="125" spans="1:5" ht="15.75" thickBot="1" x14ac:dyDescent="0.3">
      <c r="A125" s="338" t="s">
        <v>543</v>
      </c>
      <c r="B125" s="339" t="s">
        <v>795</v>
      </c>
      <c r="C125" s="478" t="s">
        <v>280</v>
      </c>
      <c r="D125" s="478" t="s">
        <v>34</v>
      </c>
      <c r="E125" s="480" t="s">
        <v>33</v>
      </c>
    </row>
    <row r="126" spans="1:5" ht="15.75" thickBot="1" x14ac:dyDescent="0.3">
      <c r="A126" s="338" t="s">
        <v>387</v>
      </c>
      <c r="B126" s="339" t="s">
        <v>796</v>
      </c>
      <c r="C126" s="478" t="s">
        <v>280</v>
      </c>
      <c r="D126" s="478" t="s">
        <v>34</v>
      </c>
      <c r="E126" s="480" t="s">
        <v>33</v>
      </c>
    </row>
    <row r="127" spans="1:5" ht="15.75" thickBot="1" x14ac:dyDescent="0.3">
      <c r="A127" s="338" t="s">
        <v>389</v>
      </c>
      <c r="B127" s="339" t="s">
        <v>797</v>
      </c>
      <c r="C127" s="478" t="s">
        <v>280</v>
      </c>
      <c r="D127" s="478" t="s">
        <v>34</v>
      </c>
      <c r="E127" s="480" t="s">
        <v>33</v>
      </c>
    </row>
    <row r="128" spans="1:5" ht="15.75" thickBot="1" x14ac:dyDescent="0.3">
      <c r="A128" s="338" t="s">
        <v>366</v>
      </c>
      <c r="B128" s="339" t="s">
        <v>798</v>
      </c>
      <c r="C128" s="478" t="s">
        <v>280</v>
      </c>
      <c r="D128" s="478" t="s">
        <v>34</v>
      </c>
      <c r="E128" s="480" t="s">
        <v>33</v>
      </c>
    </row>
    <row r="129" spans="1:5" ht="15.75" thickBot="1" x14ac:dyDescent="0.3">
      <c r="A129" s="338" t="s">
        <v>370</v>
      </c>
      <c r="B129" s="339" t="s">
        <v>799</v>
      </c>
      <c r="C129" s="478" t="s">
        <v>280</v>
      </c>
      <c r="D129" s="478" t="s">
        <v>34</v>
      </c>
      <c r="E129" s="480" t="s">
        <v>33</v>
      </c>
    </row>
    <row r="130" spans="1:5" ht="15.75" thickBot="1" x14ac:dyDescent="0.3">
      <c r="A130" s="338" t="s">
        <v>800</v>
      </c>
      <c r="B130" s="339" t="s">
        <v>801</v>
      </c>
      <c r="C130" s="478" t="s">
        <v>280</v>
      </c>
      <c r="D130" s="478" t="s">
        <v>34</v>
      </c>
      <c r="E130" s="480" t="s">
        <v>33</v>
      </c>
    </row>
    <row r="131" spans="1:5" ht="15.75" thickBot="1" x14ac:dyDescent="0.3">
      <c r="A131" s="338" t="s">
        <v>376</v>
      </c>
      <c r="B131" s="339" t="s">
        <v>802</v>
      </c>
      <c r="C131" s="478" t="s">
        <v>280</v>
      </c>
      <c r="D131" s="478" t="s">
        <v>34</v>
      </c>
      <c r="E131" s="480" t="s">
        <v>33</v>
      </c>
    </row>
    <row r="132" spans="1:5" ht="15.75" thickBot="1" x14ac:dyDescent="0.3">
      <c r="A132" s="338" t="s">
        <v>803</v>
      </c>
      <c r="B132" s="339" t="s">
        <v>804</v>
      </c>
      <c r="C132" s="478" t="s">
        <v>280</v>
      </c>
      <c r="D132" s="478" t="s">
        <v>34</v>
      </c>
      <c r="E132" s="480" t="s">
        <v>33</v>
      </c>
    </row>
    <row r="133" spans="1:5" ht="15.75" thickBot="1" x14ac:dyDescent="0.3">
      <c r="A133" s="338" t="s">
        <v>805</v>
      </c>
      <c r="B133" s="339" t="s">
        <v>806</v>
      </c>
      <c r="C133" s="478" t="s">
        <v>280</v>
      </c>
      <c r="D133" s="478" t="s">
        <v>34</v>
      </c>
      <c r="E133" s="480" t="s">
        <v>33</v>
      </c>
    </row>
    <row r="134" spans="1:5" ht="15.75" thickBot="1" x14ac:dyDescent="0.3">
      <c r="A134" s="338" t="s">
        <v>807</v>
      </c>
      <c r="B134" s="339" t="s">
        <v>808</v>
      </c>
      <c r="C134" s="478" t="s">
        <v>280</v>
      </c>
      <c r="D134" s="478" t="s">
        <v>34</v>
      </c>
      <c r="E134" s="480" t="s">
        <v>33</v>
      </c>
    </row>
    <row r="135" spans="1:5" ht="15.75" thickBot="1" x14ac:dyDescent="0.3">
      <c r="A135" s="338" t="s">
        <v>809</v>
      </c>
      <c r="B135" s="339" t="s">
        <v>810</v>
      </c>
      <c r="C135" s="478" t="s">
        <v>280</v>
      </c>
      <c r="D135" s="478" t="s">
        <v>34</v>
      </c>
      <c r="E135" s="480" t="s">
        <v>33</v>
      </c>
    </row>
    <row r="136" spans="1:5" ht="15.75" thickBot="1" x14ac:dyDescent="0.3">
      <c r="A136" s="338" t="s">
        <v>811</v>
      </c>
      <c r="B136" s="339" t="s">
        <v>812</v>
      </c>
      <c r="C136" s="478" t="s">
        <v>280</v>
      </c>
      <c r="D136" s="478" t="s">
        <v>34</v>
      </c>
      <c r="E136" s="480" t="s">
        <v>33</v>
      </c>
    </row>
    <row r="137" spans="1:5" ht="15.75" thickBot="1" x14ac:dyDescent="0.3">
      <c r="A137" s="338" t="s">
        <v>813</v>
      </c>
      <c r="B137" s="339" t="s">
        <v>814</v>
      </c>
      <c r="C137" s="478" t="s">
        <v>280</v>
      </c>
      <c r="D137" s="478" t="s">
        <v>34</v>
      </c>
      <c r="E137" s="480" t="s">
        <v>33</v>
      </c>
    </row>
    <row r="138" spans="1:5" ht="15.75" thickBot="1" x14ac:dyDescent="0.3">
      <c r="A138" s="338" t="s">
        <v>815</v>
      </c>
      <c r="B138" s="339" t="s">
        <v>816</v>
      </c>
      <c r="C138" s="478" t="s">
        <v>280</v>
      </c>
      <c r="D138" s="478" t="s">
        <v>34</v>
      </c>
      <c r="E138" s="480" t="s">
        <v>33</v>
      </c>
    </row>
    <row r="139" spans="1:5" ht="15.75" thickBot="1" x14ac:dyDescent="0.3">
      <c r="A139" s="338" t="s">
        <v>817</v>
      </c>
      <c r="B139" s="339" t="s">
        <v>818</v>
      </c>
      <c r="C139" s="478" t="s">
        <v>280</v>
      </c>
      <c r="D139" s="478" t="s">
        <v>34</v>
      </c>
      <c r="E139" s="480" t="s">
        <v>33</v>
      </c>
    </row>
    <row r="140" spans="1:5" ht="15.75" thickBot="1" x14ac:dyDescent="0.3">
      <c r="A140" s="338" t="s">
        <v>819</v>
      </c>
      <c r="B140" s="339" t="s">
        <v>820</v>
      </c>
      <c r="C140" s="478" t="s">
        <v>280</v>
      </c>
      <c r="D140" s="478" t="s">
        <v>34</v>
      </c>
      <c r="E140" s="480" t="s">
        <v>33</v>
      </c>
    </row>
    <row r="141" spans="1:5" x14ac:dyDescent="0.25">
      <c r="A141" s="338" t="s">
        <v>821</v>
      </c>
      <c r="B141" s="339" t="s">
        <v>822</v>
      </c>
      <c r="C141" s="478" t="s">
        <v>259</v>
      </c>
      <c r="D141" s="478" t="s">
        <v>34</v>
      </c>
      <c r="E141" s="480" t="s">
        <v>33</v>
      </c>
    </row>
  </sheetData>
  <autoFilter ref="A2:E141" xr:uid="{2E753270-8E41-4CC5-97C2-EE4540C41FD1}">
    <filterColumn colId="4">
      <filters>
        <filter val="Delta"/>
        <filter val="New"/>
      </filters>
    </filterColumn>
  </autoFilter>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D3:D141</xm:sqref>
        </x14:dataValidation>
        <x14:dataValidation type="list" allowBlank="1" showInputMessage="1" showErrorMessage="1" xr:uid="{AA1AC074-A7B7-4C8D-9132-118B458773B2}">
          <x14:formula1>
            <xm:f>'List Options'!$G$1:$G$3</xm:f>
          </x14:formula1>
          <xm:sqref>E3:E141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842</v>
      </c>
      <c r="C1" s="36" t="s">
        <v>843</v>
      </c>
      <c r="D1" s="36" t="s">
        <v>844</v>
      </c>
      <c r="E1" s="36" t="s">
        <v>845</v>
      </c>
      <c r="F1" s="36" t="s">
        <v>846</v>
      </c>
      <c r="G1" s="37" t="s">
        <v>847</v>
      </c>
      <c r="H1" s="12"/>
      <c r="I1" s="12"/>
      <c r="J1" s="12"/>
      <c r="K1" s="12"/>
      <c r="L1" s="13"/>
      <c r="M1" s="1"/>
      <c r="N1" s="11"/>
      <c r="X1" s="11"/>
      <c r="AB1" s="671" t="s">
        <v>848</v>
      </c>
      <c r="AM1" s="671" t="s">
        <v>849</v>
      </c>
    </row>
    <row r="2" spans="1:40" s="14" customFormat="1" ht="12" x14ac:dyDescent="0.2">
      <c r="A2" s="35" t="s">
        <v>850</v>
      </c>
      <c r="B2" s="15">
        <v>42994</v>
      </c>
      <c r="C2" s="15">
        <v>43190</v>
      </c>
      <c r="D2" s="16" t="e">
        <f>#REF!</f>
        <v>#REF!</v>
      </c>
      <c r="E2" s="16" t="e">
        <f>#REF!</f>
        <v>#REF!</v>
      </c>
      <c r="F2" s="16">
        <f>(C2-B2)/7</f>
        <v>28</v>
      </c>
      <c r="G2" s="17" t="e">
        <f>E2/F2</f>
        <v>#REF!</v>
      </c>
      <c r="H2" s="18"/>
      <c r="I2" s="18"/>
      <c r="J2" s="18"/>
      <c r="K2" s="18"/>
      <c r="L2" s="19"/>
      <c r="M2" s="20"/>
      <c r="N2" s="21"/>
      <c r="X2" s="21"/>
      <c r="AB2" s="672"/>
      <c r="AM2" s="672"/>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73" t="s">
        <v>851</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74"/>
      <c r="B5" s="47" t="s">
        <v>852</v>
      </c>
      <c r="C5" s="47" t="s">
        <v>853</v>
      </c>
      <c r="D5" s="47" t="s">
        <v>854</v>
      </c>
      <c r="E5" s="47" t="s">
        <v>855</v>
      </c>
      <c r="F5" s="47" t="s">
        <v>856</v>
      </c>
      <c r="G5" s="47" t="s">
        <v>857</v>
      </c>
      <c r="H5" s="47" t="s">
        <v>858</v>
      </c>
      <c r="I5" s="47" t="s">
        <v>859</v>
      </c>
      <c r="J5" s="47" t="s">
        <v>860</v>
      </c>
      <c r="K5" s="47" t="s">
        <v>861</v>
      </c>
      <c r="L5" s="47" t="s">
        <v>862</v>
      </c>
      <c r="M5" s="47" t="s">
        <v>863</v>
      </c>
      <c r="N5" s="47" t="s">
        <v>864</v>
      </c>
      <c r="O5" s="47" t="s">
        <v>865</v>
      </c>
      <c r="P5" s="47" t="s">
        <v>866</v>
      </c>
      <c r="Q5" s="47" t="s">
        <v>867</v>
      </c>
      <c r="R5" s="47" t="s">
        <v>868</v>
      </c>
      <c r="S5" s="47" t="s">
        <v>869</v>
      </c>
      <c r="T5" s="47" t="s">
        <v>870</v>
      </c>
      <c r="U5" s="47" t="s">
        <v>871</v>
      </c>
      <c r="V5" s="47" t="s">
        <v>872</v>
      </c>
      <c r="W5" s="47" t="s">
        <v>873</v>
      </c>
      <c r="X5" s="47" t="s">
        <v>874</v>
      </c>
      <c r="Y5" s="47" t="s">
        <v>875</v>
      </c>
      <c r="Z5" s="47" t="s">
        <v>876</v>
      </c>
      <c r="AA5" s="47" t="s">
        <v>877</v>
      </c>
      <c r="AB5" s="47" t="s">
        <v>878</v>
      </c>
      <c r="AC5" s="47" t="s">
        <v>879</v>
      </c>
      <c r="AD5" s="47" t="s">
        <v>880</v>
      </c>
      <c r="AE5" s="47" t="s">
        <v>881</v>
      </c>
      <c r="AF5" s="47" t="s">
        <v>882</v>
      </c>
      <c r="AG5" s="47" t="s">
        <v>883</v>
      </c>
      <c r="AH5" s="47" t="s">
        <v>884</v>
      </c>
      <c r="AI5" s="47" t="s">
        <v>885</v>
      </c>
      <c r="AJ5" s="47" t="s">
        <v>886</v>
      </c>
      <c r="AK5" s="47" t="s">
        <v>887</v>
      </c>
      <c r="AL5" s="66" t="s">
        <v>888</v>
      </c>
      <c r="AM5" s="65" t="s">
        <v>889</v>
      </c>
      <c r="AN5" s="50"/>
    </row>
    <row r="6" spans="1:40" ht="12" x14ac:dyDescent="0.2">
      <c r="A6" s="48" t="s">
        <v>890</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891</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73" t="s">
        <v>892</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75"/>
      <c r="B10" s="32" t="s">
        <v>852</v>
      </c>
      <c r="C10" s="32" t="s">
        <v>853</v>
      </c>
      <c r="D10" s="32" t="s">
        <v>854</v>
      </c>
      <c r="E10" s="32" t="s">
        <v>855</v>
      </c>
      <c r="F10" s="32" t="s">
        <v>856</v>
      </c>
      <c r="G10" s="32" t="s">
        <v>857</v>
      </c>
      <c r="H10" s="32" t="s">
        <v>858</v>
      </c>
      <c r="I10" s="32" t="s">
        <v>859</v>
      </c>
      <c r="J10" s="32" t="s">
        <v>860</v>
      </c>
      <c r="K10" s="32" t="s">
        <v>861</v>
      </c>
      <c r="L10" s="32" t="s">
        <v>862</v>
      </c>
      <c r="M10" s="32" t="s">
        <v>863</v>
      </c>
      <c r="N10" s="32" t="s">
        <v>864</v>
      </c>
      <c r="O10" s="32" t="s">
        <v>865</v>
      </c>
      <c r="P10" s="32" t="s">
        <v>866</v>
      </c>
      <c r="Q10" s="32" t="s">
        <v>867</v>
      </c>
      <c r="R10" s="32" t="s">
        <v>868</v>
      </c>
      <c r="S10" s="32" t="s">
        <v>869</v>
      </c>
      <c r="T10" s="32" t="s">
        <v>870</v>
      </c>
      <c r="U10" s="32" t="s">
        <v>871</v>
      </c>
      <c r="V10" s="32" t="s">
        <v>872</v>
      </c>
      <c r="W10" s="32" t="s">
        <v>873</v>
      </c>
      <c r="X10" s="32" t="s">
        <v>874</v>
      </c>
      <c r="Y10" s="32" t="s">
        <v>875</v>
      </c>
      <c r="Z10" s="32" t="s">
        <v>876</v>
      </c>
      <c r="AA10" s="32" t="s">
        <v>877</v>
      </c>
      <c r="AB10" s="32" t="s">
        <v>878</v>
      </c>
      <c r="AC10" s="32" t="s">
        <v>879</v>
      </c>
      <c r="AD10" s="32" t="s">
        <v>880</v>
      </c>
      <c r="AE10" s="32" t="s">
        <v>881</v>
      </c>
      <c r="AF10" s="32" t="s">
        <v>882</v>
      </c>
      <c r="AG10" s="32" t="s">
        <v>883</v>
      </c>
      <c r="AH10" s="32" t="s">
        <v>884</v>
      </c>
      <c r="AI10" s="32" t="s">
        <v>885</v>
      </c>
      <c r="AJ10" s="64" t="s">
        <v>886</v>
      </c>
      <c r="AK10" s="63" t="s">
        <v>887</v>
      </c>
      <c r="AL10" s="47" t="s">
        <v>888</v>
      </c>
      <c r="AM10" s="72" t="s">
        <v>889</v>
      </c>
      <c r="AN10" s="68"/>
    </row>
    <row r="11" spans="1:40" x14ac:dyDescent="0.25">
      <c r="A11" s="42" t="s">
        <v>890</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891</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893</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894</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895</v>
      </c>
      <c r="B3" s="129" t="s">
        <v>896</v>
      </c>
      <c r="C3" s="129"/>
      <c r="D3" s="220"/>
      <c r="E3" s="129"/>
    </row>
    <row r="4" spans="1:5" x14ac:dyDescent="0.25">
      <c r="A4" s="79" t="s">
        <v>47</v>
      </c>
      <c r="B4">
        <v>0</v>
      </c>
    </row>
    <row r="5" spans="1:5" x14ac:dyDescent="0.25">
      <c r="A5" s="79" t="s">
        <v>608</v>
      </c>
      <c r="B5">
        <v>85</v>
      </c>
      <c r="D5" s="130">
        <f>GETPIVOTDATA("#Tests",$A$3,"ETA","wk-1")/GETPIVOTDATA("#Tests",$A$3)</f>
        <v>0.17</v>
      </c>
      <c r="E5" s="131">
        <f>D5</f>
        <v>0.17</v>
      </c>
    </row>
    <row r="6" spans="1:5" x14ac:dyDescent="0.25">
      <c r="A6" s="79" t="s">
        <v>618</v>
      </c>
      <c r="B6">
        <v>48</v>
      </c>
      <c r="D6" s="130">
        <f>GETPIVOTDATA("#Tests",$A$3,"ETA","wk-2")/GETPIVOTDATA("#Tests",$A$3)</f>
        <v>9.6000000000000002E-2</v>
      </c>
      <c r="E6" s="131">
        <f t="shared" ref="E6:E12" si="0">E5+D6</f>
        <v>0.26600000000000001</v>
      </c>
    </row>
    <row r="7" spans="1:5" x14ac:dyDescent="0.25">
      <c r="A7" s="79" t="s">
        <v>621</v>
      </c>
      <c r="B7">
        <v>96</v>
      </c>
      <c r="D7" s="130">
        <f>GETPIVOTDATA("#Tests",$A$3,"ETA","wk-3")/GETPIVOTDATA("#Tests",$A$3)</f>
        <v>0.192</v>
      </c>
      <c r="E7" s="131">
        <f t="shared" si="0"/>
        <v>0.45800000000000002</v>
      </c>
    </row>
    <row r="8" spans="1:5" x14ac:dyDescent="0.25">
      <c r="A8" s="79" t="s">
        <v>643</v>
      </c>
      <c r="B8">
        <v>79</v>
      </c>
      <c r="D8" s="130">
        <f>GETPIVOTDATA("#Tests",$A$3,"ETA","wk-4")/GETPIVOTDATA("#Tests",$A$3)</f>
        <v>0.158</v>
      </c>
      <c r="E8" s="131">
        <f t="shared" si="0"/>
        <v>0.61599999999999999</v>
      </c>
    </row>
    <row r="9" spans="1:5" x14ac:dyDescent="0.25">
      <c r="A9" s="79" t="s">
        <v>649</v>
      </c>
      <c r="B9">
        <v>82</v>
      </c>
      <c r="D9" s="130">
        <f>GETPIVOTDATA("#Tests",$A$3,"ETA","wk-5")/GETPIVOTDATA("#Tests",$A$3)</f>
        <v>0.16400000000000001</v>
      </c>
      <c r="E9" s="131">
        <f t="shared" si="0"/>
        <v>0.78</v>
      </c>
    </row>
    <row r="10" spans="1:5" x14ac:dyDescent="0.25">
      <c r="A10" s="79" t="s">
        <v>638</v>
      </c>
      <c r="B10">
        <v>60</v>
      </c>
      <c r="D10" s="130">
        <f>GETPIVOTDATA("#Tests",$A$3,"ETA","wk-6")/GETPIVOTDATA("#Tests",$A$3)</f>
        <v>0.12</v>
      </c>
      <c r="E10" s="131">
        <f t="shared" si="0"/>
        <v>0.9</v>
      </c>
    </row>
    <row r="11" spans="1:5" x14ac:dyDescent="0.25">
      <c r="A11" s="79" t="s">
        <v>603</v>
      </c>
      <c r="B11">
        <v>30</v>
      </c>
      <c r="D11" s="130">
        <f>GETPIVOTDATA("#Tests",$A$3,"ETA","wk-7")/GETPIVOTDATA("#Tests",$A$3)</f>
        <v>0.06</v>
      </c>
      <c r="E11" s="131">
        <f t="shared" si="0"/>
        <v>0.96</v>
      </c>
    </row>
    <row r="12" spans="1:5" x14ac:dyDescent="0.25">
      <c r="A12" s="79" t="s">
        <v>613</v>
      </c>
      <c r="B12">
        <v>20</v>
      </c>
      <c r="D12" s="130">
        <f>GETPIVOTDATA("#Tests",$A$3,"ETA","wk-8")/GETPIVOTDATA("#Tests",$A$3)</f>
        <v>0.04</v>
      </c>
      <c r="E12" s="131">
        <f t="shared" si="0"/>
        <v>1</v>
      </c>
    </row>
    <row r="13" spans="1:5" x14ac:dyDescent="0.25">
      <c r="A13" s="79" t="s">
        <v>826</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BB16"/>
  <sheetViews>
    <sheetView topLeftCell="AS1" workbookViewId="0">
      <selection activeCell="BD8" sqref="BD8"/>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897</v>
      </c>
      <c r="B1" s="157" t="s">
        <v>898</v>
      </c>
      <c r="C1" s="158" t="s">
        <v>899</v>
      </c>
      <c r="D1" s="158" t="s">
        <v>900</v>
      </c>
      <c r="E1" s="158" t="s">
        <v>901</v>
      </c>
      <c r="F1" s="158" t="s">
        <v>902</v>
      </c>
      <c r="G1" s="158" t="s">
        <v>903</v>
      </c>
      <c r="H1" s="158" t="s">
        <v>904</v>
      </c>
      <c r="I1" s="158" t="s">
        <v>905</v>
      </c>
      <c r="J1" s="158" t="s">
        <v>906</v>
      </c>
      <c r="K1" s="158" t="s">
        <v>907</v>
      </c>
      <c r="L1" s="158" t="s">
        <v>908</v>
      </c>
      <c r="M1" s="158" t="s">
        <v>909</v>
      </c>
      <c r="N1" s="158" t="s">
        <v>910</v>
      </c>
      <c r="O1" s="158" t="s">
        <v>911</v>
      </c>
      <c r="P1" s="158" t="s">
        <v>912</v>
      </c>
      <c r="Q1" s="158" t="s">
        <v>913</v>
      </c>
      <c r="R1" s="158" t="s">
        <v>914</v>
      </c>
      <c r="S1" s="158" t="s">
        <v>915</v>
      </c>
      <c r="T1" s="158" t="s">
        <v>916</v>
      </c>
      <c r="U1" s="158" t="s">
        <v>917</v>
      </c>
      <c r="V1" s="158" t="s">
        <v>918</v>
      </c>
      <c r="W1" s="158" t="s">
        <v>919</v>
      </c>
      <c r="X1" s="158" t="s">
        <v>920</v>
      </c>
      <c r="Y1" s="158" t="s">
        <v>921</v>
      </c>
      <c r="Z1" s="158" t="s">
        <v>922</v>
      </c>
      <c r="AA1" s="158" t="s">
        <v>923</v>
      </c>
      <c r="AB1" s="158" t="s">
        <v>924</v>
      </c>
      <c r="AC1" s="158" t="s">
        <v>925</v>
      </c>
      <c r="AD1" s="158" t="s">
        <v>926</v>
      </c>
      <c r="AE1" s="158" t="s">
        <v>927</v>
      </c>
      <c r="AF1" s="158" t="s">
        <v>928</v>
      </c>
      <c r="AG1" s="158" t="s">
        <v>929</v>
      </c>
      <c r="AH1" s="158" t="s">
        <v>930</v>
      </c>
      <c r="AI1" s="158" t="s">
        <v>931</v>
      </c>
      <c r="AJ1" s="158" t="s">
        <v>932</v>
      </c>
      <c r="AK1" s="158" t="s">
        <v>933</v>
      </c>
      <c r="AL1" s="158" t="s">
        <v>934</v>
      </c>
      <c r="AM1" s="158" t="s">
        <v>935</v>
      </c>
      <c r="AN1" s="158" t="s">
        <v>936</v>
      </c>
      <c r="AO1" s="158" t="s">
        <v>937</v>
      </c>
      <c r="AP1" s="158" t="s">
        <v>938</v>
      </c>
      <c r="AQ1" s="158" t="s">
        <v>939</v>
      </c>
      <c r="AR1" s="158" t="s">
        <v>940</v>
      </c>
      <c r="AS1" s="158" t="s">
        <v>941</v>
      </c>
      <c r="AT1" s="158" t="s">
        <v>942</v>
      </c>
      <c r="AU1" s="158" t="s">
        <v>943</v>
      </c>
      <c r="AV1" s="158" t="s">
        <v>944</v>
      </c>
      <c r="AW1" s="158" t="s">
        <v>945</v>
      </c>
      <c r="AX1" s="158" t="s">
        <v>946</v>
      </c>
      <c r="AY1" s="158" t="s">
        <v>947</v>
      </c>
      <c r="AZ1" s="158" t="s">
        <v>948</v>
      </c>
      <c r="BA1" s="158" t="s">
        <v>949</v>
      </c>
      <c r="BB1" s="159" t="s">
        <v>950</v>
      </c>
    </row>
    <row r="2" spans="1:54" s="135" customFormat="1" x14ac:dyDescent="0.2">
      <c r="A2" s="151" t="s">
        <v>891</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894</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892</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891</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893</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Yang, Eric</DisplayName>
        <AccountId>5509</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 ds:uri="ec5a97c5-2653-49c6-b3a5-07f7dd96f613"/>
  </ds:schemaRefs>
</ds:datastoreItem>
</file>

<file path=customXml/itemProps3.xml><?xml version="1.0" encoding="utf-8"?>
<ds:datastoreItem xmlns:ds="http://schemas.openxmlformats.org/officeDocument/2006/customXml" ds:itemID="{B573ECBC-040B-42FD-A237-7F2573680C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Feature Summary</vt:lpstr>
      <vt:lpstr>Sub-IP Block Summary</vt:lpstr>
      <vt:lpstr>Feature Raw Data</vt:lpstr>
      <vt:lpstr>Progress (WIP)</vt:lpstr>
      <vt:lpstr>Coverage Plan</vt:lpstr>
      <vt:lpstr>Progress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2024-01-12T19:01:38Z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